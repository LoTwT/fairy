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threadedComments/threadedComment1.xml" ContentType="application/vnd.ms-excel.threaded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2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worksheets/sheet18.xml" ContentType="application/vnd.openxmlformats-officedocument.spreadsheetml.worksheet+xml"/>
  <Override PartName="/xl/worksheets/sheet4.xml" ContentType="application/vnd.openxmlformats-officedocument.spreadsheetml.worksheet+xml"/>
  <Override PartName="/xl/persons/person.xml" ContentType="application/vnd.ms-excel.person+xml"/>
  <Override PartName="/xl/worksheets/sheet29.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3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22.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28.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worksheets/sheet13.xml" ContentType="application/vnd.openxmlformats-officedocument.spreadsheetml.worksheet+xml"/>
  <Override PartName="/xl/worksheets/sheet23.xml" ContentType="application/vnd.openxmlformats-officedocument.spreadsheetml.worksheet+xml"/>
  <Override PartName="/xl/worksheets/sheet16.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worksheets/sheet30.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worksheets/sheet15.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首页" sheetId="1" r:id="rId4"/>
    <sheet name="Q&amp;A" sheetId="2" r:id="rId5"/>
    <sheet name="代理人技能数据" sheetId="3" r:id="rId6"/>
    <sheet name="代理人属性" sheetId="4" r:id="rId7"/>
    <sheet name="敌人属性" sheetId="5" r:id="rId8"/>
    <sheet name="异常条" sheetId="6" r:id="rId9"/>
    <sheet name="敌人属性调整" sheetId="7" r:id="rId10"/>
    <sheet name="代理人技能描述" sheetId="8" r:id="rId11"/>
    <sheet name="代理人核心技描述" sheetId="9" r:id="rId12"/>
    <sheet name="代理人强化" sheetId="10" r:id="rId13"/>
    <sheet name="代理人觉醒" sheetId="11" r:id="rId14"/>
    <sheet name="代理人影画描述" sheetId="12" r:id="rId15"/>
    <sheet name="代理人晋升属性" sheetId="13" r:id="rId16"/>
    <sheet name="合作者档案" sheetId="14" r:id="rId17"/>
    <sheet name="法厄同图鉴" sheetId="15" r:id="rId18"/>
    <sheet name="敌人强化" sheetId="16" r:id="rId19"/>
    <sheet name="敌人转阶段" sheetId="17" r:id="rId20"/>
    <sheet name="音擎属性" sheetId="18" r:id="rId21"/>
    <sheet name="音擎描述" sheetId="19" r:id="rId22"/>
    <sheet name="邦布属性" sheetId="20" r:id="rId23"/>
    <sheet name="邦布技能" sheetId="21" r:id="rId24"/>
    <sheet name="驱动盘描述" sheetId="22" r:id="rId25"/>
    <sheet name="物品列表" sheetId="23" r:id="rId26"/>
    <sheet name="空洞见闻" sheetId="24" r:id="rId27"/>
    <sheet name="关于打断与抗打断" sheetId="25" r:id="rId28"/>
    <sheet name="敌人属性（1.3版本）" sheetId="26" r:id="rId29"/>
    <sheet name="驱动盘升级表" sheetId="27" state="hidden" r:id="rId30"/>
    <sheet name="绳网等阶升级表" sheetId="28" state="hidden" r:id="rId31"/>
    <sheet name="代理人升级表" sheetId="29" state="hidden" r:id="rId32"/>
    <sheet name="邦布升级表" sheetId="30" state="hidden" r:id="rId33"/>
    <sheet name="音擎升级表" sheetId="31" state="hidden" r:id="rId34"/>
  </sheets>
  <calcPr/>
</workbook>
</file>

<file path=xl/comments1.xml><?xml version="1.0" encoding="utf-8"?>
<comments xmlns="http://schemas.openxmlformats.org/spreadsheetml/2006/main">
  <authors>
    <author>tc={2BA4CE27-95ED-464B-A198-88DE57A8F343}</author>
    <author>tc={D3B07B92-96A0-452C-BABA-744913A81A46}</author>
  </authors>
  <commentList>
    <comment ref="H1" authorId="0">
      <text>
        <r>
          <t>大佬，能否把CD也贴上来，方便计算</t>
        </r>
      </text>
    </comment>
    <comment ref="B18" authorId="1">
      <text>
        <r>
          <t>此处应为连携技</t>
        </r>
        <r>
          <t>绝区零本地文件索引有误，已修正</t>
        </r>
      </text>
    </comment>
  </commentList>
</comments>
</file>

<file path=xl/sharedStrings.xml><?xml version="1.0" encoding="utf-8"?>
<sst xmlns="http://schemas.openxmlformats.org/spreadsheetml/2006/main" count="14632" uniqueCount="14632">
  <si>
    <t/>
  </si>
  <si>
    <t>2.6.0_R14028417</t>
  </si>
  <si>
    <t>常用链接</t>
  </si>
  <si>
    <t>如您发现表格内容有误或有疑问可以直接在下表提出问题</t>
  </si>
  <si>
    <t>米游社官方wiki，还算能说得过去吧</t>
  </si>
  <si>
    <t>绝区零的fandom wiki</t>
  </si>
  <si>
    <t>honeyhunterworld已支持绝区零</t>
  </si>
  <si>
    <t>有待提高</t>
  </si>
  <si>
    <t>仅包含正式服内容</t>
  </si>
  <si>
    <t>绝区零模拟仿真程序，可使用定制化手法，计算伤害</t>
  </si>
  <si>
    <t>包含2.0版本前代理人攻击的各项属性，如打断等级、分段比、AOE范围、卡肉数据及各类标签等</t>
  </si>
  <si>
    <t>包含2.0版本前敌人攻击的各项属性，如打断等级、分段比、AOE范围、卡肉数据及各类标签等</t>
  </si>
  <si>
    <t>新的绝区零数据库，可以切换正式服、测试服和创作体验服三个分支查看</t>
  </si>
  <si>
    <t>问题（本列可编辑）</t>
  </si>
  <si>
    <t>解答</t>
  </si>
  <si>
    <t>Q1：怪物属性表中为什么没有看到恶名·哈提？</t>
  </si>
  <si>
    <t>A1：恶名·哈提和恶名·装甲哈提对应相同的IndexID，恶名·哈提实际上是恶名·装甲哈提的无装甲版。</t>
  </si>
  <si>
    <t>Q2：蛮横力士部件破坏的效果到底该如何触发？b站水飘浮灵提出的那种现象该如何解释，是我打出两次紊乱不管是不是怪物自感电的紊乱都能触发异常条变长且异常伤害提高的效果吗？</t>
  </si>
  <si>
    <t>A2：①蛮横力士的部位破坏积攒两次部位破坏点触发；
②部位破坏点需要在其强化状态下触发紊乱获得；
③在其强化状态下触发紊乱会同时移除强化状态；
④强化状态的默认持续时间是20s。
因此，蛮横力士的部位破坏需要通过触发两次其自感电的紊乱触发。
而其强化状态会在第一次紊乱即移除，减伤和受到失衡值降低是强化状态的效果因此会随之移除。
异常部分由单独的逻辑控制，只监听紊乱的发生来判断是否提升异常条和增加异常增伤。</t>
  </si>
  <si>
    <t>Q3：关于烈霜属性的说明</t>
  </si>
  <si>
    <t>烈霜属性会基于冰属性结算伤害与增益效果，造成烈霜伤害的同时，会对敌人累积烈霜异常积蓄值，随之将触发[冻结]并施加[霜寒]效果；
[冻结]效果能够在一段时间内，使目标无法行动；
[碎冰]效果会在[冻结]效果结束时触发，打断敌人的行动并造成烈霜伤害；
[霜寒]效果能够在一段时间内，使目标承受的暴击伤害提升。
该特殊的[霜寒]效果结算紊乱时倍率= 600%+ floor(t)* 75%，t为剩余持续时间，且其初始持续时间为20s。
碎冰倍率仍为500%，</t>
  </si>
  <si>
    <t>Q4：关于喧响的说明</t>
  </si>
  <si>
    <t>1.4更新后技能获取的喧响值提高约28.5%，破招、失衡等特殊效果获取的喧响值不变，属性异常获取的喧响值略作改变，其他人获取喧响值为触发者的50%（同时影响技能获取的喧响值和特殊效果获取的喧响值），可琳、比利、朱鸢、柏妮思、悠真等特定代理人获取为52.5%。
属性异常获取值具体为小怪35 紊乱15
精英125 紊乱65
Boss170 紊乱85</t>
  </si>
  <si>
    <t>Q5：代理人技能的打断等级?</t>
  </si>
  <si>
    <t>Q6：1命雅的无视防御和妮可的减防是相同的属性吗？</t>
  </si>
  <si>
    <t>雅的1命无视防御和妮可的减防从属性上都是DefRatio，而穿透率是PenRatio。</t>
  </si>
  <si>
    <t>Q7：时流贤者的紊乱增伤是常规的增伤还是独立的？</t>
  </si>
  <si>
    <t>目前游戏中所有描述为某种或某些异常增伤的效果都属于异常增伤区（BuffDamageRatio）
常规增伤区（AddedDamageRatio）和异常增伤区属于两个乘区，相互独立</t>
  </si>
  <si>
    <t>Q8：莱卡恩和苍角的减伤害抗性能否和妮可减防叠加？减抗和减防的区别是什么？</t>
  </si>
  <si>
    <t>Q9：依旧是关于喧响值的提问：招架、连携技释放、极限闪避等动作的喧响值奖励，也遵循触发者100%、队友50%的获取比例么？还是只给到触发者？实战中的喧响值增长速度与拉表计算中相去甚甚甚甚远，是否有可能存在别的喧响值来源，亦或是老的数据被更新了？（比如贴子里写的，破招只有10的的喧响值获取，连携也只给10的额外喧响值）</t>
  </si>
  <si>
    <t>招架、连携技释放、极限闪避等动作的喧响值获取也遵循触发者100%、队友50%或52.5%的获取比例。
除了一些特殊说明的喧响获取，喧响值没有其他获取途径，但是目前绝区零的喧响值系统存在诸多bug，很多代理人的喧响获取会异常偏高，比如「扳机」，如果你去反馈的话大概率下个版本会修复但可能下个版本又会有新的喧响获取bug，除非全面重做绝区零才能保证之后的喧响获取符合理论值。即使绝区零之后rereborn也做不到。</t>
  </si>
  <si>
    <t>Q10：可以知道贯穿力相关信息与计算方式么？</t>
  </si>
  <si>
    <t>贯穿力是一种特殊的攻击力，实际作用就是在贯穿伤害中替换攻击力充当结算倍率的对应属性身份
贯穿伤害无视防御，即贯穿伤害的防御区是1
目前代理人的贯穿力由其他属性转化而来，仪玄的转化率为生命值10%和攻击力30%，并且在转化时，初始生命值/攻击力转化为初始贯穿力，最终生命值/攻击力转化为最终贯穿力
注意这里的攻击力转化率是在核心技单独设置的，并不是命破代理人的通用模块
另外贯穿伤害加成是一个独立的新乘区
目前伊德海莉和狛野真斗均采用以上生命值和攻击力转化率</t>
  </si>
  <si>
    <t>Q11：关于玄墨属性的说明</t>
  </si>
  <si>
    <t>类似于烈霜属性与冰属性的关系，玄墨属性与以太属性也共用ID
玄墨属性会基于以太属性结算伤害与增益效果，造成玄墨伤害的同时，会对敌人累积玄墨异常积蓄值，随之将施加[侵蚀]效果
玄墨属性造成的[侵蚀]效果与以太[侵蚀]完全相同，并且可以与以太[侵蚀]触发紊乱</t>
  </si>
  <si>
    <t>Q12：在计算玄墨侵蚀的过程中，快照积累时使用的是攻击力还是贯穿力？</t>
  </si>
  <si>
    <t>玄墨属性侵蚀的仍然是攻击倍率，所以自然是攻击力</t>
  </si>
  <si>
    <t>Q13：我看到表格中更新了“破秽盾值”的新数据，想必这就是之前的那个“神秘数据”了。请问这个秽盾机制有无拆除详细数据？盾的计算和有无盾的怪物状态有何不同呢？</t>
  </si>
  <si>
    <t>Q14：仪玄的核心被动将闪能消耗转化为术法值比例是1:0.67，请问这个是准确值吗？还是0.666666……，官方四舍五入显示后的结果？</t>
  </si>
  <si>
    <t>准确数值是0.667，我在核心技上写的也是0.667</t>
  </si>
  <si>
    <t>Q15：请问如何使用敌人属性表获取具体的怪物数值，比如我想知道训练场怪物的失衡值，需要使用属性调整中的哪个id</t>
  </si>
  <si>
    <t>Q16：2.1版本说是增加了怪物异常积蓄槽，请问具体数值是什么情况，例如原先除物理的首领为3000初始，物理3600</t>
  </si>
  <si>
    <t>2.1版本更新的危局敌人采用22436-22441这6个属性调整ID，这6组属性调整对异常积蓄值上限的调整是+10%，也就是说2.1版本危局的敌人属性异常积蓄值上限提升10%，直接和基础值乘算。</t>
  </si>
  <si>
    <t>危局提供了10%的积蓄值上限提升，查敌人属性这个表可以看到敌人自身的积蓄值上限提升系数，69016这期危局的三个敌人秽息妖鬼、秽息司祭和恶名·庞培对应的基础积蓄值上限提升系数依次为20%、20%和10%，这与调整系数带来的积蓄值上限提升乘算，因此最终三个怪的积蓄值上限依次为3960、3960和3630，但这些怪的基础本身就不是3000，就是只有10%的提升。</t>
  </si>
  <si>
    <t>Q18：关于一些新怪物的补充说明</t>
  </si>
  <si>
    <t>代理人</t>
  </si>
  <si>
    <t>技能</t>
  </si>
  <si>
    <t>段</t>
  </si>
  <si>
    <t>伤害倍率</t>
  </si>
  <si>
    <t>伤害倍率成长</t>
  </si>
  <si>
    <t>失衡倍率</t>
  </si>
  <si>
    <t>失衡倍率成长</t>
  </si>
  <si>
    <t>能量回复</t>
  </si>
  <si>
    <t>异常积蓄</t>
  </si>
  <si>
    <t>喧响值回复</t>
  </si>
  <si>
    <t>闪能累积</t>
  </si>
  <si>
    <t>秽盾削减值</t>
  </si>
  <si>
    <t>能量额外消耗</t>
  </si>
  <si>
    <t>特殊能量</t>
  </si>
  <si>
    <t>距离衰减</t>
  </si>
  <si>
    <t>安比</t>
  </si>
  <si>
    <t>普通攻击：伏特速攻</t>
  </si>
  <si>
    <t>一段</t>
  </si>
  <si>
    <t>二段</t>
  </si>
  <si>
    <t>三段</t>
  </si>
  <si>
    <t>四段</t>
  </si>
  <si>
    <t>普通攻击：落雷</t>
  </si>
  <si>
    <t>特殊技：电光挥击</t>
  </si>
  <si>
    <t>强化特殊技：苍雷斩</t>
  </si>
  <si>
    <t>冲刺攻击：电弧斩</t>
  </si>
  <si>
    <t>闪避反击：迅雷</t>
  </si>
  <si>
    <t>连携技：电磁引擎</t>
  </si>
  <si>
    <t>终结技：过载引擎</t>
  </si>
  <si>
    <t>快速支援：降雷</t>
  </si>
  <si>
    <t>招架支援：电光一闪</t>
  </si>
  <si>
    <t>轻招架</t>
  </si>
  <si>
    <t>重招架</t>
  </si>
  <si>
    <t>连续招架</t>
  </si>
  <si>
    <t>支援突击：回旋闪电</t>
  </si>
  <si>
    <t>猫又</t>
  </si>
  <si>
    <t>普通攻击：猫猫爪刺</t>
  </si>
  <si>
    <t>五段</t>
  </si>
  <si>
    <t>普通攻击：赤色之刃</t>
  </si>
  <si>
    <t>特殊技：奇袭</t>
  </si>
  <si>
    <t>强化特殊技：超~凶奇袭！</t>
  </si>
  <si>
    <t>冲刺攻击：你在看哪边？</t>
  </si>
  <si>
    <t>闪避反击：虚影双刺</t>
  </si>
  <si>
    <t>连携技：刃爪挥击</t>
  </si>
  <si>
    <t>终结技：刃爪强袭</t>
  </si>
  <si>
    <t>快速支援：借用猫爪</t>
  </si>
  <si>
    <t>招架支援：应激防御</t>
  </si>
  <si>
    <t>支援突击：迅影</t>
  </si>
  <si>
    <t>妮可</t>
  </si>
  <si>
    <t>普通攻击：狡兔连打</t>
  </si>
  <si>
    <t>普通攻击：为所欲为</t>
  </si>
  <si>
    <t>特殊技：糖衣炮弹</t>
  </si>
  <si>
    <t>A</t>
  </si>
  <si>
    <t>B</t>
  </si>
  <si>
    <t>强化特殊技：夹心糖衣炮弹</t>
  </si>
  <si>
    <t>蓄力</t>
  </si>
  <si>
    <t>能量场</t>
  </si>
  <si>
    <t>冲刺攻击：惊喜开箱</t>
  </si>
  <si>
    <t>后闪攻击</t>
  </si>
  <si>
    <t>闪避反击：牵制炮击</t>
  </si>
  <si>
    <t>连携技：高价以太爆弹</t>
  </si>
  <si>
    <t>终结技：特制以太榴弹</t>
  </si>
  <si>
    <t>炮击</t>
  </si>
  <si>
    <t>快速支援：救急炮击</t>
  </si>
  <si>
    <t>招架支援：狡兔出手！</t>
  </si>
  <si>
    <t>支援突击：趁虚而入</t>
  </si>
  <si>
    <t>「11号」</t>
  </si>
  <si>
    <t>普通攻击：热身火花</t>
  </si>
  <si>
    <t>普通攻击：火力镇压</t>
  </si>
  <si>
    <t>特殊技：烈火</t>
  </si>
  <si>
    <t>强化特殊技：盛燃烈火</t>
  </si>
  <si>
    <t>冲刺攻击：炽火</t>
  </si>
  <si>
    <t>冲刺攻击：火力镇压</t>
  </si>
  <si>
    <t>闪避反击：逆火</t>
  </si>
  <si>
    <t>连携技：昂扬烈焰</t>
  </si>
  <si>
    <t>终结技：轰鸣烈焰</t>
  </si>
  <si>
    <t>快速支援：火力掩护</t>
  </si>
  <si>
    <t>招架支援：巩固防线</t>
  </si>
  <si>
    <t>支援突击：重燃</t>
  </si>
  <si>
    <t>强化普攻第五段</t>
  </si>
  <si>
    <t>强化普攻第五段额外</t>
  </si>
  <si>
    <t>普通攻击:火力迸发</t>
  </si>
  <si>
    <t>伊德海莉</t>
  </si>
  <si>
    <t>普通攻击：碎惘沉击</t>
  </si>
  <si>
    <t>一段伤害倍率（派生）</t>
  </si>
  <si>
    <t>普通攻击：霜寒拥覆</t>
  </si>
  <si>
    <t>一级蓄力</t>
  </si>
  <si>
    <t>二级蓄力</t>
  </si>
  <si>
    <t>三级蓄力下砸</t>
  </si>
  <si>
    <t>三级蓄力旋转</t>
  </si>
  <si>
    <t>特殊技：断想</t>
  </si>
  <si>
    <t>强化特殊技：缠霜</t>
  </si>
  <si>
    <t>特殊技：溯寒追碾</t>
  </si>
  <si>
    <t>强化特殊技：极寒重碾</t>
  </si>
  <si>
    <t>冲刺攻击：霜华突撼</t>
  </si>
  <si>
    <t>闪避反击：冰曳回震</t>
  </si>
  <si>
    <t>连携技：踱寒践约</t>
  </si>
  <si>
    <t>终结技：终幕·惘事渡却</t>
  </si>
  <si>
    <t>快速支援：撼霜驰援</t>
  </si>
  <si>
    <t>招架支援：闪震格拒</t>
  </si>
  <si>
    <t>支援突击：冰袭痛击</t>
  </si>
  <si>
    <t>额外能力寒冰触手</t>
  </si>
  <si>
    <t>[以太帷幕·涌泉]中连携技</t>
  </si>
  <si>
    <t>霜凝千钧</t>
  </si>
  <si>
    <t>霜凝千钧反击（派生）</t>
  </si>
  <si>
    <t>可琳</t>
  </si>
  <si>
    <t>普通攻击：扫除开始</t>
  </si>
  <si>
    <t>特殊技：强力清扫</t>
  </si>
  <si>
    <t>回旋斩击</t>
  </si>
  <si>
    <t>持续斩击最大</t>
  </si>
  <si>
    <t>爆炸</t>
  </si>
  <si>
    <t>强化特殊技：小心裙角</t>
  </si>
  <si>
    <t>冲刺攻击：[断]</t>
  </si>
  <si>
    <t>最大</t>
  </si>
  <si>
    <t>闪避反击：[舍]</t>
  </si>
  <si>
    <t>连携技：抱歉…</t>
  </si>
  <si>
    <t>终结技：非、非常抱歉！</t>
  </si>
  <si>
    <t>快速支援：应急措施</t>
  </si>
  <si>
    <t>招架支援：请、请让我来！</t>
  </si>
  <si>
    <t>支援突击：快速清扫</t>
  </si>
  <si>
    <t>凯撒</t>
  </si>
  <si>
    <t>普通攻击：横行斩打</t>
  </si>
  <si>
    <t>六段</t>
  </si>
  <si>
    <t>普通攻击：此路不通！</t>
  </si>
  <si>
    <t>三段（派生）</t>
  </si>
  <si>
    <t>特殊技：震荡盾击</t>
  </si>
  <si>
    <t>特殊技：喧嚣直刺</t>
  </si>
  <si>
    <t>强化特殊技：招架反击</t>
  </si>
  <si>
    <t>[精准格挡]反击</t>
  </si>
  <si>
    <t>强化特殊技：超强力盾击</t>
  </si>
  <si>
    <t>[精准格挡]</t>
  </si>
  <si>
    <t>冲刺攻击：猪突猛进</t>
  </si>
  <si>
    <t>闪避反击：以牙还牙</t>
  </si>
  <si>
    <t>连携技：路怒震打</t>
  </si>
  <si>
    <t>终结技：暴君猛击</t>
  </si>
  <si>
    <t>快速支援：变道支援</t>
  </si>
  <si>
    <t>招架支援：守御之盾</t>
  </si>
  <si>
    <t>支援突击：支援之锋</t>
  </si>
  <si>
    <t>比利</t>
  </si>
  <si>
    <t>普通攻击：火力全开</t>
  </si>
  <si>
    <t>站姿开火</t>
  </si>
  <si>
    <t>默认类型</t>
  </si>
  <si>
    <t>站姿子弹</t>
  </si>
  <si>
    <t>蹲姿开火</t>
  </si>
  <si>
    <t>蹲姿子弹</t>
  </si>
  <si>
    <t>终结射击</t>
  </si>
  <si>
    <t>特殊技：乖乖站好</t>
  </si>
  <si>
    <t>强化特殊技：清场时间</t>
  </si>
  <si>
    <t>冲刺攻击：星-徽-制-裁</t>
  </si>
  <si>
    <t>直线射击</t>
  </si>
  <si>
    <t>周身射击</t>
  </si>
  <si>
    <t>闪避反击：公平决斗</t>
  </si>
  <si>
    <t>连携技：星徽荣耀幻影</t>
  </si>
  <si>
    <t>终结技：星徽在此闪耀</t>
  </si>
  <si>
    <t>快速支援：星徽-同伴之力</t>
  </si>
  <si>
    <t>支援突击：要害射击</t>
  </si>
  <si>
    <t>雅</t>
  </si>
  <si>
    <t>普通攻击：风花</t>
  </si>
  <si>
    <t>特殊技：深雪</t>
  </si>
  <si>
    <t>强化特殊技：飞雪</t>
  </si>
  <si>
    <t>斩击A</t>
  </si>
  <si>
    <t>斩击B</t>
  </si>
  <si>
    <t>追击A</t>
  </si>
  <si>
    <t>追击B</t>
  </si>
  <si>
    <t>冲刺攻击：冬蜂</t>
  </si>
  <si>
    <t>闪避反击：寒雀</t>
  </si>
  <si>
    <t>连携技：春临</t>
  </si>
  <si>
    <t>C</t>
  </si>
  <si>
    <t>终结技：名残雪</t>
  </si>
  <si>
    <t>快速支援：花信风</t>
  </si>
  <si>
    <t>招架支援：花筏</t>
  </si>
  <si>
    <t>支援突击：花辞</t>
  </si>
  <si>
    <t>普通攻击：霜月</t>
  </si>
  <si>
    <t>一段蓄力斩击</t>
  </si>
  <si>
    <t>二段蓄力斩击</t>
  </si>
  <si>
    <t>三段蓄力斩击</t>
  </si>
  <si>
    <t>珂蕾妲</t>
  </si>
  <si>
    <t>普通攻击：砸扁，粉碎</t>
  </si>
  <si>
    <t>强化普攻一段</t>
  </si>
  <si>
    <t>强化普攻二段</t>
  </si>
  <si>
    <t>强化普攻二段（协同）</t>
  </si>
  <si>
    <t>特殊技：爆破！铁锤时间</t>
  </si>
  <si>
    <t>打击</t>
  </si>
  <si>
    <t>引爆</t>
  </si>
  <si>
    <t>引爆（协同）</t>
  </si>
  <si>
    <t>强化特殊技：沸腾熔炉</t>
  </si>
  <si>
    <t>冲刺攻击：给我颤抖</t>
  </si>
  <si>
    <t>闪避反击：别小看我</t>
  </si>
  <si>
    <t>连携技：天崩-地裂</t>
  </si>
  <si>
    <t>终结技：锤进地心</t>
  </si>
  <si>
    <t>（协同）</t>
  </si>
  <si>
    <t>快速支援：让我来</t>
  </si>
  <si>
    <t>招架支援：护身锤</t>
  </si>
  <si>
    <t>支援突击：锤钟</t>
  </si>
  <si>
    <t>安东</t>
  </si>
  <si>
    <t>普通攻击：热血上工操</t>
  </si>
  <si>
    <t>普通攻击：热血上工操（爆发状态）</t>
  </si>
  <si>
    <t>特殊技：兄弟，转起来！</t>
  </si>
  <si>
    <t>特殊技：爆发钻击（爆发状态）</t>
  </si>
  <si>
    <t>强化特殊技：兄弟，突破天际！</t>
  </si>
  <si>
    <t>冲刺攻击：硬碰硬</t>
  </si>
  <si>
    <t>闪避反击：回敬拳击</t>
  </si>
  <si>
    <t>闪避反击：过载钻击（爆发状态）</t>
  </si>
  <si>
    <t>连携技：转转转！</t>
  </si>
  <si>
    <t>终结技：转转转转转！</t>
  </si>
  <si>
    <t>快速支援：并肩作战</t>
  </si>
  <si>
    <t>快速支援：援护钻击（爆发状态）</t>
  </si>
  <si>
    <t>支援突击：极限突进</t>
  </si>
  <si>
    <t>本</t>
  </si>
  <si>
    <t>普通攻击：对账</t>
  </si>
  <si>
    <t>特殊技：拳债统计</t>
  </si>
  <si>
    <t>主动攻击</t>
  </si>
  <si>
    <t>格挡反击</t>
  </si>
  <si>
    <t>强化特殊技：到期还拳</t>
  </si>
  <si>
    <t>追加攻击</t>
  </si>
  <si>
    <t>格挡追击</t>
  </si>
  <si>
    <t>冲刺攻击：前来报销</t>
  </si>
  <si>
    <t>闪避反击：清算</t>
  </si>
  <si>
    <t>连携技：盖章，结算</t>
  </si>
  <si>
    <t>终结技：拳债，全面清偿</t>
  </si>
  <si>
    <t>快速支援：联合追债</t>
  </si>
  <si>
    <t>招架支援：分摊风险</t>
  </si>
  <si>
    <t>支援突击：违约惩罚</t>
  </si>
  <si>
    <t>苍角</t>
  </si>
  <si>
    <t>普通攻击：打年糕</t>
  </si>
  <si>
    <t>普通攻击：打年糕（霜染刃旗）</t>
  </si>
  <si>
    <t>特殊技：吹凉便当</t>
  </si>
  <si>
    <t>终结段</t>
  </si>
  <si>
    <t>强化特殊技：扇走蚊虫</t>
  </si>
  <si>
    <t>风场</t>
  </si>
  <si>
    <t>连续攻击*2</t>
  </si>
  <si>
    <t>特殊技：集合啦！</t>
  </si>
  <si>
    <t>展旗</t>
  </si>
  <si>
    <t>快速展旗</t>
  </si>
  <si>
    <t>收旗攻击</t>
  </si>
  <si>
    <t>冲刺攻击：对半分</t>
  </si>
  <si>
    <t>冲刺攻击：对半分（霜染刃旗）</t>
  </si>
  <si>
    <t>闪避反击：别抢零食</t>
  </si>
  <si>
    <t>连携技：鹅鸡斩</t>
  </si>
  <si>
    <t>终结技：大份鹅鸡斩</t>
  </si>
  <si>
    <t>快速支援：双人套餐</t>
  </si>
  <si>
    <t>招架支援：防守战术</t>
  </si>
  <si>
    <t>支援突击：席卷打击</t>
  </si>
  <si>
    <t>莱卡恩</t>
  </si>
  <si>
    <t>普通攻击：狩月舞步</t>
  </si>
  <si>
    <t>一段蓄力</t>
  </si>
  <si>
    <t>二段蓄力</t>
  </si>
  <si>
    <t>三段蓄力</t>
  </si>
  <si>
    <t>四段蓄力</t>
  </si>
  <si>
    <t>五段一级蓄力</t>
  </si>
  <si>
    <t>五段二级蓄力</t>
  </si>
  <si>
    <t>特殊技：追猎时刻</t>
  </si>
  <si>
    <t>蓄力A</t>
  </si>
  <si>
    <t>蓄力B</t>
  </si>
  <si>
    <t>强化特殊技：狂猎时刻</t>
  </si>
  <si>
    <t>冲刺攻击：保持清洁</t>
  </si>
  <si>
    <t>闪避反击：礼仪教导</t>
  </si>
  <si>
    <t>连携技：遵命</t>
  </si>
  <si>
    <t>终结技：不辱使命</t>
  </si>
  <si>
    <t>快速支援：狼群</t>
  </si>
  <si>
    <t>招架支援：狩猎干预</t>
  </si>
  <si>
    <t>支援突击：复仇反扑</t>
  </si>
  <si>
    <t>支援突击：复仇反扑·冰舞</t>
  </si>
  <si>
    <t>露西</t>
  </si>
  <si>
    <t>普通攻击：淑女的球棍</t>
  </si>
  <si>
    <t>特殊技：安打！</t>
  </si>
  <si>
    <t>平直球</t>
  </si>
  <si>
    <t>高飞球</t>
  </si>
  <si>
    <t>强化特殊技：全垒打！</t>
  </si>
  <si>
    <t>冲刺攻击：豪勇猪突！</t>
  </si>
  <si>
    <t>闪避反击：獠牙折转！</t>
  </si>
  <si>
    <t>连携技：大满贯！</t>
  </si>
  <si>
    <t>*3</t>
  </si>
  <si>
    <t>终结技：再见全垒打！</t>
  </si>
  <si>
    <t>快速支援：触身球！</t>
  </si>
  <si>
    <t>招架支援：安全上垒！</t>
  </si>
  <si>
    <t>支援突击：触垒得分！</t>
  </si>
  <si>
    <t>亲卫队小猪：抄家伙！</t>
  </si>
  <si>
    <t>棒球棍</t>
  </si>
  <si>
    <t>拳套</t>
  </si>
  <si>
    <t>弹弓</t>
  </si>
  <si>
    <t>亲卫队小猪：回旋挥击！</t>
  </si>
  <si>
    <t>回旋挥击</t>
  </si>
  <si>
    <t>獠牙堪烈火</t>
  </si>
  <si>
    <t>莱特</t>
  </si>
  <si>
    <t>普通攻击：L式轰鸣拳</t>
  </si>
  <si>
    <t>追击一段</t>
  </si>
  <si>
    <t>追击二段</t>
  </si>
  <si>
    <t>追击三段</t>
  </si>
  <si>
    <t>追击四段</t>
  </si>
  <si>
    <t>追击五段</t>
  </si>
  <si>
    <t>五段起攻</t>
  </si>
  <si>
    <t>五段连击</t>
  </si>
  <si>
    <t>五段终结</t>
  </si>
  <si>
    <t>特殊技：V式日轮升拳</t>
  </si>
  <si>
    <t>强化特殊技：V式日轮升拳-全冲程</t>
  </si>
  <si>
    <t>追击</t>
  </si>
  <si>
    <t>冲刺攻击：骸突</t>
  </si>
  <si>
    <t>闪避反击：烈闪</t>
  </si>
  <si>
    <t>连携技：V式灼日炎</t>
  </si>
  <si>
    <t>终结技：W式桂冠终火</t>
  </si>
  <si>
    <t>快速支援：烈闪-守</t>
  </si>
  <si>
    <t>招架支援：瞬破</t>
  </si>
  <si>
    <t>支援突击：骸突-刺</t>
  </si>
  <si>
    <t>五段强力终结（士气喷发状态）</t>
  </si>
  <si>
    <t>五段起攻（士气喷发状态）</t>
  </si>
  <si>
    <t>五段连击（士气喷发状态）</t>
  </si>
  <si>
    <t>五段终结（士气喷发状态）</t>
  </si>
  <si>
    <t>柏妮思</t>
  </si>
  <si>
    <t>普通攻击：炽焰直调式</t>
  </si>
  <si>
    <t>普通攻击：炽焰搅拌式</t>
  </si>
  <si>
    <t>持续喷射</t>
  </si>
  <si>
    <t>终结一击</t>
  </si>
  <si>
    <t>特殊技：灼热熟成法</t>
  </si>
  <si>
    <t>强化特殊技：灼热摇荡法</t>
  </si>
  <si>
    <t>火焰冲击</t>
  </si>
  <si>
    <t>强化特殊技：灼热摇荡法·双份</t>
  </si>
  <si>
    <t>冲刺攻击：危险发酵式</t>
  </si>
  <si>
    <t>闪避反击：摇荡闪</t>
  </si>
  <si>
    <t>连携技：燃油熔焰</t>
  </si>
  <si>
    <t>终结技：纵享盛焰</t>
  </si>
  <si>
    <t>快速支援：提神特饮</t>
  </si>
  <si>
    <t>招架支援：烟熏油盅</t>
  </si>
  <si>
    <t>支援突击：灼焰甘露</t>
  </si>
  <si>
    <t>强化特殊技：灼热抛接法</t>
  </si>
  <si>
    <t>核心被动：燃油特调</t>
  </si>
  <si>
    <t>余烬</t>
  </si>
  <si>
    <t>参见实际描述</t>
  </si>
  <si>
    <t>格莉丝</t>
  </si>
  <si>
    <t>普通攻击：高压射钉</t>
  </si>
  <si>
    <t>格莉丝型</t>
  </si>
  <si>
    <t>特殊技：工程清障</t>
  </si>
  <si>
    <t>强化特殊技：超规工程清障</t>
  </si>
  <si>
    <t>（单段，未 * 2）</t>
  </si>
  <si>
    <t>冲刺攻击：突击检查</t>
  </si>
  <si>
    <t>闪避反击：违章处罚</t>
  </si>
  <si>
    <t>连携技：协作施工</t>
  </si>
  <si>
    <t>终结技：工程爆破请勿接近</t>
  </si>
  <si>
    <t>快速支援：事故解决方案</t>
  </si>
  <si>
    <t>支援突击：反击电针</t>
  </si>
  <si>
    <t>垫步射击</t>
  </si>
  <si>
    <t>特殊技：工程清障·循环</t>
  </si>
  <si>
    <t>脉冲手雷倍率</t>
  </si>
  <si>
    <t>涡流集束手雷基础倍率</t>
  </si>
  <si>
    <t>艾莲</t>
  </si>
  <si>
    <t>普通攻击：利齿修剪法</t>
  </si>
  <si>
    <t>普通攻击：急冻修剪法</t>
  </si>
  <si>
    <t>冲刺攻击：冰渊潜袭</t>
  </si>
  <si>
    <t>快速剪击</t>
  </si>
  <si>
    <t>蓄力剪击</t>
  </si>
  <si>
    <t>特殊技：摆尾</t>
  </si>
  <si>
    <t>强化特殊技：横扫</t>
  </si>
  <si>
    <t>强化特殊技：鲨卷风</t>
  </si>
  <si>
    <t>冲刺攻击：骇浪</t>
  </si>
  <si>
    <t>冲刺攻击：寒潮</t>
  </si>
  <si>
    <t>闪避反击：暗礁</t>
  </si>
  <si>
    <t>连携技：雪崩</t>
  </si>
  <si>
    <t>终结技：永冬狂宴</t>
  </si>
  <si>
    <t>快速支援：护卫鲛</t>
  </si>
  <si>
    <t>招架支援：迎头浪</t>
  </si>
  <si>
    <t>支援突击：巡洋鲨</t>
  </si>
  <si>
    <t>普通攻击：霜锋</t>
  </si>
  <si>
    <t>对小体型敌人（单段，未*3）</t>
  </si>
  <si>
    <t>对中体型敌人A（单段，未*3）</t>
  </si>
  <si>
    <t>对中体型敌人B（单段，未*3）</t>
  </si>
  <si>
    <t>对大体型敌人A（单段，未*3）</t>
  </si>
  <si>
    <t>对大体型敌人B（单段，未*6）</t>
  </si>
  <si>
    <t>普通攻击：冰刃浪</t>
  </si>
  <si>
    <t>悠真</t>
  </si>
  <si>
    <t>普通攻击：穿云</t>
  </si>
  <si>
    <t>普通攻击：穿云·移形</t>
  </si>
  <si>
    <t>普通攻击：落羽</t>
  </si>
  <si>
    <t>普通攻击：甲乙矢</t>
  </si>
  <si>
    <t>特殊技：天罗</t>
  </si>
  <si>
    <t>强化特殊技：地网</t>
  </si>
  <si>
    <t>冲刺攻击：飞弦</t>
  </si>
  <si>
    <t>闪避反击：藏锋</t>
  </si>
  <si>
    <t>连携技：会·离</t>
  </si>
  <si>
    <t>终结技：残心</t>
  </si>
  <si>
    <t>快速支援：穿弦</t>
  </si>
  <si>
    <t>招架支援：构身</t>
  </si>
  <si>
    <t>支援突击：构身·斩</t>
  </si>
  <si>
    <t>冲刺攻击：飞弦·斩</t>
  </si>
  <si>
    <t>强化特殊技：地网·巡弋</t>
  </si>
  <si>
    <t>残心·散华</t>
  </si>
  <si>
    <t>逐雷</t>
  </si>
  <si>
    <t>额外</t>
  </si>
  <si>
    <t>丽娜</t>
  </si>
  <si>
    <t>普通攻击：痛打呆子</t>
  </si>
  <si>
    <t>普通攻击：赶走傻瓜</t>
  </si>
  <si>
    <t>特殊技：砸扁笨蛋</t>
  </si>
  <si>
    <t>强化特殊技：笨蛋消失魔法</t>
  </si>
  <si>
    <t>冲刺攻击：突然惊吓</t>
  </si>
  <si>
    <t>闪避反击：邦布回魂</t>
  </si>
  <si>
    <t>连携技：侍者守则</t>
  </si>
  <si>
    <t>终结技：女王的侍从们</t>
  </si>
  <si>
    <t>快速支援：二拍的阿勒芒德</t>
  </si>
  <si>
    <t>支援突击：四拍的加沃特</t>
  </si>
  <si>
    <t>柳</t>
  </si>
  <si>
    <t>架势：上弦</t>
  </si>
  <si>
    <t>架势：下弦</t>
  </si>
  <si>
    <t>特殊技：流转</t>
  </si>
  <si>
    <t>冲刺攻击：飞掠</t>
  </si>
  <si>
    <t>闪避反击：疾反</t>
  </si>
  <si>
    <t>连携技：星月相随</t>
  </si>
  <si>
    <t>终结技：雷影天华</t>
  </si>
  <si>
    <t>快速支援：风华斩</t>
  </si>
  <si>
    <t>招架支援：流光反</t>
  </si>
  <si>
    <t>支援突击：飞絮刺</t>
  </si>
  <si>
    <t>强化特殊技：月华流转</t>
  </si>
  <si>
    <t>突刺攻击</t>
  </si>
  <si>
    <t>下落攻击</t>
  </si>
  <si>
    <t>朱鸢</t>
  </si>
  <si>
    <t>普通攻击：不许动！</t>
  </si>
  <si>
    <t>普通攻击：请勿抵抗</t>
  </si>
  <si>
    <t>一段（物理）</t>
  </si>
  <si>
    <t>二段（物理）</t>
  </si>
  <si>
    <t>三段（物理）</t>
  </si>
  <si>
    <t>一段（以太）</t>
  </si>
  <si>
    <t>二段（以太）</t>
  </si>
  <si>
    <t>三段（以太）</t>
  </si>
  <si>
    <t>特殊技：鹿弹射击</t>
  </si>
  <si>
    <t>强化特殊技：全弹连射</t>
  </si>
  <si>
    <t>冲刺攻击：火力奇袭</t>
  </si>
  <si>
    <t>冲刺攻击：火力压制</t>
  </si>
  <si>
    <t>（物理）</t>
  </si>
  <si>
    <t>（以太）</t>
  </si>
  <si>
    <t>闪避反击：火力震爆</t>
  </si>
  <si>
    <t>连携技：歼灭模式</t>
  </si>
  <si>
    <t>终结技：歼灭模式MAX</t>
  </si>
  <si>
    <t>快速支援：掩护射击</t>
  </si>
  <si>
    <t>支援突击：自卫还击</t>
  </si>
  <si>
    <t>青衣</t>
  </si>
  <si>
    <t>普通攻击：一煞</t>
  </si>
  <si>
    <t>一段（派生）</t>
  </si>
  <si>
    <t>四段（强化）</t>
  </si>
  <si>
    <t>普通攻击：醉花云</t>
  </si>
  <si>
    <t>普通攻击：醉花月云转</t>
  </si>
  <si>
    <t>突进攻击</t>
  </si>
  <si>
    <t>特殊技：昼锦堂</t>
  </si>
  <si>
    <t>强化特殊技：月上海棠</t>
  </si>
  <si>
    <t>冲刺攻击：入破</t>
  </si>
  <si>
    <t>闪避反击：意不尽</t>
  </si>
  <si>
    <t>连携技：太平令</t>
  </si>
  <si>
    <t>终结技：八声甘州</t>
  </si>
  <si>
    <t>快速支援：风入松</t>
  </si>
  <si>
    <t>招架支援：锦上花</t>
  </si>
  <si>
    <t>支援突击：清江引</t>
  </si>
  <si>
    <t>简</t>
  </si>
  <si>
    <t>普通攻击：跳步刃舞</t>
  </si>
  <si>
    <t>4.1695, 3.3356</t>
  </si>
  <si>
    <t>6.6493, 5.3194</t>
  </si>
  <si>
    <t>8.2623, 6.6098</t>
  </si>
  <si>
    <t>15.5541, 12.4433</t>
  </si>
  <si>
    <t>8.0264, 6.4211</t>
  </si>
  <si>
    <t>25.1293, 20.1034</t>
  </si>
  <si>
    <t>普通攻击：萨霍夫跳</t>
  </si>
  <si>
    <t>连续攻击</t>
  </si>
  <si>
    <t>24.9960, 24.9960</t>
  </si>
  <si>
    <t>13.4000, 13.4000</t>
  </si>
  <si>
    <t>特殊技：掠空</t>
  </si>
  <si>
    <t>7.8750, 12.6000</t>
  </si>
  <si>
    <t>强化特殊技：掠空-横扫</t>
  </si>
  <si>
    <t>42.5544, 21.2772</t>
  </si>
  <si>
    <t>冲刺攻击：刀刃跳</t>
  </si>
  <si>
    <t>9.7500, 0.0000</t>
  </si>
  <si>
    <t>冲刺攻击：虚像突刺</t>
  </si>
  <si>
    <t>0.0000, 11.3961</t>
  </si>
  <si>
    <t>闪避反击：疾影</t>
  </si>
  <si>
    <t>5.4167, 0.0000</t>
  </si>
  <si>
    <t>闪避反击：疾影连舞</t>
  </si>
  <si>
    <t>0.0000, 10.0000</t>
  </si>
  <si>
    <t>连携技：罪孽生花</t>
  </si>
  <si>
    <t>0.0000, 35.0000</t>
  </si>
  <si>
    <t>终结技：终幕演出</t>
  </si>
  <si>
    <t>快速支援：乌刺</t>
  </si>
  <si>
    <t>15.8334, 0.0000</t>
  </si>
  <si>
    <t>快速支援：勾手跳</t>
  </si>
  <si>
    <t>0.0000, 14.9960</t>
  </si>
  <si>
    <t>招架支援：最后防线</t>
  </si>
  <si>
    <t>0.0000, 0.0000</t>
  </si>
  <si>
    <t>支援突击：疾风扫</t>
  </si>
  <si>
    <t>40.7686, 17.3961</t>
  </si>
  <si>
    <t>赛斯</t>
  </si>
  <si>
    <t>普通攻击：雷霆击</t>
  </si>
  <si>
    <t>普通攻击：雷霆击-感电</t>
  </si>
  <si>
    <t>特殊技：电光盾冲</t>
  </si>
  <si>
    <t>强化特殊技：电光盾冲-高伏特</t>
  </si>
  <si>
    <t>（蓄力）</t>
  </si>
  <si>
    <t>冲刺攻击：电光突袭</t>
  </si>
  <si>
    <t>闪避反击：以退为进</t>
  </si>
  <si>
    <t>连携技：最终制裁</t>
  </si>
  <si>
    <t>终结技：正义必胜</t>
  </si>
  <si>
    <t>快速支援：武力支援</t>
  </si>
  <si>
    <t>招架支援：迅雷盾</t>
  </si>
  <si>
    <t>支援突击：治安裁决</t>
  </si>
  <si>
    <t>派派</t>
  </si>
  <si>
    <t>普通攻击：准备发车</t>
  </si>
  <si>
    <t>特殊技：轮胎转</t>
  </si>
  <si>
    <t>特殊技：有亿点重</t>
  </si>
  <si>
    <t>三级蓄力</t>
  </si>
  <si>
    <t>强化特殊技：非常重</t>
  </si>
  <si>
    <t>强化特殊技：引擎转</t>
  </si>
  <si>
    <t>每圈 *2</t>
  </si>
  <si>
    <t>冲刺攻击：一脚油门</t>
  </si>
  <si>
    <t>闪避反击：动力漂移</t>
  </si>
  <si>
    <t>连携技：系好安全带</t>
  </si>
  <si>
    <t>终结技：坐~稳~啦~</t>
  </si>
  <si>
    <t>快速支援：点刹</t>
  </si>
  <si>
    <t>招架支援：极限刹车</t>
  </si>
  <si>
    <t>支援突击：弯道超车</t>
  </si>
  <si>
    <t>雨果</t>
  </si>
  <si>
    <t>普通攻击：暗渊四重奏</t>
  </si>
  <si>
    <t>斩击</t>
  </si>
  <si>
    <t>射击</t>
  </si>
  <si>
    <t>蓄力射击</t>
  </si>
  <si>
    <t>特殊技：魂狩·断罪</t>
  </si>
  <si>
    <t>强化特殊技：魂狩·惩戒</t>
  </si>
  <si>
    <t>冲刺攻击：诡影·破</t>
  </si>
  <si>
    <t>闪避反击：诡影·斩</t>
  </si>
  <si>
    <t>派生射击</t>
  </si>
  <si>
    <t>派生蓄力射击</t>
  </si>
  <si>
    <t>连携技：命运戏法</t>
  </si>
  <si>
    <t>终结技：渎神者</t>
  </si>
  <si>
    <t>快速支援：葬歌</t>
  </si>
  <si>
    <t>招架支援：死期未至</t>
  </si>
  <si>
    <t>支援突击：王牌反转</t>
  </si>
  <si>
    <t>普通攻击：暗渊协奏曲</t>
  </si>
  <si>
    <t>奥菲丝&amp;「鬼火」</t>
  </si>
  <si>
    <t>普通攻击：高压火枪</t>
  </si>
  <si>
    <t>火刀</t>
  </si>
  <si>
    <t>特殊技：热血满膛</t>
  </si>
  <si>
    <t>特殊技：蚀光一闪</t>
  </si>
  <si>
    <t>强化特殊技：小心脚下</t>
  </si>
  <si>
    <t>强化特殊技：灼红旋涡</t>
  </si>
  <si>
    <t>强化特殊技：蓄热充能</t>
  </si>
  <si>
    <t>激光最大</t>
  </si>
  <si>
    <t>冲刺攻击：突袭命令</t>
  </si>
  <si>
    <t>闪避反击：反攻战机</t>
  </si>
  <si>
    <t>连携技：枪管过热</t>
  </si>
  <si>
    <t>终结技：与火共舞</t>
  </si>
  <si>
    <t>延长时间总</t>
  </si>
  <si>
    <t>快速支援：焦痕劈斩</t>
  </si>
  <si>
    <t>招架支援：炙刃炽铳</t>
  </si>
  <si>
    <t>支援突击：沸热穿刺</t>
  </si>
  <si>
    <t>强化特殊技：燥焰迸射</t>
  </si>
  <si>
    <t>耀嘉音</t>
  </si>
  <si>
    <t>普通攻击：《随想曲》</t>
  </si>
  <si>
    <t>耀嘉音型</t>
  </si>
  <si>
    <t>三段最小</t>
  </si>
  <si>
    <t>三段最大</t>
  </si>
  <si>
    <t>普通攻击：间奏</t>
  </si>
  <si>
    <t>三段（单段，未 * 2）</t>
  </si>
  <si>
    <t>普通攻击：副歌</t>
  </si>
  <si>
    <t>（单段，未 * 4）</t>
  </si>
  <si>
    <t>普通攻击：终曲</t>
  </si>
  <si>
    <t>特殊技：《风铃与旧约》</t>
  </si>
  <si>
    <t>最小</t>
  </si>
  <si>
    <t>最大（单段，未 * 4）</t>
  </si>
  <si>
    <t>和弦</t>
  </si>
  <si>
    <t>追加震音</t>
  </si>
  <si>
    <t>追加音簇（单段，未 * 3）</t>
  </si>
  <si>
    <t>冲刺攻击：《蚀月奏》</t>
  </si>
  <si>
    <t>闪避反击：《折伞华尔兹》</t>
  </si>
  <si>
    <t>连携技：《微醺协奏》</t>
  </si>
  <si>
    <t>终结技：《幻想式奏鸣》</t>
  </si>
  <si>
    <t>快速支援：《一川烟火》</t>
  </si>
  <si>
    <t>支援突击：《三生初见》</t>
  </si>
  <si>
    <t>伊芙琳</t>
  </si>
  <si>
    <t>普通攻击：割弦</t>
  </si>
  <si>
    <t>普通攻击：绞勒式·I型</t>
  </si>
  <si>
    <t>普通攻击：绞勒式·II型</t>
  </si>
  <si>
    <t>特殊技：锁系控位</t>
  </si>
  <si>
    <t>特殊技：束裂式·I型</t>
  </si>
  <si>
    <t>缠绕</t>
  </si>
  <si>
    <t>强化特殊技：束裂式·终型</t>
  </si>
  <si>
    <t>冲刺攻击：穿梭潜袭</t>
  </si>
  <si>
    <t>闪避反击：绞缢反制</t>
  </si>
  <si>
    <t>连携技：月辉丝·绊</t>
  </si>
  <si>
    <t>终结技：月辉丝·弦音</t>
  </si>
  <si>
    <t>快速支援：烈锋</t>
  </si>
  <si>
    <t>招架支援：静默掩护</t>
  </si>
  <si>
    <t xml:space="preserve"> 连续招架</t>
  </si>
  <si>
    <t>支援突击：轨迹干涉</t>
  </si>
  <si>
    <t>薇薇安</t>
  </si>
  <si>
    <t>普通攻击：翎羽拂击</t>
  </si>
  <si>
    <t>普通攻击：淑女礼仪 · 舞步</t>
  </si>
  <si>
    <t>普通攻击：裙裾浮游 · 悬落</t>
  </si>
  <si>
    <t>普通攻击：落羽生花</t>
  </si>
  <si>
    <t>特殊技：银羽咏叹</t>
  </si>
  <si>
    <t>强化特殊技：堇花悼亡</t>
  </si>
  <si>
    <t>冲刺攻击：银刺舞曲</t>
  </si>
  <si>
    <t>闪避反击：羽刃反振</t>
  </si>
  <si>
    <t>连携技：星羽和声</t>
  </si>
  <si>
    <t>终结技：飞鸟鸣颂</t>
  </si>
  <si>
    <t>快速支援：凛羽之护</t>
  </si>
  <si>
    <t>招架支援：银伞列阵</t>
  </si>
  <si>
    <t>支援突击：裁决羽刃</t>
  </si>
  <si>
    <t>核心被动：命运悲歌</t>
  </si>
  <si>
    <t>[薇薇安的预言]</t>
  </si>
  <si>
    <t>照</t>
  </si>
  <si>
    <t>普通攻击：凛冽裁决</t>
  </si>
  <si>
    <t>五段A</t>
  </si>
  <si>
    <t>五段B</t>
  </si>
  <si>
    <t>普通攻击：最终裁决</t>
  </si>
  <si>
    <t>特殊技：碎冰溢寒</t>
  </si>
  <si>
    <t>强化特殊技：流霜冻土</t>
  </si>
  <si>
    <t>冲刺攻击：弹跳冲刺</t>
  </si>
  <si>
    <t>闪避反击：倏忽闪</t>
  </si>
  <si>
    <t>连携技：临时合作</t>
  </si>
  <si>
    <t>终结技：兔兔连斩</t>
  </si>
  <si>
    <t>登场技：霜迸</t>
  </si>
  <si>
    <t>快速支援：查漏补缺</t>
  </si>
  <si>
    <t>招架支援：霜婵镇场</t>
  </si>
  <si>
    <t>支援突击：凛光返照</t>
  </si>
  <si>
    <t>波可娜</t>
  </si>
  <si>
    <t>普通攻击：捷击</t>
  </si>
  <si>
    <t>普通攻击：跃击</t>
  </si>
  <si>
    <t>特殊技：噬爪</t>
  </si>
  <si>
    <t>特殊技：噬爪·噩梦袭影</t>
  </si>
  <si>
    <t>强化特殊技：噬爪·瞬步</t>
  </si>
  <si>
    <t>冲刺攻击：先下手为强</t>
  </si>
  <si>
    <t>闪避反击：睚眦必报</t>
  </si>
  <si>
    <t>连携技：嗨，想不到吧</t>
  </si>
  <si>
    <t>终结技：噢，游戏时间</t>
  </si>
  <si>
    <t>快速支援：雇佣合同·保镖业务</t>
  </si>
  <si>
    <t>支援突击：单独计价</t>
  </si>
  <si>
    <t>「扳机」</t>
  </si>
  <si>
    <t>普通攻击：冷膛射击</t>
  </si>
  <si>
    <t>「扳机」型</t>
  </si>
  <si>
    <t>普通攻击：无音狙杀</t>
  </si>
  <si>
    <t>反击</t>
  </si>
  <si>
    <t>终结</t>
  </si>
  <si>
    <t>普通攻击：协奏狙杀</t>
  </si>
  <si>
    <t>单段，未 * 2</t>
  </si>
  <si>
    <t>特殊技：幽闪</t>
  </si>
  <si>
    <t>强化特殊技：幽闪花葬</t>
  </si>
  <si>
    <t>冲刺攻击：怨魂返</t>
  </si>
  <si>
    <t>闪避反击：极魂罚</t>
  </si>
  <si>
    <t>连携技：冥河之引</t>
  </si>
  <si>
    <t>终结技：冥府挽歌</t>
  </si>
  <si>
    <t>快速支援：冷枪援护</t>
  </si>
  <si>
    <t>招架支援：死线偏移</t>
  </si>
  <si>
    <t>支援突击：殛雷穿心</t>
  </si>
  <si>
    <t>普通攻击：协奏狙杀·冥狱</t>
  </si>
  <si>
    <t>连射（单段，未 * 3）</t>
  </si>
  <si>
    <t>匿息隐踪</t>
  </si>
  <si>
    <t>[断离]</t>
  </si>
  <si>
    <t>仪玄</t>
  </si>
  <si>
    <t>普通攻击：霄云劲</t>
  </si>
  <si>
    <t>普通攻击：墨影凝云</t>
  </si>
  <si>
    <t>墨影凝云总</t>
  </si>
  <si>
    <t>普通攻击：青溟震击</t>
  </si>
  <si>
    <t>特殊技：烬影诀</t>
  </si>
  <si>
    <t>强化特殊技：墨痕化形</t>
  </si>
  <si>
    <t>冲刺攻击：凌云破</t>
  </si>
  <si>
    <t>闪避反击：除祟一击</t>
  </si>
  <si>
    <t>连携技：玄墨迅击</t>
  </si>
  <si>
    <t>终结技：青溟云影</t>
  </si>
  <si>
    <t>快速支援：流云影身</t>
  </si>
  <si>
    <t>招架支援：清霄劲</t>
  </si>
  <si>
    <t>支援突击：霄云迅击</t>
  </si>
  <si>
    <t>终结技：符法千重</t>
  </si>
  <si>
    <t>普通攻击：玄墨极阵</t>
  </si>
  <si>
    <t>玄墨极阵总</t>
  </si>
  <si>
    <t>强化特殊技：凝云术</t>
  </si>
  <si>
    <t>蓄力期间总</t>
  </si>
  <si>
    <t>[强化特殊技：霄云迅击-破]总</t>
  </si>
  <si>
    <t>蓄力完成追加</t>
  </si>
  <si>
    <t>[强化特殊技：青溟震击]总</t>
  </si>
  <si>
    <t>强化特殊技：墨烬影消</t>
  </si>
  <si>
    <t>强化特殊技：符法千重-破</t>
  </si>
  <si>
    <t>零号·安比</t>
  </si>
  <si>
    <t>普通攻击：电击穿</t>
  </si>
  <si>
    <t>三段终结</t>
  </si>
  <si>
    <t>特殊技：苍光</t>
  </si>
  <si>
    <t>[白雷]</t>
  </si>
  <si>
    <t>特殊技：雷殛</t>
  </si>
  <si>
    <t>[雷殛]</t>
  </si>
  <si>
    <t>特殊技：星雷</t>
  </si>
  <si>
    <t>强化特殊技：极雷断空</t>
  </si>
  <si>
    <t>冲刺攻击：奔流</t>
  </si>
  <si>
    <t>闪避反击：地闪回击</t>
  </si>
  <si>
    <t>连携技：疾跃落雷</t>
  </si>
  <si>
    <t>终结技：斩空掠电</t>
  </si>
  <si>
    <t>快速支援：云闪</t>
  </si>
  <si>
    <t>招架支援：逆极反袭</t>
  </si>
  <si>
    <t>支援突击：直击先导</t>
  </si>
  <si>
    <t>三段（强化后）</t>
  </si>
  <si>
    <t>特殊技：苍光·临界</t>
  </si>
  <si>
    <t>橘福福</t>
  </si>
  <si>
    <t>普通攻击：恶虎七式·燎身爪</t>
  </si>
  <si>
    <t>普通攻击：「虎威」</t>
  </si>
  <si>
    <t>特殊技：恶虎七式·下山虎</t>
  </si>
  <si>
    <t>强化特殊技：恶虎七式改·下山猛虎</t>
  </si>
  <si>
    <t>冲刺攻击：恶虎七式·虎奔</t>
  </si>
  <si>
    <t>冲刺攻击：恶虎七式·山君鼎戏</t>
  </si>
  <si>
    <t>冲刺攻击：恶虎七式·山君鼎戏·威势</t>
  </si>
  <si>
    <t>闪避反击：恶虎七式·离火回峰</t>
  </si>
  <si>
    <t>连携技：虎釜崩</t>
  </si>
  <si>
    <t>连携技：虎釜震煞</t>
  </si>
  <si>
    <t>终结技：恶虎七式·猛虎炸开花</t>
  </si>
  <si>
    <t>快速支援：怒决蹯</t>
  </si>
  <si>
    <t>招架支援：岿然虎踞</t>
  </si>
  <si>
    <t>支援突击：彪形焰颌</t>
  </si>
  <si>
    <t>爱丽丝</t>
  </si>
  <si>
    <t>普通攻击：星仪序曲</t>
  </si>
  <si>
    <t>五段（强化）</t>
  </si>
  <si>
    <t>强化特殊技：极光突刺·南十字</t>
  </si>
  <si>
    <t>特殊技：破晓突刺</t>
  </si>
  <si>
    <t>强化特殊技：极光突刺·北十字</t>
  </si>
  <si>
    <t>普通攻击：星芒圆舞曲</t>
  </si>
  <si>
    <t>冲刺攻击：剑舞之风</t>
  </si>
  <si>
    <t>闪避反击：剑闪之仪</t>
  </si>
  <si>
    <t>连携技：星落间章</t>
  </si>
  <si>
    <t>终结技：星芒终章</t>
  </si>
  <si>
    <t>快速支援：交替穿刺</t>
  </si>
  <si>
    <t>招架支援：对抗防守</t>
  </si>
  <si>
    <t>支援突击：交叉还击</t>
  </si>
  <si>
    <t>柚叶</t>
  </si>
  <si>
    <t>普通攻击：狸之爪</t>
  </si>
  <si>
    <t>特殊技：软糖轰击</t>
  </si>
  <si>
    <t>强化特殊技：小心蛀牙</t>
  </si>
  <si>
    <t>强化特殊技：小心蛀牙，就是现在！</t>
  </si>
  <si>
    <t>冲刺攻击：你要倒霉了！</t>
  </si>
  <si>
    <t>闪避反击：报复开始~</t>
  </si>
  <si>
    <t>连携技：恶作剧合战</t>
  </si>
  <si>
    <t>终结技：不投降就捣乱</t>
  </si>
  <si>
    <t>快速支援：甜点时间</t>
  </si>
  <si>
    <t>招架支援：糖分补充</t>
  </si>
  <si>
    <t>支援突击：来块曲奇</t>
  </si>
  <si>
    <t>普通攻击：硬糖射击</t>
  </si>
  <si>
    <t>普通攻击：狸之帐</t>
  </si>
  <si>
    <t>招架</t>
  </si>
  <si>
    <t>普通攻击：彩糖花火</t>
  </si>
  <si>
    <t>普通攻击：彩糖花火·极</t>
  </si>
  <si>
    <t>普通攻击：狸之助</t>
  </si>
  <si>
    <t>狸猫阿釜协同柚叶攻击</t>
  </si>
  <si>
    <t>狸猫阿釜自主攻击</t>
  </si>
  <si>
    <t>支援突击：夹心硬糖射击</t>
  </si>
  <si>
    <t>潘引壶</t>
  </si>
  <si>
    <t>普通攻击：极意连打</t>
  </si>
  <si>
    <t>特殊技：爆音点穴指</t>
  </si>
  <si>
    <t>特殊技：断脉破穴手</t>
  </si>
  <si>
    <t>强化特殊技：贴山震脉靠</t>
  </si>
  <si>
    <t>冲刺攻击：热油鼎盛</t>
  </si>
  <si>
    <t>闪避反击：四两拨千斤</t>
  </si>
  <si>
    <t>连携技：锅气灌顶</t>
  </si>
  <si>
    <t>终结技：满汉全席！</t>
  </si>
  <si>
    <t>快速支援：抬头见喜</t>
  </si>
  <si>
    <t>招架支援：见敌卸甲</t>
  </si>
  <si>
    <t>支援突击：借势打势</t>
  </si>
  <si>
    <t>叶瞬光</t>
  </si>
  <si>
    <t>普通攻击：快剑</t>
  </si>
  <si>
    <t>普通攻击：流云剑意</t>
  </si>
  <si>
    <t>每道剑气</t>
  </si>
  <si>
    <t>普通攻击：明心境·分水行</t>
  </si>
  <si>
    <t>普通攻击：明心境·斩流光 极</t>
  </si>
  <si>
    <t>普通攻击：明心境·斩流光</t>
  </si>
  <si>
    <t>普通攻击：明心境·斩流光 灭</t>
  </si>
  <si>
    <t>无青溟剑势时</t>
  </si>
  <si>
    <t>有青溟剑势时</t>
  </si>
  <si>
    <t>特殊技：引沧澜</t>
  </si>
  <si>
    <t>触发极限闪避</t>
  </si>
  <si>
    <t>强化特殊技：定风波</t>
  </si>
  <si>
    <t>普通攻击：明心境·扶摇势</t>
  </si>
  <si>
    <t>强化特殊技：明心境·飞光</t>
  </si>
  <si>
    <t>消耗6点青溟剑势（消耗1点为1/6）</t>
  </si>
  <si>
    <t>强化特殊技：明心境·归尘</t>
  </si>
  <si>
    <t>冲刺攻击：如影疾行</t>
  </si>
  <si>
    <t>特殊技：明心境·拂衣去</t>
  </si>
  <si>
    <t>闪避反击：燕袭</t>
  </si>
  <si>
    <t>连携技：斩邪祟</t>
  </si>
  <si>
    <t>终结技：逐云惊霆</t>
  </si>
  <si>
    <t>连携技：明心境·掣惊雷</t>
  </si>
  <si>
    <t>终结技：斩妄开天</t>
  </si>
  <si>
    <t>登场技：照影</t>
  </si>
  <si>
    <t>快速支援：援守</t>
  </si>
  <si>
    <t>招架支援：归去时</t>
  </si>
  <si>
    <t>支援突击：止戈</t>
  </si>
  <si>
    <t>支援突击：明心境·抱一</t>
  </si>
  <si>
    <t>快速支援：明心境·策应</t>
  </si>
  <si>
    <t>真斗</t>
  </si>
  <si>
    <t>普通攻击：炽风斩</t>
  </si>
  <si>
    <t>二段A</t>
  </si>
  <si>
    <t>二段B</t>
  </si>
  <si>
    <t>三段A</t>
  </si>
  <si>
    <t>三段B</t>
  </si>
  <si>
    <t>一段（触发烬风）A</t>
  </si>
  <si>
    <t>二段（触发烬风）A</t>
  </si>
  <si>
    <t>三段（触发烬风）A</t>
  </si>
  <si>
    <t>一段（触发烬风）B</t>
  </si>
  <si>
    <t>二段（触发烬风）B</t>
  </si>
  <si>
    <t>三段（触发烬风）B</t>
  </si>
  <si>
    <t>普通攻击：炽风·胧切</t>
  </si>
  <si>
    <t>特殊技：归烬</t>
  </si>
  <si>
    <t>（蓄力或格挡成功）</t>
  </si>
  <si>
    <t>强化特殊技：归烬·天坠</t>
  </si>
  <si>
    <t>冲刺攻击：曜刃·残心</t>
  </si>
  <si>
    <t>闪避反击：曜刃·掠阵</t>
  </si>
  <si>
    <t>连携技：极炽炎爆</t>
  </si>
  <si>
    <t>终结技：无想荒魂</t>
  </si>
  <si>
    <t>快速支援：孤影·归阵</t>
  </si>
  <si>
    <t>招架支援：孤影·岳峙</t>
  </si>
  <si>
    <t>支援突击：孤影·断獠</t>
  </si>
  <si>
    <t>卢西娅</t>
  </si>
  <si>
    <t>普通攻击：星轨连击</t>
  </si>
  <si>
    <t>随想</t>
  </si>
  <si>
    <t>合唱</t>
  </si>
  <si>
    <t>特殊技：死神协奏曲·风暴</t>
  </si>
  <si>
    <t>强化特殊技：死神协奏曲·破晓</t>
  </si>
  <si>
    <t>冲刺攻击：折光</t>
  </si>
  <si>
    <t>闪避反击：星尘回响</t>
  </si>
  <si>
    <t>快速支援：迷雾重击</t>
  </si>
  <si>
    <t>连携技：璀色剧场</t>
  </si>
  <si>
    <t>终结技：进击，大铠甲！</t>
  </si>
  <si>
    <t>终结技</t>
  </si>
  <si>
    <t>招架支援：幻梦之声</t>
  </si>
  <si>
    <t>支援突击：绘梦和声</t>
  </si>
  <si>
    <t>突进单次撞击</t>
  </si>
  <si>
    <t>「席德」</t>
  </si>
  <si>
    <t>普通攻击：霜蕊轮舞</t>
  </si>
  <si>
    <t>特殊技：苍霜零落</t>
  </si>
  <si>
    <t>普通攻击：落华·重戮</t>
  </si>
  <si>
    <t>普通攻击：落华·崩坠一式</t>
  </si>
  <si>
    <t>普通攻击：落华·崩坠二式</t>
  </si>
  <si>
    <t>强化特殊技：铁萼雨幕</t>
  </si>
  <si>
    <t>冲刺攻击：磁陨轮舞</t>
  </si>
  <si>
    <t>闪避反击：裂萼纷华</t>
  </si>
  <si>
    <t>连携技：落霰风暴</t>
  </si>
  <si>
    <t>终结技：机芯花园·绽放！</t>
  </si>
  <si>
    <t>快速支援：花雨齐射</t>
  </si>
  <si>
    <t>招架支援：雏华屏障</t>
  </si>
  <si>
    <t>支援突击：绯芯爆裂</t>
  </si>
  <si>
    <t>强化特殊技：铁萼雨幕·离</t>
  </si>
  <si>
    <t>般岳</t>
  </si>
  <si>
    <t>普通攻击：峥嵘</t>
  </si>
  <si>
    <t>普通攻击：崔巍</t>
  </si>
  <si>
    <t>普通攻击：倾山</t>
  </si>
  <si>
    <t>普通攻击：摧岳</t>
  </si>
  <si>
    <t>闪避：不动如山</t>
  </si>
  <si>
    <t>强化特殊技：山摇</t>
  </si>
  <si>
    <t>强化特殊技：地动</t>
  </si>
  <si>
    <t>强化特殊技：狮子吼</t>
  </si>
  <si>
    <t>强化特殊技：论道</t>
  </si>
  <si>
    <t>强化特殊技：狮子吼·怒</t>
  </si>
  <si>
    <t>强化特殊技：山摇·怒</t>
  </si>
  <si>
    <t>冲刺攻击：飞砂</t>
  </si>
  <si>
    <t>闪避反击：扬砾</t>
  </si>
  <si>
    <t>连携技：怒焰</t>
  </si>
  <si>
    <t>终结技：撼天动地</t>
  </si>
  <si>
    <t>快速支援：磐岩</t>
  </si>
  <si>
    <t>招架支援：铁壁</t>
  </si>
  <si>
    <t>支援突击：昂霄</t>
  </si>
  <si>
    <t>普通攻击：焚身</t>
  </si>
  <si>
    <t>支援突击：冲霄</t>
  </si>
  <si>
    <t>琉音</t>
  </si>
  <si>
    <t>普通攻击：很高兴为您服务</t>
  </si>
  <si>
    <t>普通攻击：猜拳把戏</t>
  </si>
  <si>
    <t>强化特殊技：送客！</t>
  </si>
  <si>
    <t>特殊技：欢迎手势</t>
  </si>
  <si>
    <t>强化特殊技：石头</t>
  </si>
  <si>
    <t>强化特殊技：剪刀</t>
  </si>
  <si>
    <t>强化特殊技：布！</t>
  </si>
  <si>
    <t>冲刺攻击：突然来电</t>
  </si>
  <si>
    <t>闪避反击：无法接听</t>
  </si>
  <si>
    <t>连携技：迎宾踏垫</t>
  </si>
  <si>
    <t>终结技：拨打用户即刻停机</t>
  </si>
  <si>
    <t>快速支援：呼叫转移</t>
  </si>
  <si>
    <t>招架支援：拒绝通话</t>
  </si>
  <si>
    <t>支援突击：连环呼叫</t>
  </si>
  <si>
    <t>千夏</t>
  </si>
  <si>
    <t>普通攻击：鬼马流星锤</t>
  </si>
  <si>
    <t>普通攻击：坏猫出没</t>
  </si>
  <si>
    <t>特殊技：星星发射</t>
  </si>
  <si>
    <t>强化特殊技：泡泡糖轰炸</t>
  </si>
  <si>
    <t>泡泡糖轰炸A</t>
  </si>
  <si>
    <t>泡泡糖轰炸B</t>
  </si>
  <si>
    <t>快速衔接特殊拍照技巧时，泡泡糖轰炸</t>
  </si>
  <si>
    <t>强化特殊技：特别拍照技巧</t>
  </si>
  <si>
    <t>（协同）A</t>
  </si>
  <si>
    <t>（协同）B</t>
  </si>
  <si>
    <t>冲刺攻击：冲天锤</t>
  </si>
  <si>
    <t>闪避反击：妄想三振</t>
  </si>
  <si>
    <t>连携技：别惹猫咪</t>
  </si>
  <si>
    <t>终结技：通通砸碎！</t>
  </si>
  <si>
    <t>快速支援：狂音连打</t>
  </si>
  <si>
    <t>招架支援：上台恐惧症</t>
  </si>
  <si>
    <t>支援突击：弹跳练习</t>
  </si>
  <si>
    <t>爱芮</t>
  </si>
  <si>
    <t>普通攻击：甜心律动</t>
  </si>
  <si>
    <t>普通攻击：绝对音准</t>
  </si>
  <si>
    <t>一段蓄力攻击</t>
  </si>
  <si>
    <t>二段蓄力攻击</t>
  </si>
  <si>
    <t>三段蓄力攻击</t>
  </si>
  <si>
    <t>三段蓄力攻击（协同）A</t>
  </si>
  <si>
    <t>蓄力攻击：绝对音准</t>
  </si>
  <si>
    <t>三段蓄力攻击（协同）B</t>
  </si>
  <si>
    <t>强化蓄力攻击</t>
  </si>
  <si>
    <t>强化蓄力攻击（协同）A</t>
  </si>
  <si>
    <t>强化蓄力攻击（协同）B</t>
  </si>
  <si>
    <t>特殊技：全糖电音</t>
  </si>
  <si>
    <t>特殊技：全糖电音·不加冰</t>
  </si>
  <si>
    <t>强化特殊技：坠入妄想</t>
  </si>
  <si>
    <t>强化特殊技：光速入坑</t>
  </si>
  <si>
    <t>冲刺攻击：丝滑小连招</t>
  </si>
  <si>
    <t>闪避反击：滑动变奏</t>
  </si>
  <si>
    <t>连携技：梦幻联动</t>
  </si>
  <si>
    <t>终结技：元气百分百</t>
  </si>
  <si>
    <t>快速支援：破碎幻梦</t>
  </si>
  <si>
    <t>招架支援：极限救场</t>
  </si>
  <si>
    <t>支援突击：安可曲目</t>
  </si>
  <si>
    <t>ID</t>
  </si>
  <si>
    <t>Name</t>
  </si>
  <si>
    <t>属性</t>
  </si>
  <si>
    <t>特性</t>
  </si>
  <si>
    <t>进攻类型</t>
  </si>
  <si>
    <t>阵营</t>
  </si>
  <si>
    <t>支援类型</t>
  </si>
  <si>
    <t>生命值</t>
  </si>
  <si>
    <t>生命值每级成长</t>
  </si>
  <si>
    <t>攻击力</t>
  </si>
  <si>
    <t>攻击力每级成长</t>
  </si>
  <si>
    <t>防御力</t>
  </si>
  <si>
    <t>防御力每级成长</t>
  </si>
  <si>
    <t>暴击率</t>
  </si>
  <si>
    <t>暴击伤害</t>
  </si>
  <si>
    <t>冲击力</t>
  </si>
  <si>
    <t>异常掌控</t>
  </si>
  <si>
    <t>能量上限
（闪能上限）</t>
  </si>
  <si>
    <t>能量自动回复
（闪能自动累积）</t>
  </si>
  <si>
    <t>异常精通</t>
  </si>
  <si>
    <t>喧响伴随获得效率</t>
  </si>
  <si>
    <t>晋升生命值加成</t>
  </si>
  <si>
    <t>晋升攻击力加成</t>
  </si>
  <si>
    <t>晋升防御力加成</t>
  </si>
  <si>
    <t>60级基础生命值</t>
  </si>
  <si>
    <t>60级基础攻击力</t>
  </si>
  <si>
    <t>60级基础防御力</t>
  </si>
  <si>
    <t>核心技特殊属性1</t>
  </si>
  <si>
    <t>数值1</t>
  </si>
  <si>
    <t>核心技特殊属性2</t>
  </si>
  <si>
    <t>数值2</t>
  </si>
  <si>
    <t>Anby</t>
  </si>
  <si>
    <t>电</t>
  </si>
  <si>
    <t>击破</t>
  </si>
  <si>
    <t>狡兔屋</t>
  </si>
  <si>
    <t>招架支援</t>
  </si>
  <si>
    <t>基础冲击力</t>
  </si>
  <si>
    <t>基础攻击力</t>
  </si>
  <si>
    <t>Nekomata</t>
  </si>
  <si>
    <t>物理</t>
  </si>
  <si>
    <t>强攻</t>
  </si>
  <si>
    <t>基础暴击率</t>
  </si>
  <si>
    <t>Nicole</t>
  </si>
  <si>
    <t>以太</t>
  </si>
  <si>
    <t>支援</t>
  </si>
  <si>
    <t>基础能量自动回复</t>
  </si>
  <si>
    <t>Soldier 11</t>
  </si>
  <si>
    <t>火</t>
  </si>
  <si>
    <t>新艾利都防卫军</t>
  </si>
  <si>
    <t>Yidhari</t>
  </si>
  <si>
    <t>冰</t>
  </si>
  <si>
    <t>命破</t>
  </si>
  <si>
    <t>怪啖屋</t>
  </si>
  <si>
    <t>Corin</t>
  </si>
  <si>
    <t>维多利亚家政</t>
  </si>
  <si>
    <t>基础暴击伤害</t>
  </si>
  <si>
    <t>Caesar</t>
  </si>
  <si>
    <t>防护</t>
  </si>
  <si>
    <t>斩击, 打击</t>
  </si>
  <si>
    <t>卡吕冬之子</t>
  </si>
  <si>
    <t>Billy</t>
  </si>
  <si>
    <t>穿透</t>
  </si>
  <si>
    <t>回避支援</t>
  </si>
  <si>
    <t>Miyabi</t>
  </si>
  <si>
    <t>烈霜</t>
  </si>
  <si>
    <t>异常</t>
  </si>
  <si>
    <t>对空洞特别行动部第六课</t>
  </si>
  <si>
    <t>基础异常精通</t>
  </si>
  <si>
    <t>Koleda</t>
  </si>
  <si>
    <t>白祈重工</t>
  </si>
  <si>
    <t>Anton</t>
  </si>
  <si>
    <t>Ben</t>
  </si>
  <si>
    <t>Soukaku</t>
  </si>
  <si>
    <t>Lycaon</t>
  </si>
  <si>
    <t>Lucy</t>
  </si>
  <si>
    <t>Lighter</t>
  </si>
  <si>
    <t>Burnice</t>
  </si>
  <si>
    <t>Grace</t>
  </si>
  <si>
    <t>基础异常掌控</t>
  </si>
  <si>
    <t>Ellen</t>
  </si>
  <si>
    <t>Harumasa</t>
  </si>
  <si>
    <t>穿透, 斩击</t>
  </si>
  <si>
    <t>Rina</t>
  </si>
  <si>
    <t>基础穿透率</t>
  </si>
  <si>
    <t>Yanagi</t>
  </si>
  <si>
    <t>Zhu Yuan</t>
  </si>
  <si>
    <t>刑侦特勤组</t>
  </si>
  <si>
    <t>Qingyi</t>
  </si>
  <si>
    <t>Jane</t>
  </si>
  <si>
    <t>Seth</t>
  </si>
  <si>
    <t>Piper</t>
  </si>
  <si>
    <t>Hugo</t>
  </si>
  <si>
    <t>反舌鸟</t>
  </si>
  <si>
    <t>Orphie &amp; Magus</t>
  </si>
  <si>
    <t>Astra Yao</t>
  </si>
  <si>
    <t>天琴座</t>
  </si>
  <si>
    <t>Evelyn</t>
  </si>
  <si>
    <t>Vivian</t>
  </si>
  <si>
    <t>Zhao</t>
  </si>
  <si>
    <t>坎卜斯黑枝</t>
  </si>
  <si>
    <t>Pulchra</t>
  </si>
  <si>
    <t>Trigger</t>
  </si>
  <si>
    <t>Yixuan</t>
  </si>
  <si>
    <t>玄墨</t>
  </si>
  <si>
    <t>云岿山</t>
  </si>
  <si>
    <t>基础生命值</t>
  </si>
  <si>
    <t>Soldier 0 - Anby</t>
  </si>
  <si>
    <t>Ju Fufu</t>
  </si>
  <si>
    <t>Alice</t>
  </si>
  <si>
    <t>Yuzuha</t>
  </si>
  <si>
    <t>Pan Yinhu</t>
  </si>
  <si>
    <t>Ye Shunguang</t>
  </si>
  <si>
    <t>凛刃</t>
  </si>
  <si>
    <t>Manato</t>
  </si>
  <si>
    <t>Lucia</t>
  </si>
  <si>
    <t>Seed</t>
  </si>
  <si>
    <t>Banyue</t>
  </si>
  <si>
    <t>Dialyn</t>
  </si>
  <si>
    <t>Sunna</t>
  </si>
  <si>
    <t>妄想天使</t>
  </si>
  <si>
    <t>Aria</t>
  </si>
  <si>
    <t>哲</t>
  </si>
  <si>
    <t>Wise</t>
  </si>
  <si>
    <t>NA</t>
  </si>
  <si>
    <t>铃</t>
  </si>
  <si>
    <t>Belle</t>
  </si>
  <si>
    <t>完整名称</t>
  </si>
  <si>
    <t>IndexID</t>
  </si>
  <si>
    <t>CodeName</t>
  </si>
  <si>
    <t>FullName</t>
  </si>
  <si>
    <t>失衡值上限</t>
  </si>
  <si>
    <t>能否失衡</t>
  </si>
  <si>
    <t>失衡值自动回复</t>
  </si>
  <si>
    <t>失衡值自动回复时限</t>
  </si>
  <si>
    <t>基础失衡恢复速度</t>
  </si>
  <si>
    <t>默认失衡恢复时间</t>
  </si>
  <si>
    <t>失衡易伤倍率</t>
  </si>
  <si>
    <t>可连携次数</t>
  </si>
  <si>
    <t>初始抗打断等级</t>
  </si>
  <si>
    <t>冻结时间抵抗</t>
  </si>
  <si>
    <t>冰伤害抗性</t>
  </si>
  <si>
    <t>火伤害抗性</t>
  </si>
  <si>
    <t>电伤害抗性</t>
  </si>
  <si>
    <t>物理伤害抗性</t>
  </si>
  <si>
    <t>以太伤害抗性</t>
  </si>
  <si>
    <t>冰异常抗性</t>
  </si>
  <si>
    <t>火异常抗性</t>
  </si>
  <si>
    <t>电异常抗性</t>
  </si>
  <si>
    <t>物理异常抗性</t>
  </si>
  <si>
    <t>以太异常抗性</t>
  </si>
  <si>
    <t>冰失衡抗性</t>
  </si>
  <si>
    <t>火失衡抗性</t>
  </si>
  <si>
    <t>电失衡抗性</t>
  </si>
  <si>
    <t>物理失衡抗性</t>
  </si>
  <si>
    <t>以太失衡抗性</t>
  </si>
  <si>
    <t>冰异常条</t>
  </si>
  <si>
    <t>火异常条</t>
  </si>
  <si>
    <t>电异常条</t>
  </si>
  <si>
    <t>物理异常条</t>
  </si>
  <si>
    <t>以太异常条</t>
  </si>
  <si>
    <t>基础积蓄上限提升系数</t>
  </si>
  <si>
    <t>能量球掉落</t>
  </si>
  <si>
    <t>未知变量（1.7版本新增）</t>
  </si>
  <si>
    <t>标签列表</t>
  </si>
  <si>
    <t>70级最大生命值</t>
  </si>
  <si>
    <t>70级最大攻击力</t>
  </si>
  <si>
    <t>70级最大失衡值上限</t>
  </si>
  <si>
    <t>60级及以上防御力</t>
  </si>
  <si>
    <t>搜捕巡查员</t>
  </si>
  <si>
    <t>Monster_MeleeSoldier</t>
  </si>
  <si>
    <t>Search Patroller</t>
  </si>
  <si>
    <t>生物, 非强化型, 小体型, 近战, 士兵</t>
  </si>
  <si>
    <t>初生死路屠夫</t>
  </si>
  <si>
    <t>Monster_Cottus</t>
  </si>
  <si>
    <t>Newborn Dead End Butcher</t>
  </si>
  <si>
    <t>以骸, 大体型, 死路屠夫1阶段, 黑色, 主线首领</t>
  </si>
  <si>
    <t>恶名·杜拉罕</t>
  </si>
  <si>
    <t>Monster_DurahanBoss</t>
  </si>
  <si>
    <t>Notorious - Dullahan</t>
  </si>
  <si>
    <t>以骸, 中体型, 首领</t>
  </si>
  <si>
    <t>死路屠夫</t>
  </si>
  <si>
    <t>Monster_CottusGrey</t>
  </si>
  <si>
    <t>Dead End Butcher</t>
  </si>
  <si>
    <t>以骸, 大体型, 死路屠夫2阶段, 灰色, 主线首领</t>
  </si>
  <si>
    <t>武装巡查员</t>
  </si>
  <si>
    <t>Monster_RangeSoldier</t>
  </si>
  <si>
    <t>Armed Patroller</t>
  </si>
  <si>
    <t>生物, 非强化型, 小体型, 远程, 士兵</t>
  </si>
  <si>
    <t>提尔锋</t>
  </si>
  <si>
    <t>Monster_ClaymoreGrey</t>
  </si>
  <si>
    <t>Tyrfing</t>
  </si>
  <si>
    <t>以骸, 非强化型, 小体型, 灰色</t>
  </si>
  <si>
    <t>阿佩卡</t>
  </si>
  <si>
    <t>Monster_CyclopsGrey</t>
  </si>
  <si>
    <t>Alpeca</t>
  </si>
  <si>
    <t>自律辅助单位·「清扫者」</t>
  </si>
  <si>
    <t>Monster_LAAndroid</t>
  </si>
  <si>
    <t>Autonomous Support Unit - Sweeper</t>
  </si>
  <si>
    <t>机械, 强化型, 中体型, 警察</t>
  </si>
  <si>
    <t>黄金邦布</t>
  </si>
  <si>
    <t>Monster_GoldenBomb</t>
  </si>
  <si>
    <t>Golden Bangboo</t>
  </si>
  <si>
    <t>机械, 小体型, 黄金邦布, 邦布</t>
  </si>
  <si>
    <t>白金邦布</t>
  </si>
  <si>
    <t>Monster_PlatinumBangboo</t>
  </si>
  <si>
    <t>Platinum Bangboo</t>
  </si>
  <si>
    <t>机械, 小体型, 白金邦布, 邦布</t>
  </si>
  <si>
    <t>机械, 强化型, 中体型, NPC</t>
  </si>
  <si>
    <t>掠袭猎兵</t>
  </si>
  <si>
    <t>Monster_StrikeJaegerCam</t>
  </si>
  <si>
    <t>Strike Jaeger</t>
  </si>
  <si>
    <t>生物, 非强化型, 小体型, 防卫军</t>
  </si>
  <si>
    <t>「变节者」</t>
  </si>
  <si>
    <t>Monster_Isolde</t>
  </si>
  <si>
    <t>"The Defector"</t>
  </si>
  <si>
    <t>生物, 小体型, 首领, 不提升抗打断能力, 秽盾首领, 秽蚀</t>
  </si>
  <si>
    <t>赫斯克龙</t>
  </si>
  <si>
    <t>Monster_Huskron</t>
  </si>
  <si>
    <t>Huskron</t>
  </si>
  <si>
    <t>以骸, 非强化型, 小体型, 秽蚀</t>
  </si>
  <si>
    <t>生物, 强化型, 小体型, 近战, 士兵</t>
  </si>
  <si>
    <t>生物, 强化型, 小体型, 远程, 士兵</t>
  </si>
  <si>
    <t>防暴巡查员</t>
  </si>
  <si>
    <t>Monster_HeavySoldier</t>
  </si>
  <si>
    <t>Riot Patroller</t>
  </si>
  <si>
    <t>生物, 非强化型, 小体型, 重型, 士兵</t>
  </si>
  <si>
    <t>生物, 强化型, 小体型, 重型, 士兵</t>
  </si>
  <si>
    <t>机械, 非强化型, 中体型, 警察</t>
  </si>
  <si>
    <t>非法辅助单位·「怒汉」</t>
  </si>
  <si>
    <t>Monster_RagingGuy</t>
  </si>
  <si>
    <t>Illegal Support Unit - Enraged Sweeper</t>
  </si>
  <si>
    <t>机械, 强化型, 中体型, 暴徒</t>
  </si>
  <si>
    <t>机械, 非强化型, 中体型, 暴徒</t>
  </si>
  <si>
    <t>自律辅助单位·「卫士Ⅱ型」</t>
  </si>
  <si>
    <t>Monster_Guardian</t>
  </si>
  <si>
    <t>Autonomous Support Unit - Guardian MK II</t>
  </si>
  <si>
    <t>机械, 非强化型, 大体型, 黑色</t>
  </si>
  <si>
    <t>机械, 强化型, 大体型, 黑色</t>
  </si>
  <si>
    <t>机械, 非强化型, 大体型, 已废弃</t>
  </si>
  <si>
    <t>自律强袭单位·「卫士Ⅲ型」</t>
  </si>
  <si>
    <t>Monster_GuardianMech</t>
  </si>
  <si>
    <t>Autonomous Assault Unit - Guardian MK III</t>
  </si>
  <si>
    <t>机械, 大体型, 首领</t>
  </si>
  <si>
    <t>自律辅助单位·「卫士」</t>
  </si>
  <si>
    <t>Monster_GuardianCam</t>
  </si>
  <si>
    <t>Autonomous Support Unit - Guardian</t>
  </si>
  <si>
    <t>机械, 非强化型, 大体型, 防卫军</t>
  </si>
  <si>
    <t>机械, 强化型, 大体型, 防卫军</t>
  </si>
  <si>
    <t>自律战术单位·「提丰·重击者型」</t>
  </si>
  <si>
    <t>Monster_MetalGorilla</t>
  </si>
  <si>
    <t>Autonomous Tactical Unit - Typhon Slugger</t>
  </si>
  <si>
    <t>机械, 大体型, 黑色, 首领</t>
  </si>
  <si>
    <t>自律战术单位·「提丰·挑战者型」</t>
  </si>
  <si>
    <t>Monster_MetalGorillaCam</t>
  </si>
  <si>
    <t>Autonomous Tactical Unit - Typhon Challenger</t>
  </si>
  <si>
    <t>机械, 大体型, 防卫军, 首领</t>
  </si>
  <si>
    <t>雷蛛</t>
  </si>
  <si>
    <t>Monster_SpiderGrey</t>
  </si>
  <si>
    <t>Blastcrawler</t>
  </si>
  <si>
    <t>以骸, 强化型, 小体型, 灰色</t>
  </si>
  <si>
    <t>雷蛛·蓄能型</t>
  </si>
  <si>
    <t>Monster_SpiderRed</t>
  </si>
  <si>
    <t>Blastcrawler - Energized</t>
  </si>
  <si>
    <t>以骸, 非强化型, 小体型, 红色</t>
  </si>
  <si>
    <t>以骸, 强化型, 小体型, 红色</t>
  </si>
  <si>
    <t>提尔锋·蓄能型</t>
  </si>
  <si>
    <t>Monster_ClaymoreRed</t>
  </si>
  <si>
    <t>Tyrfing - Energized</t>
  </si>
  <si>
    <t>阿佩卡·蓄能型</t>
  </si>
  <si>
    <t>Monster_CyclopsRed</t>
  </si>
  <si>
    <t>Alpeca - Energized</t>
  </si>
  <si>
    <t>法布提</t>
  </si>
  <si>
    <t>Monster_GiantGrey</t>
  </si>
  <si>
    <t>Farbauti</t>
  </si>
  <si>
    <t>以骸, 非强化型, 大体型, 灰色, 特殊死亡效果, 中级死亡效果</t>
  </si>
  <si>
    <t>以骸, 强化型, 大体型, 灰色, 特殊死亡效果, 中级死亡效果</t>
  </si>
  <si>
    <t>法布提·蓄能型</t>
  </si>
  <si>
    <t>Monster_GiantRed</t>
  </si>
  <si>
    <t>Farbauti - Energized</t>
  </si>
  <si>
    <t>以骸, 非强化型, 大体型, 红色, 特殊死亡效果, 中级死亡效果</t>
  </si>
  <si>
    <t>以骸, 强化型, 大体型, 红色, 特殊死亡效果, 中级死亡效果</t>
  </si>
  <si>
    <t>哈提</t>
  </si>
  <si>
    <t>Monster_HatiGrey</t>
  </si>
  <si>
    <t>Hati</t>
  </si>
  <si>
    <t>以骸, 非强化型, 中体型, 灰色, 非装甲</t>
  </si>
  <si>
    <t>以骸, 强化型, 中体型, 灰色, 非装甲</t>
  </si>
  <si>
    <t>哈提·蓄能型</t>
  </si>
  <si>
    <t>Monster_HatiRed</t>
  </si>
  <si>
    <t>Hati - Energized</t>
  </si>
  <si>
    <t>以骸, 非强化型, 中体型, 红色, 非装甲</t>
  </si>
  <si>
    <t>以骸, 强化型, 中体型, 红色, 非装甲</t>
  </si>
  <si>
    <t>哈提头犬·蓄能型</t>
  </si>
  <si>
    <t>Monster_HatiRedBoss</t>
  </si>
  <si>
    <t>Hati Pack Leader — Energized</t>
  </si>
  <si>
    <t>以骸, 首领, 中体型, 红色, 非装甲</t>
  </si>
  <si>
    <t>以骸, 强化型, 中体型, 红色, 非装甲, 合作</t>
  </si>
  <si>
    <t>萨提尔</t>
  </si>
  <si>
    <t>Monster_Satyrus</t>
  </si>
  <si>
    <t>Faun</t>
  </si>
  <si>
    <t>以骸, 非强化型, 小体型, 黑色</t>
  </si>
  <si>
    <t>以骸, 强化型, 小体型, 黑色</t>
  </si>
  <si>
    <t>萨提尔·蓄能型</t>
  </si>
  <si>
    <t>Monster_SatyrusRed</t>
  </si>
  <si>
    <t>Faun - Energized</t>
  </si>
  <si>
    <t>初生杜拉罕</t>
  </si>
  <si>
    <t>Monster_DurahanBlackBoss</t>
  </si>
  <si>
    <t>Newborn Dullahan</t>
  </si>
  <si>
    <t>以骸, 中体型, 黑色, 首领, 初生</t>
  </si>
  <si>
    <t>杜拉罕</t>
  </si>
  <si>
    <t>Monster_DurahanGrey</t>
  </si>
  <si>
    <t>Dullahan</t>
  </si>
  <si>
    <t>以骸, 非强化型, 中体型, 灰色</t>
  </si>
  <si>
    <t>以骸, 强化型, 中体型, 灰色</t>
  </si>
  <si>
    <t>杜拉罕·蓄能型</t>
  </si>
  <si>
    <t>Monster_DurahanRed</t>
  </si>
  <si>
    <t>Dullahan - Energized</t>
  </si>
  <si>
    <t>以骸, 非强化型, 中体型, 红色</t>
  </si>
  <si>
    <t>以骸, 强化型, 中体型, 红色</t>
  </si>
  <si>
    <t>袭扰猎兵</t>
  </si>
  <si>
    <t>Monster_StrikeJaeger</t>
  </si>
  <si>
    <t>Harrier Jaeger</t>
  </si>
  <si>
    <t>生物, 非强化型, 小体型, 黑色</t>
  </si>
  <si>
    <t>生物, 强化型, 小体型, 黑色</t>
  </si>
  <si>
    <t>生物, 强化型, 小体型, 防卫军</t>
  </si>
  <si>
    <t>恶名·塔纳托斯</t>
  </si>
  <si>
    <t>Monster_DeathXIIIBoss</t>
  </si>
  <si>
    <t>Notorious - Thanatos</t>
  </si>
  <si>
    <t>塔纳托斯</t>
  </si>
  <si>
    <t>Monster_DeathXIIIGrey</t>
  </si>
  <si>
    <t>Thanatos</t>
  </si>
  <si>
    <t>塔纳托斯·蓄能型</t>
  </si>
  <si>
    <t>Monster_DeathXIIIRed</t>
  </si>
  <si>
    <t>Thanatos - Energized</t>
  </si>
  <si>
    <t>装甲哈提</t>
  </si>
  <si>
    <t>Monster_HatiArmoredGrey</t>
  </si>
  <si>
    <t>Armored Hati</t>
  </si>
  <si>
    <t>以骸, 非强化型, 中体型, 灰色, 装甲</t>
  </si>
  <si>
    <t>以骸, 强化型, 中体型, 灰色, 装甲</t>
  </si>
  <si>
    <t>恶名·哈提</t>
  </si>
  <si>
    <t>Monster_HatiArmoredBoss</t>
  </si>
  <si>
    <t>Notorious - Hati</t>
  </si>
  <si>
    <t>以骸, 中体型, 装甲, 首领</t>
  </si>
  <si>
    <t>装甲哈提·蓄能型</t>
  </si>
  <si>
    <t>Monster_HatiArmoredRed</t>
  </si>
  <si>
    <t>Armored Hati - Energized</t>
  </si>
  <si>
    <t>以骸, 非强化型, 中体型, 红色, 装甲</t>
  </si>
  <si>
    <t>以骸, 强化型, 中体型, 红色, 装甲</t>
  </si>
  <si>
    <t>霍普利泰</t>
  </si>
  <si>
    <t>Monster_GolemGrey</t>
  </si>
  <si>
    <t>Hoplitai</t>
  </si>
  <si>
    <t>霍普利泰·蓄能型</t>
  </si>
  <si>
    <t>Monster_GolemRed</t>
  </si>
  <si>
    <t>Hoplitai - Energized</t>
  </si>
  <si>
    <t>阿劳恩</t>
  </si>
  <si>
    <t>Monster_ArlauneGrey</t>
  </si>
  <si>
    <t>Arlaune</t>
  </si>
  <si>
    <t>阿劳恩·蓄能型</t>
  </si>
  <si>
    <t>Monster_ArlauneRed</t>
  </si>
  <si>
    <t>Arlaune - Energized</t>
  </si>
  <si>
    <t>铁道地精</t>
  </si>
  <si>
    <t>Monster_GoblinMetro</t>
  </si>
  <si>
    <t>Metro Goblin</t>
  </si>
  <si>
    <t>以骸, 非强化型, 铁道地精, 中体型, 黑色</t>
  </si>
  <si>
    <t>以骸, 强化型, 铁道地精, 中体型, 黑色</t>
  </si>
  <si>
    <t>地精</t>
  </si>
  <si>
    <t>Monster_GoblinGrey</t>
  </si>
  <si>
    <t>Goblin</t>
  </si>
  <si>
    <t>以骸, 非强化型, 地精, 中体型, 灰色</t>
  </si>
  <si>
    <t>以骸, 强化型, 地精, 中体型, 灰色</t>
  </si>
  <si>
    <t>以骸, 大体型, 死路屠夫2阶段, 黑色, 主线首领</t>
  </si>
  <si>
    <t>以骸, 大体型, 死路屠夫1阶段, 灰色, 主线首领</t>
  </si>
  <si>
    <t>以骸, 大体型, 死路屠夫1阶段, 黑色, 仅1阶段, 主线首领</t>
  </si>
  <si>
    <t>以骸, 大体型, 死路屠夫1阶段, 灰色, 仅1阶段, 主线首领</t>
  </si>
  <si>
    <t>机械, 小体型, 黄金邦布, 测试, 邦布</t>
  </si>
  <si>
    <t>先锋猎兵</t>
  </si>
  <si>
    <t>Monster_LightJaeger</t>
  </si>
  <si>
    <t>Scout Jaeger</t>
  </si>
  <si>
    <t>生物, 非强化型, 小体型, 轻型, 猎兵, 黑色</t>
  </si>
  <si>
    <t>生物, 强化型, 小体型, 轻型, 猎兵, 黑色</t>
  </si>
  <si>
    <t>轻装猎兵</t>
  </si>
  <si>
    <t>Monster_LightJaegerCam</t>
  </si>
  <si>
    <t>Light Jaeger</t>
  </si>
  <si>
    <t>生物, 非强化型, 小体型, 轻型, 猎兵, 防卫军</t>
  </si>
  <si>
    <t>生物, 强化型, 小体型, 轻型, 猎兵, 防卫军</t>
  </si>
  <si>
    <t>生物, 强化型, 小体型, 轻型, 猎兵, 黑色, 合作</t>
  </si>
  <si>
    <t>突击炮手</t>
  </si>
  <si>
    <t>Monster_HeavyFirePower</t>
  </si>
  <si>
    <t>Assault Gunner</t>
  </si>
  <si>
    <t>生物, 非强化型, 中体型, 黑色</t>
  </si>
  <si>
    <t>生物, 强化型, 中体型, 黑色</t>
  </si>
  <si>
    <t>重装炮手</t>
  </si>
  <si>
    <t>Monster_HeavyFirePowerCam</t>
  </si>
  <si>
    <t>Heavy Gunner</t>
  </si>
  <si>
    <t>生物, 非强化型, 中体型, 防卫军</t>
  </si>
  <si>
    <t>生物, 强化型, 中体型, 防卫军</t>
  </si>
  <si>
    <t>生物, 强化型, 中体型, 防卫军, 合作</t>
  </si>
  <si>
    <t>整训猎兵</t>
  </si>
  <si>
    <t>Monster_MeleeJaeger</t>
  </si>
  <si>
    <t>Private Jaeger</t>
  </si>
  <si>
    <t>生物, 非强化型, 小体型, 近战, 猎兵, 黑色</t>
  </si>
  <si>
    <t>生物, 强化型, 小体型, 近战, 猎兵, 黑色</t>
  </si>
  <si>
    <t>新晋猎兵</t>
  </si>
  <si>
    <t>Monster_MeleeJaegerCam</t>
  </si>
  <si>
    <t>Rookie Jaeger</t>
  </si>
  <si>
    <t>生物, 非强化型, 小体型, 近战, 猎兵, 防卫军</t>
  </si>
  <si>
    <t>生物, 强化型, 小体型, 近战, 猎兵, 防卫军</t>
  </si>
  <si>
    <t>巡防猎兵</t>
  </si>
  <si>
    <t>Monster_HeavyJaeger</t>
  </si>
  <si>
    <t>Patrol Jaeger</t>
  </si>
  <si>
    <t>生物, 非强化型, 小体型, 重型, 猎兵, 黑色</t>
  </si>
  <si>
    <t>生物, 强化型, 小体型, 重型, 猎兵, 黑色</t>
  </si>
  <si>
    <t>戍卫猎兵</t>
  </si>
  <si>
    <t>Monster_HeavyJaegerCam</t>
  </si>
  <si>
    <t>Guard Jaeger</t>
  </si>
  <si>
    <t>生物, 非强化型, 小体型, 重型, 猎兵, 防卫军</t>
  </si>
  <si>
    <t>生物, 强化型, 小体型, 重型, 猎兵, 防卫军</t>
  </si>
  <si>
    <t>曼德拉</t>
  </si>
  <si>
    <t>Monster_Mandrake</t>
  </si>
  <si>
    <t>Mandrake</t>
  </si>
  <si>
    <t>以骸, 非强化型, 中体型, 曼德拉防御型, 黑色</t>
  </si>
  <si>
    <t>以骸, 非强化型, 中体型, 曼德拉攻击型, 黑色</t>
  </si>
  <si>
    <t>以骸, 强化型, 中体型, 曼德拉防御型, 黑色</t>
  </si>
  <si>
    <t>以骸, 强化型, 中体型, 曼德拉攻击型, 黑色</t>
  </si>
  <si>
    <t>曼德拉·蓄能型</t>
  </si>
  <si>
    <t>Monster_MandrakeRed</t>
  </si>
  <si>
    <t>Mandrake - Energized</t>
  </si>
  <si>
    <t>以骸, 非强化型, 中体型, 曼德拉防御型, 红色</t>
  </si>
  <si>
    <t>以骸, 非强化型, 中体型, 曼德拉攻击型, 红色</t>
  </si>
  <si>
    <t>以骸, 强化型, 中体型, 曼德拉防御型, 红色</t>
  </si>
  <si>
    <t>以骸, 强化型, 中体型, 曼德拉攻击型, 红色</t>
  </si>
  <si>
    <t>格莱特</t>
  </si>
  <si>
    <t>Monster_BoringMachine</t>
  </si>
  <si>
    <t>Greta</t>
  </si>
  <si>
    <t>机械, 巨型, 首领</t>
  </si>
  <si>
    <t>格莱特·蓄能型</t>
  </si>
  <si>
    <t>Monster_BoringMachineRed</t>
  </si>
  <si>
    <t>Greta - Energized</t>
  </si>
  <si>
    <t>机械, 巨型, 红色, 首领</t>
  </si>
  <si>
    <t>格莱特·超频型</t>
  </si>
  <si>
    <t>Monster_BoringMachinePurple</t>
  </si>
  <si>
    <t>Greta - Overclocked</t>
  </si>
  <si>
    <t>机械, 巨型, 紫色, 首领</t>
  </si>
  <si>
    <t>盗洞暴徒·偷袭者</t>
  </si>
  <si>
    <t>Monster_ThugAssaulter</t>
  </si>
  <si>
    <t>Hollow Thug - Ambusher</t>
  </si>
  <si>
    <t>生物, 非强化型, 小体型</t>
  </si>
  <si>
    <t>生物, 强化型, 小体型</t>
  </si>
  <si>
    <t>盗洞暴徒·袭击者</t>
  </si>
  <si>
    <t>Monster_ThugAssaulterVest</t>
  </si>
  <si>
    <t>Hollow Thug - Assaulter</t>
  </si>
  <si>
    <t>生物, 非强化型, 小体型, 马甲</t>
  </si>
  <si>
    <t>生物, 强化型, 小体型, 马甲</t>
  </si>
  <si>
    <t>生物, 强化型, 小体型, 合作</t>
  </si>
  <si>
    <t>盗洞暴徒·盗猎客</t>
  </si>
  <si>
    <t>Monster_ThugPoacher</t>
  </si>
  <si>
    <t>Hollow Thug - Rustler</t>
  </si>
  <si>
    <t>盗洞暴徒·偷猎者</t>
  </si>
  <si>
    <t>Monster_ThugPoacherVest</t>
  </si>
  <si>
    <t>Hollow Thug - Poacher</t>
  </si>
  <si>
    <t>盗洞暴徒·焚毁狂</t>
  </si>
  <si>
    <t>Monster_ThugPyromaniac</t>
  </si>
  <si>
    <t>Hollow Thug - Arsonist</t>
  </si>
  <si>
    <t>盗洞暴徒·纵火犯</t>
  </si>
  <si>
    <t>Monster_ThugPyromaniacVest</t>
  </si>
  <si>
    <t>Hollow Thug - Pyromaniac</t>
  </si>
  <si>
    <t>盗洞暴徒·劫掠者</t>
  </si>
  <si>
    <t>Monster_ThugRaider</t>
  </si>
  <si>
    <t>Hollow Thug - Looter</t>
  </si>
  <si>
    <t>盗洞暴徒·掠夺者</t>
  </si>
  <si>
    <t>Monster_ThugRaiderVest</t>
  </si>
  <si>
    <t>Hollow Thug - Raider</t>
  </si>
  <si>
    <t>盗洞暴徒·通缉打手</t>
  </si>
  <si>
    <t>Monster_ThugBulkyEnforcer</t>
  </si>
  <si>
    <t>Hollow Thug - Wanted Enforcer</t>
  </si>
  <si>
    <t>生物, 非强化型, 中体型</t>
  </si>
  <si>
    <t>生物, 强化型, 中体型</t>
  </si>
  <si>
    <t>祸首·通缉打手</t>
  </si>
  <si>
    <t>Monster_ThugBulkyEnforcerBoss</t>
  </si>
  <si>
    <t>Troublemaker - Wanted Enforcer</t>
  </si>
  <si>
    <t>生物, 中体型, 首领</t>
  </si>
  <si>
    <t>盗洞暴徒·魁梧打手</t>
  </si>
  <si>
    <t>Monster_ThugBulkyEnforcerVest</t>
  </si>
  <si>
    <t>Hollow Thug - Bulky Enforcer</t>
  </si>
  <si>
    <t>生物, 非强化型, 中体型, 马甲</t>
  </si>
  <si>
    <t>生物, 强化型, 中体型, 马甲</t>
  </si>
  <si>
    <t>盗洞暴徒·通缉虐待狂</t>
  </si>
  <si>
    <t>Monster_ThugBulkyAbuser</t>
  </si>
  <si>
    <t>Hollow Thug - Wanted Intimidator</t>
  </si>
  <si>
    <t>盗洞暴徒·魁梧施虐者</t>
  </si>
  <si>
    <t>Monster_ThugBulkyAbuserVest</t>
  </si>
  <si>
    <t>Hollow Thug - Bulky Intimidator</t>
  </si>
  <si>
    <t>眼魔引擎</t>
  </si>
  <si>
    <t>Monster_BeholderEngine</t>
  </si>
  <si>
    <t>Beholder Engine</t>
  </si>
  <si>
    <t>以骸, 非强化型, 小体型</t>
  </si>
  <si>
    <t>以骸, 强化型, 小体型</t>
  </si>
  <si>
    <t>泰拉斯奎祸车</t>
  </si>
  <si>
    <t>Monster_TarasqueMixer</t>
  </si>
  <si>
    <t>Tarasque Mixer</t>
  </si>
  <si>
    <t>以骸, 非强化型, 中体型</t>
  </si>
  <si>
    <t>以骸, 强化型, 中体型</t>
  </si>
  <si>
    <t>星期五</t>
  </si>
  <si>
    <t>Monster_PileDriver</t>
  </si>
  <si>
    <t>Friday</t>
  </si>
  <si>
    <t>星期五·蓄能型</t>
  </si>
  <si>
    <t>Monster_PileDriverRed</t>
  </si>
  <si>
    <t>Friday - Energized</t>
  </si>
  <si>
    <t>星期五·超频型</t>
  </si>
  <si>
    <t>Monster_PileDriverPurple</t>
  </si>
  <si>
    <t>Friday - Overclocked</t>
  </si>
  <si>
    <t>汉斯</t>
  </si>
  <si>
    <t>Monster_MaterialHandler</t>
  </si>
  <si>
    <t>Hans</t>
  </si>
  <si>
    <t>汉斯·蓄能型</t>
  </si>
  <si>
    <t>Monster_MaterialHandlerRed</t>
  </si>
  <si>
    <t>Hans - Energized</t>
  </si>
  <si>
    <t>汉斯·超频型</t>
  </si>
  <si>
    <t>Monster_MaterialHandlerPurple</t>
  </si>
  <si>
    <t>Hans - Overclocked</t>
  </si>
  <si>
    <t>未知复合侵蚀体</t>
  </si>
  <si>
    <t>Monster_ComplexCorrupted</t>
  </si>
  <si>
    <t>Unknown Corruption Complex</t>
  </si>
  <si>
    <t>以骸, 巨型, 主线首领</t>
  </si>
  <si>
    <t>以骸, 巨型, 仅1阶段, 主线首领</t>
  </si>
  <si>
    <t>冥宁芙·黑纱</t>
  </si>
  <si>
    <t>Monster_LampasBlackVeil</t>
  </si>
  <si>
    <t>Black Veil Marionette</t>
  </si>
  <si>
    <t>以骸, 中体型, 主线首领</t>
  </si>
  <si>
    <t>以骸, 中体型, 首领, 冥宁芙·双子, 主线首领</t>
  </si>
  <si>
    <t>冥宁芙·灰纱</t>
  </si>
  <si>
    <t>Monster_LampasGreyVeil</t>
  </si>
  <si>
    <t>Gray Veil Marionette</t>
  </si>
  <si>
    <t>自律辅助单位·「捷足巡游者Ⅱ型」</t>
  </si>
  <si>
    <t>Monster_LightfootRover</t>
  </si>
  <si>
    <t>Autonomous Support Unit - Lightfoot Rover MK II</t>
  </si>
  <si>
    <t>机械, 非强化型, 中体型</t>
  </si>
  <si>
    <t>机械, 强化型, 中体型</t>
  </si>
  <si>
    <t>自律辅助单位·「捷足巡游者」</t>
  </si>
  <si>
    <t>Monster_LightfootRoverCam</t>
  </si>
  <si>
    <t>Autonomous Support Unit - Lightfoot Rover</t>
  </si>
  <si>
    <t>机械, 非强化型, 中体型, 防卫军</t>
  </si>
  <si>
    <t>机械, 强化型, 中体型, 防卫军</t>
  </si>
  <si>
    <t>自律辅助单位·「重装侵袭者Ⅱ型」</t>
  </si>
  <si>
    <t>Monster_HeavyStriker</t>
  </si>
  <si>
    <t>Autonomous Support Unit - Heavy Striker MK II</t>
  </si>
  <si>
    <t>自律战术单位·「护戍盾卫Ω型」</t>
  </si>
  <si>
    <t>Monster_HeavyStrikerBoss</t>
  </si>
  <si>
    <t>Autonomous Tactical Unit - Shielded Defender Omega</t>
  </si>
  <si>
    <t>机械, 中体型, 首领</t>
  </si>
  <si>
    <t>自律辅助单位·「重装侵袭者」</t>
  </si>
  <si>
    <t>Monster_HeavyStrikerCam</t>
  </si>
  <si>
    <t>Autonomous Support Unit - Heavy Striker</t>
  </si>
  <si>
    <t>自律战术单位·「护戍盾卫」</t>
  </si>
  <si>
    <t>Monster_HeavyStrikerBossCam</t>
  </si>
  <si>
    <t>Autonomous Tactical Unit — Shielded Defender</t>
  </si>
  <si>
    <t>机械, 中体型, 首领, 防卫军</t>
  </si>
  <si>
    <t>恶灵</t>
  </si>
  <si>
    <t>Monster_Ahriman</t>
  </si>
  <si>
    <t>Ahriman</t>
  </si>
  <si>
    <t>恶灵·蓄能型</t>
  </si>
  <si>
    <t>Monster_AhrimanRed</t>
  </si>
  <si>
    <t>Ahriman - Energized</t>
  </si>
  <si>
    <t>游魂</t>
  </si>
  <si>
    <t>Monster_Specter</t>
  </si>
  <si>
    <t>Specter</t>
  </si>
  <si>
    <t>游魂·蓄能型</t>
  </si>
  <si>
    <t>Monster_SpecterRed</t>
  </si>
  <si>
    <t>Specter - Energized</t>
  </si>
  <si>
    <t>匪祸侵蚀体·恶毒打手</t>
  </si>
  <si>
    <t>Monster_ViciousStriker</t>
  </si>
  <si>
    <t>Corrupted Bandit - Vicious Striker</t>
  </si>
  <si>
    <t>匪祸侵蚀体·贪婪射手</t>
  </si>
  <si>
    <t>Monster_GreedyGunner</t>
  </si>
  <si>
    <t>Corrupted Bandit - Greedy Ranger</t>
  </si>
  <si>
    <t>匪祸侵蚀体·狂乱暴徒</t>
  </si>
  <si>
    <t>Monster_FrenziedManiac</t>
  </si>
  <si>
    <t>Corrupted Bandit - Frenzied Maniac</t>
  </si>
  <si>
    <t>匪祸侵蚀体·盛怒恶霸</t>
  </si>
  <si>
    <t>Monster_WickedWrath</t>
  </si>
  <si>
    <t>Corrupted Bandit - Wicked Wraith</t>
  </si>
  <si>
    <t>匪祸侵蚀体·凶心疯汉</t>
  </si>
  <si>
    <t>Monster_RuthlessFiend</t>
  </si>
  <si>
    <t>Corrupted Bandit - Ruthless Fiend</t>
  </si>
  <si>
    <t>以骸, 非强化型, 大体型</t>
  </si>
  <si>
    <t>以骸, 强化型, 大体型</t>
  </si>
  <si>
    <t>互利型共生以骸群·代号：尼尼微</t>
  </si>
  <si>
    <t>Monster_Nineveh</t>
  </si>
  <si>
    <t>Symbiotic Ethereal Swarm - Code Name: Nineveh</t>
  </si>
  <si>
    <t>生物, 巨型</t>
  </si>
  <si>
    <t>偏利型共生以骸群·代号：杰佩托</t>
  </si>
  <si>
    <t>Monster_Geppetto</t>
  </si>
  <si>
    <t>Parasitic Ethereal Swarm — Code Name: Geppetto</t>
  </si>
  <si>
    <t>以骸, 巨型, 杰佩托</t>
  </si>
  <si>
    <t>以骸, 巨型, 杰佩托, 合作, HatredLine</t>
  </si>
  <si>
    <t>骸蜂</t>
  </si>
  <si>
    <t>Monster_NinevehBee</t>
  </si>
  <si>
    <t>Hornet</t>
  </si>
  <si>
    <t>魔神黄金邦布</t>
  </si>
  <si>
    <t>Monster_MazingerGoldenBomb</t>
  </si>
  <si>
    <t>Mecha Golden Bangboo</t>
  </si>
  <si>
    <t>重机素体</t>
  </si>
  <si>
    <t>Monster_HeavyMachineBase</t>
  </si>
  <si>
    <t>机械, 巨型</t>
  </si>
  <si>
    <t>莫尔斯</t>
  </si>
  <si>
    <t>Monster_Mors</t>
  </si>
  <si>
    <t>Mors</t>
  </si>
  <si>
    <t>生物, 小体型, 不提升抗打断能力</t>
  </si>
  <si>
    <t>离子体·多佩冈亚·莫尔斯</t>
  </si>
  <si>
    <t>Monster_MorsSlime</t>
  </si>
  <si>
    <t>Ionized - Doppelganger - Mors</t>
  </si>
  <si>
    <t>以骸, 非强化型, 小体型, 多佩冈亚, 不提升抗打断能力</t>
  </si>
  <si>
    <t>以骸, 强化型, 小体型, 多佩冈亚, 不提升抗打断能力</t>
  </si>
  <si>
    <t>巴罗姆</t>
  </si>
  <si>
    <t>Monster_Bellum</t>
  </si>
  <si>
    <t>Bellum</t>
  </si>
  <si>
    <t>生物, 中体型, 不提升抗打断能力</t>
  </si>
  <si>
    <t>离子体·多佩冈亚·巴罗姆</t>
  </si>
  <si>
    <t>Monster_BellumSlime</t>
  </si>
  <si>
    <t>Ionized - Doppelganger - Bellum</t>
  </si>
  <si>
    <t>以骸, 非强化型, 中体型, 多佩冈亚, 不提升抗打断能力</t>
  </si>
  <si>
    <t>以骸, 强化型, 中体型, 多佩冈亚, 不提升抗打断能力</t>
  </si>
  <si>
    <t>Monster_Pulchra</t>
  </si>
  <si>
    <t>离子体·多佩冈亚·波可娜</t>
  </si>
  <si>
    <t>Monster_PulchraSlime</t>
  </si>
  <si>
    <t>Ionized - Doppelganger - Pulchra</t>
  </si>
  <si>
    <t>简·杜</t>
  </si>
  <si>
    <t>Monster_JaneDoe</t>
  </si>
  <si>
    <t>Jane Doe</t>
  </si>
  <si>
    <t>生物, 小体型, 首领, 不提升抗打断能力</t>
  </si>
  <si>
    <t>离子体·多佩冈亚·简</t>
  </si>
  <si>
    <t>Monster_JaneDoeSlime</t>
  </si>
  <si>
    <t>Ionized - Doppelganger - Jane</t>
  </si>
  <si>
    <t>以骸, 小体型, 首领, 多佩冈亚, 不提升抗打断能力</t>
  </si>
  <si>
    <t>绞杀藤</t>
  </si>
  <si>
    <t>Monster_NinevehVine</t>
  </si>
  <si>
    <t>Constricting Vine</t>
  </si>
  <si>
    <t>盗洞暴徒·蛮横力士</t>
  </si>
  <si>
    <t>Monster_DubiousHero</t>
  </si>
  <si>
    <t>Hollow Thug - Rampant Brute</t>
  </si>
  <si>
    <t>弗瑟尔</t>
  </si>
  <si>
    <t>Monster_Fossor</t>
  </si>
  <si>
    <t>Fossor</t>
  </si>
  <si>
    <t>弗瑟尔·蓄能型</t>
  </si>
  <si>
    <t>Monster_FossorRed</t>
  </si>
  <si>
    <t>Fossor - Energized</t>
  </si>
  <si>
    <t>索迪代斯</t>
  </si>
  <si>
    <t>Monster_Sordidus</t>
  </si>
  <si>
    <t>Sordidus</t>
  </si>
  <si>
    <t>索迪代斯·蓄能型</t>
  </si>
  <si>
    <t>Monster_SordidusRed</t>
  </si>
  <si>
    <t>Sordidus - Energized</t>
  </si>
  <si>
    <t>「霸主侵蚀体·庞培」</t>
  </si>
  <si>
    <t>Monster_TyrantPompey</t>
  </si>
  <si>
    <t>Corrupted Overlord - Pompey</t>
  </si>
  <si>
    <t>以骸, 主线首领, 中体型, 特殊死亡效果, 中级死亡效果</t>
  </si>
  <si>
    <t>以骸, 主线首领, 中体型, 特殊死亡效果, 中级死亡效果, 仅2阶段</t>
  </si>
  <si>
    <t>色雷斯人</t>
  </si>
  <si>
    <t>Monster_Thracian</t>
  </si>
  <si>
    <t>Thracian</t>
  </si>
  <si>
    <t>以骸, 中体型, 首领, 合作, HatredLine</t>
  </si>
  <si>
    <t>地精·蓄能型</t>
  </si>
  <si>
    <t>Monster_GoblinRed</t>
  </si>
  <si>
    <t>Goblin - Energized</t>
  </si>
  <si>
    <t>以骸, 非强化型, 地精, 中体型, 红色</t>
  </si>
  <si>
    <t>以骸, 强化型, 地精, 中体型, 红色</t>
  </si>
  <si>
    <t>铁道地精·蓄能型</t>
  </si>
  <si>
    <t>Monster_GoblinMetroRed</t>
  </si>
  <si>
    <t>Metro Goblin - Energized</t>
  </si>
  <si>
    <t>以骸, 非强化型, 铁道地精, 中体型, 红色</t>
  </si>
  <si>
    <t>以骸, 强化型, 铁道地精, 中体型, 红色</t>
  </si>
  <si>
    <t>离子体·法布提</t>
  </si>
  <si>
    <t>Monster_GiantEnergy</t>
  </si>
  <si>
    <t>Ionized - Farbauti</t>
  </si>
  <si>
    <t>以骸, 非强化型, 大体型, 能量, 特殊死亡效果, 中级死亡效果</t>
  </si>
  <si>
    <t>以骸, 强化型, 大体型, 能量, 特殊死亡效果, 中级死亡效果</t>
  </si>
  <si>
    <t>离子体·塔纳托斯</t>
  </si>
  <si>
    <t>Monster_DeathXIIIEnergy</t>
  </si>
  <si>
    <t>Ionized - Thanatos</t>
  </si>
  <si>
    <t>以骸, 非强化型, 中体型, 能量</t>
  </si>
  <si>
    <t>以骸, 强化型, 中体型, 能量</t>
  </si>
  <si>
    <t>离子体·杜拉罕</t>
  </si>
  <si>
    <t>Monster_DurahanEnergy</t>
  </si>
  <si>
    <t>Ionized - Dullahan</t>
  </si>
  <si>
    <t>轰击猎兵</t>
  </si>
  <si>
    <t>Monster_GrenadierJaeger</t>
  </si>
  <si>
    <t>Demolition Jaeger</t>
  </si>
  <si>
    <t>掷弹猎兵</t>
  </si>
  <si>
    <t>Monster_GrenadierJaegerCam</t>
  </si>
  <si>
    <t>Grenadier Jaegers</t>
  </si>
  <si>
    <t>离子体·瑟托迪亚</t>
  </si>
  <si>
    <t>Monster_Cyrtoidea</t>
  </si>
  <si>
    <t>Ionized - Cyrtoidea</t>
  </si>
  <si>
    <t>离子体·纳塞勒亚</t>
  </si>
  <si>
    <t>Monster_Nassellaria</t>
  </si>
  <si>
    <t>Ionized - Nassellaria</t>
  </si>
  <si>
    <t>伐木机</t>
  </si>
  <si>
    <t>Monster_Harvester</t>
  </si>
  <si>
    <t>Lumberjack</t>
  </si>
  <si>
    <t>牲鬼·布林格</t>
  </si>
  <si>
    <t>Monster_SacrificeBringer</t>
  </si>
  <si>
    <t>Sacrifice - Bringer</t>
  </si>
  <si>
    <t>以骸, 大体型, 布林格1阶段, 灰色, 主线首领</t>
  </si>
  <si>
    <t>以骸, 大体型, 布林格2阶段, 灰色, 主线首领</t>
  </si>
  <si>
    <t>牲鬼·布林格（召唤物手）</t>
  </si>
  <si>
    <t>Monster_SacrificeBringerHand</t>
  </si>
  <si>
    <t>Sacrifice - Bringer (Hand)</t>
  </si>
  <si>
    <t>以骸, 非强化型, 大体型, 主线首领, 召唤物</t>
  </si>
  <si>
    <t>绽壳虫</t>
  </si>
  <si>
    <t>Monster_Shatterbug</t>
  </si>
  <si>
    <t>Shatterbug</t>
  </si>
  <si>
    <t>以骸, 非强化型, 小体型, 橙色</t>
  </si>
  <si>
    <t>以骸, 大体型, 布林格2阶段, 灰色, 主线首领, 仅2阶段</t>
  </si>
  <si>
    <t>阿佩卡（寄生态）</t>
  </si>
  <si>
    <t>Monster_AlpecaInfested</t>
  </si>
  <si>
    <t>Alpeca (Infested)</t>
  </si>
  <si>
    <t>提尔锋（寄生态）</t>
  </si>
  <si>
    <t>Monster_TyrfingInfested</t>
  </si>
  <si>
    <t>Tyrfing (Infested)</t>
  </si>
  <si>
    <t>彷徨猎手</t>
  </si>
  <si>
    <t>Monster_WanderingHunter</t>
  </si>
  <si>
    <t>Wandering Hunter</t>
  </si>
  <si>
    <t>以骸, 中体型, 主线首领, 秽盾首领, 秽蚀</t>
  </si>
  <si>
    <t>以骸, 中体型, 主线首领, 秽盾首领, 高档位秽盾上限, 秽蚀</t>
  </si>
  <si>
    <t>刺椎原虫</t>
  </si>
  <si>
    <t>Monster_Hitchspiker</t>
  </si>
  <si>
    <t>Hitchspiker</t>
  </si>
  <si>
    <t>以骸, 非强化型, 小体型, 非计数</t>
  </si>
  <si>
    <t>以骸, 强化型, 小体型, 非计数</t>
  </si>
  <si>
    <t>恶名·冥宁芙</t>
  </si>
  <si>
    <t>Monster_NotoriousMarionette</t>
  </si>
  <si>
    <t>Notorious - Marionette</t>
  </si>
  <si>
    <t>以骸, 中体型, 主线首领, 恶名·冥宁芙（首领）</t>
  </si>
  <si>
    <t>恶名·冥宁芙（伴舞分身）</t>
  </si>
  <si>
    <t>Monster_NotoriousMarionette_Summon</t>
  </si>
  <si>
    <t>以骸, 中体型, 主线首领, 恶名·冥宁芙（召唤物）, 非计数, 召唤物</t>
  </si>
  <si>
    <t>恶名·庞培</t>
  </si>
  <si>
    <t>Monster_NotoriousPompey</t>
  </si>
  <si>
    <t>Notorious - Pompey</t>
  </si>
  <si>
    <t>自律强袭单位·「提丰·破坏者型」</t>
  </si>
  <si>
    <t>Monster_TyphonDestroyer</t>
  </si>
  <si>
    <t>Autonomous Assault Unit - Typhon Destroyer</t>
  </si>
  <si>
    <t>恶名·死路屠夫</t>
  </si>
  <si>
    <t>Monster_NotoriousDeadEndButcher</t>
  </si>
  <si>
    <t>Notorious - Dead End Butcher</t>
  </si>
  <si>
    <t>特勤护卫</t>
  </si>
  <si>
    <t>Monster_Bodyguard</t>
  </si>
  <si>
    <t>Security Operative</t>
  </si>
  <si>
    <t>生物, 非强化型, 小体型, 特勤护卫, 特勤护卫类型1</t>
  </si>
  <si>
    <t>生物, 非强化型, 小体型, 特勤护卫, 特勤护卫类型2</t>
  </si>
  <si>
    <t>生物, 非强化型, 小体型, 特勤护卫, 特勤护卫类型3</t>
  </si>
  <si>
    <t>生物, 非强化型, 小体型, 特勤护卫, 特勤护卫类型4</t>
  </si>
  <si>
    <t>生物, 强化型, 小体型, 特勤护卫, 特勤护卫类型1</t>
  </si>
  <si>
    <t>生物, 强化型, 小体型, 特勤护卫, 特勤护卫类型2</t>
  </si>
  <si>
    <t>生物, 强化型, 小体型, 特勤护卫, 特勤护卫类型3</t>
  </si>
  <si>
    <t>生物, 强化型, 小体型, 特勤护卫, 特勤护卫类型4</t>
  </si>
  <si>
    <t>骇鸟</t>
  </si>
  <si>
    <t>Monster_TerrorBird</t>
  </si>
  <si>
    <t>Terror Raptor</t>
  </si>
  <si>
    <t>帕里库斯</t>
  </si>
  <si>
    <t>Monster_Palicus</t>
  </si>
  <si>
    <t>Palicus</t>
  </si>
  <si>
    <t>以骸, 中体型, 首领, 帕里库斯</t>
  </si>
  <si>
    <t>帕里库斯（复制体）</t>
  </si>
  <si>
    <t>Monster_Palicus_Clone</t>
  </si>
  <si>
    <t>Palicus (Clone)</t>
  </si>
  <si>
    <t>以骸, 中体型, 首领, 帕里库斯, 复制体</t>
  </si>
  <si>
    <t>特佩什</t>
  </si>
  <si>
    <t>Monster_Tepes</t>
  </si>
  <si>
    <t>Tepes</t>
  </si>
  <si>
    <t>以骸, 大体型, 首领</t>
  </si>
  <si>
    <t>特战强袭轰击者</t>
  </si>
  <si>
    <t>Monster_TacticalAssaultGunner</t>
  </si>
  <si>
    <t>Specialized Assault Bomber</t>
  </si>
  <si>
    <t>生物, 中体型, 首领, 合作, HatredLine</t>
  </si>
  <si>
    <t>暗渊惩戒者</t>
  </si>
  <si>
    <t>Monster_HugoVlad</t>
  </si>
  <si>
    <t>Abyssal Enforcer</t>
  </si>
  <si>
    <t>离子体·多佩冈亚·暗渊惩戒者</t>
  </si>
  <si>
    <t>Monster_HugoVladSlime</t>
  </si>
  <si>
    <t>Ionized - Doppelganger - Abyssal Enforcer</t>
  </si>
  <si>
    <t>生物, 小体型, 首领, 简单, 不提升抗打断能力</t>
  </si>
  <si>
    <t>彷徨猎手（秽息泽）</t>
  </si>
  <si>
    <t>Monster_WanderingHunter_LiquidEtherLaser</t>
  </si>
  <si>
    <t>非计数</t>
  </si>
  <si>
    <t>彷徨猎手（真卢西娅）</t>
  </si>
  <si>
    <t>Monster_WanderingHunter_Child_Lucia_True</t>
  </si>
  <si>
    <t>彷徨猎手（假卢西娅）</t>
  </si>
  <si>
    <t>Monster_WanderingHunter_Child_Lucia_Fake</t>
  </si>
  <si>
    <t>彷徨猎手（追逐）</t>
  </si>
  <si>
    <t>Monster_WanderingHunter_Chasing</t>
  </si>
  <si>
    <t>以骸, 中体型, 主线首领, 秽盾首领, 秽蚀, 追逐</t>
  </si>
  <si>
    <t>The Defector</t>
  </si>
  <si>
    <t>生物, 小体型, 首领, 不提升抗打断能力, 秽盾首领, 秽蚀, 变节者NPC</t>
  </si>
  <si>
    <t>秽息蚀者·阿瓦鲁斯</t>
  </si>
  <si>
    <t>Monster_Avarus</t>
  </si>
  <si>
    <t>Miasma Ravager · Avarus</t>
  </si>
  <si>
    <t>以骸, 大体型, 首领, 秽盾首领, 秽蚀</t>
  </si>
  <si>
    <t>以骸, 大体型, 首领, 秽盾首领, 高档位秽盾上限, 秽蚀</t>
  </si>
  <si>
    <t>渔人蟹</t>
  </si>
  <si>
    <t>Monster_Anglercrab</t>
  </si>
  <si>
    <t>Fisher Crab</t>
  </si>
  <si>
    <t>以骸, 首领, 中体型</t>
  </si>
  <si>
    <t>秽息司祭</t>
  </si>
  <si>
    <t>Monster_MentorMevorakh</t>
  </si>
  <si>
    <t>Miasma Priest</t>
  </si>
  <si>
    <t>生物, 中体型, 首领, 主线首领, 秽盾首领, 秽蚀</t>
  </si>
  <si>
    <t>生物, 中体型, 首领, 主线首领, 秽盾首领, 高档位秽盾上限, 秽蚀</t>
  </si>
  <si>
    <t>秽息行者· 阿卡沃尔</t>
  </si>
  <si>
    <t>Monster_Arcavor</t>
  </si>
  <si>
    <t>Miasma Walker - Arcavor</t>
  </si>
  <si>
    <t>以骸, 强化型, 小体型, 秽蚀</t>
  </si>
  <si>
    <t>班尼雷克</t>
  </si>
  <si>
    <t>Monster_Banyrek</t>
  </si>
  <si>
    <t>Banyrek</t>
  </si>
  <si>
    <t>以骸, 非强化型, 中体型, 秽蚀</t>
  </si>
  <si>
    <t>以骸, 强化型, 中体型, 秽蚀</t>
  </si>
  <si>
    <t>秽息妖鬼·名可名</t>
  </si>
  <si>
    <t>Monster_NamelessOne</t>
  </si>
  <si>
    <t>Miasmic Fiend - Unfathomable</t>
  </si>
  <si>
    <t>以骸, 中体型, 主线首领, 秽盾首领, 秽蚀, 无格挡反击限制实体</t>
  </si>
  <si>
    <t>以骸, 中体型, 主线首领, 秽盾首领, 高档位秽盾上限, 秽蚀, 无格挡反击限制实体</t>
  </si>
  <si>
    <t>以骸, 强化型, 小体型, 秽蚀, 合作</t>
  </si>
  <si>
    <t>秉火领颂</t>
  </si>
  <si>
    <t>Monster_FlameCantor</t>
  </si>
  <si>
    <t>Flame Cantor</t>
  </si>
  <si>
    <t>生物, 非强化型, 中体型, 秽蚀</t>
  </si>
  <si>
    <t>生物, 强化型, 中体型, 秽蚀</t>
  </si>
  <si>
    <t>颂礼赞者</t>
  </si>
  <si>
    <t>Monster_HymnistWar</t>
  </si>
  <si>
    <t>Exalting Hymnist</t>
  </si>
  <si>
    <t>生物, 非强化型, 小体型, 颂礼赞者类型1, 秽蚀</t>
  </si>
  <si>
    <t>生物, 非强化型, 小体型, 颂礼赞者类型2, 秽蚀</t>
  </si>
  <si>
    <t>生物, 非强化型, 小体型, 颂礼赞者类型3, 秽蚀</t>
  </si>
  <si>
    <t>生物, 非强化型, 小体型, 颂礼赞者类型4, 秽蚀</t>
  </si>
  <si>
    <t>生物, 强化型, 小体型, 颂礼赞者类型1, 秽蚀</t>
  </si>
  <si>
    <t>生物, 强化型, 小体型, 颂礼赞者类型2, 秽蚀</t>
  </si>
  <si>
    <t>生物, 强化型, 小体型, 颂礼赞者类型3, 秽蚀</t>
  </si>
  <si>
    <t>生物, 强化型, 小体型, 颂礼赞者类型4, 秽蚀</t>
  </si>
  <si>
    <t>秽蚀·色雷斯人</t>
  </si>
  <si>
    <t>Monster_MiasmaThracian</t>
  </si>
  <si>
    <t>Miasmic - Thracian</t>
  </si>
  <si>
    <t>以骸, 中体型, 首领, 秽盾首领, 秽蚀</t>
  </si>
  <si>
    <t>以骸, 中体型, 首领, 秽盾首领, 高档位秽盾上限, 秽蚀</t>
  </si>
  <si>
    <t>牲鬼·凶魁愚者</t>
  </si>
  <si>
    <t>Monster_HereticHunter</t>
  </si>
  <si>
    <t>Sacrifice - Heretic Jester</t>
  </si>
  <si>
    <t>秽蚀·多佩冈亚·简</t>
  </si>
  <si>
    <t>Monster_MiasmaJaneDoeSlime</t>
  </si>
  <si>
    <t>Miasmic - Doppelganger - Jane</t>
  </si>
  <si>
    <t>以骸, 小体型, 首领, 多佩冈亚, 秽盾首领, 不提升抗打断能力, 秽蚀</t>
  </si>
  <si>
    <t>以骸, 小体型, 首领, 多佩冈亚, 秽盾首领, 不提升抗打断能力, 高档位秽盾上限, 秽蚀</t>
  </si>
  <si>
    <t>秽蚀·多佩冈亚·暗渊惩戒者</t>
  </si>
  <si>
    <t>Monster_MiasmaHugoVladSlime</t>
  </si>
  <si>
    <t>Miasmic - Doppelganger - Abyssal Enforcer</t>
  </si>
  <si>
    <t>「亵渎者」</t>
  </si>
  <si>
    <t>Monster_IsoldetheDefiler</t>
  </si>
  <si>
    <t>"Defiler"</t>
  </si>
  <si>
    <t>以骸, 中体型, 首领, 主线首领, 秽盾首领, 秽蚀</t>
  </si>
  <si>
    <t>以骸, 中体型, 首领, 主线首领, 秽盾首领, 高档位秽盾上限, 秽蚀</t>
  </si>
  <si>
    <t>「亵渎者」（召唤物种子）</t>
  </si>
  <si>
    <t>Monster_IsoldetheDefiler_Tsunami_Seed</t>
  </si>
  <si>
    <t>以骸, 小体型, 非强化型, 海啸种子, 秽蚀</t>
  </si>
  <si>
    <t>「亵渎者」（召唤物屏障）</t>
  </si>
  <si>
    <t>Monster_IsoldetheDefiler_Tsunami_Wall</t>
  </si>
  <si>
    <t>以骸, 小体型, 非强化型, 海啸屏障, 秽蚀</t>
  </si>
  <si>
    <t>秽息残兵·盾卫</t>
  </si>
  <si>
    <t>Monster_MiasmaWalkerGuardJaeger</t>
  </si>
  <si>
    <t>Miasmic Trooper - Shieldguard</t>
  </si>
  <si>
    <t>以骸, 小体型, 非强化型, 秽蚀, 特殊材料秽息泽, 关闭AI, 「亵渎者」</t>
  </si>
  <si>
    <t>秽息残兵·炮手</t>
  </si>
  <si>
    <t>Monster_MiasmaWalkerGrenadierJaeger</t>
  </si>
  <si>
    <t>Miasmic Trooper - Cannoneer</t>
  </si>
  <si>
    <t>以骸, 非强化型, 小体型, 重型, 猎兵, 秽蚀</t>
  </si>
  <si>
    <t>以骸, 强化型, 小体型, 重型, 猎兵, 秽蚀</t>
  </si>
  <si>
    <t>以骸, 非强化型, 小体型, 猎兵, 秽蚀</t>
  </si>
  <si>
    <t>以骸, 强化型, 小体型, 猎兵, 秽蚀</t>
  </si>
  <si>
    <t>离子体·普格努斯</t>
  </si>
  <si>
    <t>Monster_IonizedPugnus</t>
  </si>
  <si>
    <t>Ionized Pugnus</t>
  </si>
  <si>
    <t>以骸, 非强化型, 大体型, 特殊死亡效果, 中级死亡效果, 离子体</t>
  </si>
  <si>
    <t>以骸, 强化型, 大体型, 特殊死亡效果, 中级死亡效果, 离子体</t>
  </si>
  <si>
    <t>秽息原牲</t>
  </si>
  <si>
    <t>Monster_MiasmaSpawn</t>
  </si>
  <si>
    <t>Miasma Spawn</t>
  </si>
  <si>
    <t>赫由托</t>
  </si>
  <si>
    <t>Monster_Hayyot</t>
  </si>
  <si>
    <t>Haytor</t>
  </si>
  <si>
    <t>赫由托（召唤体）</t>
  </si>
  <si>
    <t>Monster_Hayyot_Summon</t>
  </si>
  <si>
    <t>以骸, 中体型, 首领, 秽盾首领, 秽蚀, 关闭AI, 赫由托（召唤体）</t>
  </si>
  <si>
    <t>以骸, 中体型, 首领, 秽盾首领, 高档位秽盾上限, 秽蚀, 合作, HatredLine</t>
  </si>
  <si>
    <t>秽息行者·蝎骸</t>
  </si>
  <si>
    <t>Monster_Chelonethid</t>
  </si>
  <si>
    <t>Miasma Walker · Scorpse</t>
  </si>
  <si>
    <t>以骸, 首领, 大体型, 秽蚀, 秽盾首领</t>
  </si>
  <si>
    <t>以骸, 首领, 大体型, 秽蚀, 秽盾首领, 高档位秽盾上限</t>
  </si>
  <si>
    <t>秽息行者·蝎骸（召唤体）</t>
  </si>
  <si>
    <t>Monster_Chelonethid_Summon</t>
  </si>
  <si>
    <t>以骸, 首领, 大体型, 秽蚀, 秽盾首领, 关闭AI, 秽息行者·蝎骸（召唤体）, 非计数</t>
  </si>
  <si>
    <t>秽蚀·雷蛛（秽息行者·蝎骸召唤体）</t>
  </si>
  <si>
    <t>Monster_Chelonethid_MiasmaSpider</t>
  </si>
  <si>
    <t>以骸, 非强化型, 小体型, 秽蚀, 秽蚀·雷蛛, 关闭AI</t>
  </si>
  <si>
    <t>多佩冈亚·「变节者」</t>
  </si>
  <si>
    <t>Monster_IsoldeSlime</t>
  </si>
  <si>
    <t>Doppelganger - The Defector</t>
  </si>
  <si>
    <t>以骸, 小体型, 首领, 不提升抗打断能力, 多佩冈亚</t>
  </si>
  <si>
    <t>秽蚀·多佩冈亚·「变节者」</t>
  </si>
  <si>
    <t>Monster_MiasmaIsoldeSlime</t>
  </si>
  <si>
    <t>Miasmic - Doppelganger - The Defector</t>
  </si>
  <si>
    <t>以骸, 小体型, 首领, 不提升抗打断能力, 秽盾首领, 多佩冈亚, 秽蚀</t>
  </si>
  <si>
    <t>以骸, 小体型, 首领, 不提升抗打断能力, 秽盾首领, 多佩冈亚, 高档位秽盾上限, 秽蚀</t>
  </si>
  <si>
    <t>安保战术单位·「秩序护卫」</t>
  </si>
  <si>
    <t>Monster_SecurityUnitSoldier_MeleeSoldier</t>
  </si>
  <si>
    <t>Tactical Security Unit - Security Enforcer</t>
  </si>
  <si>
    <t>生物, 非强化型, 小体型, 近战, 士兵, 安保战术单位</t>
  </si>
  <si>
    <t>生物, 强化型, 小体型, 近战, 士兵, 安保战术单位</t>
  </si>
  <si>
    <t>安保战术单位·「秩序护卫」（重型）</t>
  </si>
  <si>
    <t>Monster_SecurityUnitSoldier_HeavySoldier</t>
  </si>
  <si>
    <t>生物, 非强化型, 小体型, 重型, 士兵, 安保战术单位</t>
  </si>
  <si>
    <t>生物, 强化型, 小体型, 重型, 士兵, 安保战术单位</t>
  </si>
  <si>
    <t>安保战术单位·「巡逻者中型」</t>
  </si>
  <si>
    <t>Monster_SecurityUnitLAAndroid</t>
  </si>
  <si>
    <t>Tactical Security Unit - Medium Patroller</t>
  </si>
  <si>
    <t>机械, 非强化型, 中体型, 警察, 安保战术单位</t>
  </si>
  <si>
    <t>机械, 强化型, 中体型, 警察, 安保战术单位</t>
  </si>
  <si>
    <t>安保战术单位·「巡逻者轻型」</t>
  </si>
  <si>
    <t>Monster_SecurityUnitPatroller</t>
  </si>
  <si>
    <t>Tactical Security Unit - Light Patroller</t>
  </si>
  <si>
    <t>机械, 非强化型, 小体型, 安保战术单位</t>
  </si>
  <si>
    <t>机械, 强化型, 小体型, 安保战术单位</t>
  </si>
  <si>
    <t>秽蚀·自律辅助单位·「骇鸟」</t>
  </si>
  <si>
    <t>Monster_MiasmaTerrorBird</t>
  </si>
  <si>
    <t>Miasmic - Autonomous Support Unit - Terror Raptor</t>
  </si>
  <si>
    <t>以骸, 大体型, 首领, 秽蚀, 秽盾首领, 秽蚀·「骇鸟」</t>
  </si>
  <si>
    <t>以骸, 大体型, 首领, 秽蚀, 秽盾首领, 秽蚀·「骇鸟」, 高档位秽盾上限</t>
  </si>
  <si>
    <t>秽蚀·「捷足巡游者」</t>
  </si>
  <si>
    <t>Monster_MiasmaLightfootRover</t>
  </si>
  <si>
    <t>Miasmic - "Lightfoot Rover"</t>
  </si>
  <si>
    <t>以骸, 非强化型, 中体型, 秽蚀, 秽蚀·无人机</t>
  </si>
  <si>
    <t>以骸, 强化型, 中体型, 秽蚀, 秽蚀·无人机</t>
  </si>
  <si>
    <t>以骸, 强化型, 中体型, 秽蚀, 秽蚀·无人机, 双子</t>
  </si>
  <si>
    <t>秽蚀·「重装侵袭者」</t>
  </si>
  <si>
    <t>Monster_MiasmaHeavyStriker</t>
  </si>
  <si>
    <t>Miasmic "Heavy Striker"</t>
  </si>
  <si>
    <t>以骸, 非强化型, 中体型, 秽蚀, 秽蚀·护盾</t>
  </si>
  <si>
    <t>以骸, 强化型, 中体型, 秽蚀, 秽蚀·护盾</t>
  </si>
  <si>
    <t>以骸, 强化型, 中体型, 秽蚀, 秽蚀·护盾, 双子</t>
  </si>
  <si>
    <t>溺想体·狛野真斗</t>
  </si>
  <si>
    <t>Monster_Norano</t>
  </si>
  <si>
    <t>Drowned Ideal - Komano Manato</t>
  </si>
  <si>
    <t>离子体·多佩冈亚·狛野真斗</t>
  </si>
  <si>
    <t>Monster_NoranoSlime</t>
  </si>
  <si>
    <t>Ionized - Doppelganger - Komano Manato</t>
  </si>
  <si>
    <t>秽蚀·多佩冈亚·狛野真斗</t>
  </si>
  <si>
    <t>Monster_MiasmaNoranoSlime</t>
  </si>
  <si>
    <t>Miasmic Doppelganger Komano Manato</t>
  </si>
  <si>
    <t>秽蚀·狂乱暴徒</t>
  </si>
  <si>
    <t>Monster_MiasmaFrenziedManiac</t>
  </si>
  <si>
    <t>Miasmic - Frenzied Maniac</t>
  </si>
  <si>
    <t>以骸, 非强化型, 中体型, 秽蚀, 秽蚀·狂乱暴徒</t>
  </si>
  <si>
    <t>以骸, 强化型, 中体型, 秽蚀, 秽蚀·狂乱暴徒</t>
  </si>
  <si>
    <t>以骸, 强化型, 中体型, 秽蚀, 秽蚀·狂乱暴徒, 双子</t>
  </si>
  <si>
    <t>秽蚀·特里诺斯</t>
  </si>
  <si>
    <t>Monster_MiasmaTrinox</t>
  </si>
  <si>
    <t>Miasmic - Trinox</t>
  </si>
  <si>
    <t>以骸, 非强化型, 中体型, 秽蚀, 秽蚀·特里诺斯</t>
  </si>
  <si>
    <t>以骸, 强化型, 中体型, 秽蚀, 秽蚀·特里诺斯</t>
  </si>
  <si>
    <t>以骸, 强化型, 中体型, 秽蚀, 秽蚀·特里诺斯, 双子</t>
  </si>
  <si>
    <t>秽蚀·盛怒恶霸</t>
  </si>
  <si>
    <t>Monster_MiasmaWickedWrath</t>
  </si>
  <si>
    <t>Miasmic Wicked Wraith</t>
  </si>
  <si>
    <t>牲鬼·卫律使者</t>
  </si>
  <si>
    <t>Monster_CovenantGuardian</t>
  </si>
  <si>
    <t>Sacrifice - Covenant Guardian</t>
  </si>
  <si>
    <t>以骸, 中体型, 首领, 秽蚀, 秽盾首领</t>
  </si>
  <si>
    <t>以骸, 中体型, 首领, 秽蚀, 秽盾首领, 高档位秽盾上限</t>
  </si>
  <si>
    <t>秽息蚀者· 索贝克</t>
  </si>
  <si>
    <t>Monster_Sobek</t>
  </si>
  <si>
    <t>以骸, 中体型, 秽蚀, 无危局强袭战多条血量</t>
  </si>
  <si>
    <t>魇缚者·叶释渊</t>
  </si>
  <si>
    <t>Monster_Awakener</t>
  </si>
  <si>
    <t>Ye Shiyuan the Thrall</t>
  </si>
  <si>
    <t>离子体·多佩冈亚·魇缚者</t>
  </si>
  <si>
    <t>Monster_AwakenerSlime</t>
  </si>
  <si>
    <t>生物, 小体型, 首领, 不提升抗打断能力, 秽盾首领, 秽蚀, 高档位秽盾上限</t>
  </si>
  <si>
    <t>以骸, 小体型, 首领, 不提升抗打断能力, 多佩冈亚, 高档位秽盾上限</t>
  </si>
  <si>
    <t>缄枢</t>
  </si>
  <si>
    <t>Monster_BlackMazingerGoldenBomb</t>
  </si>
  <si>
    <t>Lockspring</t>
  </si>
  <si>
    <t>机械, 大体型, 首领, 黑色</t>
  </si>
  <si>
    <t>秽息蚀者·赫斯克龙</t>
  </si>
  <si>
    <t>Monster_Gloomaron</t>
  </si>
  <si>
    <t>Miasma Ravager - Huskron</t>
  </si>
  <si>
    <t>秽蚀·雷蛛</t>
  </si>
  <si>
    <t>Monster_MiasmaSpider</t>
  </si>
  <si>
    <t>Miasmic - Blastcrawler</t>
  </si>
  <si>
    <t>太初梦魇·「始主」</t>
  </si>
  <si>
    <t>Monster_Vessel</t>
  </si>
  <si>
    <t>Primordial Nightmare - "The Creator"</t>
  </si>
  <si>
    <t>秽蚀·蛮横力士</t>
  </si>
  <si>
    <t>Monster_MiasmaDubiousHero</t>
  </si>
  <si>
    <t>Miasmic - Rampant Brute</t>
  </si>
  <si>
    <t>生物, 中体型, 首领, 秽蚀, 秽盾首领, 非强化型</t>
  </si>
  <si>
    <t>生物, 中体型, 首领, 秽蚀, 秽盾首领, 强化型, 高档位秽盾上限</t>
  </si>
  <si>
    <t>终曲之愿·爱芮</t>
  </si>
  <si>
    <t>Monster_ObsoleteAndroid</t>
  </si>
  <si>
    <t>Wishful Finale - Aria</t>
  </si>
  <si>
    <t>生物, 小体型, 首领, 主线首领</t>
  </si>
  <si>
    <t>「A-H0L0」型高智能战术构造体·幻矢单元</t>
  </si>
  <si>
    <t>A-H0L0 Type Intelligent Tactical Construct - Mirage Archer Unit</t>
  </si>
  <si>
    <t>生物, 小体型, 首领</t>
  </si>
  <si>
    <t>生物, 小体型</t>
  </si>
  <si>
    <t>叛律孤歌·薇斯珀</t>
  </si>
  <si>
    <t>Monster_Vesper</t>
  </si>
  <si>
    <t>Discordant Solo - Vesper</t>
  </si>
  <si>
    <t>异常条ID</t>
  </si>
  <si>
    <t>对应异常ID</t>
  </si>
  <si>
    <t>备注</t>
  </si>
  <si>
    <t>异常CD</t>
  </si>
  <si>
    <t>积蓄值需求1</t>
  </si>
  <si>
    <t>积蓄值需求2</t>
  </si>
  <si>
    <t>积蓄值需求3</t>
  </si>
  <si>
    <t>积蓄值需求4</t>
  </si>
  <si>
    <t>积蓄值需求5</t>
  </si>
  <si>
    <t>积蓄值需求6</t>
  </si>
  <si>
    <t>积蓄值需求7</t>
  </si>
  <si>
    <t>积蓄值需求8</t>
  </si>
  <si>
    <t>积蓄值需求9</t>
  </si>
  <si>
    <t>积蓄值需求10</t>
  </si>
  <si>
    <t>常规冰异常</t>
  </si>
  <si>
    <t>常规火异常</t>
  </si>
  <si>
    <t>常规电异常</t>
  </si>
  <si>
    <t>常规物理异常</t>
  </si>
  <si>
    <t>常规以太异常</t>
  </si>
  <si>
    <t>不可冻结</t>
  </si>
  <si>
    <t>克制火异常</t>
  </si>
  <si>
    <t>克制电异常</t>
  </si>
  <si>
    <t>克制以太异常</t>
  </si>
  <si>
    <t>序号</t>
  </si>
  <si>
    <t>异常积蓄值上限</t>
  </si>
  <si>
    <t>SubID</t>
  </si>
  <si>
    <t>技能名称</t>
  </si>
  <si>
    <t>技能描述</t>
  </si>
  <si>
    <t>点按 &lt;IconMap:Icon_Normal&gt; 发动：
    向前方进行至多四段的斩击，前三段造成物理伤害，第四段造成电属性伤害。</t>
  </si>
  <si>
    <t>发动[普通攻击]第三段后，长按或停顿后点按 &lt;IconMap:Icon_Normal&gt; 发动：
    向前方进行下落打击，造成电属性伤害；
    招式发动期间抗打断等级提升。</t>
  </si>
  <si>
    <t>点按 &lt;IconMap:Icon_Special&gt; 发动：
    向前方进行上挑斩击，造成电属性伤害；
    若衔接在[普通攻击]第三段或[普通攻击：落雷]之后，则能够以更快的速度发动；
    招式发动期间抗打断等级提升。</t>
  </si>
  <si>
    <t>能量足够时，点按 &lt;IconMap:Icon_SpecialReady&gt; 发动：
    向前方进行强力上挑斩击，造成大量电属性伤害；
    若衔接在[普通攻击]第三段或[普通攻击：落雷]之后，则能够以更快的速度发动；
    招式发动期间拥有无敌效果。</t>
  </si>
  <si>
    <t>闪避：滑步</t>
  </si>
  <si>
    <t>点按 &lt;IconMap:Icon_Evade&gt; 发动：
    快速的冲刺闪避；
    招式发动期间拥有无敌效果。</t>
  </si>
  <si>
    <t>闪避时，点按 &lt;IconMap:Icon_Normal&gt; 发动：
    向身周进行斩击，造成物理伤害。</t>
  </si>
  <si>
    <t>触发[极限闪避]后，点按 &lt;IconMap:Icon_Normal&gt; 发动：
    对前方敌人发动斩击，造成电属性伤害；
    招式发动期间拥有无敌效果。</t>
  </si>
  <si>
    <t>触发[连携技]时，选择对应角色发动：
    对前方小范围敌人发动强力上挑斩击，造成大量电属性伤害；
    招式发动期间拥有无敌效果。</t>
  </si>
  <si>
    <t>喧响等级达到[极]时，点按 &lt;IconMap:Icon_UltimateReady&gt; 发动：
    对前方小范围敌人发动强力上挑斩击，并追加下落攻击，造成大量电属性伤害；
    招式发动期间拥有无敌效果。</t>
  </si>
  <si>
    <t>当前操作中的角色被击飞时，点按 &lt;IconMap:Icon_Switch&gt; 发动：
    对前方敌人发动斩击，造成电属性伤害；
    招式发动期间拥有无敌效果。</t>
  </si>
  <si>
    <t>前场角色即将被攻击时，点按 &lt;IconMap:Icon_Switch&gt; 发动：
    招架敌人的攻击，累积大量失衡值；
    招式发动期间拥有无敌效果。</t>
  </si>
  <si>
    <t>发动[招架支援]后，点按 &lt;IconMap:Icon_Normal&gt; 发动：
    对前方敌人发动回旋斩击，造成电属性伤害；
    招式发动期间拥有无敌效果。</t>
  </si>
  <si>
    <t>点按 &lt;IconMap:Icon_Normal&gt; 发动：
    向前方进行至多五段的斩击，造成物理伤害；
    发动最后一段斩击时，有33.33%的概率重复攻击三次。</t>
  </si>
  <si>
    <t>在[普通攻击]前三段中，长按 &lt;IconMap:Icon_Normal&gt; 发动：
    向前方进行斩击，可穿过前方敌人，并对其造成物理伤害；
    招式发动时，有33.33%的概率重复攻击三次。</t>
  </si>
  <si>
    <t>点按 &lt;IconMap:Icon_Special&gt; 发动：
    向前方进行下落打击，造成物理伤害；
    招式发动期间抗打断等级提升。</t>
  </si>
  <si>
    <t>能量足够时，点按 &lt;IconMap:Icon_SpecialReady&gt; 发动：
    向前方进行强力下落斩击，造成大量物理伤害；
    招式发动期间拥有无敌效果。</t>
  </si>
  <si>
    <t>闪避：打不着喵~</t>
  </si>
  <si>
    <t>闪避时，点按 &lt;IconMap:Icon_Normal&gt; 发动：
    向前方进行斩击，造成物理伤害。</t>
  </si>
  <si>
    <t>触发[极限闪避]后，点按 &lt;IconMap:Icon_Normal&gt; 发动：
    对前方敌人发动斩击，造成物理伤害；
    招式发动期间拥有无敌效果。</t>
  </si>
  <si>
    <t>触发[连携技]时，选择对应角色发动：
    对前方大范围敌人发动强力斩击，造成大量物理伤害；
    招式发动期间拥有无敌效果。</t>
  </si>
  <si>
    <t>喧响等级达到[极]时，点按 &lt;IconMap:Icon_UltimateReady&gt; 发动：
    对前方大范围敌人发动强力斩击，造成大量物理伤害；
    招式发动期间拥有无敌效果。</t>
  </si>
  <si>
    <t>当前操作中的角色被击飞时，点按 &lt;IconMap:Icon_Switch&gt; 发动：
    对前方敌人发动斩击，造成物理伤害；
    招式发动期间拥有无敌效果。</t>
  </si>
  <si>
    <t>发动[招架支援]后，点按 &lt;IconMap:Icon_Normal&gt; 发动：
    对前方敌人发动突进斩击，造成物理伤害；
    招式发动期间拥有无敌效果。</t>
  </si>
  <si>
    <t>点按 &lt;IconMap:Icon_Normal&gt; 发动：
    向前方进行至多三段的打击，造成物理伤害。</t>
  </si>
  <si>
    <t>发动[特殊技]、[强化特殊技]、[连携技]、[终结技]等招式后，能够上弹并强化[普通攻击]与[冲刺攻击]，提升子弹的威力。</t>
  </si>
  <si>
    <t>点按 &lt;IconMap:Icon_Special&gt; 发动：
    对前方敌人发动远程打击，造成以太伤害；
    招式发动期间抗打断等级提升；
    招式发动后自动上弹并强化[普通攻击]与[冲刺攻击]，最多触发8次。</t>
  </si>
  <si>
    <t>能量足够时，点按 &lt;IconMap:Icon_SpecialReady&gt; 发动：
    对前方敌人发动强力远程打击，并在目标处生成能量场，持续牵引敌人，造成以太伤害；
    长按 &lt;IconMap:Icon_SpecialReady&gt; 可以进行蓄力，在炮口生成小型能量场，持续消耗能量并对近处的敌人造成额外伤害；
    招式发动期间拥有无敌效果；
    招式命中敌人时，将触发[快速支援]；
    招式发动后自动上弹并强化[普通攻击]与[冲刺攻击]，最多触发8次。</t>
  </si>
  <si>
    <t>闪避：脱兔</t>
  </si>
  <si>
    <t>点按 &lt;IconMap:Icon_Evade&gt; 发动：
    快速的冲刺闪避；
    招式发动期间拥有无敌效果；
    拖曳{LAYOUT_CONSOLECONTROLLER#操作杆}{LAYOUT_FALLBACK#摇杆}发动闪避时，长按 &lt;IconMap:Icon_Evade&gt; ，可以在闪避中途上弹并强化[普通攻击]与[冲刺攻击]，最多触发8次。</t>
  </si>
  <si>
    <t>拖曳{LAYOUT_CONSOLECONTROLLER#操作杆}{LAYOUT_FALLBACK#摇杆}发动闪避后，点按 &lt;IconMap:Icon_Normal&gt; 发动：
    向对应方向冲刺，并对身周敌人进行打击，造成物理伤害；
    未拖曳{LAYOUT_CONSOLECONTROLLER#操作杆}{LAYOUT_FALLBACK#摇杆}发动闪避后，点按 &lt;IconMap:Icon_Normal&gt; 发动：
    向后躲避，并对前方敌人发动远程打击，造成物理伤害；
    招式发动后自动上弹并强化[普通攻击]与[冲刺攻击]，最多触发8次。</t>
  </si>
  <si>
    <t>触发[极限闪避]后，点按 &lt;IconMap:Icon_Normal&gt; 发动：
    向后闪避，并对前方敌人发动远程打击，造成以太伤害；
    招式发动期间拥有无敌效果；
    招式发动后自动上弹并强化[普通攻击]与[冲刺攻击]，最多触发8次。</t>
  </si>
  <si>
    <t>触发[连携技]时，选择对应角色发动：
    对前方小范围敌人发动强力远程打击，并在目标处生成能量场，持续牵引周围敌人，造成以太伤害；
    招式发动期间拥有无敌效果；
    招式命中敌人时，将触发[快速支援]；
    招式发动后自动上弹并强化[普通攻击]与[冲刺攻击]，最多触发8次。</t>
  </si>
  <si>
    <t>喧响等级达到[极]时，点按 &lt;IconMap:Icon_UltimateReady&gt; 发动：
    对前方小范围敌人发动强力远程打击，并在目标处生成能量场，持续牵引周围敌人，造成以太伤害；
    招式发动时，队伍中其他角色回复10点能量，下一名换入前场的角色额外回复20点能量；
    招式发动期间拥有无敌效果；
    招式命中敌人时，将触发[快速支援]；
    招式发动后自动上弹并强化[普通攻击]与[冲刺攻击]，最多触发8次。</t>
  </si>
  <si>
    <t>当前操作中的角色被击飞时，点按 &lt;IconMap:Icon_Switch&gt; 发动：
    向后闪避，并对前方敌人发动远程打击，造成以太伤害；
    招式发动期间拥有无敌效果；
    招式发动后自动上弹并强化[普通攻击]与[冲刺攻击]，最多触发8次。</t>
  </si>
  <si>
    <t>发动[招架支援]后，点按 &lt;IconMap:Icon_Normal&gt; 发动：
    向前方突进后对敌人发动炮击，造成以太伤害；
    招式发动期间拥有无敌效果。</t>
  </si>
  <si>
    <t>点按 &lt;IconMap:Icon_Normal&gt; 发动：
    向前方进行至多四段的斩击，造成物理伤害。</t>
  </si>
  <si>
    <t>在恰当的时机点按 &lt;IconMap:Icon_Normal&gt; 发动：
    发动更加强力的斩击，造成火属性伤害。</t>
  </si>
  <si>
    <t>在恰当的时机点按 &lt;IconMap:Icon_Normal&gt; 发动：
    发动更加强力的斩击，造成火属性伤害。
    必定触发[火力镇压]的状态下，在进攻即将结束时点按 &lt;IconMap:Icon_Normal&gt; 可更快速地衔接至下一段[普通攻击]。
    在必定触发[火力镇压]的状态下，可解锁第五段[普通攻击]，发动[连携技]或[终结技]时，可强化下一次第五段[普通攻击]。强化第五段[普通攻击]发动时可消耗当前所有必定触发[火力镇压]的次数，每消耗一次造成额外火属性伤害。
    触发[极限闪避]后，可保留当前普攻段数持续5秒，发动[闪避反击]后点按 &lt;IconMap:Icon_Normal&gt; 可从保留的普攻段数开始发动[普通攻击]。</t>
  </si>
  <si>
    <t>长按 &lt;IconMap:Icon_Normal&gt; 发动：[普通攻击：火力充能]
    [普通攻击：火力充能]发动过程中松开 &lt;IconMap:Icon_Normal&gt; 时发动[普通攻击：火力迸发]。
    [普通攻击：火力迸发]发动过程中或[普通攻击：火力充能]发动瞬间受到敌方攻击时，可触发格挡反击，免疫该次伤害，并额外获得3次必定触发[火力镇压]的次数，点按 &lt;IconMap:Icon_Normal&gt; 可衔接至第三段[普通攻击]，上限为8次，
    在蓄力过程中拖曳{LAYOUT_CONSOLECONTROLLER#操作杆}{LAYOUT_FALLBACK#摇杆}时，可以发动[普通攻击：烈焰奔袭]。</t>
  </si>
  <si>
    <t>点按 &lt;IconMap:Icon_Special&gt; 发动：
    向身周进行斩击，造成火属性伤害；
    招式发动期间抗打断等级提升。</t>
  </si>
  <si>
    <t>能量足够时，点按 &lt;IconMap:Icon_SpecialReady&gt; 发动：
    向身周进行强力斩击，造成大量火属性伤害；
    招式发动期间拥有无敌效果；
    招式发动后，[普通攻击]和[冲刺攻击]必定触发[火力镇压]，最多持续30秒或触发8次。</t>
  </si>
  <si>
    <t>能量足够时，点按 &lt;IconMap:Icon_SpecialReady&gt; 发动：
    向身周进行强力斩击，造成大量火属性伤害；
    招式发动期间拥有无敌效果；
    招式发动后，[普通攻击]和[冲刺攻击]必定触发[火力镇压]，最多持续30秒或触发8次。
    招式发动后，点击 &lt;IconMap:Icon_Normal&gt; 可直接衔接至第四段[普通攻击]。
    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t>
  </si>
  <si>
    <t>闪避：退火</t>
  </si>
  <si>
    <t>闪避时，点按 &lt;IconMap:Icon_Normal&gt; 发动：
    向前方进行斩击，造成火属性伤害。</t>
  </si>
  <si>
    <t>触发[极限闪避]后，点按 &lt;IconMap:Icon_Normal&gt; 发动：
    对前方敌人发动强力斩击，造成大量火属性伤害；
    招式发动期间拥有无敌效果。</t>
  </si>
  <si>
    <t>触发[连携技]时，选择对应角色发动：
    对前方小范围敌人进行强力上挑斩击，造成大量火属性伤害；
    招式发动期间拥有无敌效果；
    招式发动后，[普通攻击]和[冲刺攻击]必定触发[火力镇压]，最多持续30秒或触发8次。</t>
  </si>
  <si>
    <t>触发[连携技]时，选择对应角色发动：
    对前方小范围敌人进行强力上挑斩击，造成大量火属性伤害；
    招式发动期间拥有无敌效果；
    招式发动后，[普通攻击]和[冲刺攻击]必定触发[火力镇压]，最多持续30秒或触发8次。
    招式发动后，点击 &lt;IconMap:Icon_Normal&gt; 可直接衔接至第四段[普通攻击]。 
    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t>
  </si>
  <si>
    <t>喧响等级达到[极]时，点按 &lt;IconMap:Icon_UltimateReady&gt; 发动：
    对前方小范围敌人进行强力上挑斩击，造成大量火属性伤害；
    招式发动期间拥有无敌效果；
    招式发动后，[普通攻击]和[冲刺攻击]必定触发[火力镇压]，最多持续30秒或触发8次。</t>
  </si>
  <si>
    <t>喧响等级达到[极]时，点按 &lt;IconMap:Icon_UltimateReady&gt; 发动：
    对前方小范围敌人进行强力上挑斩击，造成大量火属性伤害；
    招式发动期间拥有无敌效果；
    招式发动后，[普通攻击]和[冲刺攻击]必定触发[火力镇压]，最多持续30秒或触发8次。
    招式发动后，点击 &lt;IconMap:Icon_Normal&gt; 可直接衔接至第四段[普通攻击]。
    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t>
  </si>
  <si>
    <t>当前操作中的角色被击飞时，点按 &lt;IconMap:Icon_Switch&gt; 发动：
    对前方敌人发动斩击，造成火属性伤害；
    招式发动期间拥有无敌效果。</t>
  </si>
  <si>
    <t>发动[招架支援]后，点按 &lt;IconMap:Icon_Normal&gt; 发动：
    对前方敌人发动交叉斩击，造成火属性伤害；
    招式发动期间拥有无敌效果。</t>
  </si>
  <si>
    <t>点按 &lt;IconMap:Icon_Normal&gt; 发动：
    向前方进行至多三段的打击，造成冰属性伤害。
    第三段打击命中时，伊德海莉将回复10%生命值。</t>
  </si>
  <si>
    <t>长按 &lt;IconMap:Icon_Normal&gt; 发动：
    伊德海莉开始蓄力，蓄力会持续消耗生命值，最多可以进行三段蓄力，松开 &lt;IconMap:Icon_Normal&gt; 时，伊德海莉将根据当前蓄力段数，前方发动强力蓄力锤击，造成大量冰属性伤害；
    伊德海莉生命值越多，蓄力消耗生命值的速度越快，最多消耗生命值至最大生命值的25%；
    蓄力段数达到2时，招式发动后，点击 &lt;IconMap:Icon_Normal&gt; ，可以直接衔接第三段[普通攻击：碎惘沉击]，通过这种方式发动的[普通攻击：碎惘沉击]伤害会根据当前的蓄力段数提升，最多提升30%，
    蓄力段数达到3时，蓄力招式发动期间抗打断等级提升，点击 &lt;IconMap:Icon_Normal&gt; ，可以提前衔接至终结下砸。</t>
  </si>
  <si>
    <t>在[普通攻击：霜寒拥覆]的蓄力或旋转横挥期间受到敌方攻击时，可以用触手格挡，使受到的伤害降低25%；
    如果此时正在蓄力或蓄力段数未满，则会用触手借势反击敌人，回到蓄力姿态并立刻提升1段蓄力等级，对前方敌人造成冰属性伤害；
    在霜凝千钧期间点击 &lt;IconMap:Icon_Normal&gt; ，伊德海莉会基于当前蓄力等级立刻发动[普通攻击：霜寒拥覆]的下砸终结攻击。
    在霜凝千钧期间点击 &lt;IconMap:Icon_Special&gt; 、 &lt;IconMap:Icon_SpecialReady_Rp&gt; ，伊德海莉会发动必定触发[溯寒]的[特殊技：溯寒追碾]</t>
  </si>
  <si>
    <t>点按 &lt;IconMap:Icon_Special&gt; 发动：
    挑飞前方敌人，造成冰属性伤害；
    招式发动期间抗打断等级提升。</t>
  </si>
  <si>
    <t>闪能足够时，点按  &lt;IconMap:Icon_SpecialReady_Rp&gt; 发动：
    连续上挑两次，并挥出冰雾，造成大量冰属性伤害；
    [强化特殊技：缠霜]若成功命中敌人，会在招式发动结束时回复生命值，回复量相当于伊德海莉已损失生命值的33%；
    招式发动期间拥有无敌效果。</t>
  </si>
  <si>
    <t>在[普通攻击：霜寒拥覆]的蓄力或旋转横挥期间，点按 &lt;IconMap:Icon_Special&gt; 、 &lt;IconMap:Icon_SpecialReady_Rp&gt; 或在保持按住 &lt;IconMap:Icon_Normal&gt; 的同时点按 &lt;IconMap:Icon_Evade&gt; 发动：
    挑飞前方敌人，造成冰属性伤害；
    招式的攻击和敌人的攻击发生相撞时，会触发[溯寒]；
    招式攻击命中处于失衡状态下的敌人，且闪能足够时，会触发[追碾]；
    触发[溯寒]或[追碾]时，立刻提升蓄力等级至最大值；
    招式发动期间点击 &lt;IconMap:Icon_Normal&gt; ，伊德海莉会基于当前蓄力等级立刻发动[普通攻击：霜寒拥覆]的下砸终结攻击。
    招式发动期间抗打断等级提升。</t>
  </si>
  <si>
    <t>触发[溯寒]或[追碾]，且闪能足够时，点按 &lt;IconMap:Icon_SpecialReady_Rp&gt; 或 &lt;IconMap:Icon_Normal&gt; 发动：
    向前方冲刺、快速上挑并腾空跃起，随后发动强力的下砸攻击，造成大量冰属性伤害；
    [强化特殊技：极寒重碾]若成功命中敌人，会在招式发动结束时回复生命值，回复量相当于伊德海莉已损失生命值的33%；
    若在[溯寒]后发动招式，额外回复15闪能，1秒内最多触发1次。
    招式发动后，点击 &lt;IconMap:Icon_Normal&gt; ，会基于当前蓄力等级立刻发动[普通攻击：霜寒拥覆]的下砸终结攻击。
    招式发动期间拥有无敌效果。</t>
  </si>
  <si>
    <t>闪避：迁梦</t>
  </si>
  <si>
    <t>闪避时，点按 &lt;IconMap:Icon_Normal&gt; 发动：
    向前方进行打击，造成冰属性伤害。</t>
  </si>
  <si>
    <t>触发[极限闪避]后，点按 &lt;IconMap:Icon_Normal&gt; 发动：
    对前方敌人发动打击，造成冰属性伤害；
    招式发动期间拥有无敌效果。</t>
  </si>
  <si>
    <t>触发[连携技]时，选择对应角色发动：
    对前方小范围敌人发动强力打击，造成大量冰属性伤害；
    处于[以太帷幕·涌泉]中时，会召唤触手进行协同攻击，进一步提升招式的威力；
    招式发动期间拥有无敌效果。</t>
  </si>
  <si>
    <t>以太帷幕·涌泉</t>
  </si>
  <si>
    <t>喧响等级达到[极]时，[普通攻击：霜寒拥覆]、[强化特殊技：缠霜]、[强化特殊技：极寒重碾]、[连携技：踱寒践约]最后一击命中敌人时，将消耗3000喧响值，并开启[以太帷幕·涌泉]，[以太帷幕·涌泉]生效期间，全队角色最大生命值提升5%，持续30秒，重复触发延长持续时间，最多延长至300秒；
    伊德海莉处于[以太帷幕·涌泉]中时，[普通攻击：霜寒拥覆]的蓄力速度增加、蓄力消耗生命值速度增加。</t>
  </si>
  <si>
    <t>伊德海莉消耗喧响值开启[以太帷幕·涌泉]后，在30秒内点按 &lt;IconMap:Icon_UltimateReady&gt; 发动：
    对前方大范围敌人进行强力打击，造成大量冰属性伤害；
    招式发动期间拥有无敌效果；
    伊德海莉每次消耗喧响值开启[以太帷幕·涌泉]，最多发动1次[终结技：终幕·惘事渡却]。</t>
  </si>
  <si>
    <t>当前操作中的角色被击飞时，点按 &lt;IconMap:Icon_Switch&gt; 发动：
    对前方敌人发动打击，造成冰属性伤害；
    招式发动期间拥有无敌效果。</t>
  </si>
  <si>
    <t>发动[招架支援]后，点按 &lt;IconMap:Icon_Normal&gt; 发动：
    对前方敌人发动冰片锤击，造成冰属性伤害；
    招式发动期间拥有无敌效果。</t>
  </si>
  <si>
    <t>点按 &lt;IconMap:Icon_Normal&gt; 发动：
    向前方进行至多五段的斩击，造成物理伤害；
    在第三、第五段中连点或长按时，可以使用电锯持续斩击敌人。</t>
  </si>
  <si>
    <t>点按 &lt;IconMap:Icon_Special&gt; 发动：
    向前方进行持续斩击，随后引爆电锯，造成物理伤害；
    连点或长按时，可以使用电锯持续斩击敌人；
    招式发动期间抗打断等级提升，受到的伤害降低40%。</t>
  </si>
  <si>
    <t>能量足够时，点按 &lt;IconMap:Icon_SpecialReady&gt; 发动：
    向前方进行持续强力斩击，随后引爆电锯，造成大量物理伤害；
    连点或长按时，可以使用电锯持续斩击敌人，并随招式命中目标，逐渐消耗能量；
    回旋斩击期间拥有无敌效果；
    持续斩击期间抗打断等级提升，受到的伤害降低40%。</t>
  </si>
  <si>
    <t>闪避：[离]</t>
  </si>
  <si>
    <t>闪避时，点按 &lt;IconMap:Icon_Normal&gt; 发动：
    向前方发动斩击，造成物理伤害；
    连点或长按时，可以使用电锯持续斩击敌人。</t>
  </si>
  <si>
    <t>触发[极限闪避]后，点按 &lt;IconMap:Icon_Normal&gt; 发动：
    对前方敌人发动斩击，随后引爆电锯，造成物理伤害；
    连点或长按时，可以使用电锯持续斩击敌人；
    招式发动期间拥有无敌效果。</t>
  </si>
  <si>
    <t>触发[连携技]时，选择对应角色发动：
    对前方小范围敌人发动强力斩击，造成大量物理伤害；
    连点或长按时，可以使用电锯持续斩击敌人；
    招式发动期间拥有无敌效果。</t>
  </si>
  <si>
    <t>喧响等级达到[极]时，点按 &lt;IconMap:Icon_UltimateReady&gt; 发动：
    对前方小范围敌人发动强力斩击，造成大量物理伤害；
    连点或长按时，可以使用电锯持续斩击敌人；
    招式发动期间拥有无敌效果。</t>
  </si>
  <si>
    <t>当前操作中的角色被击飞时，点按 &lt;IconMap:Icon_Switch&gt; 发动：
    对前方敌人发动斩击，随后引爆电锯，造成物理伤害；
    连点或长按时，可以使用电锯持续斩击敌人；
    招式发动期间拥有无敌效果。</t>
  </si>
  <si>
    <t>前场角色即将被攻击时，点按 &lt;IconMap:Icon_Switch&gt; 发动：
    招架敌人的攻击，累积大量失衡值；
    具有较为优秀的招架性能，承受高强度攻击时[支援点数]的消耗量降低；
    招式发动期间拥有无敌效果。</t>
  </si>
  <si>
    <t>发动[招架支援]后，点按 &lt;IconMap:Icon_Normal&gt; 发动：
    对前方敌人发动连续斩击，随后引爆电锯，造成物理伤害；
    连点或长按时，可以使用电锯持续斩击敌人；
    招式发动期间拥有无敌效果。</t>
  </si>
  <si>
    <t>点按 &lt;IconMap:Icon_Normal&gt; 发动：
    向前方进行至多六段的斩击，造成物理伤害。</t>
  </si>
  <si>
    <t>[支援点数]足够时，长按 &lt;IconMap:Icon_Normal&gt; 发动：
    消耗1点[支援点数]，丢出手中的盾牌对四周进行攻击，造成物理伤害；
    招式发动期间拥有无敌效果。</t>
  </si>
  <si>
    <t>点按 &lt;IconMap:Icon_Special&gt; 发动：
    使用盾牌向前方进行打击，造成物理伤害；
    若在招式发动初期的较短时间内受到敌方攻击，将触发[精准格挡]，抵挡此次攻击伤害，并自动衔接发动[特殊技：喧嚣直刺]；
    招式发动后，凯撒将进入格挡架势，期间自身受到的伤害降低40%，受到敌人攻击时将持盾格挡并被击退，随后点按 &lt;IconMap:Icon_Special&gt; 或 &lt;IconMap:Icon_SpecialReady&gt; ，可以触发[防御反击]，发动[特殊技：喧嚣直刺]或[强化特殊技：超强力盾击]；
    触发[防御反击]时，招式发动期间拥有无敌效果。</t>
  </si>
  <si>
    <t>[特殊技：震荡盾击]发动后，点按 &lt;IconMap:Icon_Special&gt; 发动：
    向前方进行刺击，造成物理伤害；
    未触发[精准格挡]和[防御反击]时，招式发动期间抗打断等级提升；
    触发[精准格挡]或[防御反击]时，招式发动期间拥有无敌效果。</t>
  </si>
  <si>
    <t>能量足够时，点按 &lt;IconMap:Icon_SpecialReady&gt; 发动：
    使用盾牌向前方进行打击，随后发动强力刺击，造成大量物理伤害；
    若在招式发动初期受到敌方攻击，或通过盾牌打击触发[破招]时，将触发[精准格挡]，抵挡此次攻击伤害，并挥盾反击；触发[精准格挡]后，点按 &lt;IconMap:Icon_SpecialReady&gt; ，可以发动[强化特殊技：超强力盾击]，且无需消耗能量；
    招式发动后，凯撒将进入格挡架势，期间自身受到的伤害降低40%，受到敌人攻击时将持盾格挡并被击退，随后点按 &lt;IconMap:Icon_Special&gt; 或 &lt;IconMap:Icon_SpecialReady&gt; ，可以触发[防御反击]，发动[特殊技：喧嚣直刺]或[强化特殊技：超强力盾击]；
    招式发动期间拥有无敌效果。</t>
  </si>
  <si>
    <t>[强化特殊技：招架反击]发动后，能量足够时，点按 &lt;IconMap:Icon_SpecialReady&gt; 发动：
    使用盾牌向前方进行打击，造成大量物理伤害；
    若在招式发动初期受到敌方攻击，或通过盾牌打击触发[破招]时，将触发[精准格挡]，抵挡此次攻击伤害，并返还发动招式所消耗的能量；
    以[精准格挡]或[防御反击]的方式发动时，无法再次触发[精准格挡]；
    招式发动期间拥有无敌效果。</t>
  </si>
  <si>
    <t>攻防转换</t>
  </si>
  <si>
    <t>凯撒触发[精准格挡]、[防御反击]或[招架支援]时，自身冲击力提升{CAL:8+AvatarSkillLevel(1)*1,1,2}%，持续3秒。</t>
  </si>
  <si>
    <t>闪避：漂移</t>
  </si>
  <si>
    <t>闪避时，点按 &lt;IconMap:Icon_Normal&gt; 发动：
    使用盾牌向前方进行打击，造成物理伤害。
    招式发动期间自身受到的伤害降低40%，受到敌人攻击时将持盾格挡并被击退，随后点按 &lt;IconMap:Icon_Special&gt; 或 &lt;IconMap:Icon_SpecialReady&gt; ，可以触发[防御反击]，发动[特殊技：喧嚣直刺]或[强化特殊技：超强力盾击]。</t>
  </si>
  <si>
    <t>触发[极限闪避]后，点按 &lt;IconMap:Icon_Normal&gt; 发动：
    对前方敌人发动刺击，造成物理伤害；
    招式发动期间拥有无敌效果。</t>
  </si>
  <si>
    <t>触发[连携技]时，选择对应角色发动：
    对前方范围敌人发动强力下落打击，造成大量物理伤害；
    招式发动期间拥有无敌效果。</t>
  </si>
  <si>
    <t>喧响等级达到[极]时，点按 &lt;IconMap:Icon_UltimateReady&gt; 发动：
    丢出手中的盾牌对前方敌人发动强力旋转攻击，随后发动下落打击，造成大量物理伤害；
    命中持有护盾的敌人时，招式造成的失衡值提升{CAL:40+AvatarSkillLevel(3)*5,1,2}%；
    招式发动期间拥有无敌效果。</t>
  </si>
  <si>
    <t>当前操作中的角色被击飞时，点按 &lt;IconMap:Icon_Switch&gt; 发动：
    对前方敌人发动刺击，造成物理伤害；
    招式发动期间拥有无敌效果。</t>
  </si>
  <si>
    <t>发动[招架支援]后，点按 &lt;IconMap:Icon_Normal&gt; 发动：
    丢出手中的盾牌对前方敌人发动强力旋转攻击，随后发动斩击，造成物理伤害；
    招式发动后点按 &lt;IconMap:Icon_Special&gt; 或 &lt;IconMap:Icon_SpecialReady&gt; ，可以触发[防御反击]，发动[特殊技：喧嚣直刺]或[强化特殊技：超强力盾击]；
    招式发动期间拥有无敌效果。</t>
  </si>
  <si>
    <t>点按 &lt;IconMap:Icon_Normal&gt; 发动：
    对前方敌人发动穿透攻击，造成物理伤害；
    连点或长按时，可以进入蹲姿射击，延长射击的持续时间；
    蹲姿射击途中拖曳{LAYOUT_CONSOLECONTROLLER#操作杆}{LAYOUT_FALLBACK#摇杆}时，可以发动翻滚射击，调整身位并造成物理伤害；
    蹲姿射击途中停止连点或松开长按时，对前方敌人发动终结射击，造成物理伤害。</t>
  </si>
  <si>
    <t>点按 &lt;IconMap:Icon_Special&gt; 发动：
    向前方直线区域进行至多三段的穿透攻击，造成物理伤害；
    招式发动期间抗打断等级提升。</t>
  </si>
  <si>
    <t>能量足够时，点按 &lt;IconMap:Icon_SpecialReady&gt; 发动：
    向前方直线区域进行强力穿透攻击，造成大量物理伤害；
    招式发动期间拥有无敌效果。</t>
  </si>
  <si>
    <t>闪避：好险好险</t>
  </si>
  <si>
    <t>拖曳{LAYOUT_CONSOLECONTROLLER#操作杆}{LAYOUT_FALLBACK#摇杆}发动闪避后，点按 &lt;IconMap:Icon_Normal&gt; 发动：
    向身周大范围区域进行穿透攻击，造成物理伤害。
    未拖曳{LAYOUT_CONSOLECONTROLLER#操作杆}{LAYOUT_FALLBACK#摇杆}发动闪避后，点按 &lt;IconMap:Icon_Normal&gt; 发动：
    向前方直线区域进行穿透攻击，造成物理伤害。</t>
  </si>
  <si>
    <t>触发[极限闪避]后，点按 &lt;IconMap:Icon_Normal&gt; 发动：
    对前方敌人发动穿透攻击，造成物理伤害；
    招式发动期间拥有无敌效果。</t>
  </si>
  <si>
    <t>触发[连携技]时，选择对应角色发动：
    对身周大范围敌人发动强力穿透攻击，造成大量物理伤害；
    招式发动期间拥有无敌效果。</t>
  </si>
  <si>
    <t>喧响等级达到[极]时，点按 &lt;IconMap:Icon_UltimateReady&gt; 发动：
    对身周大范围敌人发动强力穿透攻击，造成大量物理伤害；
    招式发动期间拥有无敌效果。</t>
  </si>
  <si>
    <t>当前操作中的角色被击飞时，点按 &lt;IconMap:Icon_Switch&gt; 发动：
    对前方敌人发动穿透攻击，造成物理伤害；
    招式发动期间拥有无敌效果。</t>
  </si>
  <si>
    <t>回避支援：闪转步伐</t>
  </si>
  <si>
    <t>前场角色即将被攻击时，点按 &lt;IconMap:Icon_Switch&gt; 发动：
    回避敌人的攻击，并触发[极限视域]；
    招式发动期间拥有无敌效果。</t>
  </si>
  <si>
    <t>发动[回避支援]后，点按 &lt;IconMap:Icon_Normal&gt; 发动：
    对前方大范围敌人发动穿透攻击，造成物理伤害；
    招式发动期间拥有无敌效果。</t>
  </si>
  <si>
    <t>点按 &lt;IconMap:Icon_Normal&gt; 发动：
    向前方进行至多五段的斩击，前两段造成物理伤害，后三段造成烈霜伤害；
    第五段[普通攻击]发动期间可以格挡敌人的攻击。</t>
  </si>
  <si>
    <t>拥有2点或以上[落霜]时，长按 &lt;IconMap:Icon_Normal&gt; 发动：
    星见雅收刀进入[霜月架势]并开始蓄力，每段蓄力会消耗2点[落霜]，最多可以进行三段蓄力，松开 &lt;IconMap:Icon_Normal&gt; 或[落霜]耗尽时，星见雅将根据当前蓄力段数，拔刀向前方发动强力斩击，造成大量烈霜伤害，随后退出[霜月架势]；
    [霜月架势]期间拥有无敌效果；
    星见雅最多拥有6点[落霜]，进入战场时，星见雅立刻获得3点[落霜]。</t>
  </si>
  <si>
    <t>点按 &lt;IconMap:Icon_Special&gt; 发动：
    快速拔刀向前方进行斩击，造成烈霜伤害；
    招式发动期间抗打断等级提升。</t>
  </si>
  <si>
    <t>能量足够时，点按 &lt;IconMap:Icon_SpecialReady&gt; 发动：
    快速突进，对路径上的敌人发动强力斩击，造成大量烈霜伤害；
    招式发动时，获得2点[落霜]；
    招式发动期间拥有无敌效果。
    招式发动后，能量足够时，再次点按 &lt;IconMap:Icon_SpecialReady&gt; 发动：
    额外消耗能量，对前方范围内的敌人发动强力追击，造成大量烈霜伤害；
    招式发动时，获得2点[落霜]；
    招式发动期间拥有无敌效果。</t>
  </si>
  <si>
    <t>闪避：水鸟</t>
  </si>
  <si>
    <t>点按 &lt;IconMap:Icon_Evade&gt; 发动：
    快速的冲刺闪避；
    招式发动期间拥有无敌效果。
    闪避时，连点或长按 &lt;IconMap:Icon_Evade&gt; 发动：
    长距离的冲刺闪避；
    招式发动期间拥有无敌效果。</t>
  </si>
  <si>
    <t>闪避时，点按 &lt;IconMap:Icon_Normal&gt; 发动：
    向前方进行斩击，造成物理伤害；</t>
  </si>
  <si>
    <t>触发[极限闪避]后，点按 &lt;IconMap:Icon_Normal&gt; 发动：
    对前方敌人发动斩击，造成烈霜伤害；
    招式发动期间拥有无敌效果。</t>
  </si>
  <si>
    <t>触发[连携技]时，选择对应角色发动：
    对前方大范围敌人发动强力斩击，造成大量烈霜伤害；
    招式发动期间拥有无敌效果。</t>
  </si>
  <si>
    <t>喧响等级达到[极]时，点按 &lt;IconMap:Icon_UltimateReady&gt; 发动：
    对前方大范围敌人发动强力斩击，略作延迟后发动终结一击，造成大量烈霜伤害；
    招式发动时，获得3点[落霜]，自身造成的冰属性伤害提升30%，持续12秒；
    招式发动期间拥有无敌效果。</t>
  </si>
  <si>
    <t>当前操作中的角色被击飞时，点按 &lt;IconMap:Icon_Switch&gt; 发动：
    对前方敌人发动斩击，造成烈霜伤害；
    招式发动期间拥有无敌效果。</t>
  </si>
  <si>
    <t>发动[招架支援]后，点按 &lt;IconMap:Icon_Normal&gt; 发动：
    对前方敌人发动突进斩击，造成烈霜伤害；
    招式发动期间拥有无敌效果。</t>
  </si>
  <si>
    <t>点按 &lt;IconMap:Icon_Normal&gt; 发动：
    向前方进行至多四段的打击，造成物理伤害；
    当珂蕾妲拥有[熔炉升温]效果时，能够在第二段攻击后发动强化[普通攻击]，消耗[熔炉升温]效果并造成大量火属性伤害；
    当珂蕾妲与本同时出战，发动强化[普通攻击]时，会由双方配合发动协同攻击，进一步提升招式的威力；
    [普通攻击]第四段和强化[普通攻击]发动期间拥有无敌效果。</t>
  </si>
  <si>
    <t>点按 &lt;IconMap:Icon_Special&gt; 发动：
    对前方进行打击并引发爆炸，造成火属性伤害；
    若衔接在[普通攻击]第二、第四段或强化[普通攻击]后，则能够快速发动招式，直接引发爆炸；
    当珂蕾妲与本同时出战，并衔接在强化[普通攻击]后快速发动招式时，会由双方配合发动协同攻击，进一步提升招式的威力；
    招式发动期间抗打断等级提升。</t>
  </si>
  <si>
    <t>能量足够时，点按 &lt;IconMap:Icon_SpecialReady&gt; 发动：
    对前方进行打击并引发强力爆炸，造成大量火属性伤害，并获得[熔炉升温]效果；
    若衔接在[普通攻击]第二、第四段或强化[普通攻击]后，则能够快速发动招式，直接引发爆炸；
    当珂蕾妲与本同时出战，并衔接在强化[普通攻击]后快速发动招式时，会由双方配合发动协同攻击，进一步提升招式的威力；
    招式发动期间拥有无敌效果。</t>
  </si>
  <si>
    <t>闪避：走着瞧</t>
  </si>
  <si>
    <t>闪避时，点按 &lt;IconMap:Icon_Normal&gt; 发动：
    向前方进行打击，造成物理伤害。</t>
  </si>
  <si>
    <t>触发[极限闪避]后，点按 &lt;IconMap:Icon_Normal&gt; 发动：
    向前方敌人发动打击并引发爆炸，造成火属性伤害；
    招式发动期间拥有无敌效果。</t>
  </si>
  <si>
    <t>触发[连携技]时，选择对应角色发动：
    在前方大范围区域发动强力爆炸，造成大量火属性伤害，并获得[熔炉升温]效果；
    招式发动期间拥有无敌效果。</t>
  </si>
  <si>
    <t>喧响等级达到[极]时，点按 &lt;IconMap:Icon_UltimateReady&gt; 发动：
    在前方大范围区域发动强力爆炸，造成大量火属性伤害，并获得[熔炉升温]效果；
    当珂蕾妲与本同时出战时，会由双方配合发动协同攻击，进一步提升招式的威力；
    招式发动期间拥有无敌效果。</t>
  </si>
  <si>
    <t>当前操作中的角色被击飞时，点按 &lt;IconMap:Icon_Switch&gt; 发动：
    向前方敌人发动打击，造成火属性伤害；
    招式发动期间拥有无敌效果。</t>
  </si>
  <si>
    <t>发动[招架支援]后，点按 &lt;IconMap:Icon_Normal&gt; 发动：
    对前方敌人发动突进打击，造成火属性伤害，并获得[熔炉升温]效果；
    招式发动期间拥有无敌效果。</t>
  </si>
  <si>
    <t>点按 &lt;IconMap:Icon_Normal&gt; 发动：
    向前方进行至多四段的混合攻击，造成物理伤害；
    第四段攻击为[打桩攻击]。</t>
  </si>
  <si>
    <t>[爆发状态]下，点按 &lt;IconMap:Icon_Normal&gt; 发动：
    向前方进行至多三段的混合攻击，造成大量电属性伤害；
    在第二段[电钻攻击]和第三段[打桩攻击]期间，连点或长按 &lt;IconMap:Icon_Normal&gt; 可以延长招式的持续时间。</t>
  </si>
  <si>
    <t>点按 &lt;IconMap:Icon_Special&gt; 发动：
    对前方直线区域内敌人发动[打桩攻击]，造成电属性伤害；
    招式发动期间抗打断等级提升。</t>
  </si>
  <si>
    <t>能量足够时，若点按 &lt;IconMap:Icon_SpecialReady&gt; 发动：
    对前方直线区域内敌人发动多段[打桩攻击]，造成大量电属性伤害；
    招式发动期间拥有无敌效果；
    招式发动后，安东将进入[爆发状态]；在[爆发状态]下，安东会使用更加强力的招式，造成大量电属性伤害，并随招式命中目标，逐渐消耗能量，持续至能量耗尽。</t>
  </si>
  <si>
    <t>[爆发状态]下，点按 &lt;IconMap:Icon_Special&gt; 发动：
    对前方敌人发动[打桩攻击]，造成电属性伤害；
    招式发动期间抗打断等级提升。</t>
  </si>
  <si>
    <t>闪避：动起来</t>
  </si>
  <si>
    <t>闪避时，点按 &lt;IconMap:Icon_Normal&gt; 发动：
    向前方进行撞击，造成物理伤害。</t>
  </si>
  <si>
    <t>触发[极限闪避]后，点按 &lt;IconMap:Icon_Normal&gt; 发动：
    对前方敌人发动连续重拳，造成物理伤害；
    招式发动期间拥有无敌效果。</t>
  </si>
  <si>
    <t>[爆发状态]下，触发[极限闪避]后，点按 &lt;IconMap:Icon_Normal&gt; 发动：
    对前方敌人使用[电钻攻击]，造成大量电属性伤害；
    招式发动期间拥有无敌效果。</t>
  </si>
  <si>
    <t>触发[连携技]时，选择对应角色发动：
    对前方地面进行大范围[打桩攻击]，对区域内的敌人造成大量电属性伤害；
    招式发动期间拥有无敌效果。</t>
  </si>
  <si>
    <t>喧响等级达到[极]时，点按 &lt;IconMap:Icon_UltimateReady&gt; 发动：
    对前方地面进行大范围[打桩攻击]，对区域内的敌人造成大量电属性伤害；
    招式发动期间拥有无敌效果。</t>
  </si>
  <si>
    <t>当前操作中的角色被击飞时，点按 &lt;IconMap:Icon_Switch&gt; 发动：
    对前方敌人发动连续重拳，造成物理伤害；
    招式发动期间拥有无敌效果。</t>
  </si>
  <si>
    <t>当前操作中的角色被击飞时，点按 &lt;IconMap:Icon_Switch&gt; 发动：
    对前方敌人发动[电钻攻击]，造成大量电属性伤害；
    招式发动期间拥有无敌效果。</t>
  </si>
  <si>
    <t>招架支援：钢腕</t>
  </si>
  <si>
    <t>发动[招架支援]后，点按 &lt;IconMap:Icon_Normal&gt; 发动：
    对前方敌人发动[电钻攻击]并以[打桩攻击]收尾，造成电属性伤害；
    招式发动期间拥有无敌效果。</t>
  </si>
  <si>
    <t>点按 &lt;IconMap:Icon_Special&gt; 发动：
    架起武器格挡敌人的攻击，随后对前方进行打击，造成物理伤害，若在格挡期间成功格挡敌人的攻击，将提升招式的威力，发动格挡反击，造成大量物理伤害；
    长按 &lt;IconMap:Icon_Special&gt; 能够维持格挡；
    维持格挡时获得护盾，护盾值随时间衰减；
    退出格挡后移除护盾，护盾值随时间回复；
    护盾值最高不超过本生命值上限的16%；
    格挡发动时拥有无敌效果；
    打击发动期间抗打断等级提升。</t>
  </si>
  <si>
    <t>能量足够时，点按 &lt;IconMap:Icon_SpecialReady&gt; 发动：
    架起武器格挡敌人的攻击，随后对前方进行打击，造成火属性伤害，若在格挡期间成功格挡敌人的攻击，将提升招式的威力，发动格挡反击，造成大量火属性伤害；
    长按 &lt;IconMap:Icon_SpecialReady&gt; 能够维持格挡；
    维持格挡时获得护盾，护盾值随时间衰减；
    退出格挡后移除护盾，护盾值随时间回复；
    护盾值最高不超过本生命值上限的16%；
    招式发动时，回复护盾至最大值；
    招式发动后，再次点按 &lt;IconMap:Icon_SpecialReady&gt; ，能够向前方追加强力打击，造成大量火属性伤害；
    格挡发动时拥有无敌效果；
    打击发动期间拥有无敌效果。</t>
  </si>
  <si>
    <t>闪避：发票漏洞</t>
  </si>
  <si>
    <t>触发[极限闪避]后，点按 &lt;IconMap:Icon_Normal&gt; 发动：
    对前方敌人发动打击，造成火属性伤害；
    招式发动期间拥有无敌效果。</t>
  </si>
  <si>
    <t>触发[连携技]时，选择对应角色发动：
    对前方大范围敌人发动强力打击，造成大量火属性伤害；
    招式发动期间拥有无敌效果。</t>
  </si>
  <si>
    <t>喧响等级达到[极]时，点按 &lt;IconMap:Icon_UltimateReady&gt; 发动：
    对前方大范围敌人发动强力打击，造成大量火属性伤害；
    招式发动时，额外回复3点支援点数；
    招式发动期间拥有无敌效果。</t>
  </si>
  <si>
    <t>当前操作中的角色被击飞时，点按 &lt;IconMap:Icon_Switch&gt; 发动：
    对前方敌人发动打击，造成火属性伤害；
    招式发动期间拥有无敌效果。</t>
  </si>
  <si>
    <t>发动[招架支援]后，点按 &lt;IconMap:Icon_Normal&gt; 发动：
    对前方敌人发动突进打击，造成火属性伤害；
    招式发动期间拥有无敌效果。</t>
  </si>
  <si>
    <t>点按 &lt;IconMap:Icon_Normal&gt; 发动：
    向前方进行至多三段攻击，造成物理伤害。</t>
  </si>
  <si>
    <t>[霜染刃旗]状态下，点按 &lt;IconMap:Icon_Normal&gt; 发动：
    向前方进行至多三段更快速的攻击，造成冰属性伤害。</t>
  </si>
  <si>
    <t>点按 &lt;IconMap:Icon_Special&gt; 发动：
    向前方扇出风场，随后释放终结一击，造成冰属性伤害；
    招式发动期间抗打断等级提升，受到的伤害降低40%；
    招式发动期间长按 &lt;IconMap:Icon_Special&gt; ，可以快速衔接[展旗]攻击。</t>
  </si>
  <si>
    <t>能量足够时，点按 &lt;IconMap:Icon_SpecialReady&gt; 发动：
    向前方扇出范围更远的风场，造成大量冰属性伤害；
    多次点按可以连续发动招式，每次发动时将消耗一定能量，能量不足或停止点按时会自动释放终结一击，造成大量冰属性伤害；
    招式发动期间抗打断等级提升，受到的伤害降低40%；
    招式发动期间长按 &lt;IconMap:Icon_Special&gt; ，可以快速衔接[展旗]攻击。</t>
  </si>
  <si>
    <t>长按 &lt;IconMap:Icon_Special&gt; 发动：
    将武器插入地面变形为旗帜，发动[展旗]攻击，造成冰属性伤害，[展旗]攻击命中敌人时，将触发[快速支援]；
    [展旗]攻击后再次点按 &lt;IconMap:Icon_Normal&gt; 或 &lt;IconMap:Icon_Special&gt; ，将发动一次特殊的收旗攻击，造成冰属性伤害；
    发动[展旗]攻击时，若拥有三层[涡流]，则会消耗所有[涡流]，进入[霜染刃旗]状态；[霜染刃旗]状态下，苍角能够发动强化[普通攻击]和强化[冲刺攻击]，造成大量冰属性伤害，最多持续45秒或触发6次；
    苍角的武器在以下情况下会获得[涡流]：
    发动[强化特殊技]时，获得一层[涡流]；
    发动[连携技]时，获得一层[涡流]；
    发动[终结技]时，获得三层[涡流]；
    [涡流]上限为三层。</t>
  </si>
  <si>
    <t>闪避：抢食</t>
  </si>
  <si>
    <t>[霜染刃旗]状态下，闪避时，点按 &lt;IconMap:Icon_Normal&gt; 发动：
    向前方进行斩击，造成冰属性伤害。</t>
  </si>
  <si>
    <t>触发[极限闪避]后，点按 &lt;IconMap:Icon_Normal&gt; 发动：
    对前方敌人发动斩击，造成冰属性伤害；
    招式发动期间拥有无敌效果。</t>
  </si>
  <si>
    <t>触发[连携技]时，选择对应角色发动：
    快速对前方敌人发动多次打击，随后衔接[展旗]攻击，造成大量冰属性伤害；
    招式发动期间拥有无敌效果。</t>
  </si>
  <si>
    <t>喧响等级达到[极]时，点按 &lt;IconMap:Icon_UltimateReady&gt; 发动：
    快速对前方敌人发动更多次打击，随后衔接[展旗]攻击，造成大量冰属性伤害；
    招式发动时，苍角会进入[鬼面]状态，使自身的暴击率提升15%，持续15秒；
    招式发动时，队伍中其他角色回复10点能量，下一名换入前场的角色额外回复20点能量；
    招式发动期间拥有无敌效果。</t>
  </si>
  <si>
    <t>当前操作中的角色被击飞时，点按 &lt;IconMap:Icon_Switch&gt; 发动：
    对前方敌人发动斩击，造成冰属性伤害；
    招式发动期间拥有无敌效果。</t>
  </si>
  <si>
    <t>发动[招架支援]后，点按 &lt;IconMap:Icon_Normal&gt; 发动：
    对前方敌人发动突进打击，造成冰属性伤害；
    招式发动期间拥有无敌效果。
    招式发动期间长按 &lt;IconMap:Icon_Normal&gt; ，可以快速衔接[展旗]攻击。</t>
  </si>
  <si>
    <t>点按 &lt;IconMap:Icon_Normal&gt; 发动：
    向前方进行至多五段的打击，造成物理伤害；
    长按 &lt;IconMap:Icon_Normal&gt; 可以进行蓄力，提升招式的威力，并造成冰属性伤害。</t>
  </si>
  <si>
    <t>点按 &lt;IconMap:Icon_Special&gt; 发动：
    向前方进行连续打击，造成冰属性伤害；
    长按 &lt;IconMap:Icon_Special&gt; 可以进行蓄力，提升招式的威力；
    招式发动期间抗打断等级提升。</t>
  </si>
  <si>
    <t>能量足够时，点按 &lt;IconMap:Icon_SpecialReady&gt; 发动：
    向前方进行强力连续打击，造成大量冰属性伤害；
    长按 &lt;IconMap:Icon_SpecialReady&gt; 可以进行蓄力，消耗能量并提升招式的威力；
    招式发动期间拥有无敌效果。</t>
  </si>
  <si>
    <t>闪避：进退得体</t>
  </si>
  <si>
    <t>闪避时，点按 &lt;IconMap:Icon_Normal&gt; 发动：
    向前方滑铲进行连续打击，造成物理伤害。</t>
  </si>
  <si>
    <t>触发[连携技]时，选择对应角色发动：
    对前方小范围敌人发动强力连续打击，造成大量冰属性伤害；
    招式发动期间拥有无敌效果。</t>
  </si>
  <si>
    <t>喧响等级达到[极]时，点按 &lt;IconMap:Icon_UltimateReady&gt; 发动：
    对前方大范围敌人发动强力连续打击，造成大量冰属性伤害；
    招式发动期间拥有无敌效果。</t>
  </si>
  <si>
    <t>发动[招架支援]后，点按 &lt;IconMap:Icon_Normal&gt; 发动：
    在前方生成冰柱并对区域内的敌人发动打击，造成冰属性伤害；
    招式发动期间拥有无敌效果。</t>
  </si>
  <si>
    <t>发动[招架支援]后，长按 &lt;IconMap:Icon_Normal&gt; 发动：
    对前方敌人快速发动多段打击，造成冰属性伤害；
    招式发动期间拥有无敌效果。</t>
  </si>
  <si>
    <t>点按 &lt;IconMap:Icon_Normal&gt; 发动：
    向前方进行至多四段的打击，造成物理伤害和火属性伤害；
    当露西发动[普通攻击]第四段时，场上的亲卫队小猪会一起发动[亲卫队小猪：回旋挥击！]。</t>
  </si>
  <si>
    <t>战斗中，亲卫队小猪会随机使用棒球棍、拳套、弹弓，自动对敌人发动攻击， 造成物理伤害。</t>
  </si>
  <si>
    <t>当露西发动[普通攻击]第四段，或自身获得[加油！]状态时，亲卫队小猪会挥舞棒球棍持续转圈，对周围敌人造成物理伤害。若无法立即发动，亲卫队小猪会记住所需发动次数。</t>
  </si>
  <si>
    <t>点按 &lt;IconMap:Icon_Special&gt; 发动：
    将亲卫队小猪召回并击出[平直球]，亲卫队小猪命中敌人或墙壁时引发爆炸，造成火属性伤害。
    长按 &lt;IconMap:Icon_Special&gt; 发动：
    将亲卫队小猪召回并击出[高飞球]，亲卫队小猪从空中落地时引发爆炸，造成火属性伤害。</t>
  </si>
  <si>
    <t>能量足够时，点按 &lt;IconMap:Icon_SpecialReady&gt; 发动：
    将亲卫队小猪召回并击出[平直球]，亲卫队小猪命中敌人或墙壁时引发爆炸，造成大量火属性伤害；
    招式发动期间拥有无敌效果；
    招式命中敌人时，将触发[快速支援]。
    能量足够时，长按 &lt;IconMap:Icon_SpecialReady&gt; 发动：
    将亲卫队小猪召回并击出[高飞球]，亲卫队小猪从空中落地时引发爆炸，造成大量火属性伤害；
    招式发动期间拥有无敌效果；
    招式命中敌人时，将触发[快速支援]。</t>
  </si>
  <si>
    <t>加油！</t>
  </si>
  <si>
    <t>发动[强化特殊技]后，亲卫队小猪引发爆炸时，将为全队角色、邦布和亲卫队小猪施加[加油！]状态。[加油！]状态下，友方单位的攻击力提升，提升数值等同于露西{CAL:13+AvatarSkillLevel(1)*0.8,1,2}%初始攻击力+{CAL:40+AvatarSkillLevel(1)*4,1,2}点，最高不超过600点。击出[平直球]时，[加油！]状态持续10秒，击出[高飞球]时，[加油！]状态持续15秒，重复触发时刷新持续时间。</t>
  </si>
  <si>
    <t>闪避：坏球！</t>
  </si>
  <si>
    <t>闪避时，点按 &lt;IconMap:Icon_Normal&gt; 发动：
    向前方进行快速打击，造成物理伤害。</t>
  </si>
  <si>
    <t>极限闪避时，点按 &lt;IconMap:Icon_Normal&gt; 发动：
    对前方敌人发动打击，造成火属性伤害；
    招式发动期间拥有无敌效果。</t>
  </si>
  <si>
    <t>触发[连携技]时，选择对应角色发动：
    露西起跳将场上亲卫队小猪打出，对前方大范围敌人造成大量火属性伤害；
    招式发动期间拥有无敌效果；
    招式命中敌人时，将触发[快速支援]。</t>
  </si>
  <si>
    <t>喧响等级达到[极]时，点按 &lt;IconMap:Icon_UltimateReady&gt; 发动：
    将所有亲卫队小猪依次打出，对前方大范围敌人造成大量火属性伤害；
    招式发动时，队伍中其他角色回复10点能量，下一名换入前场的角色额外回复20点能量；
    招式发动期间拥有无敌效果；
    招式命中敌人时，将触发[快速支援]。</t>
  </si>
  <si>
    <t>发动[招架支援]后，点按 &lt;IconMap:Icon_Normal&gt; 发动：
    对前方敌人发动打击，造成火属性伤害；
    招式发动期间拥有无敌效果。</t>
  </si>
  <si>
    <t>点按或长按 &lt;IconMap:Icon_Normal&gt; 发动：
    向前方进行至多五段的打击，造成物理伤害和火属性伤害；
    在[普通攻击]第三段发动期间，拖曳{LAYOUT_CONSOLECONTROLLER#操作杆}{LAYOUT_FALLBACK#摇杆}，同时连点或长按 &lt;IconMap:Icon_Normal&gt; ，可以持续发动连续体术追击，松开{LAYOUT_CONSOLECONTROLLER#操作杆}{LAYOUT_FALLBACK#摇杆}，则衔接后继第四段[普通攻击]；
    在[普通攻击]第五段轻拳起攻期间，拖曳{LAYOUT_CONSOLECONTROLLER#操作杆}{LAYOUT_FALLBACK#摇杆}，同时连点或长按 &lt;IconMap:Icon_Normal&gt; ，可以循环发动轻拳起攻和第四段[普通攻击]，松开{LAYOUT_CONSOLECONTROLLER#操作杆}{LAYOUT_FALLBACK#摇杆}，则衔接后继刺拳连击；
    保持连点或长按 &lt;IconMap:Icon_Normal&gt; 时，可以延长刺拳连击的持续时间；
    停止连点或长按 &lt;IconMap:Icon_Normal&gt; 后，或刺拳连击至持续时间上限后，将向前方发动终结一击，终结一击期间拥有无敌效果；
    [普通攻击]第五段发动期间，莱特受到的伤害降低40%；
    [士气喷发]状态下，[普通攻击]第五段发动期间抗打断等级提升，伤害降低效果提升至80%。</t>
  </si>
  <si>
    <t>点按 &lt;IconMap:Icon_Special&gt; 发动：
    使用上勾拳向前方进行打击，造成火属性伤害；
    招式发动期间抗打断等级提升。
    垫步闪避期间，点按 &lt;IconMap:Icon_Special&gt; 发动：
    使用组合拳向前方进行打击，造成火属性伤害；
    发动该招式不会打断[普通攻击]的连击段数；
    招式发动期间抗打断等级提升。</t>
  </si>
  <si>
    <t>能量足够时，点按 &lt;IconMap:Icon_SpecialReady&gt; 发动：
    使用上勾拳离地跃起并向前方进行强力打击，造成大量火属性伤害；
    招式发动期间，再次点按 &lt;IconMap:Icon_SpecialReady&gt; 可以额外消耗能量，发动强力追击，造成大量火属性伤害；
    招式发动期间拥有无敌效果，
    招式发动后，点按或长按 &lt;IconMap:Icon_Normal&gt; 可以直接衔接发动第四段[普通攻击]。
    垫步闪避期间，能量足够时，点按 &lt;IconMap:Icon_SpecialReady&gt; 发动：
    使用组合拳向前方进行强力打击，造成大量火属性伤害；
    发动该招式不会打断[普通攻击]的连击段数；
    招式发动期间拥有无敌效果；
    招式发动后，点按或长按 &lt;IconMap:Icon_Normal&gt; 可以直接衔接发动第五段[普通攻击]。</t>
  </si>
  <si>
    <t>闪避：匿影滑步</t>
  </si>
  <si>
    <t>点按 &lt;IconMap:Icon_Evade&gt; 发动：
    快速的冲刺闪避；
    招式发动期间拥有无敌效果。
    角色发动攻击期间，点按 &lt;IconMap:Icon_Evade&gt; 发动：
    向{LAYOUT_CONSOLECONTROLLER#操作杆}{LAYOUT_FALLBACK#摇杆}方向垫步闪避；
    发动该招式不会打断[普通攻击]的连击段数；
    招式发动期间拥有无敌效果。</t>
  </si>
  <si>
    <t>触发[极限闪避]后，点按 &lt;IconMap:Icon_Normal&gt; 发动：
    对前方敌人发动打击，造成火属性伤害；
    招式发动期间拥有无敌效果；
    招式发动后，点按或长按 &lt;IconMap:Icon_Normal&gt; 可以直接衔接发动第五段[普通攻击]。</t>
  </si>
  <si>
    <t>触发[连携技]时，选择对应角色发动：
    对前方小范围敌人发动强力打击，造成大量火属性伤害；
    招式发动期间拥有无敌效果。</t>
  </si>
  <si>
    <t>喧响等级达到[极]时，点按 &lt;IconMap:Icon_UltimateReady&gt; 发动：
    对身周大范围敌人发动强力打击，造成大量火属性伤害；
    招式发动期间拥有无敌效果。</t>
  </si>
  <si>
    <t>当前操作中的角色被击飞时，点按 &lt;IconMap:Icon_Switch&gt; 发动：
    对前方敌人发动打击，造成火属性伤害；
    招式发动期间拥有无敌效果；
    招式发动后，点按或长按 &lt;IconMap:Icon_Normal&gt; 可以直接衔接发动第五段[普通攻击]。</t>
  </si>
  <si>
    <t>发动[招架支援]后，点按 &lt;IconMap:Icon_Normal&gt; 发动：
    对前方敌人发动打击，造成火属性伤害；
    招式发动期间拥有无敌效果；
    招式发动后，点按或长按 &lt;IconMap:Icon_Normal&gt; 可以直接衔接发动第五段[普通攻击]。</t>
  </si>
  <si>
    <t>点按 &lt;IconMap:Icon_Normal&gt; 发动：
    向前方进行至多五段的攻击，造成物理伤害和火属性伤害。</t>
  </si>
  <si>
    <t>[燃油特调]状态下，长按 &lt;IconMap:Icon_Normal&gt; 发动：
    持续回旋并向周身喷射火焰，随后发动终结一击，造成火属性伤害，保持长按可以延长喷射的持续时间；
    招式发动时，将会消耗20点[燃点]；
    招式发动期间抗打断等级提升；
    终结一击发动后，点按 &lt;IconMap:Icon_SpecialReady&gt; 可以直接衔接发动[强化特殊技：灼热摇荡法·双份]。</t>
  </si>
  <si>
    <t>[燃油特调]状态下，长按 &lt;IconMap:Icon_Normal&gt; 发动：
    持续回旋并向周身喷射火焰，随后发动终结一击，额外触发一次不消耗[燃点]的[余烬]，造成火属性伤害，保持长按可以延长喷射的持续时间；
    招式造成的伤害同时视为[支援攻击]伤害；
    招式发动时，将会消耗20点[燃点]；
    招式发动期间抗打断等级提升；
    终结一击发动后，点按 &lt;IconMap:Icon_SpecialReady&gt; 可以直接衔接发动[强化特殊技：灼热摇荡法·双份]。</t>
  </si>
  <si>
    <t>点按 &lt;IconMap:Icon_Special&gt; 发动：
    向前方发动一次火焰冲击，造成火属性伤害；
    长按 &lt;IconMap:Icon_Special&gt; 可以进行蓄力，提升招式的威力；
    招式发动期间抗打断等级提升。</t>
  </si>
  <si>
    <t>能量足够时，点按 &lt;IconMap:Icon_SpecialReady&gt; 发动：
    使用单手喷射器持续喷射火焰，随后向前方直线范围发动一次火焰冲击，造成大量火属性伤害，保持长按可以持续消耗能量并延长喷射的持续时间；
    持续喷射期间拖曳{LAYOUT_CONSOLECONTROLLER#操作杆}{LAYOUT_FALLBACK#摇杆}，可以发动侧身闪避，向对应方向调整身位；
    持续喷射期间抗打断等级提升，受到的伤害降低40%；
    侧身闪避和火焰冲击发动期间拥有无敌效果。</t>
  </si>
  <si>
    <t>能量足够时，点按 &lt;IconMap:Icon_SpecialReady&gt; 发动：
    使用单手喷射器持续喷射火焰，随后向前方直线范围发动一次火焰冲击，造成大量火属性伤害，保持长按可以持续消耗能量并延长喷射的持续时间；
    持续喷射期间拖曳{LAYOUT_CONSOLECONTROLLER#操作杆}{LAYOUT_FALLBACK#摇杆}，可以发动侧身闪避，向对应方向调整身位；
    持续喷射期间抗打断等级提升，受到的伤害降低60%；
    侧身闪避和火焰冲击发动期间拥有无敌效果。</t>
  </si>
  <si>
    <t>[强化特殊技：灼热摇荡法]发动期间，能量足够时，点按 &lt;IconMap:Icon_SpecialReady&gt; 发动：
    使用双手喷射器持续喷射火焰，随后向前方直线范围发动一次强力的火焰冲击，造成大量火属性伤害，保持长按可以持续消耗能量并延长喷射的持续时间；
    喷射发动瞬间和火焰冲击发动期间拥有无敌效果；
    持续喷射期间抗打断等级提升，受到的伤害降低40%。</t>
  </si>
  <si>
    <t>[强化特殊技：灼热摇荡法]发动期间，能量足够时，点按 &lt;IconMap:Icon_SpecialReady&gt; 发动：
    使用双手喷射器持续喷射火焰，随后向前方直线范围发动一次强力的火焰冲击，造成大量火属性伤害，保持长按可以持续消耗能量并延长喷射的持续时间；
    喷射发动瞬间和火焰冲击发动期间拥有无敌效果；
    持续喷射期间抗打断等级提升，受到的伤害降低60%。</t>
  </si>
  <si>
    <t>拥有[流火]时，换入前场时发动：
    队友触发12次[余烬]后，柏妮思获得一点[流火]，拥有[流火]时，柏妮思下一次换入前场时消耗一点[流火]自动发动该招式，该次入场视作以[快速支援]入场，[普通攻击：炽焰搅拌式]触发的[余烬]命中敌人时增加2次计数，拥有[流火]时不再增加计数，消耗[流火]时清空计数；
    快速突进并越过敌人，向敌人发动一次火焰冲击，造成物理伤害和火属性伤害；
    招式重击命中处于以太异常状态、电属性异常状态、火属性异常状态、物理属性异常状态、冰属性异常状态的目标时，触发一次[异放]：额外结算一次原属性异常480%/240%/600%/40%/60%的伤害；
    [额外能力：星火燎原]的火属性异常积蓄值提升效果对该招式生效；
    招式发动期间拥有无敌效果；
    招式发动后，点按 &lt;IconMap:Icon_SpecialReady&gt; 可以直接衔接发动[强化特殊技：灼热摇荡法·双份]。</t>
  </si>
  <si>
    <t>闪避：焰影疾行</t>
  </si>
  <si>
    <t>闪避时，点按 &lt;IconMap:Icon_Normal&gt; 发动：
    挥舞喷射器向前方进行突进攻击，造成火属性伤害。</t>
  </si>
  <si>
    <t>触发[极限闪避]后，点按 &lt;IconMap:Icon_Normal&gt; 发动：
    对前方敌人发动连续攻击并喷射火焰，造成物理伤害和火属性伤害；
    招式发动期间拥有无敌效果。</t>
  </si>
  <si>
    <t>触发[连携技]时，选择对应角色发动：
    快速突进并向周身喷射火焰，随后向前方扇形范围发动一次火焰冲击，造成大量火属性伤害；
    招式发动期间拥有无敌效果；
    招式发动后，点按 &lt;IconMap:Icon_SpecialReady&gt; 可以直接衔接发动[强化特殊技：灼热摇荡法·双份]。</t>
  </si>
  <si>
    <t>喧响等级达到[极]时，点按 &lt;IconMap:Icon_UltimateReady&gt; 发动：
    快速突进后跃向空中，对前方大范围区域持续喷射火焰，造成大量火属性伤害；
    跃向空中时，将触发[快速支援]，若响应[快速支援]，柏妮思会延长火焰喷射的持续时间；
    招式发动时，回复50点[燃点]；
    招式发动期间拥有无敌效果。</t>
  </si>
  <si>
    <t>当前操作中的角色被击飞时，点按 &lt;IconMap:Icon_Switch&gt; 发动：
    对前方敌人发动连续攻击并喷射火焰，造成物理伤害和火属性伤害；
    招式发动期间拥有无敌效果。</t>
  </si>
  <si>
    <t>当前操作中的角色被击飞时，点按 &lt;IconMap:Icon_Switch&gt; 发动：
    对前方敌人发动连续攻击并喷射火焰，造成物理伤害和火属性伤害；
    招式发动期间拥有无敌效果；
    招式发动后，点按 &lt;IconMap:Icon_SpecialReady&gt; 可以直接衔接发动[强化特殊技：灼热摇荡法·双份]。</t>
  </si>
  <si>
    <t>发动[招架支援]后，点按 &lt;IconMap:Icon_Normal&gt; 发动：
    腾空跃起，快速旋转前进并向周身喷射火焰，造成火属性伤害；
    招式发动期间拥有无敌效果；
    招式发动后，点按 &lt;IconMap:Icon_SpecialReady&gt; 可以直接衔接发动[强化特殊技：灼热摇荡法·双份]。</t>
  </si>
  <si>
    <t>点按 &lt;IconMap:Icon_Normal&gt; 发动：
    向前方进行至多四段的攻击，造成物理伤害和电属性伤害；
    在[普通攻击]期间向侧方拖曳{LAYOUT_CONSOLECONTROLLER#操作杆}{LAYOUT_FALLBACK#摇杆}，可以发动垫步射击，调整身位并造成物理伤害；
    格莉丝在[普通攻击]期间发动[特殊技]、[强化特殊技]、[闪避]、[冲刺攻击]、[闪避反击]时，不会打断[普通攻击]的连击段数。</t>
  </si>
  <si>
    <t>点按 &lt;IconMap:Icon_Normal&gt; 发动：
    向前方进行至多四段的攻击，造成物理伤害和电属性伤害；
    在[普通攻击]期间向侧方拖曳{LAYOUT_CONSOLECONTROLLER#操作杆}{LAYOUT_FALLBACK#摇杆}，可以发动垫步射击，调整身位并造成物理伤害，在[普通攻击]第一/第二段后发动时，继续点按 &lt;IconMap:Icon_Normal&gt; 会从[普通攻击]第三/第四段连击继续；
    格莉丝在[普通攻击]期间发动[特殊技]、[强化特殊技]、[闪避]、[冲刺攻击]、[闪避反击]时，不会打断[普通攻击]的连击段数。</t>
  </si>
  <si>
    <t>点按 &lt;IconMap:Icon_Special&gt; 发动：
    向前方投掷一颗手雷，造成电属性伤害；
    发动招式时，可以拖曳{LAYOUT_CONSOLECONTROLLER#操作杆}{LAYOUT_FALLBACK#摇杆}，向对应方向调整身位；
    招式发动期间抗打断等级提升。</t>
  </si>
  <si>
    <t>点按 &lt;IconMap:Icon_Special&gt; 发动：
    向前方投掷一颗手雷，造成电属性伤害；
    发动招式时，可以拖曳{LAYOUT_CONSOLECONTROLLER#操作杆}{LAYOUT_FALLBACK#摇杆}，向对应方向调整身位；
    消耗[电能]发动时可以闪避敌人的攻击；
    招式发动期间抗打断等级提升。</t>
  </si>
  <si>
    <t>能量足够时，点按 &lt;IconMap:Icon_SpecialReady&gt; 发动：
    腾空跃起，并向前方投掷两颗手雷，造成大量电属性伤害；
    发动招式时，可以拖曳{LAYOUT_CONSOLECONTROLLER#操作杆}{LAYOUT_FALLBACK#摇杆}，向对应方向调整身位；
    招式发动期间拥有无敌效果。</t>
  </si>
  <si>
    <t>能量足够时，点按 &lt;IconMap:Icon_SpecialReady&gt; 发动：
    腾空跃起，并向前方投掷两颗手雷，造成大量电属性伤害；
    发动招式时，可以拖曳{LAYOUT_CONSOLECONTROLLER#操作杆}{LAYOUT_FALLBACK#摇杆}，向对应方向调整身位；
    若[电能]层数到达上限，会额外投掷一枚[涡流集束手雷]，在爆炸位置生成电磁场，持续牵引敌人，造成电属性伤害；
    招式发动期间拥有无敌效果。</t>
  </si>
  <si>
    <t>[脉冲]</t>
  </si>
  <si>
    <t>发动[终结技]时，获得25层[脉冲]（上限25层），获得[电能]时会消耗一层[脉冲]；
    消耗[脉冲]获得8层[电能]时，下次投掷手雷时会额外丢出一枚脉冲手雷，并在命中处于以太异常状态、电属性异常状态、火属性异常状态、物理属性异常状态、冰属性异常状态的目标时，触发一次[异放]：额外结算一次原属性异常560%/280%/700%/50%/70%的伤害；
    [脉冲]状态下解锁[特殊技：工程清障·循环]。</t>
  </si>
  <si>
    <t>[脉冲]状态下长按 &lt;IconMap:Icon_Special&gt; 发动：
    招式期间持续向前方投掷手雷，造成电属性伤害，每次投掷手雷获得一层[电能]；
    发动招式时，可以拖曳{LAYOUT_CONSOLECONTROLLER#操作杆}{LAYOUT_FALLBACK#摇杆}，向对应方向调整身位，并可以闪避敌人的攻击；
    招式发动期间抗打断等级提升。</t>
  </si>
  <si>
    <t>闪避：安全条款</t>
  </si>
  <si>
    <t>闪避时，点按 &lt;IconMap:Icon_Normal&gt; 发动：
    向前方滑铲扫射，造成物理伤害。</t>
  </si>
  <si>
    <t>触发[极限闪避]后，点按 &lt;IconMap:Icon_Normal&gt; 发动：
    对敌人投掷一颗手雷，造成电属性伤害；
    招式发动期间拥有无敌效果。</t>
  </si>
  <si>
    <t>触发[极限闪避]后，点按 &lt;IconMap:Icon_Normal&gt; 发动：
    对敌人投掷一颗手雷，造成电属性伤害，随后自动发动[普通攻击]第四段；
    招式发动期间拥有无敌效果。</t>
  </si>
  <si>
    <t>触发[连携技]时，选择对应角色发动：
    向空中抛出三颗手雷，随后扫射将其引爆，造成大量电属性伤害；
    招式发动期间拥有无敌效果。</t>
  </si>
  <si>
    <t>喧响等级达到[极]时，点按 &lt;IconMap:Icon_UltimateReady&gt; 发动：
    丢出一枚特制的手雷，其在空中爆炸后会分裂成四颗更小的手雷，造成大量电属性伤害；
    招式发动期间拥有无敌效果。</t>
  </si>
  <si>
    <t>喧响等级达到[极]时，点按 &lt;IconMap:Icon_UltimateReady&gt; 发动：
    丢出一枚特制的手雷，其在空中爆炸后会分裂成四颗更小的手雷，造成大量电属性伤害；
    获得8层[电能]和25层[脉冲]（上限25层）；
    招式发动期间拥有无敌效果。</t>
  </si>
  <si>
    <t>当前操作中的角色被击飞时，点按 &lt;IconMap:Icon_Switch&gt; 发动：
    对敌人投掷一颗手雷，造成电属性伤害；
    招式发动期间拥有无敌效果。</t>
  </si>
  <si>
    <t>回避支援：快速风险响应</t>
  </si>
  <si>
    <t>发动[回避支援]后，点按 &lt;IconMap:Icon_Normal&gt; 发动：
    对前方敌人发动回旋扫射并投掷手雷，造成电属性伤害；
    招式发动期间拥有无敌效果。</t>
  </si>
  <si>
    <t>点按 &lt;IconMap:Icon_Normal&gt; 发动：
    向前方进行至多三段的攻击，造成物理伤害；
    第三段攻击期间，连点或长按 &lt;IconMap:Icon_Normal&gt; 可以延长招式的持续时间。</t>
  </si>
  <si>
    <t>激活[急冻]效果后，点按 &lt;IconMap:Icon_Normal&gt; 发动：
    向前方进行至多三段的攻击，造成冰属性伤害；
    每段攻击消耗1点[急冻充能]；
    第三段攻击期间，连点或长按 &lt;IconMap:Icon_Normal&gt; 可以延长招式的持续时间。</t>
  </si>
  <si>
    <t>第三段[普通攻击：急冻修剪法]、[冲刺攻击：冰渊潜袭]蓄力剪击、[闪避反击：暗礁]和[快速支援]发动后，若艾莲拥有[急冻充能]，点按 &lt;IconMap:Icon_Normal&gt; 可以发动[普通攻击：冰刃浪]，造成冰属性伤害；
    招式消耗2点[急冻充能];
    招式发动后，可直接衔接第三段[普通攻击]；
    招式发动期间拥有无敌效果。</t>
  </si>
  <si>
    <t>第三段[普通攻击：急冻修剪法]、[强化特殊技：鲨卷风]、[闪避反击：暗礁]和[支援突击]发动后，将自动发动[普通攻击：霜锋]，对前方大范围敌人造成多段冰属性伤害，且对中/大体型的敌人会分别额外造成多段冰属性伤害；
    招式发动后，艾莲将获得[快蓄]效果；
    [普通攻击：霜锋]不影响原本招式派生;
    招式发动期间拥有无敌效果。</t>
  </si>
  <si>
    <t>点按 &lt;IconMap:Icon_Special&gt; 发动：
    向前方进行快速甩尾攻击，造成冰属性伤害；
    招式发动期间抗打断等级提升。</t>
  </si>
  <si>
    <t>能量足够时，点按 &lt;IconMap:Icon_SpecialReady&gt; 发动：
    向前方进行强力甩尾攻击，造成大量冰属性伤害；
    命中敌人时，获得1点[急冻充能]；
    招式发动期间拥有无敌效果；
    招式发动后，可直接衔接第三段[普通攻击]。</t>
  </si>
  <si>
    <t>[强化特殊技：横扫]发动后，能量足够时，点按 &lt;IconMap:Icon_SpecialReady&gt; 发动：
    向前方进行强力连续斩击，造成大量冰属性伤害；
    命中敌人时，获得1点[急冻充能]；
    招式发动期间拥有无敌效果；
    招式发动后，可直接衔接第三段[普通攻击]。</t>
  </si>
  <si>
    <t>闪避：涡漩</t>
  </si>
  <si>
    <t>点按 &lt;IconMap:Icon_Evade&gt; 发动：
    快速的冲刺闪避；
    招式发动期间拥有无敌效果；
    触发[极限闪避]时，艾莲将获得[快蓄]效果，缩短[冲刺攻击：冰渊潜袭]的蓄力时间，最多持续5秒或触发一次。</t>
  </si>
  <si>
    <t>冲刺：狩猎巡游</t>
  </si>
  <si>
    <t>长按或双击 &lt;IconMap:Icon_Evade&gt; 发动：
    进入[巡游]状态，快速冲刺移动；
    在[巡游]状态下使用{LAYOUT_CONSOLECONTROLLER#操作杆}{LAYOUT_FALLBACK#摇杆}控制方向，松开{LAYOUT_CONSOLECONTROLLER#操作杆}{LAYOUT_FALLBACK#摇杆}则会停下；
    招式发动瞬间拥有短暂的无敌效果。</t>
  </si>
  <si>
    <t>在[巡游]状态下，点按 &lt;IconMap:Icon_Normal&gt; 发动：
    对敌人进行回旋斩击，随后拉开剪刀，发动快速剪击，造成冰属性伤害；
    快速剪击命中时，获得1点[急冻充能]。
    在[巡游]状态下，长按 &lt;IconMap:Icon_Normal&gt; 发动：
    对敌人进行回旋斩击，随后拉开剪刀，发动蓄力剪击，造成大量冰属性伤害；
    蓄力剪击命中时，获得3点[急冻充能]，若敌人处于[冻结]状态下，则必定触发[碎冰]效果；
    招式蓄力期间抗打断等级提升，受到的伤害降低40%；
    招式发动期间拥有无敌效果。</t>
  </si>
  <si>
    <t>在[巡游]状态下，点按 &lt;IconMap:Icon_Normal&gt; 发动：
    对敌人进行回旋斩击，随后拉开剪刀，发动快速剪击，造成冰属性伤害；
    快速剪击命中时，获得1点[急冻充能]。
    在[巡游]状态下，长按 &lt;IconMap:Icon_Normal&gt; 发动：
    对敌人进行回旋斩击，随后拉开剪刀，发动蓄力剪击，造成大量冰属性伤害；
    蓄力剪击命中时，获得3点[急冻充能]，若敌人处于[冻结]状态下，则必定触发[碎冰]效果；
    招式蓄力期间抗打断等级提升，受到的伤害降低40%；
    招式蓄力期间受到敌人伤害时，可以免疫该次伤害，并立即完成蓄力；
    招式发动期间拥有无敌效果。</t>
  </si>
  <si>
    <t>急冻</t>
  </si>
  <si>
    <t>拥有[急冻充能]时，将激活[急冻]效果；激活[急冻]效果后，[普通攻击]和[冲刺攻击]将消耗[急冻充能]，造成大量冰属性伤害；艾莲最多可以拥有6点[急冻充能]。</t>
  </si>
  <si>
    <t>闪避时，点按 &lt;IconMap:Icon_Normal&gt; 发动：
    向前方进行突进斩击，造成物理伤害；</t>
  </si>
  <si>
    <t>激活[急冻]效果后，闪避时，点按 &lt;IconMap:Icon_Normal&gt; 发动：
    向前方进行突进斩击，造成冰属性伤害；
    消耗1点[急冻充能]。</t>
  </si>
  <si>
    <t>触发[极限闪避]后，点按 &lt;IconMap:Icon_Normal&gt; 发动：
    快速穿过敌人，拉开剪刀进行剪击，造成冰属性伤害；
    招式发动期间拥有无敌效果。</t>
  </si>
  <si>
    <t>触发[连携技]时，选择对应角色发动：
    从空中下砸并生成一阵冰风暴，造成大量冰属性伤害；
    招式发动期间拥有无敌效果。</t>
  </si>
  <si>
    <t>喧响等级达到[极]时，点按 &lt;IconMap:Icon_UltimateReady&gt; 发动：
    从空中下砸并生成一阵冰风暴，随后使用剪刀进行强力一击，造成大量冰属性伤害；
    招式发动期间拥有无敌效果。</t>
  </si>
  <si>
    <t>当前操作中的角色被击飞时，点按 &lt;IconMap:Icon_Switch&gt; 发动：
    快速穿过敌人，拉开剪刀进行剪击，造成冰属性伤害；
    招式发动期间拥有无敌效果。
    当前操作中的角色被击飞时，拖曳{LAYOUT_CONSOLECONTROLLER#操作杆}{LAYOUT_FALLBACK#摇杆}，点按 &lt;IconMap:Icon_Switch&gt; 发动：
    进入[巡游]状态，快速冲刺移动；
    在[巡游]状态下使用{LAYOUT_CONSOLECONTROLLER#操作杆}{LAYOUT_FALLBACK#摇杆}控制方向，松开{LAYOUT_CONSOLECONTROLLER#操作杆}{LAYOUT_FALLBACK#摇杆}则会停下；
    招式发动瞬间拥有短暂的无敌效果。
    发动[快速支援]时，艾莲将获得[快蓄]效果，缩短[冲刺攻击：冰渊潜袭]的蓄力时间，最多持续5秒或触发一次。</t>
  </si>
  <si>
    <t>发动[招架支援]后，点按 &lt;IconMap:Icon_Normal&gt; 发动：
    对前方敌人发动突进斩击，造成冰属性伤害；
    招式攻击期间，连点或长按 &lt;IconMap:Icon_Normal&gt; 可以延长招式的持续时间；
    招式发动期间拥有无敌效果。</t>
  </si>
  <si>
    <t>点按 &lt;IconMap:Icon_Normal&gt; 发动：
    向前方进行至多五段的穿透攻击，造成物理伤害和电属性伤害；
    第五段攻击命中敌人时，可生成2枚[电壶]；
    发动[连携技]后，悠真下一次发动[普通攻击：穿云]第五段命中敌人时，可生成6枚[电壶]。</t>
  </si>
  <si>
    <t>[普通攻击：穿云]发动期间，拖曳{LAYOUT_CONSOLECONTROLLER#操作杆}{LAYOUT_FALLBACK#摇杆}并点按 &lt;IconMap:Icon_Normal&gt; 发动：
    发动远程穿透攻击，并向拖曳方向调整身位，对前方敌人造成物理伤害。</t>
  </si>
  <si>
    <t>第五段[普通攻击：穿云]、[特殊技]、[强化特殊技]或[连携技]发动后，长按 &lt;IconMap:Icon_Special&gt; 发动：
    立即向前方敌人发射[落羽]，造成电属性伤害。
    长按 &lt;IconMap:Icon_Normal&gt; 瞄准目标，松开 &lt;IconMap:Icon_Normal&gt; 发动：
    引弓瞄准敌人后，向目标发射[落羽]，造成电属性伤害。</t>
  </si>
  <si>
    <t>第五段[普通攻击：穿云]/[强化特殊技]/[连携技]命中敌人或地面时，可生成2/6/6枚[电壶]；
    若场上不存在[电壶]，队伍中任意角色对敌人施加属性异常效果时，可生成6枚[电壶]，12秒内最多触发一次；
    [电壶]同一时间内最多存在6枚，悠真发射[落羽]命中敌人时，若场上存在[电壶]，则会将其激活，向被[落羽]命中的目标发射[甲乙矢]，造成电属性伤害；
    [甲乙矢]命中敌人时，会为其施加[电囚]效果，最多叠加8层，持续10秒，重复触发时刷新持续时间，[电囚]效果大于等于2层时，将在目标身上生成[十文字]标记。</t>
  </si>
  <si>
    <t>点按 &lt;IconMap:Icon_Special&gt; 发动：
    向前方发射箭矢，造成电属性伤害；
    招式发动期间抗打断等级提升。</t>
  </si>
  <si>
    <t>能量足够时，点按 &lt;IconMap:Icon_SpecialReady&gt; 发动：
    向前方发射飞刃和强化箭矢，造成大量电属性伤害；
    强化箭矢命中敌人或地面时，可生成6枚[电壶]；
    招式发动期间拥有无敌效果。</t>
  </si>
  <si>
    <t>能量足够时，在第四/五段[普通攻击：穿云]、[冲刺攻击：飞弦·斩]、[终结技]、[闪避反击：藏锋]、[快速支援：穿弦]发动后点按 &lt;IconMap:Icon_SpecialReady&gt; 发动：
    向前方连续发射强化箭矢，造成大量电属性伤害；
    第一发强化箭矢命中敌人或地面时，可生成6枚[电壶]，最后一发强化箭矢命中敌人时，激活场上的[电壶]，向目标发射[甲乙矢]，造成电属性伤害；
    命中的目标持有的[电囚]效果层数接近上限时，会激活更少的[电壶]；
    招式发动期间拥有无敌效果。</t>
  </si>
  <si>
    <t>闪避：瞬闪</t>
  </si>
  <si>
    <t>闪避时，点按 &lt;IconMap:Icon_Normal&gt; 发动：
    向前方进行多段穿透攻击，造成物理伤害。</t>
  </si>
  <si>
    <t>触发[极限闪避]后，点按 &lt;IconMap:Icon_Normal&gt; 发动：
    对前方敌人发动穿透攻击，造成电属性伤害；
    招式发动期间拥有无敌效果。</t>
  </si>
  <si>
    <t>触发[连携技]时，选择对应角色发动：
    对前方大范围敌人发动穿透攻击，并发射强化箭矢，造成大量电属性伤害；
    箭矢命中地面时，可生成6枚[电壶]；
    招式发动期间拥有无敌效果。</t>
  </si>
  <si>
    <t>喧响等级达到[极]时，点按 &lt;IconMap:Icon_UltimateReady&gt; 发动：
    对前方敌人发动强力穿透攻击，造成大量电属性伤害；
    招式发动期间拥有无敌效果。</t>
  </si>
  <si>
    <t>[终结技：残心]发动后自动派生：
    对前方敌人发动大范围穿透攻击，造成电属性伤害，视为[终结技]伤害；
    招式发动期间拥有无敌效果。</t>
  </si>
  <si>
    <t>当前操作中的角色被击飞时，点按 &lt;IconMap:Icon_Switch&gt; 发动：
    对前方敌人发动穿透攻击，造成电属性伤害；
    招式发动期间拥有无敌效果。</t>
  </si>
  <si>
    <t>发动[招架支援]后，点按 &lt;IconMap:Icon_Normal&gt; 发动：
    对前方敌人发动连续斩击，造成电属性伤害；
    招式发动期间拥有无敌效果。</t>
  </si>
  <si>
    <t>当场上存在拥有[十文字]标记的敌人时，悠真会进入[醒觉]状态，并将[冲刺攻击：飞弦]替换为[冲刺攻击：飞弦·斩]。
    [醒觉]状态下，闪避时，点按 &lt;IconMap:Icon_Normal&gt; 发动：
    快速突进至距离自身最近的带有[十文字]标记的敌人身前，发动强力斩击，造成电属性伤害；
    斩击命中目标时会消耗2层[电囚]效果，[电囚]效果少于2层时，将消除[十文字]标记；在[十文字]标记耗尽前，连续点按 &lt;IconMap:Icon_Normal&gt; ，可连续发动[冲刺攻击：飞弦·斩]；当场上不存在带有[十文字]标记的敌人时，悠真将退出[醒觉]状态；
    [醒觉]状态下，[普通攻击：落羽]发动后，点按 &lt;IconMap:Icon_Normal&gt; 可以快速衔接发动[冲刺攻击：飞弦·斩]；
    招式发动期间抗打断等级提升，受到的伤害降低40%。</t>
  </si>
  <si>
    <t>当场上存在拥有[十文字]标记的敌人时，悠真会进入[醒觉]状态，并将[冲刺攻击：飞弦]替换为[冲刺攻击：飞弦·斩]。
    [醒觉]状态下，闪避时，点按 &lt;IconMap:Icon_Normal&gt; 发动：
    快速突进至距离自身最近的带有[十文字]标记的敌人身前，发动强力斩击，造成电属性伤害，命中处于失衡状态的敌人时会触发[逐雷]，造成1次额外的电属性伤害；
    斩击命中目标时会消耗2层[电囚]效果，[电囚]效果少于2层时，将消除[十文字]标记；在[十文字]标记耗尽前，连续点按 &lt;IconMap:Icon_Normal&gt; ，可连续发动[冲刺攻击：飞弦·斩]；当场上不存在带有[十文字]标记的敌人时，悠真将退出[醒觉]状态；
    [醒觉]状态下，[普通攻击：落羽]发动后，点按 &lt;IconMap:Icon_Normal&gt; 可以快速衔接发动[冲刺攻击：飞弦·斩]；
    第一段招式期间可以格挡敌人攻击，第二、第三段招式的追击效果增强；
    招式发动期间抗打断等级提升，受到的伤害降低40%。</t>
  </si>
  <si>
    <t>点按 &lt;IconMap:Icon_Normal&gt; 发动：
    指派杜苏拉和安娜塔莎发动至多四段的攻击，造成物理伤害和电属性伤害；
    在杜苏拉和安娜塔莎攻击期间，丽娜执行其他行动，不会打断[普通攻击]的连击段数。</t>
  </si>
  <si>
    <t>长按 &lt;IconMap:Icon_Normal&gt; 或 &lt;IconMap:Icon_Special&gt; 发动：
    召回杜苏拉和安娜塔莎，在身边回旋后进行范围攻击，造成电属性伤害；
    招式发动期间抗打断等级提升。</t>
  </si>
  <si>
    <t>点按 &lt;IconMap:Icon_Special&gt; 发动：
    指派安娜塔莎发动下砸攻击，造成电属性伤害；
    招式发动期间抗打断等级提升。</t>
  </si>
  <si>
    <t>能量足够时，点按 &lt;IconMap:Icon_SpecialReady&gt; 发动：
    指派杜苏拉和安娜塔莎发动持续下砸攻击，造成大量电属性伤害；
    招式发动期间拥有无敌效果；
    招式命中敌人时，将触发[快速支援]。</t>
  </si>
  <si>
    <t>闪避：抚平裙摆</t>
  </si>
  <si>
    <t>闪避时，点按 &lt;IconMap:Icon_Normal&gt; 发动：
    指派杜苏拉和安娜塔莎发动穿透攻击，造成物理伤害。</t>
  </si>
  <si>
    <t>触发[极限闪避]后，点按 &lt;IconMap:Icon_Normal&gt; 发动：
    指派杜苏拉和安娜塔莎，向前方旋转飞出并触发爆炸，造成电属性伤害；
    招式发动期间拥有无敌效果。</t>
  </si>
  <si>
    <t xml:space="preserve">触发[连携技]时，选择对应角色发动：
    指派杜苏拉和安娜塔莎，向前方持续推进并生成球形电场，造成大量电属性伤害；
    杜苏拉和安娜塔莎在推进期间无法响应[普通攻击]、[冲刺攻击]、[特殊技]或[强化特殊技]的指令，但可以通过发动[普通攻击：赶走傻瓜]将其召回丽娜身边；
    招式发动期间拥有无敌效果；
    招式命中敌人时，将触发[快速支援]。
</t>
  </si>
  <si>
    <t>喧响等级达到[极]时，点按 &lt;IconMap:Icon_UltimateReady&gt; 发动：
    指派杜苏拉和安娜塔莎，向前方持续推进并发动高速回旋，造成大量电属性伤害；
    杜苏拉和安娜塔莎在推进期间无法响应[普通攻击]、[冲刺攻击]、[特殊技]或[强化特殊技]的指令，但可以通过发动[普通攻击：赶走傻瓜]将其召回丽娜身边；
    招式发动时，队伍中其他角色回复10点能量，下一名换入前场的角色额外回复20点能量；
    招式发动期间拥有无敌效果；
    招式命中敌人时，将触发[快速支援]。</t>
  </si>
  <si>
    <t>当前操作中的角色被击飞时，点按 &lt;IconMap:Icon_Switch&gt; 发动：
    指派杜苏拉和安娜塔莎，向前方旋转飞出并触发爆炸，造成电属性伤害；
    招式发动期间拥有无敌效果。</t>
  </si>
  <si>
    <t>回避支援：三拍的库朗特</t>
  </si>
  <si>
    <t>发动[回避支援]后，点按 &lt;IconMap:Icon_Normal&gt; 发动：
    指派杜苏拉和安娜塔莎，向前方持续推进并生成涡旋电场，造成电属性伤害；
    招式发动期间拥有无敌效果。</t>
  </si>
  <si>
    <t>普通攻击：夜见尊神乐</t>
  </si>
  <si>
    <t>月城柳拥有[上弦]和[下弦]两种架势；
    点按 &lt;IconMap:Icon_Normal&gt; 发动：
    根据当前架势，向前方进行至多五段的斩击，造成物理伤害和电属性伤害；
    在战斗中，月城柳可根据当前架势类型获得对应的架势增益：
    [上弦]架势增益：自身造成的电属性伤害提升10%，[普通攻击]发动期间抗打断等级提升；
    [下弦]架势增益：自身穿透率提升10%，[普通攻击]的打断等级提升；
    架势切换后，月城柳仍可继续保有上一架势的架势增益，持续8秒。</t>
  </si>
  <si>
    <t>点按 &lt;IconMap:Icon_Special&gt; 发动：
    向前方进行斩击，造成电属性伤害，并切换当前架势；
    招式发动期间抗打断等级提升；
    若衔接在[普通攻击]第三、四、五段之后发动，则能够触发[快速流转]，以更快的速度进行斩击并切换当前架势；
    [快速流转]发动期间可以格挡敌人的攻击；
    触发[快速流转]后，可以直接衔接当前架势下第三段[普通攻击]。</t>
  </si>
  <si>
    <t>能量足够时，长按 &lt;IconMap:Icon_SpecialReady&gt; 发动：
    积蓄力量向前快速突刺，随后发动下落攻击，造成大量电属性伤害；
    突刺发动时，月城柳会切换当前架势，并进入[森罗万象]状态，持续15秒，状态持续期间，从[普通攻击]第五段或其他招式衔接后继[普通攻击]时，将直接从第三段[普通攻击] 起手；
    下落攻击命中处于属性异常状态下的敌人时，将会触发特殊的[紊乱]效果[极性紊乱]，对目标造成原本[紊乱]效果15%的伤害，并额外附加月城柳{CAL:5+AvatarSkillLevel(1)*2.25,100,2}%异常精通的伤害，[极性紊乱]不会清除目标所处的属性异常状态；
    招式发动期间拥有无敌效果。</t>
  </si>
  <si>
    <t>闪避：流岚</t>
  </si>
  <si>
    <t>触发[极限闪避]后，点按 &lt;IconMap:Icon_Normal&gt; 发动：
    对前方敌人发动斩击，造成电属性伤害；
    招式发动期间拥有无敌效果；
    招式发动后，可以直接衔接当前架势下第三段[普通攻击]。</t>
  </si>
  <si>
    <t>触发[连携技]时，选择对应角色发动：
    切换当前架势，并对前方敌人发动强力斩击，造成大量电属性伤害；
    招式发动期间拥有无敌效果；
    招式发动后，可以直接衔接当前架势下第三段[普通攻击]。</t>
  </si>
  <si>
    <t>喧响等级达到[极]时，点按 &lt;IconMap:Icon_UltimateReady&gt; 发动：
    激发自身能力，在极短时间内对前方大范围敌人发动强力斩击，并追加落雷攻击，造成大量电属性伤害；
    落雷攻击命中处于属性异常状态下的敌人时，将会触发特殊的[紊乱]效果[极性紊乱]，对目标造成原本[紊乱]效果15%的伤害，并额外附加月城柳{CAL:5+AvatarSkillLevel(3)*2.25,100,2}%异常精通的伤害，[极性紊乱]不会清除目标所处的属性异常状态；
    招式发动期间拥有无敌效果；
    招式发动后，可以直接衔接当前架势下第三段[普通攻击]。</t>
  </si>
  <si>
    <t>当前操作中的角色被击飞时，点按 &lt;IconMap:Icon_Switch&gt; 发动：
    对前方敌人发动斩击，造成电属性伤害；
    招式发动期间拥有无敌效果；
    招式发动后，可以直接衔接当前架势下第三段[普通攻击]。</t>
  </si>
  <si>
    <t>发动[招架支援]后，点按 &lt;IconMap:Icon_Normal&gt; 发动：
    切换当前架势，对前方敌人快速发动多段斩击，造成电属性伤害；
    招式发动期间拥有无敌效果；
    招式发动后，可以直接衔接当前架势下第三段[普通攻击]。</t>
  </si>
  <si>
    <t>[突击模式]
    点按 &lt;IconMap:Icon_Normal&gt; 发动：
    交替使用体术、手枪和以太鹿弹，向前方进行至多五段的攻击，造成物理伤害和以太伤害；
    第四、第五段攻击命中敌人时，获得1枚[强化霰弹]，同一招式中最多获得1枚；
    招式发动期间，拖曳{LAYOUT_CONSOLECONTROLLER#操作杆}{LAYOUT_FALLBACK#摇杆}并点按 &lt;IconMap:Icon_Normal&gt; ，可以发动[冲刺攻击：火力奇袭]，向对应方向调整身位；
    [突击模式]下，长按 &lt;IconMap:Icon_Normal&gt; 时，将会切换攻击方式，进入[压制模式]。</t>
  </si>
  <si>
    <t>[压制模式]
    长按 &lt;IconMap:Icon_Normal&gt; 发动：
    使用霰弹枪向前方进行至多三段的穿透射击，造成物理伤害；开火时若拥有[强化霰弹]，则会消耗1枚[强化霰弹]，造成大量以太伤害；
    招式发动期间，拖曳{LAYOUT_CONSOLECONTROLLER#操作杆}{LAYOUT_FALLBACK#摇杆}可以发动[冲刺攻击：火力压制]，向对应方向调整身位；
    [压制模式]下，松开 &lt;IconMap:Icon_Normal&gt; 时，将会切换攻击方式，回到[突击模式]。</t>
  </si>
  <si>
    <t>点按 &lt;IconMap:Icon_Special&gt; 发动：
    使用以太鹿弹进行射击，造成以太伤害，连续点按 &lt;IconMap:Icon_Special&gt; ，可以重复射击三次；
    招式发动期间抗打断等级提升。</t>
  </si>
  <si>
    <t>能量足够时，点按 &lt;IconMap:Icon_SpecialReady&gt; 发动：
    使用以太鹿弹进行连续射击，造成大量以太伤害；
    招式发动时，获得3枚[强化霰弹]；
    招式发动期间拥有无敌效果。</t>
  </si>
  <si>
    <t>闪避：迂回</t>
  </si>
  <si>
    <t>[突击模式]
    闪避时，点按 &lt;IconMap:Icon_Normal&gt; 发动：
    使用手枪进行射击，造成以太伤害。</t>
  </si>
  <si>
    <t>[压制模式]
    在[普通攻击：请勿抵抗]发动期间，拖曳{LAYOUT_CONSOLECONTROLLER#操作杆}{LAYOUT_FALLBACK#摇杆}发动：
    使用霰弹枪进行穿透射击，造成物理伤害；开火时若拥有[强化霰弹]，则会消耗1枚[强化霰弹]，造成大量以太伤害。</t>
  </si>
  <si>
    <t>触发[极限闪避]后，点按 &lt;IconMap:Icon_Normal&gt; 发动：
    使用以太鹿弹对前方敌人发动射击，造成以太伤害；
    招式发动时，获得1枚[强化霰弹]；
    招式发动期间拥有无敌效果。</t>
  </si>
  <si>
    <t>触发[连携技]时，选择对应角色发动：
    使用完全变形武器进行饱和攻击，发射直线激光和追踪导弹，造成大量以太伤害；
    招式发动时，获得3枚[强化霰弹]；
    招式发动期间拥有无敌效果。</t>
  </si>
  <si>
    <t>喧响等级达到[极]时，点按 &lt;IconMap:Icon_UltimateReady&gt; 发动：
    使用完全变形武器进行饱和攻击，发射直线激光和追踪导弹，造成大量以太伤害；
    招式发动时，获得3枚[强化霰弹]；
    招式发动期间拥有无敌效果。</t>
  </si>
  <si>
    <t>当前操作中的角色被击飞时，点按 &lt;IconMap:Icon_Switch&gt; 发动：
    使用以太鹿弹对前方敌人发动射击，造成以太伤害；
    招式发动时，获得1枚[强化霰弹]；
    招式发动期间拥有无敌效果。</t>
  </si>
  <si>
    <t>回避支援：警戒援护</t>
  </si>
  <si>
    <t>发动[回避支援]后，点按 &lt;IconMap:Icon_Normal&gt; 发动：
    交替使用体术和霰弹枪进行攻击，造成物理伤害和以太伤害；
    招式发动时，获得3枚[强化霰弹]；
    招式发动期间拥有无敌效果。</t>
  </si>
  <si>
    <t>点按 &lt;IconMap:Icon_Normal&gt; 发动：
    向前方进行至多四段的打击，造成物理伤害和电属性伤害；
    第三段攻击期间，连续点按 &lt;IconMap:Icon_Normal&gt; 可以维持连击，持续打击敌人，在此期间发动[闪避]，不会打断[普通攻击]的连击段数；
    第三段攻击期间，停止点按 &lt;IconMap:Icon_Normal&gt; 将会中断连击，自动衔接第四段攻击，维持连击超过一定时间后，第四段攻击将会得到强化；
    第三、第四段攻击期间抗打断等级提升，受到的伤害降低40%。</t>
  </si>
  <si>
    <t>长按 &lt;IconMap:Icon_Normal&gt; 发动：
    向前方发动一次突进攻击，造成电属性伤害；
    招式发动期间抗打断等级提升。</t>
  </si>
  <si>
    <t>闪络</t>
  </si>
  <si>
    <t>青衣发动招式造成电属性伤害时，会累积[闪络电压]，当[闪络电压]累积至75%时，青衣将进入[闪络]状态。发动[普通攻击：醉花月云转]时，青衣会消耗所有[闪络电压]并退出[闪络]状态，所消耗的[闪络电压]中超过75%的部分，每1%能够使本次招式造成的伤害/失衡值额外提升1%/0.5%。[普通攻击：醉花月云转]本身不会累积[闪络电压]。</t>
  </si>
  <si>
    <t>[闪络]状态下，长按 &lt;IconMap:Icon_Normal&gt; 发动：
    向前方连续发动五次突进攻击，随后发动终结一击，造成大量电属性伤害，招式发动期间松开 &lt;IconMap:Icon_Normal&gt; ，可以提前发动终结一击；
    在角色即将受到攻击时发动终结一击，可以触发[极限闪避]；
    突进攻击发动期间抗打断等级提升，受到的伤害降低40%，终结一击发动期间具有无敌效果。</t>
  </si>
  <si>
    <t>点按 &lt;IconMap:Icon_Special&gt; 发动：
    向前方快速上挑，随后发动下砸攻击，造成电属性伤害；
    招式发动期间抗打断等级提升。</t>
  </si>
  <si>
    <t>能量足够时，点按 &lt;IconMap:Icon_SpecialReady&gt; 发动：
    向前方快速上挑后腾空跃起，转身连打后发动强力的下砸攻击，造成大量电属性伤害，长按 &lt;IconMap:Icon_SpecialReady&gt; 时，可以额外消耗能量，提升转身连打的攻击次数；
    招式发动期间拥有无敌效果；
    招式发动后，可直接衔接第三段[普通攻击]。</t>
  </si>
  <si>
    <t>闪避：雁过声</t>
  </si>
  <si>
    <t>闪避时，点按 &lt;IconMap:Icon_Normal&gt; 发动：
    向前突进后发动上挑攻击，造成物理伤害。</t>
  </si>
  <si>
    <t>触发[极限闪避]后，点按 &lt;IconMap:Icon_Normal&gt; 发动：
    腾空跃起后发动下落攻击，造成电属性伤害；
    招式发动期间拥有无敌效果。</t>
  </si>
  <si>
    <t>触发[连携技]时，选择对应角色发动：
    对前方大范围区域发动强力连续打击，造成大量电属性伤害；
    攻击命中敌人时，目标每拥有一层[核心被动：千秋岁]中的[羁服]，招式对其造成的伤害提升3%；
    招式发动期间拥有无敌效果。</t>
  </si>
  <si>
    <t>喧响等级达到[极]时，点按 &lt;IconMap:Icon_UltimateReady&gt; 发动：
    对前方大范围区域发动强力连续打击，随后发动终结一击，造成大量电属性伤害；
    招式发动期间拥有无敌效果。</t>
  </si>
  <si>
    <t>当前操作中的角色被击飞时，点按 &lt;IconMap:Icon_Switch&gt; 发动：
    腾空跃起后发动下落攻击，造成电属性伤害；
    招式发动期间拥有无敌效果。</t>
  </si>
  <si>
    <t>发动[招架支援]后，点按 &lt;IconMap:Icon_Normal&gt; 发动：
    向前方快速突进攻击并向地面注入电能，随后拔起引发爆炸，造成电属性伤害；
    招式发动期间拥有无敌效果。</t>
  </si>
  <si>
    <t>点按 &lt;IconMap:Icon_Normal&gt; 发动：
    向前方进行至多六段的攻击，造成物理伤害。</t>
  </si>
  <si>
    <t>狂热</t>
  </si>
  <si>
    <t>简触发[极限闪避]、[招架支援]或发动招式对敌人造成伤害时，会累积[狂热心流]，当[狂热心流]累积至上限时，简将进入[狂热]状态；
    [狂热]状态下，简的物理异常积蓄效率提升25%，此外，若简的异常精通高于120点，每超过1点异常精通会使自身的攻击力提升2点，通过这种方式最多使自身的攻击力提升600点；
    简在[狂热]状态下发动招式造成伤害时，会消耗[狂热心流]，触发[极限闪避]或[招架支援]时，可以回复[狂热心流]，当[狂热心流]耗尽时，将退出[狂热]状态。</t>
  </si>
  <si>
    <t>进入[狂热]状态时，简将获得一次[普通攻击：萨霍夫跳]的可使用次数；
    当有可使用次数时，长按 &lt;IconMap:Icon_Normal&gt; 发动：
    向前方发动快速的连续攻击，随后发动终结一击，造成物理伤害；
    连续攻击期间，保持长按可以延长招式的持续时间，松开 &lt;IconMap:Icon_Normal&gt; 可以提前发动终结一击；
    连续攻击发动期间抗打断等级提升，受到的伤害降低40%，终结一击发动期间具有无敌效果；
    在[狂热]状态下发动[普通攻击：萨霍夫跳]对敌人造成伤害时，可以回复[狂热心流]。</t>
  </si>
  <si>
    <t>点按 &lt;IconMap:Icon_Special&gt; 发动：
    腾空跃起，向前方发动连续踢击后横扫，造成物理伤害；
    招式发动期间抗打断等级提升。</t>
  </si>
  <si>
    <t>能量足够时，点按 &lt;IconMap:Icon_SpecialReady&gt; 发动：
    腾空跃起，向前方发动多次连续踢击后横扫，造成大量物理伤害；
    招式发动期间拥有无敌效果。</t>
  </si>
  <si>
    <t>闪避：残影</t>
  </si>
  <si>
    <t>点按 &lt;IconMap:Icon_Evade&gt; 发动：
    快速的滑步闪避；
    招式发动期间拥有无敌效果；
    简拥有一次额外的闪避次数，在进入[狂热]状态前，简会交替使用两段闪避，在进入[狂热]状态后，简在闪避时可以穿过前方的敌人。</t>
  </si>
  <si>
    <t>闪避时，点按 &lt;IconMap:Icon_Normal&gt; 发动：
    若衔接在一段闪避后，将向前方进行上挑斩击，造成物理伤害；
    若衔接在二段闪避后，将向前方进行连续斩击，造成物理伤害。</t>
  </si>
  <si>
    <t>[狂热]状态下，闪避时，点按 &lt;IconMap:Icon_Normal&gt; 发动：
    向前方进行三次快速的突进斩击，造成物理伤害。</t>
  </si>
  <si>
    <t>触发[极限闪避]后，点按 &lt;IconMap:Icon_Normal&gt; 发动：
    若衔接在一段闪避后，将对前方敌人发动多次斩击，随后向下突刺，造成物理伤害；
    若衔接在二段闪避后，将会跃起并对前方敌人发动三次连续攻击，造成物理伤害；
    招式发动期间拥有无敌效果。</t>
  </si>
  <si>
    <t>[狂热]状态下，触发[极限闪避]后，点按 &lt;IconMap:Icon_Normal&gt; 发动：
    对前方敌人发动多次快速斩击，造成物理伤害；
    招式发动期间拥有无敌效果。</t>
  </si>
  <si>
    <t>触发[连携技]时，选择对应角色发动：
    对前方大范围敌人发动穿梭斩击，造成大量物理伤害；
    招式发动时，简将直接进入[狂热]状态，并使[狂热心流]回复至上限；
    招式发动期间拥有无敌效果。</t>
  </si>
  <si>
    <t>喧响等级达到[极]时，点按 &lt;IconMap:Icon_UltimateReady&gt; 发动：
    对前方大范围敌人发动强力穿梭斩击，随后发动终结一击，造成大量物理伤害；
    招式发动时，简将直接进入[狂热]状态，并使[狂热心流]回复至上限；
    招式发动期间拥有无敌效果。</t>
  </si>
  <si>
    <t>当前操作中的角色被击飞时，点按 &lt;IconMap:Icon_Switch&gt; 发动：
    对前方敌人发动多次斩击，随后向下突刺，造成物理伤害；
    招式发动期间拥有无敌效果。</t>
  </si>
  <si>
    <t>[狂热]状态下，当前操作中的角色被击飞时，点按 &lt;IconMap:Icon_Switch&gt; 发动：
    对前方敌人发动多次快速斩击，造成物理伤害；
    招式发动期间拥有无敌效果。</t>
  </si>
  <si>
    <t>发动[招架支援]后，点按 &lt;IconMap:Icon_Normal&gt; 发动：
    腾空跃起后对敌人发动快速斩击，随后在前方大范围内再次发动横扫斩击，造成物理伤害；
    招式发动期间拥有无敌效果。</t>
  </si>
  <si>
    <t>点按 &lt;IconMap:Icon_Normal&gt; 发动：
    向前方进行至多四段的攻击，造成物理伤害和电属性伤害。</t>
  </si>
  <si>
    <t>[意气]大于等于75%时，长按 &lt;IconMap:Icon_Normal&gt; 发动：
    消耗75%[意气]向前方发动持续攻击，随后发动终结一击，造成电属性伤害；
    终结一击命中敌人时，将触发队伍中上一位角色的[快速支援]；
    招式发动期间抗打断等级提升。</t>
  </si>
  <si>
    <t>点按 &lt;IconMap:Icon_Special&gt; 发动：
    向前方发动两次盾击，造成电属性伤害；
    招式发动期间抗打断等级提升。</t>
  </si>
  <si>
    <t>能量足够时，点按 &lt;IconMap:Icon_SpecialReady&gt; 发动：
    向前方发动连续斩击，造成大量电属性伤害；
    长按 &lt;IconMap:Icon_SpecialReady&gt; 可以进行蓄力，蓄力完成后赛斯将向前方突进，发动高量级的连续斩击，造成大量电属性伤害；
    招式发动时，会为自身累积75%[意气]；
    招式蓄力期间抗打断等级提升，受到的伤害降低40%；
    连续斩击期间拥有无敌效果。</t>
  </si>
  <si>
    <t>闪避：避障</t>
  </si>
  <si>
    <t>闪避时，点按 &lt;IconMap:Icon_Normal&gt; 发动：
    向前方进行盾冲攻击，造成物理伤害；
    招式发动期间受到的伤害降低40%。</t>
  </si>
  <si>
    <t>触发[极限闪避]后，点按 &lt;IconMap:Icon_Normal&gt; 发动：
    对前方敌人发动快速的下砸斩击，造成电属性伤害；
    招式发动后，长按 &lt;IconMap:Icon_SpecialReady&gt; 衔接[强化特殊技：电光盾冲-高伏特]时，能够以更快的速度完成蓄力；
    招式发动期间拥有无敌效果。</t>
  </si>
  <si>
    <t>触发[连携技]时，选择对应角色发动：
    向前方进行连续斩击，造成大量电属性伤害；
    招式发动时，会为自身累积75%[意气]；
    招式发动后，长按 &lt;IconMap:Icon_SpecialReady&gt; 衔接[强化特殊技：电光盾冲-高伏特]时，能够以更快的速度完成蓄力；
    招式发动期间拥有无敌效果。</t>
  </si>
  <si>
    <t>喧响等级达到[极]时，点按 &lt;IconMap:Icon_UltimateReady&gt; 发动：
    向前方进行连续上挑攻击，随后发动终结一击，造成大量电属性伤害；
    招式发动时，会为自身累积75%[意气]，额外回复3点支援点数；
    招式发动后，长按 &lt;IconMap:Icon_SpecialReady&gt; 衔接[强化特殊技：电光盾冲-高伏特]时，能够以更快的速度完成蓄力；
    招式发动期间拥有无敌效果。</t>
  </si>
  <si>
    <t>当前操作中的角色被击飞时，点按 &lt;IconMap:Icon_Switch&gt; 发动：
    对前方敌人发动快速的下砸斩击，造成电属性伤害；
    招式发动后，长按 &lt;IconMap:Icon_SpecialReady&gt; 衔接[强化特殊技：电光盾冲-高伏特]时，能够以更快的速度完成蓄力；
    招式发动期间拥有无敌效果。</t>
  </si>
  <si>
    <t>前场角色即将被攻击时，点按 &lt;IconMap:Icon_Switch&gt; 发动：
    招架敌人的攻击，累积大量失衡值；
    招式发动时，会为自身累积25%[意气]；
    具有较为优秀的招架性能，承受高强度攻击时[支援点数]的消耗量降低；
    招式发动期间拥有无敌效果。</t>
  </si>
  <si>
    <t>发动[招架支援]后，点按 &lt;IconMap:Icon_Normal&gt; 发动：
    向前方发动突刺攻击，随后进行两次横扫斩击，造成电属性伤害；
    招式命中敌人时，将触发队伍中上一位角色的[快速支援]；
    招式发动后，长按 &lt;IconMap:Icon_SpecialReady&gt; 衔接[强化特殊技：电光盾冲-高伏特]时，能够以更快的速度完成蓄力；
    招式发动期间拥有无敌效果。</t>
  </si>
  <si>
    <t>点按 &lt;IconMap:Icon_Normal&gt; 发动：
    向前方进行至多四段的斩击，造成物理伤害；</t>
  </si>
  <si>
    <t>点按 &lt;IconMap:Icon_Special&gt; 发动：
    转动身体向周围发动旋转斩击，造成物理伤害；
    长按 &lt;IconMap:Icon_Special&gt; 可以延长招式的持续时间，发动越来越强的旋转斩击，并提升招式的蓄力等级，最多提升2次；
    若衔接在[普通攻击]前三段、[冲刺攻击]或[闪避反击]之后，则能够以提升后的蓄力等级快速发动[特殊技：轮胎转]；
    招式发动期间抗打断等级提升，受到的伤害降低40%。</t>
  </si>
  <si>
    <t>在[特殊技：轮胎转]发动期间，松开 &lt;IconMap:Icon_Special&gt; 发动：
    根据[特殊技：轮胎转]的蓄力等级，向前方发动下砸攻击，造成物理伤害；
    招式发动期间拥有无敌效果。</t>
  </si>
  <si>
    <t>能量足够时，在[特殊技：轮胎转]达到最高蓄力等级后，继续长按 &lt;IconMap:Icon_SpecialReady&gt; 发动：
    快速转动身体，向周围发动旋转斩击，造成大量物理伤害；
    发动期间持续消耗能量，最多持续3秒；
    招式发动期间抗打断等级提升，受到的伤害降低40%。</t>
  </si>
  <si>
    <t>在[强化特殊技：引擎转]发动期间，松开 &lt;IconMap:Icon_SpecialReady&gt; 发动：
    向前方发动强力的下砸攻击，造成大量物理伤害；
    在[强化特殊技：引擎转]发动期间，持续时间达到上限或能量降低至20点时，将会自动发动[强化特殊技：非常重]；
    招式发动期间拥有无敌效果。</t>
  </si>
  <si>
    <t>闪避：手刹漂移</t>
  </si>
  <si>
    <t>触发[极限闪避]后，点按 &lt;IconMap:Icon_Normal&gt; 发动：
    对前方敌人发动下砸攻击，造成物理伤害；
    招式发动期间拥有无敌效果。</t>
  </si>
  <si>
    <t>触发[连携技]时，选择对应角色发动：
    对前方敌人发动强力下砸攻击，造成大量物理伤害；
    招式发动期间拥有无敌效果。</t>
  </si>
  <si>
    <t>喧响等级达到[极]时，点按 &lt;IconMap:Icon_UltimateReady&gt; 发动：
    快速转动身体，对前方大范围敌人发动强力的旋转斩击，随后发动下砸攻击，造成大量物理伤害；
    招式发动期间拥有无敌效果。</t>
  </si>
  <si>
    <t>当前操作中的角色被击飞时，点按 &lt;IconMap:Icon_Switch&gt; 发动：
    对前方敌人发动下砸攻击，造成物理伤害；
    招式发动期间拥有无敌效果。</t>
  </si>
  <si>
    <t>点按 &lt;IconMap:Icon_Normal&gt; 发动：
    向前方进行至多四段的攻击，造成物理伤害和冰属性伤害；
    招式第四段攻击为射击攻击，射击攻击发动期间长按 &lt;IconMap:Icon_Normal&gt; 可以进行蓄力，从而发动蓄力射击；
    第四段攻击招式发动期间抗打断等级提升，受到的伤害降低40%。</t>
  </si>
  <si>
    <t>发动[普通攻击：暗渊四重奏]第四段后、发动[闪避反击：诡影·斩]的射击攻击后、发动[快速支援：葬歌]的射击攻击后，点按或长按 &lt;IconMap:Icon_Normal&gt; 发动：
    扔出镰刀向前方发动斩击，随后发动射击攻击，造成冰属性伤害；
    射击攻击期间长按 &lt;IconMap:Icon_Normal&gt; 可以进行蓄力，从而发动蓄力射击；
    招式发动期间抗打断等级提升，受到的伤害降低40%。</t>
  </si>
  <si>
    <t>点按 &lt;IconMap:Icon_Special&gt; 发动：
    旋转镰刀后向前方发动斩击，造成冰属性伤害；
    招式发动期间抗打断等级提升。</t>
  </si>
  <si>
    <t>能量足够时，点按 &lt;IconMap:Icon_SpecialReady&gt; 发动：
    旋转镰刀攻击，随后进行终结一击，造成大量冰属性伤害；
    招式视为非重击；
    招式发动后可直接衔接[普通攻击：暗渊四重奏]的第四段攻击；
    招式发动期间拥有无敌效果。</t>
  </si>
  <si>
    <t>闪避：诡影</t>
  </si>
  <si>
    <t>闪避时，点按 &lt;IconMap:Icon_Normal&gt; 发动：
    向前方进行突进攻击，造成物理伤害。</t>
  </si>
  <si>
    <t>触发[极限闪避]后，点按 &lt;IconMap:Icon_Normal&gt; 发动：
    对前方敌人发动连续攻击，造成冰属性伤害；
    招式发动期间长按 &lt;IconMap:Icon_Normal&gt; 可以发动射击攻击，射击攻击期间长按 &lt;IconMap:Icon_Normal&gt; 可以进行蓄力，从而发动蓄力射击；
    发动射击攻击视为发动一次普通攻击，伤害视为普通攻击伤害；
    招式发动后可直接衔接[普通攻击：暗渊四重奏]的第四段攻击；
    招式射击期间抗打断等级提升，受到的伤害降低40%;
    招式斩击期间与射击后撤期间拥有无敌效果。</t>
  </si>
  <si>
    <t>触发[连携技]时，选择对应角色发动：
    快速突进向前方发动大范围斩击，随后发动射击攻击，造成大量冰属性伤害；
    招式发动的射击攻击视为蓄力射击；
    招式发动期间拥有无敌效果。</t>
  </si>
  <si>
    <t>喧响等级达到[极]时，点按 &lt;IconMap:Icon_UltimateReady&gt; 发动：
    丢出镰刀对前方敌人发动强力旋转攻击，随后进行终结一击，造成大量冰属性伤害；
    招式视为非重击；
    招式发动后可直接衔接[普通攻击：暗渊四重奏]的第四段攻击；
    招式发动期间拥有无敌效果。</t>
  </si>
  <si>
    <t>当前操作中的角色被击飞时，点按 &lt;IconMap:Icon_Switch&gt; 发动：
    对前方敌人发动连续攻击，造成冰属性伤害；
    招式发动期间长按 &lt;IconMap:Icon_Normal&gt; 可以发动射击攻击，射击攻击期间长按 &lt;IconMap:Icon_Normal&gt; 可以进行蓄力，从而发动蓄力射击；
    发动射击攻击视为发动一次普通攻击，伤害视为普通攻击伤害；
    招式发动后可直接衔接[普通攻击：暗渊四重奏]的第四段攻击；
    招式射击期间抗打断等级提升，受到的伤害降低40%;
    招式斩击期间与射击后撤期间拥有无敌效果。</t>
  </si>
  <si>
    <t>发动[招架支援]后，点按 &lt;IconMap:Icon_Normal&gt; 发动：
    快速突进并发动两次斩击，造成冰属性伤害；
    招式发动后可直接衔接[普通攻击：暗渊四重奏]的第四段攻击；
    招式发动期间拥有无敌效果。</t>
  </si>
  <si>
    <t>点按 &lt;IconMap:Icon_Normal&gt; 发动：
    向前方进行至多五段攻击，随后向前发起强力火刀攻击，造成物理伤害和火属性伤害。</t>
  </si>
  <si>
    <t>点按 &lt;IconMap:Icon_Special&gt; 发动：
    向前突刺并进行尾巴攻击，造成火属性伤害；
    招式发动期间抗打断等级提升。</t>
  </si>
  <si>
    <t>队友攻击时自动发动：
    进行四次激光追加攻击，造成火属性伤害；
    每5秒最多触发一次；
    招式发动时，回复20点[蓄炎]；
    发动招式期间拥有无敌效果。</t>
  </si>
  <si>
    <t>能量足够时，点按 &lt;IconMap:Icon_SpecialReady&gt; 发动：
    向前方进行激光扫射，造成火属性伤害；
    招式发动后，可直接衔接普通攻击中的强力火刀攻击；
    招式发动时，回复20点[蓄炎]；
    招式发动期间拥有无敌效果。</t>
  </si>
  <si>
    <t>位于后台且能量大于等于60点时，队友攻击时自动发动：
    向四周进行激光扫射，造成火属性伤害；
    招式发动时，回复20点[蓄炎]；
    招式发动期间拥有无敌效果。</t>
  </si>
  <si>
    <t>[蓄炎]大于等于100点时，长按 &lt;IconMap:Icon_Special&gt; 发动：
    消耗100点[蓄炎]，向前方持续发射激光，造成火属性伤害；
    开始喷射时，将触发[快速支援]；
    持续喷射一段时间后将会加大火力，使得招式的打断等级大幅提升；
    喷射期间受到攻击时，将会招架敌人的攻击，并直接加大火力；
    喷射达到最大时间时，自动发动[强化特殊技：燥焰迸射]；
    低火力期间抗打断等级提升，受到的伤害减少40%，高火力期间拥有无敌效果。</t>
  </si>
  <si>
    <t>[强化特殊技：蓄热充能]喷射至最大时间后自动发动：
    向前发动旋转攻击，然后向前方发射激光，造成火属性伤害；
    招式发动期间拥有无敌效果。</t>
  </si>
  <si>
    <t>闪避：摇曳火光</t>
  </si>
  <si>
    <t>闪避时，点按 &lt;IconMap:Icon_Normal&gt; 发动：
    向前发动快速攻击，造成物理伤害。</t>
  </si>
  <si>
    <t>触发[极限闪避]后，点按 &lt;IconMap:Icon_Normal&gt; 发动：
    对前方敌人发动连击，造成物理伤害和火属性伤害；
    招式发动期间拥有无敌效果。</t>
  </si>
  <si>
    <t>触发[连携技]时，选择对应角色发动：
    向前发动旋转攻击，然后向前方发射激光，造成火属性伤害；
    招式发动时，回复20点[蓄炎]；
    招式发动期间拥有无敌效果。</t>
  </si>
  <si>
    <t>喧响等级达到[极]时，点按 &lt;IconMap:Icon_UltimateReady&gt; 发动：
    向前发动旋转攻击，然后向前方发射激光，造成火属性伤害;
    跃向空中时，将触发[快速支援]，若响应[快速支援]，奥菲丝&amp;「鬼火」会延长激光喷射的持续时间；
    招式发动时，回复20点[蓄炎]；
    招式发动期间拥有无敌效果。</t>
  </si>
  <si>
    <t>当前操作中的角色被击飞时，点按 &lt;IconMap:Icon_Switch&gt; 发动：
    对前方敌人发动连击，造成物理伤害和火属性伤害；
    招式发动期间拥有无敌效果。</t>
  </si>
  <si>
    <t>发动[招架支援]后，点按 &lt;IconMap:Icon_Normal&gt; 发动：
    对前方敌人发动多次攻击，造成火属性伤害；
    招式发动期间拥有无敌效果。</t>
  </si>
  <si>
    <t>点按 &lt;IconMap:Icon_Normal&gt; 发动：
    向前方进行至多三段的攻击，造成以太伤害；
    第三段攻击期间，可长按 &lt;IconMap:Icon_Normal&gt; 进行蓄力，持续聚集敌人，提升攻击范围，释放更加强力的攻击；
    其他招式发动后，可长按 &lt;IconMap:Icon_Normal&gt; 直接发动第三段攻击。</t>
  </si>
  <si>
    <t>[咏叹华彩]状态下，点按 &lt;IconMap:Icon_Normal&gt; 发动：
    向前方释放[震音]进行攻击，造成以太伤害；
    招式命中敌人时，将触发[快速支援]。</t>
  </si>
  <si>
    <t>[咏叹华彩]状态下，触发[极限闪避]后，点按 &lt;IconMap:Icon_Normal&gt; 发动：
    对前方敌人发动多道[震音]进行攻击，造成大量以太伤害；
    招式命中敌人时，将触发[快速支援]；
    招式发动期间拥有无敌效果。</t>
  </si>
  <si>
    <t>[咏叹华彩]状态下，长按 &lt;IconMap:Icon_Normal&gt; 发动：
    向前方释放[震音]进行攻击，造成以太伤害，并退出[咏叹华彩]状态；
    招式发动时，会对自身施加[核心被动：《如歌的行板》]中的增益效果；
    能量足够时，会消耗能量追加释放1道[震音]和3枚[音簇]进行攻击，该次[震音]会被视为[强化特殊技]。</t>
  </si>
  <si>
    <t>点按 &lt;IconMap:Icon_Special&gt;  发动：
    快速位移，随后释放[震音]造成以太伤害，并进入[咏叹华彩]状态；
    发动时若拖曳{LAYOUT_CONSOLECONTROLLER#操作杆}{LAYOUT_FALLBACK#摇杆}，可以向对应方向位移；
    发动时可长按 &lt;IconMap:Icon_Special&gt; 进行蓄力，持续聚集敌人，并根据蓄力时长追加释放1~4道[震音]；
    招式命中敌人时，将触发[快速支援]；
    快速位移期间拥有无敌效果。</t>
  </si>
  <si>
    <t>咏叹华彩</t>
  </si>
  <si>
    <t>耀嘉音进入[咏叹华彩]状态后，全队角色造成的伤害提升{CAL:0.08+AvatarSkillLevel(1)*0.01,100,2}%，全队角色暴击伤害提升{CAL:0.07+AvatarSkillLevel(1)*0.015,100,2}%;
    [咏叹华彩]状态下，耀嘉音无法移动，但可以点按 &lt;IconMap:Icon_Normal&gt; 发动[普通攻击：间奏]，或点按 &lt;IconMap:Icon_Evade&gt; 发动闪避，触发[极限闪避]后，点按 &lt;IconMap:Icon_Normal&gt; ，可以发动[普通攻击：副歌]；
    状态持续期间，耀嘉音的抗打断等级提升，受到的伤害降低40%，切换至其他角色后，耀嘉音会继续留在前场，并获得无敌效果，切换回耀嘉音时，则会自动衔接发动[特殊技：《风铃与旧约》]；
    状态持续期间，长按 &lt;IconMap:Icon_Normal&gt; 发动[普通攻击：终曲]，或长按 &lt;IconMap:Icon_Evade&gt; ，可以退出[咏叹华彩]状态。</t>
  </si>
  <si>
    <t>每拥有25点能量，耀嘉音将拥有1点[和弦]；
    [咏叹华彩]状态下，耀嘉音拥有[和弦]时，能够在以下情况中触发[快速支援]：
    · 操作中的角色攻击命中敌人时，3秒内最多触发一次；
    · 操作中的角色重击命中敌人时，1秒内最多触发一次；
    队伍中其他角色通过[快速支援]、[连携技]、[招架支援]或[回避支援]入场时，耀嘉音将消耗25点能量，并追加释放1道[震音]进行攻击，该次[震音]会被视为[强化特殊技]；
    触发[快速支援]后，短时间内点按 &lt;IconMap:Icon_Switch&gt; 切换角色，将触发[精准支援]，耀嘉音会额外追加释放3枚[音簇]进行攻击，队伍中其他角色通过[连携技]、[招架支援]或[回避支援]入场时，将直接触发[精准支援]。</t>
  </si>
  <si>
    <t>闪避：《小华尔兹》</t>
  </si>
  <si>
    <t>闪避时，点按 &lt;IconMap:Icon_Normal&gt; 发动：
    向前方进行攻击，造成以太伤害；
    发动时若拖曳{LAYOUT_CONSOLECONTROLLER#操作杆}{LAYOUT_FALLBACK#摇杆}，可以向对应方向位移。</t>
  </si>
  <si>
    <t>触发[极限闪避]后，点按 &lt;IconMap:Icon_Normal&gt; 发动：
    向前方敌人发动攻击，造成以太伤害；
    招式发动期间拥有无敌效果。</t>
  </si>
  <si>
    <t>触发[连携技]时，选择对应角色发动：
    用歌声引导能量轰击，造成大量以太伤害；
    招式发动期间拥有无敌效果；
    招式命中敌人时，将触发[快速支援]；
    招式发动后，耀嘉音将进入[咏叹华彩]状态。</t>
  </si>
  <si>
    <t>喧响等级达到[极]时，点按 &lt;IconMap:Icon_UltimateReady&gt; 发动：
    用歌声引导能量轰击，造成大量以太伤害，并为全队角色回复{CAL:-50+AvatarSkillLevel(3)*250,1,2}点生命值；
    招式发动期间拥有无敌效果；
    招式命中敌人时，将触发[快速支援]；
    招式发动后，耀嘉音将进入[咏叹华彩]状态；
    招式发动后，下两次发动的[快速支援]，将被替换为[连携技]；
    次数耗尽前，全队角色[连携技]或[终结技]命中敌人时，将触发[快速支援]。</t>
  </si>
  <si>
    <t>当前操作中的角色被击飞时，点按 &lt;IconMap:Icon_Switch&gt; 发动：
    向前方敌人发动攻击，造成以太伤害；
    招式发动期间拥有无敌效果。</t>
  </si>
  <si>
    <t>回避支援：《两份相惜》</t>
  </si>
  <si>
    <t>发动[回避支援]后，点按 &lt;IconMap:Icon_Normal&gt; 发动：
    向前方发出能量光束，造成以太伤害；
    招式发动期间拥有无敌效果。</t>
  </si>
  <si>
    <t>点按 &lt;IconMap:Icon_Normal&gt; 发动：
    向前方进行至多五段的攻击，造成物理伤害和火属性伤害；
    第五段攻击命中敌人时，伊芙琳会使用[月辉丝·弦]链接主要目标，与其进入[牵缠禁制]。</t>
  </si>
  <si>
    <t>被动：绑缚</t>
  </si>
  <si>
    <t>伊芙琳发动招式对敌人造成伤害时，会累积[燎火]；
    伊芙琳消耗[燎火]发动[绞勒式]，或消耗[喧响值]发动[终结技]时，会累积1点[燎索点]；
    拥有3点[燎索点]后，伊芙琳下一次发动[绞勒式]时，会消耗所有[燎索点]，并将招式替换为打断等级较弱的[连携技：月辉丝·绊]。</t>
  </si>
  <si>
    <t>[燎火]大于等于50%时，长按 &lt;IconMap:Icon_Normal&gt; 或 &lt;IconMap:Icon_Special&gt; 发动：
    消耗50%[燎火]，使用[月辉丝·弦]进行斩击，造成火属性伤害；
    招式发动期间抗打断等级提升，受到的伤害降低40%；
    招式发动后，累积1点[燎索点]。</t>
  </si>
  <si>
    <t>[燎火]大于等于50%时，[普通攻击：绞勒式·I型]发动后，继续长按  &lt;IconMap:Icon_Normal&gt; 或 &lt;IconMap:Icon_Special&gt; 发动：
    消耗50%[燎火]，使用[月辉丝·弦]进行追击，造成火属性伤害；
    招式发动期间抗打断等级提升，受到的伤害降低40%；
    招式发动后，累积1点[燎索点]。</t>
  </si>
  <si>
    <t>未进入[牵缠禁制]前，点按 &lt;IconMap:Icon_Special&gt; 或 &lt;IconMap:Icon_SpecialReady&gt;  发动：
    使用[月辉丝·弦]牵引敌人并突进踢击，造成火属性伤害；
    攻击命中敌人时，伊芙琳会使用[月辉丝·弦]链接主要目标，与其进入[牵缠禁制]；
    招式发动期间抗打断等级提升。</t>
  </si>
  <si>
    <t>进入[牵缠禁制]后，点按或长按 &lt;IconMap:Icon_Special&gt; 发动：
    以被[牵缠禁制]的目标为中心，牵引周围敌人并引爆，造成火属性伤害，引爆后将退出[牵缠禁制]；
    招式发动时，可以闪避敌人的攻击，若成功触发[极限闪避]，将额外累积25%[燎火]；
    牵引周围敌人后，点按 &lt;IconMap:Icon_Normal&gt; ，可以取消引爆，直接衔接第三段[普通攻击]；
    招式发动期间抗打断等级提升。</t>
  </si>
  <si>
    <t>进入[牵缠禁制]后，能量足够时，点按或长按 &lt;IconMap:Icon_SpecialReady&gt; 发动：
    以被[牵缠禁制]的目标为中心，牵引周围敌人并引爆，造成大量火属性伤害，引爆后将退出[牵缠禁制]；
    招式发动时，可以闪避敌人的攻击，若成功触发[极限闪避]，将额外累积25%[燎火]；
    牵引周围敌人后，点按 &lt;IconMap:Icon_Normal&gt; ，可以取消引爆，直接衔接第三段[普通攻击]；
    招式发动期间拥有无敌效果。</t>
  </si>
  <si>
    <t>闪避：弧步</t>
  </si>
  <si>
    <t>闪避时，点按 &lt;IconMap:Icon_Normal&gt; 发动：
    踢击前方敌人，造成物理伤害；</t>
  </si>
  <si>
    <t>触发[极限闪避]后，点按 &lt;IconMap:Icon_Normal&gt; 发动：
    挥动[月辉丝·弦]斩击周围敌人，造成火属性伤害；
    攻击命中敌人时，伊芙琳会使用[月辉丝·弦]链接主要目标，与其进入[牵缠禁制]；
    招式发动期间拥有无敌效果。</t>
  </si>
  <si>
    <t>触发[连携技]时，选择对应角色发动：
    使用复数[月辉丝·弦]连续斩击前方范围内敌人并引爆，造成大量火属性伤害；
    攻击命中敌人时，伊芙琳会使用[月辉丝·弦]链接主要目标，与其进入[牵缠禁制]；
    招式发动期间拥有无敌效果。</t>
  </si>
  <si>
    <t>喧响等级达到[极]时，点按 &lt;IconMap:Icon_UltimateReady&gt; 发动：
    使用复数[月辉丝·弦]连续斩击前方范围内敌人并引爆，造成大量火属性伤害；
    招式发动时，伊芙琳将脱掉风衣，并进入[焰舞觉醒]状态，持续整场战斗，[焰舞觉醒]状态下，伊芙琳消耗[燎索点]发动[连携技：月辉丝·绊]时，将会保留1点[燎索点]；
    攻击命中敌人时，伊芙琳会使用[月辉丝·弦]链接主要目标，与其进入[牵缠禁制]；
    招式发动期间拥有无敌效果；
    招式发动后，累积1点[燎索点]。</t>
  </si>
  <si>
    <t>终结技：月辉丝·弦影</t>
  </si>
  <si>
    <t>[焰舞觉醒]状态下，喧响等级达到[极]时，点按 &lt;IconMap:Icon_UltimateReady&gt; 发动：
    使用复数[月辉丝·弦]连续斩击前方范围内敌人并引爆，造成大量火属性伤害；
    攻击命中敌人时，伊芙琳会使用[月辉丝·弦]链接主要目标，与其进入[牵缠禁制]；
    招式发动期间拥有无敌效果；
    招式发动后，累积1点[燎索点]。</t>
  </si>
  <si>
    <t>当前操作中的角色被击飞时，点按 &lt;IconMap:Icon_Switch&gt; 发动：
    挥动[月辉丝·弦]斩击周围敌人，造成火属性伤害；
    攻击命中敌人时，伊芙琳会使用[月辉丝·弦]链接主要目标，与其进入[牵缠禁制]；
    招式发动期间拥有无敌效果。</t>
  </si>
  <si>
    <t>发动[招架支援]后，点按 &lt;IconMap:Icon_Normal&gt; 发动：
    挥动[月辉丝·弦]进行斩击，随后在前方引发爆炸，造成火属性伤害；
    攻击命中敌人时，伊芙琳会使用[月辉丝·弦]链接主要目标，与其进入[牵缠禁制]；
    招式发动期间拥有无敌效果。</t>
  </si>
  <si>
    <t>点按 &lt;IconMap:Icon_Normal&gt; 发动：
    向前方进行至多四段的攻击，造成物理伤害和以太伤害；
    发动第四段攻击后进入[淑女礼仪]状态；
    拥有[飞羽]时，在第四段攻击过程中保持按住 &lt;IconMap:Icon_Normal&gt; 可进入[裙裾浮游]状态。</t>
  </si>
  <si>
    <t>普通攻击：淑女礼仪·舞步</t>
  </si>
  <si>
    <t>[淑女礼仪]状态下，点按 &lt;IconMap:Icon_Normal&gt; 发动：
    向前突进攻击，造成以太伤害，并在命中目标时回复1点[飞羽]；
    招式发动期间拥有无敌效果；
    若突进期间触发极限闪避，会额外回复1点[飞羽]；
    招式发动后若拥有[飞羽]，会进入[裙裾浮游]状态，可以通过招式发动时保持长按 &lt;IconMap:Icon_Evade&gt; 取消。</t>
  </si>
  <si>
    <t>普通攻击：裙裾浮游·悬落</t>
  </si>
  <si>
    <t>[裙裾浮游]状态下，点按 &lt;IconMap:Icon_Normal&gt; 发动：
    向前方发动范围攻击，造成以太伤害；
    招式发动后消耗全部[飞羽]，每消耗1点[飞羽]，都会获得1点[护羽]；
    招式发动期间拥有无敌效果；
    在[裙裾浮游]状态下切换角色时，薇薇安会自动发动[普通攻击：裙裾浮游·悬落]；
    在[裙裾浮游]状态下点按 &lt;IconMap:Icon_Evade&gt; 可以退出[裙裾浮游]状态。</t>
  </si>
  <si>
    <t>队伍中任意角色发动[强化特殊技]命中目标后，薇薇安会消耗1点[护羽]并对目标发动一次[普通攻击：落羽生花]，造成以太伤害，同一招式最多触发一次，这一效果可以在薇薇安处于后场时触发；
    [护羽]最多持有5点。</t>
  </si>
  <si>
    <t>点按 &lt;IconMap:Icon_Special&gt; 发动：
    快速向前方进行攻击，造成物理伤害和以太伤害；
    招式发动期间抗打断等级提升。</t>
  </si>
  <si>
    <t>能量足够时，点按 &lt;IconMap:Icon_SpecialReady&gt; 发动：
    向前方发动强力攻击，造成大量以太伤害，并回复3点[飞羽]；
    招式发动期间拥有无敌效果；
    招式发动后进入[裙裾浮游]状态，可以通过招式发动时保持长按 &lt;IconMap:Icon_Evade&gt; 进入[淑女礼仪]状态。</t>
  </si>
  <si>
    <t>闪避：流光</t>
  </si>
  <si>
    <t>闪避时，点按 &lt;IconMap:Icon_Normal&gt; 发动：
    向前方进行突刺，造成物理伤害；</t>
  </si>
  <si>
    <t>触发[极限闪避]后，点按 &lt;IconMap:Icon_Normal&gt; 发动：
    对前方敌人发动攻击，造成物理伤害和以太伤害；
    招式发动期间拥有无敌效果；
    招式发动后进入[淑女礼仪]状态；
    拥有[飞羽]时，在招式发动过程中保持按住 &lt;IconMap:Icon_Normal&gt; 可进入[裙裾浮游]状态。</t>
  </si>
  <si>
    <t>闪避：淑女滑步</t>
  </si>
  <si>
    <t>[淑女礼仪]状态下即将受到攻击时，会进行自动闪避，期间拥有无敌效果，但不会触发[极限闪避]；
    每次进入[淑女礼仪]状态仅能触发一次。</t>
  </si>
  <si>
    <t>触发[连携技]时，选择对应角色发动：
    对前方大范围敌人发动强力攻击，造成大量以太伤害，并回复2点[飞羽]；
    招式发动期间拥有无敌效果；
    招式发动后进入[裙裾浮游]状态，可以通过招式发动时保持长按 &lt;IconMap:Icon_Evade&gt; 取消。</t>
  </si>
  <si>
    <t>喧响等级达到[极]时，点按 &lt;IconMap:Icon_UltimateReady&gt; 发动：
    对前方大范围敌人发动强力攻击，造成大量以太伤害，并回复5点[飞羽]；
    招式发动期间拥有无敌效果；
    招式发动后进入[裙裾浮游]状态，可以通过招式发动时保持长按 &lt;IconMap:Icon_Evade&gt; 取消。</t>
  </si>
  <si>
    <t>当前操作中的角色被击飞时，点按 &lt;IconMap:Icon_Switch&gt; 发动：
    对前方敌人发动攻击，造成物理伤害和以太伤害；
    招式发动期间拥有无敌效果；
    招式发动后进入[淑女礼仪]状态；
    拥有[飞羽]时，在招式发动过程中保持按住 &lt;IconMap:Icon_Normal&gt; 可进入[裙裾浮游]状态。</t>
  </si>
  <si>
    <t>发动[招架支援]后，点按 &lt;IconMap:Icon_Normal&gt; 发动：
    对前方敌人发动攻击，造成以太伤害，并回复2点[飞羽]；
    招式发动期间拥有无敌效果；
    招式发动后进入[裙裾浮游]状态，可以通过招式发动时保持长按 &lt;IconMap:Icon_Evade&gt; 取消。</t>
  </si>
  <si>
    <t>点按 &lt;IconMap:Icon_Normal&gt; 发动：
    向前方进行至多五段的斩击，第一段造成物理伤害，后四段造成冰属性伤害。</t>
  </si>
  <si>
    <t>长按 &lt;IconMap:Icon_Normal&gt; 发动：
    预备后进入蓄力，松开时向前方进行斩击，造成大量冰属性伤害；
    蓄力时，照将累积最多5秒蓄力时长，[普通攻击：最终裁决]、[连携技]或[支援突击]的终结一击命中时，将消耗蓄力时长造成额外伤害，每有1秒蓄力时长，造成照{CAL:0.12+AvatarSkillLevel(0)*0.01,100,2}%最大生命值的额外伤害；
    照处于任意[以太帷幕]中时，如果在蓄力中成为非当前操作中角色，可以继续进行蓄力；
    招式发动时，如果[霜寒值]满，消耗所有[霜寒值]，开启[以太帷幕·涌泉]，并触发[快速支援]，此时如果发动队友的[快速支援]，照将自动衔接[普通攻击：最终裁决]并进行蓄力；
    招式发动期间抗打断等级提升，受到的伤害降低40%；
    不为当前操作中角色时，招式发动期间拥有无敌效果。</t>
  </si>
  <si>
    <t>点按 &lt;IconMap:Icon_Special&gt; 发动：
    向前方发动斩击，造成冰属性伤害；
    招式发动时，消耗5%当前生命值，使全队角色每秒基于照{CAL:1+AvatarSkillLevel(1)*0.06,1,2}%最大生命值回复生命值，持续5秒，[特殊技：碎冰溢寒]和[强化特殊技：流霜冻土]的消耗生命效果每30秒最多触发一次。</t>
  </si>
  <si>
    <t>能量足够时，点按  &lt;IconMap:Icon_SpecialReady&gt; 发动：
    向前方连续发动斩击，造成大量冰属性伤害；
    招式发动时，消耗5%当前生命值，使全队角色每秒基于照{CAL:1+AvatarSkillLevel(1)*0.06,1,2}%最大生命值回复生命值，持续5秒，[特殊技：碎冰溢寒]和[强化特殊技：流霜冻土]的消耗生命效果每30秒最多触发一次；
    招式发动时，积攒20点[霜寒值]，如果[霜寒值]满，消耗所有[霜寒值]，开启[以太帷幕·涌泉]；
    招式发动时，如果处于任意[以太帷幕]中，将触发[快速支援]，此时如果发动队友的[快速支援]，照将自动衔接[普通攻击：最终裁决]并进行蓄力；
    招式发动期间拥有无敌效果。</t>
  </si>
  <si>
    <t>闪避：脱兔踏</t>
  </si>
  <si>
    <t>闪避时，点按 &lt;IconMap:Icon_Normal&gt; 发动：
    向前方发动斩击，造成物理伤害和冰属性伤害。</t>
  </si>
  <si>
    <t>触发[极限闪避]后，点按 &lt;IconMap:Icon_Normal&gt; 发动：
    向前方发动下落斩击，造成冰属性伤害；
    招式发动期间拥有无敌效果。</t>
  </si>
  <si>
    <t>触发[连携技]时，选择对应角色发动：
    向前方发动连续斩击，造成大量冰属性伤害；
    招式发动后，积攒5点[霜寒值]，如果[霜寒值]满，消耗所有[霜寒值]，开启[以太帷幕·涌泉]；
    招式发动后，如果处于任意[以太帷幕]中，将触发[快速支援]，此时如果发动队友的[快速支援]，照将自动衔接[普通攻击：最终裁决]并进行蓄力；
    招式发动期间拥有无敌效果。</t>
  </si>
  <si>
    <t>喧响等级达到[极]时，点按 &lt;IconMap:Icon_UltimateReady&gt; 发动：
    向前方连续攻击，随后下落斩击敌人，造成大量冰属性伤害；
    招式发动后，积攒20点[霜寒值]，如果[霜寒值]满，消耗所有[霜寒值]，开启[以太帷幕·涌泉]；
    招式发动后，如果处于任意[以太帷幕]中，将触发[快速支援]，此时如果发动队友的[快速支援]，照将自动衔接[普通攻击：最终裁决]并进行蓄力；
    招式发动期间拥有无敌效果。</t>
  </si>
  <si>
    <t>照的[霜寒值]满，且处于接战状态下时，点按 &lt;IconMap:Icon_Switch&gt; 发动：
    向前方连续攻击，随后发动斩击，造成大量冰属性伤害；
    招式发动时，消耗所有[霜寒值]，开启[以太帷幕·涌泉]；
    招式发动时，触发[快速支援]，此时如果发动队友的[快速支援]，照将自动衔接[普通攻击：最终裁决]并进行蓄力；
    招式发动时视为发动[快速支援]；
    招式发动期间拥有无敌效果。</t>
  </si>
  <si>
    <t>当前操作中的角色被击飞时，点按 &lt;IconMap:Icon_Switch&gt; 发动：
    向前方发动下落斩击，造成冰属性伤害；
    招式发动期间拥有无敌效果。</t>
  </si>
  <si>
    <t>发动[招架支援]后，点按 &lt;IconMap:Icon_Normal&gt; 发动：
    向前方连续斩击，造成大量冰属性伤害；
    招式发动时，如果[霜寒值]满，消耗所有[霜寒值]，开启[以太帷幕·涌泉]；
    招式发动时，如果处于任意[以太帷幕]中，将触发[快速支援]，此时如果发动队友的[快速支援]，照将自动衔接[普通攻击：最终裁决]并进行蓄力；
    招式发动期间拥有无敌效果。</t>
  </si>
  <si>
    <t>点按 &lt;IconMap:Icon_Normal&gt; 发动：
    向前方进行至多三段的攻击，造成物理伤害；</t>
  </si>
  <si>
    <t>长按 &lt;IconMap:Icon_Normal&gt; 发动：
    向前跃进并发动连续斩击，造成物理伤害；</t>
  </si>
  <si>
    <t>点按 &lt;IconMap:Icon_Special&gt; 发动：
    向前方快速来回穿刺，造成物理伤害；
    招式发动期间抗打断等级提升。</t>
  </si>
  <si>
    <t>波可娜进入[猎步]状态后，队伍中其他操作中的角色的[特殊技]或[强化特殊技]重击命中敌人时触发：
    围绕目标敌人，快速来回穿刺，造成物理伤害；
    招式发动后，队伍中其他操作中的角色，发动任意攻击命中敌人时，波可娜会重复发动攻击，最多额外触发5次，且最后一次攻击会被替换为更加强力的终结一击；
    招式发动期间拥有无敌效果；
    [特殊技：噬爪·噩梦袭影]为[追加攻击]。</t>
  </si>
  <si>
    <t>能量足够时，点按 &lt;IconMap:Icon_SpecialReady&gt; 发动：
    向前方多次来回穿刺，造成大量物理伤害；
    招式发动期间拥有无敌效果。</t>
  </si>
  <si>
    <t>闪避：翻正反射</t>
  </si>
  <si>
    <t>闪避时，点按 &lt;IconMap:Icon_Normal&gt; 发动：
    向前方突进斩击，造成物理伤害。</t>
  </si>
  <si>
    <t>触发[极限闪避]后，点按 &lt;IconMap:Icon_Normal&gt; 发动：
    对前方敌人发动突刺并衔接快速斩击，造成物理伤害；
    招式发动期间拥有无敌效果。</t>
  </si>
  <si>
    <t>触发[连携技]时，选择对应角色发动：
    向前方发动蓄力射击，造成大量物理伤害；
    招式发动期间拥有无敌效果。</t>
  </si>
  <si>
    <t>喧响等级达到[极]时，点按 &lt;IconMap:Icon_UltimateReady&gt; 发动：
    向前方大范围敌人发动强力射击，造成大量物理伤害；
    招式发动期间拥有无敌效果。</t>
  </si>
  <si>
    <t>当前操作中的角色被击飞时，点按 &lt;IconMap:Icon_Switch&gt; 发动：
    对前方敌人发动突刺并衔接快速斩击，造成物理伤害；
    招式发动期间拥有无敌效果。</t>
  </si>
  <si>
    <t>回避支援：雇佣合同·作战外包</t>
  </si>
  <si>
    <t>发动[回避支援]后，点按 &lt;IconMap:Icon_Normal&gt; 发动：
    向前腾空跃起后开枪射击，造成物理伤害；
    招式发动时，将消耗1点[支援点数]，使自身进入[猎步]状态；
    招式发动期间拥有无敌效果。</t>
  </si>
  <si>
    <t>点按 &lt;IconMap:Icon_Normal&gt; 发动：
    向前方进行至多四段的射击，前三段造成物理伤害，第四段造成电属性伤害。</t>
  </si>
  <si>
    <t>长按 &lt;IconMap:Icon_Normal&gt; 发动：
    「扳机」进入[狙击姿态]，向前方连续射击，造成电属性伤害；
    连续射击期间，受到敌方攻击时，「扳机」将自动回避攻击，8秒内最多触发一次；
    连续射击期间，可以拖曳{LAYOUT_CONSOLECONTROLLER#操作杆}{LAYOUT_FALLBACK#摇杆}，向左侧/右侧/后方调整身位；
    自动回避攻击或在即将受到攻击时调整身位，将触发[极限闪避]，随后自动衔接发动蓄力反击；
    松开 &lt;IconMap:Icon_Normal&gt; 后，「扳机」将后撤架枪并发动终结一击，随后退出[狙击姿态]；
    蓄力反击和终结一击发动期间拥有无敌效果；
    连续射击或蓄力反击命中敌人时，「扳机」将获得25点[绝意]值，[绝意]值上限100点；
    终结一击命中敌人时，将触发队伍中上一位角色的[快速支援]，通过这种方式发动的[快速支援]25秒内最多触发一次。</t>
  </si>
  <si>
    <t>「扳机」拥有[绝意]值后，队伍中其他操作中的角色，发动[普通攻击]、[冲刺攻击]、[闪避反击]、[特殊技]、[快速支援]命中敌人时触发：
    围绕目标敌人，连续发动两次快速射击，造成电属性伤害；
    招式发动时，消耗3点[绝意]值；
    招式发动期间拥有无敌效果；
    [普通攻击：协奏狙杀]为[追加攻击]；
    全队3秒内最多触发1次[普通攻击：协奏狙杀]。</t>
  </si>
  <si>
    <t>「扳机」拥有[绝意]值后，队伍中其他操作中的角色，发动[强化特殊技]、[支援突击]、[终结技]重击命中敌人时触发：
    围绕目标敌人，连续发动三次快速射击，随后发动终结一击，造成电属性伤害；
    招式发动时，消耗5点[绝意]值；
    招式发动期间拥有无敌效果；
    [普通攻击：协奏狙杀·冥狱]为[追加攻击]；
    全队同一类型的招式，20秒内最多触发2次[普通攻击：协奏狙杀·冥狱]；
    [普通攻击：协奏狙杀]发动期间，触发[普通攻击：协奏狙杀·冥狱]会直接发动。</t>
  </si>
  <si>
    <t>点按 &lt;IconMap:Icon_Special&gt; 发动：
    向前方发动突进斩击，造成电属性伤害；
    招式发动期间抗打断等级提升。</t>
  </si>
  <si>
    <t>能量足够时，点按 &lt;IconMap:Icon_SpecialReady&gt; 发动：
    向前方发动突进斩击，并在跃起后向地面追加一段强力射击，造成大量电属性伤害；
    招式发动期间拥有无敌效果；
    招式命中敌人时，将触发队伍中上一位角色的[快速支援]；
    招式命中敌人时，「扳机」将进入[协战状态]，期间队伍中其他操作中的角色，发动任意攻击命中敌人时，即可触发[普通攻击：协奏狙杀]，无需消耗[绝意]值，且没有冷却时间的限制，持续8秒，可触发4次，重复进入[协战状态]时延长持续时间，并获得可触发次数；最多持续20秒，可触发10次。</t>
  </si>
  <si>
    <t>闪避：魂隐</t>
  </si>
  <si>
    <t>闪避时，点按 &lt;IconMap:Icon_Normal&gt; 发动：
    快速举枪射击，造成物理伤害。</t>
  </si>
  <si>
    <t>触发[极限闪避]后，点按 &lt;IconMap:Icon_Normal&gt; 发动：
    转身回旋并对前方敌人发动快速射击，造成电属性伤害；
    招式发动期间拥有无敌效果。</t>
  </si>
  <si>
    <t>触发[连携技]时，选择对应角色发动：
    向前方连续发动强力射击，造成大量电属性伤害；
    招式发动期间拥有无敌效果。</t>
  </si>
  <si>
    <t>喧响等级达到[极]时，点按 &lt;IconMap:Icon_UltimateReady&gt; 发动：
    对前方大范围敌人发动强力射击，造成大量电属性伤害；
    招式发动期间拥有无敌效果；
    招式命中敌人时，将触发队伍中上一位角色的[快速支援]；
    招式命中敌人时，「扳机」将进入[协战状态]，期间队伍中其他操作中的角色，发动任意攻击命中敌人时，即可触发[普通攻击：协奏狙杀]，无需消耗[绝意]值，且没有冷却时间的限制，持续12秒，可触发6次，重复进入[协战状态]时延长持续时间，并获得可触发次数；最多持续20秒，可触发10次。</t>
  </si>
  <si>
    <t>当前操作中的角色被击飞时，点按 &lt;IconMap:Icon_Switch&gt; 发动：
    转身回旋并对前方敌人发动快速射击，造成电属性伤害；
    招式发动期间拥有无敌效果。</t>
  </si>
  <si>
    <t>发动[招架支援]后，点按 &lt;IconMap:Icon_Normal&gt; 发动：
    对前方敌人发动连续斩击，随后落地蓄力并追加一段强力射击，造成电属性伤害；
    招式发动期间拥有无敌效果。</t>
  </si>
  <si>
    <t>点按 &lt;IconMap:Icon_Normal&gt; 发动：
    向前方进行至多五段的攻击，造成玄墨伤害，
    招式第三段与第四段期间抗打断等级提升。</t>
  </si>
  <si>
    <t>长按 &lt;IconMap:Icon_Evade&gt; 发动：
    展开大太极阵，造成玄墨伤害；
    招式结束时自动释放[普通攻击：霄云劲]第五段攻击；
    招式发动期间抗打断等级提升，受到的伤害降低40%。</t>
  </si>
  <si>
    <t>拥有[玄墨值]时在[闪避：清霄同游]招式期间点按 &lt;IconMap:Icon_Normal&gt; 或拥有[玄墨值]时长按 &lt;IconMap:Icon_Evade&gt; 发动：
    展开阵法，持续造成玄墨伤害；
    招式结束时自动释放[普通攻击：青溟震击]；
    动作持续引导期间，持续回复闪能，每秒回复7点，最多3秒；
    招式发动期间拥有无敌效果且进入极限视域状态。</t>
  </si>
  <si>
    <t>发动[普通攻击：玄墨极阵]达到最大时长自动释放：
    张开翅膀发动爆炸攻击，造成大量玄墨伤害；
    招式发动期间拥有无敌效果。</t>
  </si>
  <si>
    <t>点按 &lt;IconMap:Icon_Special&gt; 发动：
    快速后撤后向前方发动攻击，造成玄墨伤害；
    后撤期间可触发极限闪避效果，但不能衔接闪避反击；
    招式发动期间抗打断等级提升。</t>
  </si>
  <si>
    <t>闪能足够时，点按或长按 &lt;IconMap:Icon_SpecialReady_Rp&gt; 发动：
    持续蓄力，松开 &lt;IconMap:Icon_SpecialReady_Rp&gt; 时发动翅膀上挑攻击，造成大量玄墨伤害；
    蓄力期间，若受到敌人攻击，则可自动格挡并触发翅膀上挑攻击；
    蓄力开始瞬间受到敌人攻击时，可触发完美格挡效果，免疫该次伤害，提高招式的打断等级至与重招架支援一致，回复10点闪能；
    翅膀上挑攻击命中出现红色闪光或黄色闪光的敌人时，也可触发完美格挡效果，免疫该次伤害，提高招式的打断等级至与重招架支援一致，回复10点闪能；
    完美格挡效果每0.5秒最多触发一次；
    若蓄力至闪光或触发完美格挡效果，则翅膀上挑攻击后可额外追加符箓攻击；
    招式发动后，可点按 &lt;IconMap:Icon_Special&gt; 发动[强化特殊技：霄云迅击-破]；
    发动[强化特殊技：霄云迅击-破]后，若闪能足够，可点按 &lt;IconMap:Icon_SpecialReady_Rp&gt; 额外消耗20点闪能发动[强化特殊技：青溟震击-破]；
    [强化特殊技：青溟震击-破]发动后，若[玄墨值]足够，长按 &lt;IconMap:Icon_Evade&gt; 可快速衔接[普通攻击：玄墨极阵]；
    翅膀上挑攻击时拥有无敌效果，蓄力期间抗打断等级提升。</t>
  </si>
  <si>
    <t>闪能足够时，长按 &lt;IconMap:Icon_Normal&gt; 发动：
    持续蓄力，在敌人身边引导能量汇聚，持续造成伤害，最多持续2秒，造成大量玄墨伤害；
    蓄力至最长时间或提前中断后，自动释放[强化特殊技：墨烬影消]；
    招式发动瞬间可触发极限闪避，触发极限闪避后可进入极限视域；
    招式发动期间拥有无敌效果。</t>
  </si>
  <si>
    <t>[强化特殊技：凝云术]过程中自动发动：
    能量球出现与收缩时，均会造成玄墨伤害；
    招式发动期间拥有无敌效果。</t>
  </si>
  <si>
    <t>闪避：隐云身法</t>
  </si>
  <si>
    <t>闪避时，点按 &lt;IconMap:Icon_Normal&gt; 发动：
    向前方进行突进攻击，造成玄墨伤害。</t>
  </si>
  <si>
    <t>闪避：清霄同游</t>
  </si>
  <si>
    <t>拖曳{LAYOUT_CONSOLECONTROLLER#操作杆}{LAYOUT_FALLBACK#摇杆}时长按 &lt;IconMap:Icon_Evade&gt; 发动：
    进入可高速移动的[轻身]状态，当处于勘域模式中，在[轻身]状态下可自动收集一定范围内的物资收集点；
    在[轻身]状态下使用{LAYOUT_CONSOLECONTROLLER#操作杆}{LAYOUT_FALLBACK#摇杆}控制方向，松开{LAYOUT_CONSOLECONTROLLER#操作杆}{LAYOUT_FALLBACK#摇杆}则会停下；
    发动招式瞬间拥有无敌效果。</t>
  </si>
  <si>
    <t>触发[极限闪避]后，点按 &lt;IconMap:Icon_Normal&gt; 发动：
    对前方敌人发动连续攻击，造成玄墨伤害；
    招式发动期间拥有无敌效果。</t>
  </si>
  <si>
    <t>触发[连携技]时，选择对应角色发动：
    快速突进向前发动攻击，随后进行展翅爆炸，造成大量玄墨伤害；
    招式发动期间拥有无敌效果。</t>
  </si>
  <si>
    <t>喧响等级达到[极]时，点按 &lt;IconMap:Icon_UltimateReady&gt; 发动：
    持续发动羽翼攻击，随后引导万千符箓进行攻击，造成大量玄墨伤害；
    释放招式时，仪玄会平均分配队伍中角色的生命值；
    招式发动后，若[玄墨值]足够，长按 &lt;IconMap:Icon_Evade&gt; 可快速衔接[普通攻击：玄墨极阵]；
    招式发动期间拥有无敌效果。</t>
  </si>
  <si>
    <t>[术法值]足够时，点按 &lt;IconMap:Icon_UltimateReady&gt; 发动：
    消耗120点[术法值]，张开羽翼，随后引导万千符箓进行攻击，造成大量玄墨伤害；
    [术法值]与[喧响值]同时足够时，优先释放该招式；
    招式发动后，若[玄墨值]足够，长按 &lt;IconMap:Icon_Evade&gt; 可快速衔接[普通攻击：玄墨极阵]；
    释放招式时，仪玄会平均分配队伍中角色的生命值；
    招式发动期间拥有无敌效果。</t>
  </si>
  <si>
    <t>当前操作中的角色被击飞时，点按 &lt;IconMap:Icon_Switch&gt; 发动：
    对前方敌人发动连续攻击，造成玄墨伤害；
    招式发动期间拥有无敌效果。</t>
  </si>
  <si>
    <t>发动[招架支援]后，点按 &lt;IconMap:Icon_Normal&gt; 发动：
    快速突进并发动攻击，造成玄墨伤害；
    招式发动期间拥有无敌效果。</t>
  </si>
  <si>
    <t>点按 &lt;IconMap:Icon_Normal&gt; 发动：
    向前方进行至多五段斩击，造成电属性伤害；
    第四段攻击命中敌人后，连点或长按 &lt;IconMap:Icon_Normal&gt; 时，可以快速穿过前方敌人，最多重复发动5次。</t>
  </si>
  <si>
    <t>点按 &lt;IconMap:Icon_Normal&gt; 发动：
    向前方进行至多五段斩击，造成电属性伤害；
    第三段普通攻击会持续聚集敌人；
    第四段攻击命中敌人后，连点或长按 &lt;IconMap:Icon_Normal&gt; 时，可以快速穿过前方敌人，最多重复发动5次。</t>
  </si>
  <si>
    <t>点按 &lt;IconMap:Icon_Special&gt; 发动：
    向斜前方快速突进，随后进行交叉斩击，造成电属性伤害；
    招式发动期间抗打断等级提升。</t>
  </si>
  <si>
    <t>零号·安比攻击命中敌人时，会对目标施加[银星]标记，并为其进行充能；
    每拥有三分之一充能，敌人将被施加1层[白雷]，最多叠加3层；
    敌方目标拥有[白雷]时，点按 &lt;IconMap:Icon_Special&gt; 发动：
    快速向前方位移，穿过敌人并进行斩击，对命中的敌人造成多段电属性伤害；
    招式命中敌人时，将消耗1层[白雷]，发动[追加攻击]，造成1次额外的电属性伤害；
    招式发动期间拥有无敌效果。</t>
  </si>
  <si>
    <t>针对同一名敌人，连续触发3次[白雷]的额外伤害时发动：
    在敌方位置降下落雷，对范围内的敌人造成电属性伤害；
    该伤害被视为[追加攻击]伤害。</t>
  </si>
  <si>
    <t>触发[特殊技：雷殛]伤害时：
    若正在发动[强化特殊技：极雷断空]或[特殊技：苍光]，会在当前招式结束时自动发动[特殊技：苍光·临界]，连续斩击敌人造成多段电属性伤害，招式为[追加攻击]；
    招式发动期间拥有无敌效果。</t>
  </si>
  <si>
    <t>能量足够时，长按 &lt;IconMap:Icon_SpecialReady&gt; 发动：
    将双剑拼接后向前方丢出进行高速斩击，造成大量电属性伤害；
    招式命中敌人时，将为[银星]充能至上限；
    招式发动期间拥有无敌效果。</t>
  </si>
  <si>
    <t>闪避：频闪</t>
  </si>
  <si>
    <t>闪避时，点按 &lt;IconMap:Icon_Normal&gt; 发动：
    向前方横向斩击后，衔接突刺攻击，造成电属性伤害。</t>
  </si>
  <si>
    <t>触发[极限闪避]后，点按 &lt;IconMap:Icon_Normal&gt; 发动：
    对前方敌人发动连续斩击，造成电属性伤害；
    招式发动期间拥有无敌效果。</t>
  </si>
  <si>
    <t>触发[极限闪避]后，点按 &lt;IconMap:Icon_Normal&gt; 发动：
    对前方敌人发动连续斩击，造成电属性伤害；命中敌人时获得15秒[电荷超载]状态，重复获得刷新持续时间；
    [电荷超载]状态期间闪避性能提升，且发动[普通攻击]/[冲刺攻击]/[闪避反击]时敌方目标若拥有[白雷]，点按 &lt;IconMap:Icon_Special&gt; 可以随时打断当前招式并发动[特殊技：苍光]；
    状态期间点按 &lt;IconMap:Icon_SpecialReady&gt; 时，若敌人未拥有[白雷]，能直接发动[强化特殊技：极雷断空]；
    招式发动期间拥有无敌效果。</t>
  </si>
  <si>
    <t>触发[连携技]时，选择对应角色发动：
    向前方跃起，随后快速俯冲并发动交叉斩击，造成大量电属性伤害；
    招式发动期间拥有无敌效果。</t>
  </si>
  <si>
    <t>喧响等级达到[极]时，点按 &lt;IconMap:Icon_UltimateReady&gt; 发动：
    对前方大范围敌人发动强力连斩，并追加落雷攻击，造成大量电属性伤害；
    招式命中敌人时，将为[银星]充能至上限；
    招式发动期间拥有无敌效果。</t>
  </si>
  <si>
    <t>当前操作中的角色被击飞时，点按 &lt;IconMap:Icon_Switch&gt; 发动：
    对前方敌人发动连续斩击，造成电属性伤害；
    招式发动期间拥有无敌效果。</t>
  </si>
  <si>
    <t>发动[招架支援]后，点按 &lt;IconMap:Icon_Normal&gt; 发动：
    向前突进并对前方敌人发动连续斩击，造成电属性伤害；
    招式发动期间拥有无敌效果。</t>
  </si>
  <si>
    <t>点按 &lt;IconMap:Icon_Normal&gt; 发动：
    向前方进行至多四段的斩击，造成物理伤害和火属性伤害；
    第三段攻击期间，连续点按 &lt;IconMap:Icon_Normal&gt; 可以维持连击，持续打击敌人；
    第三段攻击期间，长按或停顿后点按 &lt;IconMap:Icon_Normal&gt; ，将衔接第四段攻击；
    第三段攻击期间抗打断等级提升，受到伤害降低40%。</t>
  </si>
  <si>
    <t>战斗中，「虎威」会自动对敌人发动攻击， 造成火属性伤害；
    命中敌人时，获得20点[威风]，招式内最多触发一次；[威风]上限为200点。</t>
  </si>
  <si>
    <t>点按 &lt;IconMap:Icon_Special&gt; 发动：
    向前方进行旋转斩击后发动下落斩击，造成火属性伤害；
    招式发动期间抗打断等级提升。</t>
  </si>
  <si>
    <t>能量足够时，点按 &lt;IconMap:Icon_SpecialReady&gt; 发动：
    挥舞「虎威」向前方进行强力打击，造成大量火属性伤害；
    发动时获得3点[威势]和80点[威风]；
    招式发动期间拥有无敌效果。</t>
  </si>
  <si>
    <t>闪避：恶虎七式·风从虎</t>
  </si>
  <si>
    <t>闪避时，点按 &lt;IconMap:Icon_Normal&gt; 发动：
    向前发动快速斩击，造成物理伤害。</t>
  </si>
  <si>
    <t>[冲刺攻击：恶虎七式·虎奔]发动后，长按 &lt;IconMap:Icon_Normal&gt; 发动：
    进入高速旋转状态，该状态下可以拖曳{LAYOUT_CONSOLECONTROLLER#操作杆}{LAYOUT_FALLBACK#摇杆}进行移动，接触敌人时造成物理伤害；
    橘福福通过其他招式获得[威势]后，会在高速旋转状态下带有火焰；接触敌人时消耗1点[威势]，改为造成火属性伤害并获得25点[威风]，[威势]上限为15点；
    橘福福消耗[威势]造成火属性伤害时，若[威风]高于100点，会自动消耗100点[威风]发动[连携技：虎釜震煞]；
    松开 &lt;IconMap:Icon_Normal&gt; 可退出旋转状态，并丢出「虎威」攻击敌人，造成火属性伤害；切换至其他角色时，橘福福会继续处于旋转状态，尝试撞击最近的敌人；
    橘福福为当前操作中角色时，招式发动期间受到伤害降低40%，抗打断等级提升，不为当前操作中角色时，获得无敌效果。</t>
  </si>
  <si>
    <t>触发[极限闪避]后，点按 &lt;IconMap:Icon_Normal&gt; 发动：
    对前方敌人发动多次斩击，造成火属性伤害；
    招式发动期间拥有无敌效果。</t>
  </si>
  <si>
    <t>触发[连携技]时，选择对应角色发动：
    挥舞「虎威」对前方小范围敌人进行强力打击，造成大量火属性伤害；
    招式发动期间拥有无敌效果。</t>
  </si>
  <si>
    <t>拥有至少100点[威风]时，触发[连携技]后自动发动：
    消耗100点[威风]，打开「虎威」对前方小范围敌人发射火焰和爆米花打击敌人，造成大量火属性伤害；
    拥有[威势]且不为操作中角色时，招式结束会进入高速旋转状态；
    招式为[追加攻击]，发动期间拥有无敌效果。</t>
  </si>
  <si>
    <t>喧响等级达到[极]时，点按 &lt;IconMap:Icon_UltimateReady&gt; 发动：
    使用「虎威」进行两次下落攻击，造成大量火属性伤害；
    发动时获得6点[威势]和100点[威风]；
    招式发动期间拥有无敌效果。</t>
  </si>
  <si>
    <t>发动[招架支援]后，点按 &lt;IconMap:Icon_Normal&gt; 发动：
    对前方敌人发动斩击后，使用「虎威」追加一次下落攻击，造成火属性伤害；
    发动时获得1点[威势]，10秒内最多获得1次；
    招式发动期间拥有无敌效果。</t>
  </si>
  <si>
    <t>点按 &lt;IconMap:Icon_Normal&gt; 发动：
    向前方进行至多五段的斩击，造成物理伤害；
    爱丽丝通过属性异常积蓄触发[强击]时，下一次发动的[普通攻击]第五段获得强化。</t>
  </si>
  <si>
    <t>爱丽丝的[剑仪]达到1格时，长按 &lt;IconMap:Icon_Normal&gt; 发动：
    长按进入蓄力，消耗至多3格[剑仪]，松开 &lt;IconMap:Icon_Normal&gt; 或[剑仪]不满1格时，爱丽丝将根据当前蓄力段数以目标敌人为中心发动多段斩击，造成大量物理伤害；
    三段蓄力的[普通攻击：星芒圆舞曲]的终结一击命中敌人时，触发特殊的[强击]效果[极性强击]，无视属性积蓄进度造成一次原本[强击]效果{CAL:0+100,1,2}%的伤害，并可以与包括物理异常效果在内的其他属性异常效果互相结算[紊乱]；
    命中敌人时，不累积[剑仪]；
    招式发动期间拥有无敌效果。</t>
  </si>
  <si>
    <t>点按 &lt;IconMap:Icon_Special&gt; 发动：
    丢出剑攻击并穿过前方敌人，造成物理伤害；
    招式发动时可以触发[极限闪避]；
    触发[极限闪避]后，点按 &lt;IconMap:Icon_Normal&gt; 可以衔接发动第五段[普通攻击]；
    招式发动期间抗打断等级提升。</t>
  </si>
  <si>
    <t>能量足够时，向前拖曳{LAYOUT_CONSOLECONTROLLER#操作杆}{LAYOUT_FALLBACK#摇杆}并点按 &lt;IconMap:Icon_SpecialReady&gt; 发动：
    突刺攻击并穿过前方敌人，造成大量物理伤害；
    招式发动时可以触发[极限闪避]，并回复10点[剑仪]；
    招式发动期间拥有无敌效果。</t>
  </si>
  <si>
    <t>能量足够时，不拖曳或者向后方拖曳{LAYOUT_CONSOLECONTROLLER#操作杆}{LAYOUT_FALLBACK#摇杆}并点按 &lt;IconMap:Icon_SpecialReady&gt; 发动：
    后退并发动斩击随后向前穿刺，造成大量物理伤害；
    招式发动时可以触发[极限闪避]，并回复10点[剑仪]；
    招式发动期间拥有无敌效果。</t>
  </si>
  <si>
    <t>闪避：动若脱兔</t>
  </si>
  <si>
    <t>触发[极限闪避]后，点按 &lt;IconMap:Icon_Normal&gt; 发动：
    对前方敌人发动斩击和踢击，造成物理伤害；
    招式发动期间拥有无敌效果。</t>
  </si>
  <si>
    <t>触发[连携技]时，选择对应角色发动：
    对前方敌人发动强力多段斩击，造成大量物理伤害；
    招式发动期间拥有无敌效果。</t>
  </si>
  <si>
    <t>喧响等级达到[极]时，点按 &lt;IconMap:Icon_UltimateReady&gt; 发动：
    对前方大范围敌人发动强力多段斩击，造成大量物理伤害；
    招式发动时，回复200点[剑仪]；
    命中敌人时，不累积[剑仪]；
    招式发动期间拥有无敌效果。</t>
  </si>
  <si>
    <t>当前操作中的角色被击飞时，点按 &lt;IconMap:Icon_Switch&gt; 发动：
    对前方敌人发动斩击和踢击，造成物理伤害；
    招式发动期间拥有无敌效果。</t>
  </si>
  <si>
    <t>点按 &lt;IconMap:Icon_Normal&gt; 发动：
    向前方进行至多五段的打击，造成物理伤害。</t>
  </si>
  <si>
    <t>长按 &lt;IconMap:Icon_Normal&gt; 发动：
    进入防御姿态，最多持续1.5秒，期间如果受到敌人攻击，会招架敌人的攻击，累积大量失衡值；
    成功招架敌人攻击时，获得1点[甜度点]；
    成功招架敌人攻击时拥有无敌效果。</t>
  </si>
  <si>
    <t>当柚叶拥有[甜度点]时，其他操作中的角色攻击命中敌人时，柚叶会围绕敌人旋转伞持续攻击后射出一发强力炮弹，造成物理伤害，该攻击重击命中敌人时，柚叶会消耗1点[甜度点]；
    [普通攻击：硬糖射击]为[追加攻击]；
    [普通攻击：硬糖射击]每8秒最多触发一次；
    招式发动期间拥有无敌效果。</t>
  </si>
  <si>
    <t>处于[甜蜜惊吓]状态下的敌人，每1秒会受到一次[普通攻击：彩糖花火]攻击；
    [普通攻击：彩糖花火]攻击初始造成物理伤害；
    [普通攻击：彩糖花火]攻击累积的属性异常积蓄值不参与异常伤害结算；
    [普通攻击：彩糖花火]攻击的属性异常积蓄效率提升{CAL:0.07+AvatarSkillLevel(0)*0.015,100,4}%。</t>
  </si>
  <si>
    <t>处于[甜蜜惊吓]状态下的敌人，被[普通攻击：硬糖射击]或[支援突击：夹心硬糖射击]重击命中时，会受到一次[普通攻击：彩糖花火·极]攻击；
    [普通攻击：彩糖花火·极]攻击初始造成物理伤害；
    [普通攻击：彩糖花火·极]攻击累积的属性异常积蓄值不参与异常伤害结算；
    [普通攻击：彩糖花火·极]攻击的属性异常积蓄效率提升{CAL:0.07+AvatarSkillLevel(0)*0.015,100,4}%。</t>
  </si>
  <si>
    <t>当柚叶位于后场时，狸猫阿釜会协助操作中的角色攻击敌人，造成物理伤害；
    当柚叶发动[普通攻击：狸之帐]时，狸猫阿釜会协助柚叶攻击敌人，造成物理伤害；
    狸猫阿釜可以继承柚叶的初始攻击力。</t>
  </si>
  <si>
    <t>点按 &lt;IconMap:Icon_Special&gt; 发动：
    向前方开炮射击，造成物理伤害。</t>
  </si>
  <si>
    <t>能量足够时，点按 &lt;IconMap:Icon_SpecialReady&gt; 发动：
    向敌人扔出炸弹，造成物理伤害；
    重击命中敌人时，会使其陷入[甜蜜惊吓]状态；
    发动时，获得2点[甜度点]；
    招式命中敌人时，将触发[快速支援]；
    招式发动期间拥有无敌效果。</t>
  </si>
  <si>
    <t>在[闪避反击：报复开始~]、[快速支援：甜点时间]、[支援突击：来块曲奇]、[支援突击：夹心硬糖射击]攻击后或触发[极限闪避]时，点按  &lt;IconMap:Icon_SpecialReady&gt;  发动：
    向敌人快速扔出炸弹，造成物理伤害；
    重击命中敌人时，会使其陷入[甜蜜惊吓]状态；
    发动时，获得2点[甜度点]；
    招式命中敌人时，将触发[快速支援]；
    招式发动期间拥有无敌效果。</t>
  </si>
  <si>
    <t>甜蜜惊吓</t>
  </si>
  <si>
    <t>[甜蜜惊吓]状态持续{CAL:16+AvatarSkillLevel(1)*2,1,2}秒，重复触发时刷新持续时间；
    处于[甜蜜惊吓]状态下的敌人，首次被操作中的角色以与其属性相同的攻击命中时，将对该敌人触发[十人十色]，使得[普通攻击：彩糖花火]和[普通攻击：彩糖花火·极]对该敌人的攻击属性转变为触发此次[十人十色]的角色的属性；
    当敌人的[甜蜜惊吓]状态被重复触发时，原本的[十人十色]状态会被移除，可再次重复上述操作，改变[普通攻击：彩糖花火]和[普通攻击：彩糖花火·极]的属性。</t>
  </si>
  <si>
    <t>闪避：吓到了吗？</t>
  </si>
  <si>
    <t>触发[极限闪避]后，点按 &lt;IconMap:Icon_Normal&gt; 发动：
    向前方进行快速打击，造成物理伤害；
    招式发动期间拥有无敌效果。</t>
  </si>
  <si>
    <t>触发[连携技]时，选择对应角色发动：
    对前方小范围敌人发动强力打击，造成大量物理伤害；
    招式发动时，获得1点[甜度点]；
    招式命中敌人时，将触发[快速支援]；
    招式发动期间拥有无敌效果。</t>
  </si>
  <si>
    <t>喧响等级达到[极]时，点按 &lt;IconMap:Icon_UltimateReady&gt; 发动：
    对周身大范围敌人发动强力打击，造成大量物理伤害；
    重击命中敌人时，会使其陷入[甜蜜惊吓]状态；
    招式发动时，队伍中其他角色回复{CAL:7+AvatarSkillLevel(3)*1.5,1,2}点能量； 
    招式发动时，获得2点[甜度点]；
    招式命中敌人时，将触发[快速支援]；
    招式发动期间拥有无敌效果。</t>
  </si>
  <si>
    <t>当前操作中的角色被击飞时，点按 &lt;IconMap:Icon_Switch&gt; 发动：
    对前方敌人发动打击，造成物理伤害；
    招式发动期间拥有无敌效果。</t>
  </si>
  <si>
    <t>招架支援：趣能补给</t>
  </si>
  <si>
    <t>前场角色即将被攻击时，点按 &lt;IconMap:Icon_Switch&gt; 发动：
    招架敌人的攻击，累积大量失衡值；
    成功招架敌人攻击时，获得1点[甜度点]；
    招式发动期间拥有无敌效果。</t>
  </si>
  <si>
    <t>发动[招架支援]或通过[普通攻击：狸之帐]成功招架敌人攻击后，点按 &lt;IconMap:Icon_Normal&gt; 发动：
    对前方敌人发动打击，造成物理伤害；
    招式发动期间拥有无敌效果。</t>
  </si>
  <si>
    <t>发动[招架支援]或通过[普通攻击：狸之帐]成功招架敌人攻击后，在恰当的时机点按 &lt;IconMap:Icon_Normal&gt; 发动：
    旋转伞持续攻击后射出一发强力炮弹，造成物理伤害；
    招式发动期间拥有无敌效果。</t>
  </si>
  <si>
    <t>点按 &lt;IconMap:Icon_Normal&gt; 发动：
    向前方进行至多四段的体术攻击，造成物理伤害。</t>
  </si>
  <si>
    <t>点按 &lt;IconMap:Icon_Special&gt; 发动：
    向前释放体术并丢出鞭炮，造成物理伤害；
    招式发动期间抗打断等级提升。</t>
  </si>
  <si>
    <t>拥有[破劲]时点按 &lt;IconMap:Icon_Special&gt; 发动：
    [特殊技：断脉破穴手]围绕怪物进行攻击，造成物理伤害；
    招式可连续发动三次，每发动一次[特殊技：断脉破穴手]攻击，将消耗1点[破劲]。
    潘引壶为当前操作中的角色时，招式发动期间受到伤害降低40%，抗打断等级提升，不为当前操作中的角色时，获得无敌效果。</t>
  </si>
  <si>
    <t>能量足够时，点按 &lt;IconMap:Icon_SpecialReady&gt; 发动：
    [强化特殊技：贴山震脉靠]向前方进行强力打击，造成物理伤害；
    招式发动时将获得3点[破劲]，当招式命中敌人时，将触发队伍中上一位角色的[快速支援]；
    通过此次[快速支援]上场的代理人将会获得核心被动提供的贯穿力加成，潘引壶会在换人后留在场上自动释放[特殊技：断脉破穴手]直至[破劲]耗尽后下场；
    招式发动期间拥有无敌效果。</t>
  </si>
  <si>
    <t>闪避：身轻如燕</t>
  </si>
  <si>
    <t>闪避时，点按 &lt;IconMap:Icon_Normal&gt; 发动：
    向前发动快速体术攻击，造成物理伤害。</t>
  </si>
  <si>
    <t>闪避反击：移峰倒海</t>
  </si>
  <si>
    <t>触发[极限闪避]后，点按 &lt;IconMap:Icon_Normal&gt; 发动：
    对前方敌人发动体术攻击，造成物理伤害；
    招式发动期间拥有无敌效果。</t>
  </si>
  <si>
    <t>触发[连携技]时，选择对应角色发动：
    坐上[铁锅]快速旋转冲撞，对路径上敌人造成大量物理伤害；
    招式发动期间拥有无敌效果。</t>
  </si>
  <si>
    <t>喧响等级达到[极]时，点按 &lt;IconMap:Icon_UltimateReady&gt; 发动：
    施展术法将气劲凝作炒饭掀出，对敌人造成大量物理伤害，为全队角色回复{CAL:100+AvatarSkillLevel(3)*60,1,2}点生命值，并为全队角色施加8秒持续回复生命值的效果，每秒回复{CAL:0.8+AvatarSkillLevel(3)*0.05,1,2}%生命值；
    招式发动期间拥有无敌效果。</t>
  </si>
  <si>
    <t>当前操作中的角色被击飞时，点按 &lt;IconMap:Icon_Switch&gt; 发动：
    对前方敌人发动体术攻击，造成物理伤害；
    招式发动期间拥有无敌效果。</t>
  </si>
  <si>
    <t>发动[招架支援]后，点按 &lt;IconMap:Icon_Normal&gt; 发动：
    对前方敌人发动体术攻击，造成物理伤害；
    招式发动期间拥有无敌效果。</t>
  </si>
  <si>
    <t>点按 &lt;IconMap:Icon_Normal&gt; 发动：
    向前方进行至多四段的斩击，造成物理伤害；
    第四段攻击发动后，可以衔接[冲刺攻击：如影疾行]。</t>
  </si>
  <si>
    <t>长按 &lt;IconMap:Icon_Normal&gt; 发动：
    快速发动多道剑气，造成物理伤害，可以通过长按延长攻击；
    招式发动期间，抗打断等级提升。</t>
  </si>
  <si>
    <t>在[明心境]状态下并处于地面时，点按 &lt;IconMap:Icon_Normal&gt; 发动：
    向前方进行至多三段的斩击，造成物理伤害；
    第三段攻击发动时，若受到敌人攻击，可触发格挡效果，免疫该次伤害；
    若拥有[青溟剑势]，第三段攻击将被替换为[普通攻击：明心境·扶摇势]。</t>
  </si>
  <si>
    <t>在[明心境]状态下，拥有[青溟剑势]时，第二段 [普通攻击：明心境·分水行] 后，点按 &lt;IconMap:Icon_Normal&gt; 发动：
    快速发动升空攻击，对敌人造成物理伤害，并进入空中状态；
    招式发动期间拥有无敌效果。</t>
  </si>
  <si>
    <t>在[普通攻击：明心境·斩流光 灭]发动后，拥有[青溟剑势]时，点按 &lt;IconMap:Icon_Normal&gt; 发动：
    向前方进行大范围斩击，造成大量物理伤害，命中敌人时会消耗1点[青溟剑势]；
    招式发动时，若受到敌人攻击，可触发格挡效果，免疫该次伤害，并提升招式打断等级；
    招式发动后，若拥有[青溟剑势]，点按 &lt;IconMap:Icon_SpecialReady&gt; 可以消耗1点[青溟剑势]，发动一段[强化特殊技：明心境·飞光]，发动后会自动衔接[普通攻击：明心境·扶摇势]，并进入空中状态；
    招式发动期间拥有无敌效果。</t>
  </si>
  <si>
    <t>在[明心境]状态下，并处于空中时，点按 &lt;IconMap:Icon_Normal&gt; 发动：
    向前下方进行至多两段的斩击，造成物理伤害；
    发动期间不会退出[明心境]状态；
    点按 &lt;IconMap:Icon_SpecialReady&gt; 或 &lt;IconMap:Icon_Evade&gt; 可以直接发动[普通攻击：明心境·斩流光 灭]；
    招式发动期间拥有无敌效果。</t>
  </si>
  <si>
    <t>发动第二段[普通攻击：明心境·斩流光]后，点按 &lt;IconMap:Icon_Normal&gt; 发动：
    向前下方进行下坠攻击，并进入地面状态，造成物理伤害；
    发动时若自身拥有2点及以上[青溟剑势]，则向前下方进行大范围下坠攻击，造成大量物理伤害，命中敌人时，会消耗2点[青溟剑势]，并获得[观止]效果；招式发动后，若拥有[青溟剑势]，点按 &lt;IconMap:Icon_SpecialReady&gt; 可以消耗1点[青溟剑势]，发动一段[强化特殊技：明心境·飞光]，发动后可快速衔接[普通攻击：明心境·斩流光 极]；
    发动期间不会退出[明心境]状态；
    招式发动时，若受到敌人攻击，可触发格挡效果，免疫该次伤害；
    招式发动期间拥有无敌效果。</t>
  </si>
  <si>
    <t>观止</t>
  </si>
  <si>
    <t>发动[强化特殊技：明心境·飞光]期间，每次消耗[青溟剑势]时，若拥有[观止]效果，则不消耗[青溟剑势]，改为消耗[观止]效果，该效果不可叠加，持续至该次[明心境]状态结束。</t>
  </si>
  <si>
    <t>点按 &lt;IconMap:Icon_Special&gt; 发动：
    若拥有闪避次数，则消耗1次闪避次数并视为同时发动了[闪避]；
    若未拥有闪避次数或未触发[极限闪避]，对敌人发动快速剑气攻击，造成物理伤害；
    若此时触发了[极限闪避]，对敌人发动飞剑攻击，造成物理伤害，并可直接衔接第二段[普通攻击：快剑]；
    招式发动期间拥有短暂无敌效果。</t>
  </si>
  <si>
    <t>能量足够时，点按 &lt;IconMap:Icon_SpecialReady&gt; 发动：
    对敌人造成突进斩击和飞剑攻击，造成大量物理伤害；
    发动时可以闪避敌人的攻击；
    发动后获得1点[青溟剑势]；
    招式发动期间拥有无敌效果。</t>
  </si>
  <si>
    <t>在[明心境]状态下，处于地面状态时，点按 &lt;IconMap:Icon_SpecialReady&gt; 发动：
    发动快速的后撤斩击，造成物理伤害；
    若拥有闪避次数，则消耗1次闪避次数并视为同时发动了[闪避]；
    若此时触发了[极限闪避]，点按 &lt;IconMap:Icon_Normal&gt; 可以快速发动[普通攻击：明心境·斩流光 极]，并进入[极限视域]；
    且该次[普通攻击：明心境·斩流光 极]发动后，可以直接衔接[普通攻击：明心境·扶摇势]；
    招式发动期间拥有无敌效果。</t>
  </si>
  <si>
    <t>在[明心境]状态下，拥有[青溟剑势]时，长按 &lt;IconMap:Icon_SpecialReady&gt; 发动：
    发动快速斩击，造成大量物理伤害并持续快速消耗[青溟剑势]，直至耗尽[青溟剑势]；
    若[青溟剑势]不足或停止长按 &lt;IconMap:Icon_SpecialReady&gt; ，招式会提前结束；
    发动期间不会退出[明心境]状态；
    招式发动期间拥有无敌效果。</t>
  </si>
  <si>
    <t>在[明心境]状态下，点按 &lt;IconMap:Icon_UltimateReady&gt; 或[青溟剑势]耗尽时长按 &lt;IconMap:Icon_SpecialReady&gt; 发动：
    对大范围敌人造成大量物理伤害；
    发动期间不会退出[明心境]状态；
    招式发动后，关闭[以太帷幕·决裁]退出[明心境]状态；
    招式发动期间拥有无敌效果。</t>
  </si>
  <si>
    <t>闪避：不留行</t>
  </si>
  <si>
    <t>点按 &lt;IconMap:Icon_Evade&gt; 发动：
    快速的冲刺闪避；
    招式发动期间拥有无敌效果；
    在[明心境]状态下，若触发[极限闪避]，点按 &lt;IconMap:Icon_Normal&gt; 可发动[普通攻击：明心境·扶摇势]。</t>
  </si>
  <si>
    <t>闪避：逍遥云踪</t>
  </si>
  <si>
    <t>拖曳{LAYOUT_CONSOLECONTROLLER#操作杆}{LAYOUT_FALLBACK#摇杆}时长按 &lt;IconMap:Icon_Evade&gt; 发动：
    进入高速移动状态，使用{LAYOUT_CONSOLECONTROLLER#操作杆}{LAYOUT_FALLBACK#摇杆}控制方向，松开{LAYOUT_CONSOLECONTROLLER#操作杆}{LAYOUT_FALLBACK#摇杆}则会停下。</t>
  </si>
  <si>
    <t>触发[极限闪避]后，点按 &lt;IconMap:Icon_Normal&gt; 发动：
    跃起并向前方进行刺击，造成物理伤害；
    招式发动期间拥有无敌效果。</t>
  </si>
  <si>
    <t>喧响等级达到[极]时，点按 &lt;IconMap:Icon_UltimateReady&gt; 发动：
    召唤剑阵，进入[明心境]状态，开启[以太帷幕·决裁]，并获得6点[青溟剑势]，对敌人造成大量物理伤害；
    招式发动时，若消耗了喧响值，则可以在该次[明心境]中点按 &lt;IconMap:Icon_UltimateReady&gt; 发动不消耗喧响值的[终结技：斩妄开天]；
    招式发动后，将处于空中状态；
    招式发动期间拥有无敌效果。</t>
  </si>
  <si>
    <t>在[明心境]状态下，触发[连携技]时，选择对应角色发动：
    对前方大范围敌人发动强力斩击，造成大量物理伤害；
    发动期间不会退出[明心境]状态；
    招式发动后，将处于空中状态；
    招式发动期间拥有无敌效果。</t>
  </si>
  <si>
    <t>消耗喧响值发动[终结技：逐云惊霆]后，在[明心境]状态下，点按 &lt;IconMap:Icon_UltimateReady&gt; 或[青溟剑势]消耗尽后，长按 &lt;IconMap:Icon_SpecialReady&gt; 发动：
    召唤巨剑，对敌人造成大量物理伤害；
    发动期间不会退出[明心境]状态；
    招式发动后，会退出[明心境]并关闭[以太帷幕·决裁]；
    该招式不消耗喧响值；
    招式发动期间拥有无敌效果。</t>
  </si>
  <si>
    <t>拥有6点[青溟剑势]时，在非[明心境]状态下，长按 &lt;IconMap:Icon_Normal&gt; 或接战状态下点按 &lt;IconMap:Icon_Switch&gt; 从后场切换至前场发动：
    进入[明心境]，开启[以太帷幕·决裁]；
    对前方大范围敌人造成物理伤害；
    招式发动时视为发动[快速支援]；
    招式发动后，将处于空中状态；
    招式发动期间拥有无敌效果。</t>
  </si>
  <si>
    <t>当前操作中的角色被击飞时，点按 &lt;IconMap:Icon_Switch&gt; 发动：
    跃起并向前方进行刺击，造成物理伤害；
    招式发动期间拥有无敌效果。</t>
  </si>
  <si>
    <t>发动[招架支援]后，点按 &lt;IconMap:Icon_Normal&gt; 发动：
    造成大量物理伤害；
    招式发动期间拥有无敌效果。</t>
  </si>
  <si>
    <t>在[明心境]状态下，当前操作中的角色被击飞时，点按 &lt;IconMap:Icon_Switch&gt; 发动：
    向前方进行一次斩击，造成物理伤害；
    招式发动期间拥有无敌效果。</t>
  </si>
  <si>
    <t>在[明心境]状态下，发动[招架支援]后，点按 &lt;IconMap:Icon_Normal&gt; 发动：
    造成大量物理伤害；
    招式发动期间拥有无敌效果。</t>
  </si>
  <si>
    <t>点按 &lt;IconMap:Icon_Normal&gt; 发动：
    向前方进行至多三段的斩击，造成物理伤害；
    在每一段攻击的发动阶段，点按 &lt;IconMap:Icon_Special&gt; 将触发[烬风]，使此次攻击造成更高火属性伤害。</t>
  </si>
  <si>
    <t>在[熔锋]状态下点按 &lt;IconMap:Icon_Normal&gt; 发动：
    向前方进行至多四段的斩击，造成火属性伤害；
    招式发动时，如果真斗的生命值在30%以上，则消耗3.5%最大生命值。</t>
  </si>
  <si>
    <t>点按 &lt;IconMap:Icon_Special&gt; 发动：
    向前方斩击敌人，造成火属性伤害；
    如果招式发动期间受到敌人攻击，在发动斩击时回复20%已损失生命值，[特殊技：归烬]和[特殊技：归烬·舍身]的生命回复效果每20秒最多触发一次；
    如果招式发动期间受到敌人攻击，强化此次斩击；
    招式发动期间受到伤害降低40%；
    招式发动期间抗打断等级提升。</t>
  </si>
  <si>
    <t>特殊技：归烬·舍身</t>
  </si>
  <si>
    <t>长按 &lt;IconMap:Icon_Special&gt; 发动：
    进入蓄力状态，最多消耗10%最大生命值并回复100点[炽心]，最多消耗生命值至最大生命值的30%；
    松开按键时，发动[特殊技：归烬]，如果招式发动期间受到敌人攻击，在发动斩击时回复20%已损失生命值，[特殊技：归烬]和[特殊技：归烬·舍身]的生命回复效果每20秒最多触发一次；
    如果招式发动期间受到敌人攻击或者蓄力达到一定时长，强化此次斩击；
    招式发动期间受到伤害降低40%；
    招式发动期间抗打断等级提升。</t>
  </si>
  <si>
    <t>在[熔锋]状态下，闪能足够时，点按  &lt;IconMap:Icon_SpecialReady_Rp&gt; 发动：
    跳起并发动向前方敌人发动下落斩击，造成大量火属性伤害；
    招式发动时，回复33%最大生命值；
    招式发动期间拥有无敌效果。</t>
  </si>
  <si>
    <t>闪避：曜刃</t>
  </si>
  <si>
    <t>闪避时，点按 &lt;IconMap:Icon_Normal&gt; 发动：
    向前方进行肩撞攻击，造成物理伤害。</t>
  </si>
  <si>
    <t>触发[极限闪避]后，点按 &lt;IconMap:Icon_Normal&gt; 发动：
    对前方敌人发动斩击和拳击，造成火属性伤害；
    招式发动期间拥有无敌效果。</t>
  </si>
  <si>
    <t>触发[连携技]时，选择对应角色发动：
    丢出手中的剑，随后冲向敌人引发爆炸，造成大量火属性伤害；
    招式发动期间拥有无敌效果。</t>
  </si>
  <si>
    <t>喧响等级达到[极]时，点按 &lt;IconMap:Icon_UltimateReady&gt; 发动：
    跳起并发动向前方敌人发动下落斩击，随后引发爆炸，造成大量火属性伤害；
    招式发动期间拥有无敌效果。</t>
  </si>
  <si>
    <t>当前操作中的角色被击飞时，点按 &lt;IconMap:Icon_Switch&gt; 发动：
    对前方敌人发动斩击和拳击，造成火属性伤害；
    招式发动期间拥有无敌效果。</t>
  </si>
  <si>
    <t>前场角色即将被攻击时，点按 &lt;IconMap:Icon_Switch&gt; 发动：
    招架敌人的攻击，累积大量失衡值，并造成火属性伤害；
    招式发动时，回复75点[炽心]；
    招式发动期间拥有无敌效果。</t>
  </si>
  <si>
    <t>发动[招架支援]后，点按 &lt;IconMap:Icon_Normal&gt; 发动：
    对前方敌人发动多段斩击，造成火属性伤害；
    连点时，可以连续斩击敌人，最多额外连续斩击7次；
    连续斩击时，如果真斗的生命值在30%以上，则消耗2%最大生命值；
    招式发动期间拥有无敌效果。</t>
  </si>
  <si>
    <t>点按 &lt;IconMap:Icon_Normal&gt; 发动：
    向前方进行至多五段的打击，造成以太伤害；
    其中，第五段攻击为[随想]，发动时复现以骸形象对前方圆形区域敌人造成以太伤害；
    处于接战状态下且未处于[梦境]状态中时，卢西娅发动此[随想]可获得40点[梦境值]。</t>
  </si>
  <si>
    <t>点按 &lt;IconMap:Icon_Special&gt; 发动：
    特殊技为[随想]，发动时复现以骸形象向前方直线区域发动斩击，造成以太伤害；
    处于接战状态下且未处于[梦境]状态中时，卢西娅发动此[随想]可获得20点[梦境值]，5秒内最多获得一次。</t>
  </si>
  <si>
    <t>能量足够时，点按 &lt;IconMap:Icon_SpecialReady&gt; 发动：
    强化特殊技为[合唱]，发动时复现以骸形象向前方直线区域发动强力斩击，造成以太伤害；
    卢西娅发动[合唱]时，为全队角色施加[破暗]状态；[破暗]状态下，贯穿力提升12点，卢西娅每拥有200点初始最大生命值，可使贯穿力额外提升{CAL:5+AvatarSkillLevel(1)*0.2,1,1}点，[破暗]状态最多可提升{CAL:612+AvatarSkillLevel(1)*24,1,2}点贯穿力，状态持续20秒，重复触发时刷新持续时间，当卢西娅的初始最大生命值达到24000点时，上述增益效果达到最大值；
    [合唱]造成伤害时，卢西娅会根据最大生命值的{CAL:0.34+AvatarSkillLevel(1)*0.03,100,2}%额外提升最后一段攻击的伤害；
    卢西娅发动强化特殊技后，若自身处于[梦境]状态且[以太帷幕·涌泉]生效中，则使[以太帷幕·涌泉]的持续时间延长16秒；
    卢西娅发动强化特殊技后，可以直接衔接第五段[普通攻击]；
    未处于[梦境]状态中时，卢西娅发动此[合唱]可获得60点[梦境值]；
    招式发动期间拥有无敌效果。</t>
  </si>
  <si>
    <t>闪避：曳影</t>
  </si>
  <si>
    <t>闪避时，点按 &lt;IconMap:Icon_Normal&gt; 发动：
    向前方进行快速打击，造成以太伤害。</t>
  </si>
  <si>
    <t>触发[极限闪避]后，点按 &lt;IconMap:Icon_Normal&gt; 发动：
    闪避反击为[随想]，发动时复现以骸形象向前方圆形区域发动下落攻击，造成以太伤害；
    未处于[梦境]状态中时，卢西娅发动此[随想]可获得20点[梦境值]，5秒内最多获得一次；
    招式发动期间拥有无敌效果。</t>
  </si>
  <si>
    <t>触发[连携技]时，选择对应角色发动：
    连携技为[合唱]，发动时复现以骸形象将前方圆形区域敌人吸近并造成以太伤害；
    未处于[梦境]状态中时，卢西娅发动此[合唱]可获得40点[梦境值]；
    招式发动期间拥有无敌效果。</t>
  </si>
  <si>
    <t>喧响等级达到[极]时，点按 &lt;IconMap:Icon_UltimateReady&gt; 发动：
    终结技为[合唱]，发动时复现以骸形象，卢西娅骑乘以骸向前突进，保持按住方向键可控制骑乘方向并延长突进时间，最多延长至3秒，突进期间抗打断等级提升，受到的伤害降低40%，且卢西娅受到致命伤害时不会战败退场，生命值最多降低至1；
    在突进停止时对周身大范围区域发动强力打击造成以太伤害，招式命中敌人时，将触发[快速支援]，招式发动后会留下[星光汇聚之地]，[星光汇聚之地]持续8秒，当前操作中的角色在[星光汇聚之地]内获得生命回复效果：每秒回复卢西娅最大生命值的{CAL:0.01+AvatarSkillLevel(3)*0.0005,100,2}%，该回复效果在角色离开[星光汇聚之地]4秒后或下场时消失；
    若发动后卢西娅处于[梦境]状态且[以太帷幕·涌泉]生效中，则使[以太帷幕·涌泉]的持续时间延长32秒；
    未处于[梦境]状态中时，卢西娅发动此[合唱]可获得100点[梦境值]，且若发动此[合唱]时自身处于[梦境]状态，则可在下一次退出[梦境]状态时获得100点[梦境值]并重新进入[梦境]状态，该效果不可重复获得；
    强力打击发动期间拥有无敌效果。</t>
  </si>
  <si>
    <t>当前操作中的角色被击飞时，点按 &lt;IconMap:Icon_Switch&gt; 发动：
    快速支援为[随想]，发动时复现以骸形象向前方圆形区域发动下落攻击，造成以太伤害；
    未处于[梦境]状态中时，卢西娅发动此[随想]可获得20点[梦境值]，5秒内最多获得一次；
    招式发动期间拥有无敌效果。</t>
  </si>
  <si>
    <t>发动[招架支援]后，点按 &lt;IconMap:Icon_Normal&gt; 发动：
    支援突击为[合唱]，发动时复现以骸形象向前方圆形区域发动强力下落攻击，造成以太伤害；
    未处于[梦境]状态中时，卢西娅发动此[合唱]可获得40点[梦境值]；
    招式发动期间拥有无敌效果。</t>
  </si>
  <si>
    <t>点按 &lt;IconMap:Icon_Normal&gt; 发动：
    向前方进行至多四段的攻击，前两段造成物理伤害，第三第四段造成电属性伤害；
    第三段后撤动作至第四段攻击发动前受到攻击，可触发自动闪避。</t>
  </si>
  <si>
    <t>[普通攻击]第四段、[闪避反击]、[快速支援]、[支援突击]后，可通过长按或点按 &lt;IconMap:Icon_Normal&gt;  发动：
    召唤机甲，进行蓄力冲拳攻击，造成大量电属性伤害；
    [钢能]值达到120点时，可获得一次快速释放[普通攻击：落华·重戮]的机会，长按 &lt;IconMap:Icon_Normal&gt; 直接发动；[钢能]值不足120点或通过上述方式发动一次[普通攻击：落华·重戮]后，该效果移除；
    命中敌人时不累积[钢能]；
    招式发动期间拥有无敌效果。</t>
  </si>
  <si>
    <t>普通攻击：落华·崩坠</t>
  </si>
  <si>
    <t>「席德」拥有[钢能]值，自身招式命中敌人可累积[钢能]；
    [钢能]最大150点，初始拥有60点[钢能]，达到120点时，在[普通攻击：落华·重戮]或[终结技：机芯花园·绽放！]发动后，可点按或长按 &lt;IconMap:Icon_Normal&gt;  消耗60点[钢能]释放[普通攻击：落华·崩坠一式]，并自动消耗60点[钢能]衔接发动[普通攻击：落华·崩坠二式]；
    操控机甲，扫射并释放强力跳砸，造成大量电属性伤害；
    命中敌人时不累积[钢能]；
    招式发动期间拥有无敌效果。</t>
  </si>
  <si>
    <t>点按 &lt;IconMap:Icon_Special&gt; 发动：
    扔出钢轮，划出曲线轨迹造成电属性伤害。</t>
  </si>
  <si>
    <t>能量足够时，点按 &lt;IconMap:Icon_SpecialReady&gt; 发动：
    进入飞行模式，可进行四向移动，连续发射弹幕对敌人造成大量电属性伤害；
    长按 &lt;IconMap:Icon_SpecialReady&gt; 可以延长弹幕发射时间并持续消耗能量；
    飞行期间，松开 &lt;IconMap:Icon_SpecialReady&gt; 可发动[强化特殊技：铁萼雨幕·离]；
    一次飞行消耗60点能量时，自动发动[普通攻击：落华·重戮]；
    招式发动期间拥有无敌效果。</t>
  </si>
  <si>
    <t>[强化特殊技：铁萼雨幕]发动期间，松开 &lt;IconMap:Icon_SpecialReady&gt; 发动：
    释放快速的炮击，造成电属性伤害；
    命中敌人时不累积[钢能]；
    招式发动期间拥有无敌效果。</t>
  </si>
  <si>
    <t>闪避：踏瓣花游</t>
  </si>
  <si>
    <t>闪避时，点按 &lt;IconMap:Icon_Normal&gt; 发动：
    向前方扔出钢轮，造成物理伤害。</t>
  </si>
  <si>
    <t>触发[极限闪避]后，点按 &lt;IconMap:Icon_Normal&gt; 发动：
    对前方敌人发动连续的激光打击，造成电属性伤害；
    招式发动期间拥有无敌效果。</t>
  </si>
  <si>
    <t>触发[连携技]时，选择对应角色发动：
    召唤机甲，护住自身后，向前方发射炮击与大量导弹，造成大量电属性伤害；
    招式发动期间拥有无敌效果。</t>
  </si>
  <si>
    <t>喧响等级达到[极]时，点按 &lt;IconMap:Icon_UltimateReady&gt; 发动：
    亲自驾驭机甲，倾泻出大量导弹与流星般的致命光弹，并释放强力跳砸，造成大量电属性伤害；
    招式发动后，累积60点[钢能]；
    命中敌人时不累积[钢能]；
    招式发动期间拥有无敌效果。</t>
  </si>
  <si>
    <t>当前操作中的角色被击飞时，点按 &lt;IconMap:Icon_Switch&gt; 发动：
    对前方敌人发动连续的激光打击，造成电属性伤害；
    招式发动期间拥有无敌效果。</t>
  </si>
  <si>
    <t>发动[招架支援]后，点按 &lt;IconMap:Icon_Normal&gt; 发动：
    对前方敌人发动连续浮游炮攻击，造成电属性伤害；
    招式发动期间拥有无敌效果。</t>
  </si>
  <si>
    <t>点按 &lt;IconMap:Icon_Normal&gt; 发动：
    向前方进行至多四段的攻击，造成火属性伤害；
    招式发动期间，打断等级提升。</t>
  </si>
  <si>
    <t>点按 &lt;IconMap:Icon_Special&gt; 发动：
    向前方进行至多四段的攻击，造成火属性伤害；
    招式发动期间，抗打断等级提升。</t>
  </si>
  <si>
    <t>不处于[怒相]状态且拥有120点[嗔火]时，长按 &lt;IconMap:Icon_Normal&gt; 发动：
    对周身敌人造成火属性伤害，随后进入[怒相]状态。</t>
  </si>
  <si>
    <t>普通攻击：引火</t>
  </si>
  <si>
    <t>不处于接战状态、生命值大于50%且[嗔火]不足120点时，长按 &lt;IconMap:Icon_Normal&gt; 发动：
    般岳主动消耗生命值回复[嗔火]，[嗔火]回复至120点时般岳将直接进入[怒相]状态；
    进入战场时，获得一次释放该招式的机会，在勘域模式中该效果180秒内最多触发一次；
    般岳最多消耗生命值至最大生命值的50%。</t>
  </si>
  <si>
    <t>当般岳处于[怒相]状态时，长按 &lt;IconMap:Icon_Normal&gt; 消耗120点[嗔火]发动：
    般岳轰出巨大的山体攻击敌人，造成大量火属性伤害；
    发动该招式后，般岳退出[怒相]状态；
    招式发动期间拥有无敌效果。</t>
  </si>
  <si>
    <t>当般岳处于[怒相]状态时，通过普通攻击派生或者快速键入指令的方式释放两次不同的[强化特殊技]后，长按 &lt;IconMap:Icon_Normal&gt; 发动：
    般岳向前方打出珠子禁锢敌人造成大量火属性伤害；
    随后般岳将自动释放[普通攻击：倾山]；
    招式发动期间拥有无敌效果。</t>
  </si>
  <si>
    <t>攻击过程中不拖曳{LAYOUT_CONSOLECONTROLLER#操作杆}{LAYOUT_FALLBACK#摇杆}点按 &lt;IconMap:Icon_Evade&gt; 发动：
    般岳进入防御姿态，期间如果受到敌人攻击，会招架敌人攻击，累积失衡值；
    如果在招式发动的瞬间受到敌人的攻击，则可以触发完美格挡；
    成功招架敌人攻击时拥有无敌效果。</t>
  </si>
  <si>
    <t>闪能足够时，可通过以下三种方式发动：
    在第三段或第四段[普通攻击：峥嵘]后点按 &lt;IconMap:Icon_SpecialReady_Rp&gt; 发动；
    在[支援突击]、[闪避反击]、[快速支援]后长按 &lt;IconMap:Icon_SpecialReady_Rp&gt; 发动；
    在发动任意[强化特殊技]、[普通攻击：焚身]、[连携技]、[终结技]、[支援突击]、[闪避反击]、[快速支援]时，快速键入指令 &lt;IconMap:Icon_Normal&gt; &lt;IconMap:Icon_SpecialReady_Rp&gt; &lt;IconMap:Icon_Normal&gt; 发动；
    般岳连续重击地面，对敌人造成火属性伤害；
    招式发动期间拥有无敌效果。</t>
  </si>
  <si>
    <t>闪能足够时，可通过以下两种方式发动：
    在第一段或第二段[普通攻击：崔巍]后点按 &lt;IconMap:Icon_Normal&gt; 发动；
    在发动任意[强化特殊技]、[普通攻击：焚身]、[连携技]、[终结技]、[支援突击]、[闪避反击]、[快速支援]时，快速键入指令 &lt;IconMap:Icon_SpecialReady_Rp&gt; &lt;IconMap:Icon_SpecialReady_Rp&gt; &lt;IconMap:Icon_Normal&gt; 发动；
    般岳掀出山体，对敌人造成火属性伤害；
    招式发动期间拥有无敌效果。</t>
  </si>
  <si>
    <t>闪能足够时，可通过以下三种方式发动：
    在第三段或第四段[普通攻击：崔巍]后点按 &lt;IconMap:Icon_Normal&gt; 发动；
    在[支援突击]、[闪避反击]、[快速支援]后长按 &lt;IconMap:Icon_Normal&gt; 发动；
    在发动任意[强化特殊技]、[普通攻击：焚身]、[连携技]、[终结技]、[支援突击]、[闪避反击]、[快速支援]时，快速键入指令 &lt;IconMap:Icon_SpecialReady_Rp&gt; &lt;IconMap:Icon_Normal&gt; &lt;IconMap:Icon_SpecialReady_Rp&gt; 发动；
    般岳扔出珠子对前方敌人造成火属性伤害；
    招式发动期间拥有无敌效果。</t>
  </si>
  <si>
    <t>闪能足够时，可通过以下两种方式发动：
    在第一段或第二段[普通攻击：峥嵘]后点按 &lt;IconMap:Icon_SpecialReady_Rp&gt; 发动；
    在发动任意[强化特殊技]、[普通攻击：焚身]、[连携技]、[终结技]、[支援突击]、[闪避反击]、[快速支援]时，快速键入指令 &lt;IconMap:Icon_Normal&gt; &lt;IconMap:Icon_Normal&gt; &lt;IconMap:Icon_SpecialReady_Rp&gt; 发动；
    般岳向前方发动音波攻击，对敌人造成火属性伤害；
    招式发动期间拥有无敌效果。</t>
  </si>
  <si>
    <t>闪能足够时，在发动[强化特殊技：地动]时快速键入指令 &lt;IconMap:Icon_SpecialReady_Rp&gt; &lt;IconMap:Icon_SpecialReady_Rp&gt; &lt;IconMap:Icon_Normal&gt; 发动：
    般岳掀出更巨大的山体，对敌人造成火属性伤害；
    招式发动期间拥有无敌效果。</t>
  </si>
  <si>
    <t>闪能足够时，在发动[强化特殊技：论道]时快速键入指令 &lt;IconMap:Icon_Normal&gt; &lt;IconMap:Icon_Normal&gt; &lt;IconMap:Icon_SpecialReady_Rp&gt; 发动：
    般岳向前方发动更强力的音波攻击，对敌人造成火属性伤害；
    招式发动期间拥有无敌效果。</t>
  </si>
  <si>
    <t>取消</t>
  </si>
  <si>
    <t>当般岳通过快速键入指令的方式派生[强化特殊技]时，可以打断正在发动的[强化特殊技]，每一种[强化特殊技]都存在特殊的完美打断节点，在完美打断节点之后打断[强化特殊技]，被打断的[强化特殊技]的攻击效果将不会受到影响，在完美打断节点时打断[强化特殊技]，被视为触发了[完美取消]；
    处于[怒相]状态且拥有[山威]时，更容易触发[完美取消]。</t>
  </si>
  <si>
    <t>闪避：越岭</t>
  </si>
  <si>
    <t>闪避：叫阵</t>
  </si>
  <si>
    <t>拖曳{LAYOUT_CONSOLECONTROLLER#操作杆}{LAYOUT_FALLBACK#摇杆}半周并点按 &lt;IconMap:Icon_Evade&gt; 发动：
    向后闪避并挑衅敌人；
    在任意[强化特殊技]后衔接派生[闪避：叫阵]，可在[闪避：叫阵]期间快速键入对应指令继续派生[强化特殊技]；
    招式发动期间拥有无敌效果。</t>
  </si>
  <si>
    <t>闪避时，点按 &lt;IconMap:Icon_Normal&gt; 或在[闪避：叫阵]时长按 &lt;IconMap:Icon_Normal&gt; 发动：
    向前方打出珠子，造成火属性伤害；
    招式发动后可直接衔接[普通攻击：峥嵘]的第二段攻击或[普通攻击：崔巍]的第二段攻击。</t>
  </si>
  <si>
    <t>通过[闪避：越岭]触发[极限闪避]后，点按 &lt;IconMap:Icon_Normal&gt; 或通过[闪避：叫阵]触发[极限闪避]后，长按 &lt;IconMap:Icon_Normal&gt; 发动：
    对前方敌人发动攻击，造成火属性伤害；
    招式发动后可直接衔接[普通攻击：峥嵘]的第三段攻击或[普通攻击：崔巍]的第三段攻击；
    招式发动期间拥有无敌效果。</t>
  </si>
  <si>
    <t>触发[连携技]时，选择对应角色发动：
    向前方发动大范围攻击，造成大量火属性伤害；
    若般岳的[嗔火]大于120点，攻击结束后般岳会自动进入[怒相]状态；
    招式发动期间拥有无敌效果。</t>
  </si>
  <si>
    <t>喧响等级达到[极]时，点按 &lt;IconMap:Icon_UltimateReady&gt; 发动：
    向前方发动大范围攻击，造成大量火属性伤害；
    若般岳的[嗔火]大于120点，攻击结束后般岳会自动进入[怒相]状态；
    招式发动期间拥有无敌效果。</t>
  </si>
  <si>
    <t>当前操作中的角色被击飞时，点按 &lt;IconMap:Icon_Switch&gt; 发动：
    对前方敌人发动连续攻击，造成火属性伤害；
    招式发动期间拥有无敌效果。</t>
  </si>
  <si>
    <t>发动[招架支援]后，点按 &lt;IconMap:Icon_Normal&gt; 发动：
    快速突进并发动攻击，造成火属性伤害；
    招式发动期间拥有无敌效果。</t>
  </si>
  <si>
    <t>通过[闪避：不动如山]成功招架敌人攻击后，点按 &lt;IconMap:Icon_Normal&gt; 发动：
    快速突进并发动攻击，造成火属性伤害；
    招式发动期间拥有无敌效果。</t>
  </si>
  <si>
    <t>点按 &lt;IconMap:Icon_Normal&gt; 发动：
    向前方进行至多四段攻击，造成物理伤害。</t>
  </si>
  <si>
    <t>[强化特殊技：石头]或[强化特殊技：剪刀]后点按 &lt;IconMap:Icon_Normal&gt; 发动：
    分别进行至多两段攻击，造成物理伤害；
    招式发动期间抗打断等级提升，受到的伤害降低40%。</t>
  </si>
  <si>
    <t>拥有[客诉]时，长按 &lt;IconMap:Icon_Normal&gt; 发动：
    向前方发动抱拳攻击，发动时消耗1点[客诉]，造成物理伤害；
    招式发动后将触发上一位角色的[快速支援]；
    招式发动期间拥有无敌效果。</t>
  </si>
  <si>
    <t>点按 &lt;IconMap:Icon_Special&gt; 发动：
    丢出双环切割敌人，造成物理伤害；
    招式发动期间抗打断等级提升。</t>
  </si>
  <si>
    <t>能量足够时，点按 &lt;IconMap:Icon_SpecialReady&gt; 发动：
    发动拳头攻击，造成物理伤害；
    招式发动期间拥有无敌效果。</t>
  </si>
  <si>
    <t>能量足够时，点按 &lt;IconMap:Icon_SpecialReady&gt; 发动：
    发动剪刀攻击，造成物理伤害；
    招式发动期间拥有无敌效果。</t>
  </si>
  <si>
    <t>能量足够时，点按 &lt;IconMap:Icon_SpecialReady&gt; 发动：
    发动布攻击，造成物理伤害；
    招式发动期间拥有无敌效果。</t>
  </si>
  <si>
    <t>闪避：号码占线</t>
  </si>
  <si>
    <t>触发[极限闪避]后，点按 &lt;IconMap:Icon_Normal&gt; 发动：
    对前方敌人发动连续攻击，造成物理伤害；
    招式发动后可直接衔接[普通攻击：很高兴为您服务]的第四段攻击；
    招式发动期间拥有无敌效果。</t>
  </si>
  <si>
    <t>触发[连携技]时，选择对应角色发动：
    向前方发动连续踢击，造成大量物理伤害；
    招式发动后可直接衔接[普通攻击：很高兴为您服务]的第四段攻击；
    招式发动期间拥有无敌效果。</t>
  </si>
  <si>
    <t>喧响等级达到[极]时，点按 &lt;IconMap:Icon_UltimateReady&gt; 发动：
    快速突进向前方发动弹指攻击，造成大量物理伤害；
    招式发动后可直接衔接[普通攻击：很高兴为您服务]的第四段攻击；
    招式发动期间拥有无敌效果。</t>
  </si>
  <si>
    <t>当前操作中的角色被击飞时，点按 &lt;IconMap:Icon_Switch&gt; 发动：
    对前方敌人发动连续攻击，造成物理伤害；
    招式发动后可直接衔接[普通攻击：很高兴为您服务]的第四段攻击；
    招式发动期间拥有无敌效果。</t>
  </si>
  <si>
    <t>发动[招架支援]后，点按 &lt;IconMap:Icon_Normal&gt; 发动：
    快速突进并发动斩击，造成物理伤害；
    招式发动后可直接衔接[普通攻击：很高兴为您服务]的第四段攻击；
    招式发动期间拥有无敌效果。</t>
  </si>
  <si>
    <t>点按 &lt;IconMap:Icon_Normal&gt; 发动：
    向前方进行至多四段的攻击，造成物理伤害。</t>
  </si>
  <si>
    <t>战斗中，千夏位于后场，且场上没有持有[猫的凝视]的敌人时，泡泡会消耗1个[磨爪器]并自动发动攻击， 造成物理伤害；
    队伍中任意角色开启[以太帷幕]时，千夏获得2个[磨爪器]；
    队伍中任意角色对敌人施加属性异常效果时，千夏获得1个[磨爪器]，10秒内最多触发1次；
    泡泡可以继承千夏的初始攻击力，千夏最多持有6个[磨爪器]。</t>
  </si>
  <si>
    <t>点按 &lt;IconMap:Icon_Special&gt; 发动：
    使用气枪发射泡泡攻击前方敌人， 造成物理伤害；技能发动后，泡泡会加入战斗。</t>
  </si>
  <si>
    <t>能量足够时，点按  &lt;IconMap:Icon_SpecialReady&gt; 发动：
    扔出泡泡，砸向目标并造成物理伤害；技能发动后，泡泡会加入战斗；
    技能发动时，为全队代理人添加[天使协律]效果，持续40秒；
    招式重击命中敌人时，将触发[快速支援]；
    招式发动期间拥有无敌效果。</t>
  </si>
  <si>
    <t>进入[天使协律]状态后，点按  &lt;IconMap:Icon_SpecialReady&gt; 可以发动，或在[强化特殊技：泡泡糖轰炸]发动期间，保持长按  &lt;IconMap:Icon_SpecialReady&gt; 快速发动：
    与泡泡协同攻击目标敌人，造成物理伤害；技能发动后，泡泡会加入战斗；
    重击发动前，开启[以太帷幕·妄想重奏]，[以太帷幕·妄想重奏]生效期间，全队角色攻击力额外提升50点，持续40秒，千夏重复开启[以太帷幕·妄想重奏]前，将关闭已有的[以太帷幕·妄想重奏]；
    招式重击命中敌人时，将触发[快速支援]；
    招式发动期间拥有无敌效果，每次进入[天使协律]，只能发动1次[强化特殊技：特别拍照技巧]。</t>
  </si>
  <si>
    <t>闪避：打不着我</t>
  </si>
  <si>
    <t>闪避时，点按 &lt;IconMap:Icon_Normal&gt; 发动：
    挑飞前方敌人，造成物理伤害。</t>
  </si>
  <si>
    <t>触发[极限闪避]后，点按 &lt;IconMap:Icon_Normal&gt; 发动：
    连续锤击前方敌人，造成物理伤害；
    招式发动期间拥有无敌效果。</t>
  </si>
  <si>
    <t>触发[连携技]时，选择对应角色发动：
    骑着泡泡冲向前方敌人，造成大量物理伤害；
    招式重击命中敌人时，将触发[快速支援]；
    招式发动期间拥有无敌效果。</t>
  </si>
  <si>
    <t>喧响等级达到[极]时，点按 &lt;IconMap:Icon_UltimateReady&gt; 发动：
    用锤子连续攻击后，打出泡泡并引发爆炸，对范围内敌人造成大量物理伤害；
    重击发动时，获得6个[磨爪器]；
    从高空下砸命中敌人时，将触发[快速支援]并为全队角色回复{CAL:-50+AvatarSkillLevel(3)*250,1,2}点生命值；
    招式发动期间拥有无敌效果。</t>
  </si>
  <si>
    <t>当前操作中的角色被击飞时，点按 &lt;IconMap:Icon_Switch&gt; 发动：
    连续锤击前方敌人，造成物理伤害；
    招式发动期间拥有无敌效果。</t>
  </si>
  <si>
    <t>发动[招架支援]后，点按 &lt;IconMap:Icon_Normal&gt; 发动：
    骑着气锤连续跳跃，对前方敌人造成大量物理伤害；
    招式发动期间拥有无敌效果。</t>
  </si>
  <si>
    <t>点按 &lt;IconMap:Icon_Normal&gt; 发动：
    向前方进行至多四段的攻击，造成以太伤害；
    第四段攻击若命中敌人，在攻击完成后会在场上生成1个[应援能量]。</t>
  </si>
  <si>
    <t>长按 &lt;IconMap:Icon_Normal&gt; 发动：
    爱芮进入蓄力状态，最多可进行三段蓄力，松开 &lt;IconMap:Icon_Normal&gt; 或达到最大蓄力时间时，爱芮将根据当前蓄力段数，向前方发动强力下落攻击，造成大量以太伤害；
    若爱芮在蓄力时，自身附近有[应援能量]，则会吸收[应援能量]，每成功吸收1个[应援能量]可立即提升蓄力等级1段，且获得1层增益效果：下一次[普通攻击：绝对音准]造成的以太异常积蓄值提升10%。该增益效果最多叠加2层，攻击结束后效果移除；
    在[普通攻击：甜心律动]第四段、[特殊技：全糖电音·不加冰]、[强化特殊技]、第三段[普通攻击：绝对音准]、[快速支援]、[连携技]、[终结技]后，若附近的[应援能量]大于等于2个，则可通过长按 &lt;IconMap:Icon_Normal&gt; 消耗2个[应援能量]直接快速发动第三段[普通攻击：绝对音准]；在第三段[普通攻击：绝对音准]、[连携技]、[终结技]后，若附近的[应援能量]大于等于2个，也可通过在一段时间内点按 &lt;IconMap:Icon_Normal&gt; 消耗2个[应援能量]直接快速发动第三段[普通攻击：绝对音准]；
    蓄力期间抗打断等级提升，受到的伤害降低40%，攻击发动期间拥有无敌效果。</t>
  </si>
  <si>
    <t>点按 &lt;IconMap:Icon_Special&gt; 发动：
    向前方发动踢击，造成以太伤害；
    招式发动期间抗打断等级提升。</t>
  </si>
  <si>
    <t>在[普通攻击：甜心律动]第四段、[支援突击]、[连携技]和[终结技]后，点按 &lt;IconMap:Icon_Special&gt; 发动：
    向前方发动更加迅捷的踢击，造成以太伤害，若攻击命中敌人，在攻击完成后会在场上生成1个[应援能量]；
    招式发动期间拥有无敌效果。</t>
  </si>
  <si>
    <t>能量足够时，点按  &lt;IconMap:Icon_SpecialReady&gt; 发动：
    向前方进行强力踢击并追加音波攻击，造成以太伤害，若攻击命中敌人，在攻击完成后会在场上生成3个[应援能量]；
    招式发动期间拥有无敌效果。</t>
  </si>
  <si>
    <t>[强化特殊技：坠入妄想]发动后，能量足够时，点按 &lt;IconMap:Icon_SpecialReady&gt; 发动：
    向前方追加强力下落攻击，造成以太伤害，若攻击命中敌人，在攻击完成后会在场上生成3个[应援能量]；
    招式发动期间拥有无敌效果。</t>
  </si>
  <si>
    <t>闪避：精准卡点</t>
  </si>
  <si>
    <t>点按 &lt;IconMap:Icon_Evade&gt; 发动：
    快速的冲刺闪避；
    若在[普通攻击：甜心律动]中发动，此动作期间不会重置普通攻击段数；
    招式发动期间拥有无敌效果。</t>
  </si>
  <si>
    <t>闪避时，点按 &lt;IconMap:Icon_Normal&gt; 发动：
    向前方进行快速斩击，造成以太伤害；
    若在[普通攻击：甜心律动]中发动，此动作期间不会重置普通攻击段数。</t>
  </si>
  <si>
    <t>触发[极限闪避]后，点按 &lt;IconMap:Icon_Normal&gt; 发动：
    对目标发动强力斩击，造成以太伤害；
    招式发动后，可直接衔接第三段[普通攻击：甜心律动]；
    招式发动期间拥有无敌效果。</t>
  </si>
  <si>
    <t>触发[连携技]时，选择对应角色发动：
    向前方进行连续攻击，造成大量以太伤害，技能发动时在场上生成4个[应援能量]；
    招式发动期间拥有无敌效果。</t>
  </si>
  <si>
    <t>喧响等级达到[极]时，点按 &lt;IconMap:Icon_UltimateReady&gt; 发动：
    释放自身全力，进入[妄想时刻]并对目标发动多段强力射击，造成大量以太伤害；
    进入[妄想时刻]时爱芮获得3层[全场应援]效果，同时开启[以太帷幕·妄想重奏]，[以太帷幕·妄想重奏]生效期间，全队角色攻击力额外提升50点，持续30秒，爱芮重复开启[以太帷幕·妄想重奏]前，将关闭已有的[以太帷幕·妄想重奏]；
    爱芮在蓄力时，若自身有[全场应援]效果，则优先消耗[全场应援]进行蓄力，每消耗1层[全场应援]可提升2段蓄力等级；
    在进入[妄想时刻]时，若自身已有[全场应援]效果，则会先将剩余层数的[全场应援]转化为[应援能量]生成在场上，每层[全场应援]可转化为2个[应援能量]；
    [妄想时刻]最大持续15秒，在[妄想时刻]期间，爱芮的第三段[普通攻击：绝对音准]将会提升为强化版；
    退出[妄想时刻]时，若自身有[全场应援]效果，也会将剩余层数[全场应援]转化为[应援能量]生成在场上，每层[全场应援]可转化为2个[应援能量]；
    招式发动期间拥有无敌效果。</t>
  </si>
  <si>
    <t>当前操作中的角色被击飞时，点按 &lt;IconMap:Icon_Switch&gt; 发动：
    对目标发动强力斩击，造成以太伤害；
    招式发动后，可直接衔接第三段[普通攻击：甜心律动]；
    招式发动期间拥有无敌效果。</t>
  </si>
  <si>
    <t>发动[招架支援]后，点按 &lt;IconMap:Icon_Normal&gt; 发动：
    对目标发动强力连续斩击，造成大量以太伤害；
    招式发动期间拥有无敌效果。</t>
  </si>
  <si>
    <t>核心被动名称</t>
  </si>
  <si>
    <t>1级描述</t>
  </si>
  <si>
    <t>2级描述</t>
  </si>
  <si>
    <t>3级描述</t>
  </si>
  <si>
    <t>4级描述</t>
  </si>
  <si>
    <t>5级描述</t>
  </si>
  <si>
    <t>6级描述</t>
  </si>
  <si>
    <t>7级描述</t>
  </si>
  <si>
    <t>额外能力名称</t>
  </si>
  <si>
    <t>额外能力描述</t>
  </si>
  <si>
    <t>核心被动：波动电压</t>
  </si>
  <si>
    <t>安比在[普通攻击]第三段后发动[普通攻击：落雷]、[特殊技]或[强化特殊技]时，招式造成的失衡值提升32%。</t>
  </si>
  <si>
    <t>安比在[普通攻击]第三段后发动[普通攻击：落雷]、[特殊技]或[强化特殊技]时，招式造成的失衡值提升37.3%。</t>
  </si>
  <si>
    <t>安比在[普通攻击]第三段后发动[普通攻击：落雷]、[特殊技]或[强化特殊技]时，招式造成的失衡值提升42.6%。</t>
  </si>
  <si>
    <t>安比在[普通攻击]第三段后发动[普通攻击：落雷]、[特殊技]或[强化特殊技]时，招式造成的失衡值提升48%。</t>
  </si>
  <si>
    <t>安比在[普通攻击]第三段后发动[普通攻击：落雷]、[特殊技]或[强化特殊技]时，招式造成的失衡值提升53.3%。</t>
  </si>
  <si>
    <t>安比在[普通攻击]第三段后发动[普通攻击：落雷]、[特殊技]或[强化特殊技]时，招式造成的失衡值提升58.6%。</t>
  </si>
  <si>
    <t>安比在[普通攻击]第三段后发动[普通攻击：落雷]、[特殊技]或[强化特殊技]时，招式造成的失衡值提升64%。</t>
  </si>
  <si>
    <t>额外能力：并联电路</t>
  </si>
  <si>
    <t>队伍中存在与自身属性或阵营相同的角色时触发：
    安比[闪避反击]命中敌人时，额外回复7.2点能量，5秒内最多触发一次。</t>
  </si>
  <si>
    <t>核心被动：猫步诡影</t>
  </si>
  <si>
    <t>猫又[闪避反击]或[快速支援]命中敌人时，自身造成的伤害提升30%，持续6秒。</t>
  </si>
  <si>
    <t>猫又[闪避反击]或[快速支援]命中敌人时，自身造成的伤害提升35%，持续6秒。</t>
  </si>
  <si>
    <t>猫又[闪避反击]或[快速支援]命中敌人时，自身造成的伤害提升40%，持续6秒。</t>
  </si>
  <si>
    <t>猫又[闪避反击]或[快速支援]命中敌人时，自身造成的伤害提升45%，持续6秒。</t>
  </si>
  <si>
    <t>猫又[闪避反击]或[快速支援]命中敌人时，自身造成的伤害提升50%，持续6秒。</t>
  </si>
  <si>
    <t>猫又[闪避反击]或[快速支援]命中敌人时，自身造成的伤害提升55%，持续6秒。</t>
  </si>
  <si>
    <t>猫又[闪避反击]或[快速支援]命中敌人时，自身造成的伤害提升60%，持续6秒。</t>
  </si>
  <si>
    <t>额外能力：猫步秀</t>
  </si>
  <si>
    <t>队伍中存在与自身属性或阵营相同的角色时触发：
    队伍中任意角色对敌人施加[强击]效果后，猫又下一次发动[强化特殊技]时，招式造成的伤害提升35%，最多叠加2层。</t>
  </si>
  <si>
    <t>核心被动：机关箱</t>
  </si>
  <si>
    <t>妮可在[特殊技]、[强化特殊技]、[连携技]、[终结技]等招式中，上弹并强化[普通攻击]与[冲刺攻击]；强化子弹或能量场命中敌人时，目标的防御力降低20%，持续3.5秒。</t>
  </si>
  <si>
    <t>妮可在[特殊技]、[强化特殊技]、[连携技]、[终结技]等招式中，上弹并强化[普通攻击]与[冲刺攻击]；强化子弹或能量场命中敌人时，目标的防御力降低25%，持续3.5秒。</t>
  </si>
  <si>
    <t>妮可在[特殊技]、[强化特殊技]、[连携技]、[终结技]等招式中，上弹并强化[普通攻击]与[冲刺攻击]；强化子弹或能量场命中敌人时，目标的防御力降低30%，持续3.5秒。</t>
  </si>
  <si>
    <t>妮可在[特殊技]、[强化特殊技]、[连携技]、[终结技]等招式中，上弹并强化[普通攻击]与[冲刺攻击]；强化子弹或能量场命中敌人时，目标的防御力降低34%，持续3.5秒。</t>
  </si>
  <si>
    <t>妮可在[特殊技]、[强化特殊技]、[连携技]、[终结技]等招式中，上弹并强化[普通攻击]与[冲刺攻击]；强化子弹或能量场命中敌人时，目标的防御力降低36%，持续3.5秒。</t>
  </si>
  <si>
    <t>妮可在[特殊技]、[强化特殊技]、[连携技]、[终结技]等招式中，上弹并强化[普通攻击]与[冲刺攻击]；强化子弹或能量场命中敌人时，目标的防御力降低38%，持续3.5秒。</t>
  </si>
  <si>
    <t>妮可在[特殊技]、[强化特殊技]、[连携技]、[终结技]等招式中，上弹并强化[普通攻击]与[冲刺攻击]；强化子弹或能量场命中敌人时，目标的防御力降低40%，持续3.5秒。</t>
  </si>
  <si>
    <t>额外能力：狡兔三窟</t>
  </si>
  <si>
    <t>队伍中存在与自身属性或阵营相同的角色时触发：
    妮可通过[核心被动：机关箱]对敌人施加减益效果时，所有单位对目标造成的以太伤害额外提升25%，持续3.5秒。</t>
  </si>
  <si>
    <t>核心被动：热浪</t>
  </si>
  <si>
    <t>「11号」在[普通攻击]或[冲刺攻击]中触发[火力镇压]时，招式造成的伤害提升35%。</t>
  </si>
  <si>
    <t>「11号」在[普通攻击]或[冲刺攻击]中触发[火力镇压]时，招式造成的伤害提升40.8%。</t>
  </si>
  <si>
    <t>「11号」在[普通攻击]或[冲刺攻击]中触发[火力镇压]时，招式造成的伤害提升46.6%。</t>
  </si>
  <si>
    <t>「11号」在[普通攻击]或[冲刺攻击]中触发[火力镇压]时，招式造成的伤害提升52.5%。</t>
  </si>
  <si>
    <t>「11号」在[普通攻击]或[冲刺攻击]中触发[火力镇压]时，招式造成的伤害提升58.3%。</t>
  </si>
  <si>
    <t>「11号」在[普通攻击]或[冲刺攻击]中触发[火力镇压]时，招式造成的伤害提升64.1%。</t>
  </si>
  <si>
    <t>「11号」在[普通攻击]或[冲刺攻击]中触发[火力镇压]时，招式造成的伤害提升70%。</t>
  </si>
  <si>
    <t>额外能力：燎原</t>
  </si>
  <si>
    <t>队伍中存在与自身属性或阵营相同的角色时触发：
    「11号」造成的火属性伤害提升10%，攻击处于失衡状态下的敌人时，该增益效果额外提升22.5%。</t>
  </si>
  <si>
    <t>核心被动：拾梦空想</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</si>
  <si>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当伊德海莉生命值低于50%时，获得的增益效果达到最大值，攻击造成的伤害最多提升50%，伊德海莉生命值重新回到50%后，最大值增益效果仍会持续5秒；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</si>
  <si>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当伊德海莉生命值低于50%时，获得的增益效果达到最大值，攻击造成的伤害最多提升58%，伊德海莉生命值重新回到50%后，最大值增益效果仍会持续5秒；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</si>
  <si>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当伊德海莉生命值低于50%时，获得的增益效果达到最大值，攻击造成的伤害最多提升66%，伊德海莉生命值重新回到50%后，最大值增益效果仍会持续5秒；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</si>
  <si>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当伊德海莉生命值低于50%时，获得的增益效果达到最大值，攻击造成的伤害最多提升74%，伊德海莉生命值重新回到50%后，最大值增益效果仍会持续5秒；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</si>
  <si>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当伊德海莉生命值低于50%时，获得的增益效果达到最大值，攻击造成的伤害最多提升82%，伊德海莉生命值重新回到50%后，最大值增益效果仍会持续5秒；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</si>
  <si>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当伊德海莉生命值低于50%时，获得的增益效果达到最大值，攻击造成的伤害最多提升90%，伊德海莉生命值重新回到50%后，最大值增益效果仍会持续5秒；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</si>
  <si>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当伊德海莉生命值低于50%时，获得的增益效果达到最大值，攻击造成的伤害最多提升100%，伊德海莉生命值重新回到50%后，最大值增益效果仍会持续5秒；
    伊德海莉通过招式命中获得喧响值降低，伊德海莉生命值降低时，获得喧响值，每降低1%生命值会获得10点喧响值。</t>
  </si>
  <si>
    <t>额外能力：完形叙事</t>
  </si>
  <si>
    <t>队伍中存在[击破]角色或[支援]角色时触发：
    伊德海莉生命值低于50%时，暴击伤害提升30%，受到的伤害降低25%；
    伊德海莉处于[以太帷幕·涌泉]中时，额外获得以下效果：
    伊德海莉的[普通攻击：霜寒拥覆]第三段蓄力攻击、[强化特殊技：极寒重碾]的招式结束后，将召唤寒冰触手进行攻击，造成额外伤害，每12秒最多触发1次；
    发动上述招式视为发动[强化特殊技]，伤害倍率跟随强化特殊技的技能等级提升。</t>
  </si>
  <si>
    <t>核心被动：专注</t>
  </si>
  <si>
    <t>连点或长按后，可琳使用电锯持续斩击敌人时，招式造成的伤害提升18.7%。</t>
  </si>
  <si>
    <t>连点或长按后，可琳使用电锯持续斩击敌人时，招式造成的伤害提升21.8%。</t>
  </si>
  <si>
    <t>连点或长按后，可琳使用电锯持续斩击敌人时，招式造成的伤害提升25%。</t>
  </si>
  <si>
    <t>连点或长按后，可琳使用电锯持续斩击敌人时，招式造成的伤害提升28.1%。</t>
  </si>
  <si>
    <t>连点或长按后，可琳使用电锯持续斩击敌人时，招式造成的伤害提升31.2%。</t>
  </si>
  <si>
    <t>连点或长按后，可琳使用电锯持续斩击敌人时，招式造成的伤害提升34.3%。</t>
  </si>
  <si>
    <t>连点或长按后，可琳使用电锯持续斩击敌人时，招式造成的伤害提升37.5%。</t>
  </si>
  <si>
    <t>额外能力：扫除帮手</t>
  </si>
  <si>
    <t>队伍中存在与自身属性或阵营相同的角色时触发：
    可琳攻击命中处于失衡状态下的敌人时，自身造成的伤害提升35%。</t>
  </si>
  <si>
    <t>核心被动：坚韧之壁</t>
  </si>
  <si>
    <t>凯撒发动[强化特殊技：招架反击]、[连携技]、[终结技]或以[防御反击]的方式发动[强化特殊技：超强力盾击]时，为全队提供等同于自身300%初始冲击力+200点的护盾[荣光之盾]，持续60秒，[荣光之盾]由当前操作中的角色持有，护盾值为全队共享，单次受到的伤害不会超过护盾值；
    [荣光之盾]存在期间，持有者的抗打断等级提升；
    [荣光之盾]存在期间，持有者的攻击力提升40点，[荣光之盾]效果结束后，该增益效果仍然保留，持续5秒。</t>
  </si>
  <si>
    <t>凯撒发动[强化特殊技：招架反击]、[连携技]、[终结技]或以[防御反击]的方式发动[强化特殊技：超强力盾击]时，为全队提供等同于自身500%初始冲击力+400点的护盾[荣光之盾]，持续60秒，[荣光之盾]由当前操作中的角色持有，护盾值为全队共享，单次受到的伤害不会超过护盾值；
    [荣光之盾]存在期间，持有者的抗打断等级提升；
    [荣光之盾]存在期间，持有者的攻击力提升135点，[荣光之盾]效果结束后，该增益效果仍然保留，持续5秒。</t>
  </si>
  <si>
    <t>凯撒发动[强化特殊技：招架反击]、[连携技]、[终结技]或以[防御反击]的方式发动[强化特殊技：超强力盾击]时，为全队提供等同于自身700%初始冲击力+700点的护盾[荣光之盾]，持续60秒，[荣光之盾]由当前操作中的角色持有，护盾值为全队共享，单次受到的伤害不会超过护盾值；
    [荣光之盾]存在期间，持有者的抗打断等级提升；
    [荣光之盾]存在期间，持有者的攻击力提升240点，[荣光之盾]效果结束后，该增益效果仍然保留，持续5秒。</t>
  </si>
  <si>
    <t>凯撒发动[强化特殊技：招架反击]、[连携技]、[终结技]或以[防御反击]的方式发动[强化特殊技：超强力盾击]时，为全队提供等同于自身900%初始冲击力+900点的护盾[荣光之盾]，持续60秒，[荣光之盾]由当前操作中的角色持有，护盾值为全队共享，单次受到的伤害不会超过护盾值；
    [荣光之盾]存在期间，持有者的抗打断等级提升；
    [荣光之盾]存在期间，持有者的攻击力提升400点，[荣光之盾]效果结束后，该增益效果仍然保留，持续5秒。</t>
  </si>
  <si>
    <t>凯撒发动[强化特殊技：招架反击]、[连携技]、[终结技]或以[防御反击]的方式发动[强化特殊技：超强力盾击]时，为全队提供等同于自身1100%初始冲击力+1100点的护盾[荣光之盾]，持续60秒，[荣光之盾]由当前操作中的角色持有，护盾值为全队共享，单次受到的伤害不会超过护盾值；
    [荣光之盾]存在期间，持有者的抗打断等级提升；
    [荣光之盾]存在期间，持有者的攻击力提升650点，[荣光之盾]效果结束后，该增益效果仍然保留，持续5秒。</t>
  </si>
  <si>
    <t>凯撒发动[强化特殊技：招架反击]、[连携技]、[终结技]或以[防御反击]的方式发动[强化特殊技：超强力盾击]时，为全队提供等同于自身1300%初始冲击力+1300点的护盾[荣光之盾]，持续60秒，[荣光之盾]由当前操作中的角色持有，护盾值为全队共享，单次受到的伤害不会超过护盾值；
    [荣光之盾]存在期间，持有者的抗打断等级提升；
    [荣光之盾]存在期间，持有者的攻击力提升900点，[荣光之盾]效果结束后，该增益效果仍然保留，持续5秒。</t>
  </si>
  <si>
    <t>凯撒发动[强化特殊技：招架反击]、[连携技]、[终结技]或以[防御反击]的方式发动[强化特殊技：超强力盾击]时，为全队提供等同于自身1400%初始冲击力+1400点的护盾[荣光之盾]，持续60秒，[荣光之盾]由当前操作中的角色持有，护盾值为全队共享，单次受到的伤害不会超过护盾值；
    [荣光之盾]存在期间，持有者的抗打断等级提升；
    [荣光之盾]存在期间，持有者的攻击力提升1000点，[荣光之盾]效果结束后，该增益效果仍然保留，持续5秒。</t>
  </si>
  <si>
    <t>额外能力：战意激昂</t>
  </si>
  <si>
    <t>队伍中存在其他可发动[招架支援]的角色或与自身阵营相同的角色时触发：
    凯撒触发[精准格挡]、[防御反击]、[招架支援]或发动[普通攻击：此路不通！]时，对自身附近7米范围内的敌人施加减益效果，使全队角色对其造成的伤害提升25%，持续30秒。</t>
  </si>
  <si>
    <t>核心被动：稳定据枪</t>
  </si>
  <si>
    <t>比利在[普通攻击]中进入蹲姿射击后，自身造成的伤害提升25%，进行移动、回到待机、被击退或被击飞时增益效果结束。</t>
  </si>
  <si>
    <t>比利在[普通攻击]中进入蹲姿射击后，自身造成的伤害提升29.1%，进行移动、回到待机、被击退或被击飞时增益效果结束。</t>
  </si>
  <si>
    <t>比利在[普通攻击]中进入蹲姿射击后，自身造成的伤害提升33.3%，进行移动、回到待机、被击退或被击飞时增益效果结束。</t>
  </si>
  <si>
    <t>比利在[普通攻击]中进入蹲姿射击后，自身造成的伤害提升37.5%，进行移动、回到待机、被击退或被击飞时增益效果结束。</t>
  </si>
  <si>
    <t>比利在[普通攻击]中进入蹲姿射击后，自身造成的伤害提升41.6%，进行移动、回到待机、被击退或被击飞时增益效果结束。</t>
  </si>
  <si>
    <t>比利在[普通攻击]中进入蹲姿射击后，自身造成的伤害提升45.8%，进行移动、回到待机、被击退或被击飞时增益效果结束。</t>
  </si>
  <si>
    <t>比利在[普通攻击]中进入蹲姿射击后，自身造成的伤害提升50%，进行移动、回到待机、被击退或被击飞时增益效果结束。</t>
  </si>
  <si>
    <t>额外能力：骑士战队</t>
  </si>
  <si>
    <t>队伍中存在与自身属性或阵营相同的角色时触发：
    比利发动[连携技]后，下次发动[终结技]时，招式造成的伤害提升50%，最多叠加2次，发动[终结技]后效果重置。</t>
  </si>
  <si>
    <t>核心被动：寒炎</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</si>
  <si>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750%攻击力的烈霜伤害，同时使目标进入[霜灼]状态；[霜灼]状态下，所有单位对目标累积的属性异常积蓄值提升14%，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</si>
  <si>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875%攻击力的烈霜伤害，同时使目标进入[霜灼]状态；[霜灼]状态下，所有单位对目标累积的属性异常积蓄值提升15%，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</si>
  <si>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1000%攻击力的烈霜伤害，同时使目标进入[霜灼]状态；[霜灼]状态下，所有单位对目标累积的属性异常积蓄值提升16%，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</si>
  <si>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1125%攻击力的烈霜伤害，同时使目标进入[霜灼]状态；[霜灼]状态下，所有单位对目标累积的属性异常积蓄值提升17%，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</si>
  <si>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1250%攻击力的烈霜伤害，同时使目标进入[霜灼]状态；[霜灼]状态下，所有单位对目标累积的属性异常积蓄值提升18%，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</si>
  <si>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1375%攻击力的烈霜伤害，同时使目标进入[霜灼]状态；[霜灼]状态下，所有单位对目标累积的属性异常积蓄值提升19%，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</si>
  <si>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1500%攻击力的烈霜伤害，同时使目标进入[霜灼]状态；[霜灼]状态下，所有单位对目标累积的属性异常积蓄值提升20%，但星见雅无法再次为其附着[冰焰]；[霜灼]状态将会随本次[霜寒]效果一起结束，状态持续期间，对敌人重新施加属性异常效果可以覆盖[霜寒]并消除[霜灼]；
    触发[霜灼·破]时，星见雅获得1点[落霜]，10秒内最多触发一次。</t>
  </si>
  <si>
    <t>额外能力：同沐霜雪</t>
  </si>
  <si>
    <t>队伍中存在[支援]角色或与自身阵营相同的角色时触发：
    [普通攻击：霜月]造成的伤害提升60%；队伍中任意角色触发[紊乱]效果时，星见雅获得2点[落霜]，且在下一次[霜月架势]期间，[普通攻击：霜月]将无视目标30%冰属性伤害抗性。</t>
  </si>
  <si>
    <t>核心被动：爆破锤</t>
  </si>
  <si>
    <t>珂蕾妲发动[强化特殊技]，或消耗[熔炉升温]发动强化[普通攻击]时，招式造成的失衡值提升30%。</t>
  </si>
  <si>
    <t>珂蕾妲发动[强化特殊技]，或消耗[熔炉升温]发动强化[普通攻击]时，招式造成的失衡值提升35%。</t>
  </si>
  <si>
    <t>珂蕾妲发动[强化特殊技]，或消耗[熔炉升温]发动强化[普通攻击]时，招式造成的失衡值提升40%。</t>
  </si>
  <si>
    <t>珂蕾妲发动[强化特殊技]，或消耗[熔炉升温]发动强化[普通攻击]时，招式造成的失衡值提升45%。</t>
  </si>
  <si>
    <t>珂蕾妲发动[强化特殊技]，或消耗[熔炉升温]发动强化[普通攻击]时，招式造成的失衡值提升50%。</t>
  </si>
  <si>
    <t>珂蕾妲发动[强化特殊技]，或消耗[熔炉升温]发动强化[普通攻击]时，招式造成的失衡值提升55%。</t>
  </si>
  <si>
    <t>珂蕾妲发动[强化特殊技]，或消耗[熔炉升温]发动强化[普通攻击]时，招式造成的失衡值提升60%。</t>
  </si>
  <si>
    <t>额外能力：白祇管理学</t>
  </si>
  <si>
    <t>队伍中存在与自身属性或阵营相同的角色或[命破]角色时触发：
    珂蕾妲发动[强化特殊技]引发爆炸命中敌人时，对目标施加减益效果；当目标陷入失衡状态后，[连携技]对其造成的伤害提升35%，最多叠加2层，失衡状态结束时该效果重置。</t>
  </si>
  <si>
    <t>核心被动：兄弟齐心！</t>
  </si>
  <si>
    <t>安东发动[打桩攻击]时，招式造成的伤害提升12%，发动[电钻攻击]时，招式造成的伤害提升20%。</t>
  </si>
  <si>
    <t>安东发动[打桩攻击]时，招式造成的伤害提升14%，发动[电钻攻击]时，招式造成的伤害提升23.3%。</t>
  </si>
  <si>
    <t>安东发动[打桩攻击]时，招式造成的伤害提升16%，发动[电钻攻击]时，招式造成的伤害提升26.6%。</t>
  </si>
  <si>
    <t>安东发动[打桩攻击]时，招式造成的伤害提升18%，发动[电钻攻击]时，招式造成的伤害提升30%。</t>
  </si>
  <si>
    <t>安东发动[打桩攻击]时，招式造成的伤害提升20%，发动[电钻攻击]时，招式造成的伤害提升33.3%。</t>
  </si>
  <si>
    <t>安东发动[打桩攻击]时，招式造成的伤害提升22%，发动[电钻攻击]时，招式造成的伤害提升36.6%。</t>
  </si>
  <si>
    <t>安东发动[打桩攻击]时，招式造成的伤害提升24%，发动[电钻攻击]时，招式造成的伤害提升40%。</t>
  </si>
  <si>
    <t>额外能力：通力合作</t>
  </si>
  <si>
    <t>队伍中存在与自身属性或阵营相同的角色时触发：
    安东进入[爆发状态]后，每触发4次暴击，下一次攻击命中处于[感电]状态下的敌人时，能够额外结算一次[感电]伤害，伤害效果等同于原本的45%，0.5秒内最多触发一次。</t>
  </si>
  <si>
    <t>核心被动：守卫</t>
  </si>
  <si>
    <t>本的初始攻击力随初始防御力提升，提升效果等同于自身初始防御力的40%；
    在[强化特殊技]中追加强力打击时，为全队角色提供等同于自身15%防御力+100点护盾，持续30秒。</t>
  </si>
  <si>
    <t>本的初始攻击力随初始防御力提升，提升效果等同于自身初始防御力的46%；
    在[强化特殊技]中追加强力打击时，为全队角色提供等同于自身17.5%防御力+220点护盾，持续30秒。</t>
  </si>
  <si>
    <t>本的初始攻击力随初始防御力提升，提升效果等同于自身初始防御力的52%；
    在[强化特殊技]中追加强力打击时，为全队角色提供等同于自身20%防御力+330点护盾，持续30秒。</t>
  </si>
  <si>
    <t>本的初始攻击力随初始防御力提升，提升效果等同于自身初始防御力的60%；
    在[强化特殊技]中追加强力打击时，为全队角色提供等同于自身22.5%防御力+460点护盾，持续30秒。</t>
  </si>
  <si>
    <t>本的初始攻击力随初始防御力提升，提升效果等同于自身初始防御力的66%；
    在[强化特殊技]中追加强力打击时，为全队角色提供等同于自身25%防御力+500点护盾，持续30秒。</t>
  </si>
  <si>
    <t>本的初始攻击力随初始防御力提升，提升效果等同于自身初始防御力的72%；
    在[强化特殊技]中追加强力打击时，为全队角色提供等同于自身27.5%防御力+525点护盾，持续30秒。</t>
  </si>
  <si>
    <t>本的初始攻击力随初始防御力提升，提升效果等同于自身初始防御力的80%；
    在[强化特殊技]中追加强力打击时，为全队角色提供等同于自身30%防御力+550点护盾，持续30秒。</t>
  </si>
  <si>
    <t>额外能力：协议合同</t>
  </si>
  <si>
    <t>队伍中存在与自身属性或阵营相同的角色时触发：
    拥有[核心被动：守卫]施加的护盾时，角色的暴击率提升16%。</t>
  </si>
  <si>
    <t>核心被动：刃旗助威</t>
  </si>
  <si>
    <t>苍角发动[展旗]时，自身攻击力提升，提升数值等同于苍角10%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</si>
  <si>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12.5%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</si>
  <si>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15%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</si>
  <si>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17%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</si>
  <si>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18%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</si>
  <si>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19%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</si>
  <si>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20%初始攻击力，最高不超过500点，持续22秒，发动[展旗]并消耗[涡流]时，该增益效果翻倍，最高不超过1000点。队伍中其他角色通过[展旗]所触发的[快速支援]或[连携技]入场时，该增益效果将传递给对应的角色，并刷新其持续时间。</t>
  </si>
  <si>
    <t>额外能力：团膳套餐</t>
  </si>
  <si>
    <t>队伍中存在与自身属性或阵营相同的角色时触发：
    苍角消耗[涡流]发动[展旗]时，全队角色造成的冰属性伤害提升20%，持续22秒。</t>
  </si>
  <si>
    <t>核心被动：金属狼足</t>
  </si>
  <si>
    <t>莱卡恩在[普通攻击]中完成蓄力时，招式造成的失衡值提升40%；
    [强化特殊技：狂猎时刻]或[支援突击：复仇反扑]命中敌人时，目标的冰属性伤害抗性降低25%，持续30秒。</t>
  </si>
  <si>
    <t>莱卡恩在[普通攻击]中完成蓄力时，招式造成的失衡值提升46.6%；
    [强化特殊技：狂猎时刻]或[支援突击：复仇反扑]命中敌人时，目标的冰属性伤害抗性降低25%，持续30秒。</t>
  </si>
  <si>
    <t>莱卡恩在[普通攻击]中完成蓄力时，招式造成的失衡值提升53.3%；
    [强化特殊技：狂猎时刻]或[支援突击：复仇反扑]命中敌人时，目标的冰属性伤害抗性降低25%，持续30秒。</t>
  </si>
  <si>
    <t>莱卡恩在[普通攻击]中完成蓄力时，招式造成的失衡值提升60%；
    [强化特殊技：狂猎时刻]或[支援突击：复仇反扑]命中敌人时，目标的冰属性伤害抗性降低25%，持续30秒。</t>
  </si>
  <si>
    <t>莱卡恩在[普通攻击]中完成蓄力时，招式造成的失衡值提升66.6%；
    [强化特殊技：狂猎时刻]或[支援突击：复仇反扑]命中敌人时，目标的冰属性伤害抗性降低25%，持续30秒。</t>
  </si>
  <si>
    <t>莱卡恩在[普通攻击]中完成蓄力时，招式造成的失衡值提升73.3%；
    [强化特殊技：狂猎时刻]或[支援突击：复仇反扑]命中敌人时，目标的冰属性伤害抗性降低25%，持续30秒。</t>
  </si>
  <si>
    <t>莱卡恩在[普通攻击]中完成蓄力时，招式造成的失衡值提升80%；
    [强化特殊技：狂猎时刻]或[支援突击：复仇反扑]命中敌人时，目标的冰属性伤害抗性降低25%，持续30秒。</t>
  </si>
  <si>
    <t>额外能力：优雅猎群</t>
  </si>
  <si>
    <t>队伍中存在与自身属性或阵营相同的角色时触发：
    莱卡恩攻击命中处于失衡状态下的敌人时，目标的失衡易伤倍率提升35%。</t>
  </si>
  <si>
    <t>核心被动：赤鬣亲卫队</t>
  </si>
  <si>
    <t>当露西发动[特殊技]或[强化特殊技]时，亲卫队小猪会加入战斗并呼叫出另外两只亲卫队小猪；亲卫队小猪可以继承露西的攻击力、冲击力和异常精通；[加油！]对亲卫队小猪的增益效果提升至原本的140%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</si>
  <si>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150%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</si>
  <si>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160%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</si>
  <si>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170%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</si>
  <si>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180%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</si>
  <si>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190%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</si>
  <si>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200%，并使亲卫队小猪的攻击频率提升。</t>
  </si>
  <si>
    <t>额外能力：击「球」准备！</t>
  </si>
  <si>
    <t>队伍中存在与自身属性或阵营相同的角色或[命破]角色时触发：
    亲卫队小猪可以继承露西的暴击率和暴击伤害。</t>
  </si>
  <si>
    <t>核心被动：助燃剂</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</si>
  <si>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最多提升10%，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</si>
  <si>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1.17%，最多提升11.7%，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</si>
  <si>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1.33%，最多提升13.3%，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</si>
  <si>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1.5%，最多提升15%，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</si>
  <si>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1.67%，最多提升16.7%，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</si>
  <si>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1.83%，最多提升18.3%，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</si>
  <si>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2%，最多提升20%，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</si>
  <si>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额外能力：斗志昂扬</t>
  </si>
  <si>
    <t>队伍中存在[强攻]角色或与自身阵营相同的角色时触发：
    [士气喷发]状态下，莱特第五段[普通攻击]命中敌人时，全队角色获得一层[昂扬]，最多叠加20层，持续30秒，重复触发时刷新持续时间；每拥有一层[昂扬]，代理人造成的冰属性伤害和火属性伤害提升1.25%，获得[昂扬]时，若莱特的冲击力高于170点，每超过10点冲击力会使每层[昂扬]提供的增益效果额外提升0.25%；队伍中任意角色发动[连携技]时，会刷新全队角色[昂扬]的持续时间；[昂扬]最多使代理人造成的冰属性伤害和火属性伤害提升75%。</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</si>
  <si>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175%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</si>
  <si>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205%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</si>
  <si>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235%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</si>
  <si>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262%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</si>
  <si>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290%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</si>
  <si>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320%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</si>
  <si>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350%攻击力的火属性伤害并累积火属性异常积蓄值，1.5秒内最多触发一次；每拥有10点异常精通，[余烬]效果造成的伤害提升1%，最多提升30%；[余烬]效果造成的伤害被视为[支援攻击]伤害。</t>
  </si>
  <si>
    <t>额外能力：星火燎原</t>
  </si>
  <si>
    <t>队伍中存在其他[异常]角色或与自身阵营相同的角色时触发：
    柏妮思[普通攻击：炽焰搅拌式]、[强化特殊技：灼热摇荡法]、[强化特殊技：灼热摇荡法·双份]命中敌人，或触发[余烬]效果时，招式累积的火属性异常积蓄值提升65%；队伍中任意角色对敌人施加[灼烧]效果时，该效果的持续时间提升3秒。</t>
  </si>
  <si>
    <t>核心被动：预驱动撞针</t>
  </si>
  <si>
    <t>格莉丝[普通攻击]或[冲刺攻击]命中敌人并造成物理伤害时，获得一层[电能]（上限8层）；[电能]层数到达上限后，发动[特殊技]或[强化特殊技]时，会消耗所有[电能]，使招式累积的电属性异常积蓄值提升65%。</t>
  </si>
  <si>
    <t>格莉丝[普通攻击]或[冲刺攻击]命中敌人并造成物理伤害时，获得一层[电能]（上限8层）；[电能]层数到达上限后，发动[特殊技]或[强化特殊技]时，会消耗所有[电能]，使招式累积的电属性异常积蓄值提升75.8%。</t>
  </si>
  <si>
    <t>格莉丝[普通攻击]或[冲刺攻击]命中敌人并造成物理伤害时，获得一层[电能]（上限8层）；[电能]层数到达上限后，发动[特殊技]或[强化特殊技]时，会消耗所有[电能]，使招式累积的电属性异常积蓄值提升86.6%。</t>
  </si>
  <si>
    <t>格莉丝[普通攻击]或[冲刺攻击]命中敌人并造成物理伤害时，获得一层[电能]（上限8层）；[电能]层数到达上限后，发动[特殊技]或[强化特殊技]时，会消耗所有[电能]，使招式累积的电属性异常积蓄值提升97.5%。</t>
  </si>
  <si>
    <t>格莉丝[普通攻击]或[冲刺攻击]命中敌人并造成物理伤害时，获得一层[电能]（上限8层）；[电能]层数到达上限后，发动[特殊技]或[强化特殊技]时，会消耗所有[电能]，使招式累积的电属性异常积蓄值提升108.3%。</t>
  </si>
  <si>
    <t>格莉丝[普通攻击]或[冲刺攻击]命中敌人并造成物理伤害时，获得一层[电能]（上限8层）；[电能]层数到达上限后，发动[特殊技]或[强化特殊技]时，会消耗所有[电能]，使招式累积的电属性异常积蓄值提升119.1%。</t>
  </si>
  <si>
    <t>格莉丝[普通攻击]或[冲刺攻击]命中敌人并造成物理伤害时，获得一层[电能]（上限8层）；[电能]层数到达上限后，发动[特殊技]或[强化特殊技]时，会消耗所有[电能]，使招式累积的电属性异常积蓄值提升130%。</t>
  </si>
  <si>
    <t>额外能力：技术支持班组</t>
  </si>
  <si>
    <t>队伍中存在与自身属性或阵营相同的角色时触发：
    格莉丝[强化特殊技]命中敌人时，目标下次被施加[感电]效果时，该次[感电]伤害提升18%，最多叠加2层，同一招式内每个敌人最多触发一次效果，[感电]状态结束时效果重置。</t>
  </si>
  <si>
    <t>核心被动：凌牙厉齿</t>
  </si>
  <si>
    <t>艾莲在[冲刺攻击：冰渊潜袭]中发动蓄力剪击，或消耗[急冻充能]发动[普通攻击：急冻修剪法]时，招式的暴击伤害提升50%。</t>
  </si>
  <si>
    <t>艾莲在[冲刺攻击：冰渊潜袭]中发动蓄力剪击，或消耗[急冻充能]发动[普通攻击：急冻修剪法]时，招式的暴击伤害提升58.3%。</t>
  </si>
  <si>
    <t>艾莲在[冲刺攻击：冰渊潜袭]中发动蓄力剪击，或消耗[急冻充能]发动[普通攻击：急冻修剪法]时，招式的暴击伤害提升66.6%。</t>
  </si>
  <si>
    <t>艾莲在[冲刺攻击：冰渊潜袭]中发动蓄力剪击，或消耗[急冻充能]发动[普通攻击：急冻修剪法]时，招式的暴击伤害提升75%。</t>
  </si>
  <si>
    <t>艾莲在[冲刺攻击：冰渊潜袭]中发动蓄力剪击，或消耗[急冻充能]发动[普通攻击：急冻修剪法]时，招式的暴击伤害提升83.3%。</t>
  </si>
  <si>
    <t>艾莲在[冲刺攻击：冰渊潜袭]中发动蓄力剪击，或消耗[急冻充能]发动[普通攻击：急冻修剪法]时，招式的暴击伤害提升91.6%。</t>
  </si>
  <si>
    <t>艾莲在[冲刺攻击：冰渊潜袭]中发动蓄力剪击，或消耗[急冻充能]发动[普通攻击：急冻修剪法]时，招式的暴击伤害提升100%。</t>
  </si>
  <si>
    <t>额外能力：风暴潮</t>
  </si>
  <si>
    <t>队伍中存在与自身属性或阵营相同的角色时触发：
    艾莲造成冰属性伤害时，后继冰属性伤害提升3%，持续10秒，最多叠加10层，重复触发时刷新持续时间。</t>
  </si>
  <si>
    <t>核心被动：破晓</t>
  </si>
  <si>
    <t>[冲刺攻击：飞弦·斩]的暴击率提升10.6%，悠真的[冲刺攻击：飞弦·斩]命中敌人并触发暴击时，将获得1层[锋芒]，同一招式内最多获得3层，[锋芒]最多叠加6层，持续5秒，重复触发时刷新持续时间；每层[锋芒]会使[冲刺攻击：飞弦·斩]造成的暴击伤害提升6%。</t>
  </si>
  <si>
    <t>[冲刺攻击：飞弦·斩]的暴击率提升13%，悠真的[冲刺攻击：飞弦·斩]命中敌人并触发暴击时，将获得1层[锋芒]，同一招式内最多获得3层，[锋芒]最多叠加6层，持续5秒，重复触发时刷新持续时间；每层[锋芒]会使[冲刺攻击：飞弦·斩]造成的暴击伤害提升7%。</t>
  </si>
  <si>
    <t>[冲刺攻击：飞弦·斩]的暴击率提升15.4%，悠真的[冲刺攻击：飞弦·斩]命中敌人并触发暴击时，将获得1层[锋芒]，同一招式内最多获得3层，[锋芒]最多叠加6层，持续5秒，重复触发时刷新持续时间；每层[锋芒]会使[冲刺攻击：飞弦·斩]造成的暴击伤害提升8%。</t>
  </si>
  <si>
    <t>[冲刺攻击：飞弦·斩]的暴击率提升17.8%，悠真的[冲刺攻击：飞弦·斩]命中敌人并触发暴击时，将获得1层[锋芒]，同一招式内最多获得3层，[锋芒]最多叠加6层，持续5秒，重复触发时刷新持续时间；每层[锋芒]会使[冲刺攻击：飞弦·斩]造成的暴击伤害提升9%。</t>
  </si>
  <si>
    <t>[冲刺攻击：飞弦·斩]的暴击率提升20.2%，悠真的[冲刺攻击：飞弦·斩]命中敌人并触发暴击时，将获得1层[锋芒]，同一招式内最多获得3层，[锋芒]最多叠加6层，持续5秒，重复触发时刷新持续时间；每层[锋芒]会使[冲刺攻击：飞弦·斩]造成的暴击伤害提升10%。</t>
  </si>
  <si>
    <t>[冲刺攻击：飞弦·斩]的暴击率提升22.6%，悠真的[冲刺攻击：飞弦·斩]命中敌人并触发暴击时，将获得1层[锋芒]，同一招式内最多获得3层，[锋芒]最多叠加6层，持续5秒，重复触发时刷新持续时间；每层[锋芒]会使[冲刺攻击：飞弦·斩]造成的暴击伤害提升11%。</t>
  </si>
  <si>
    <t>[冲刺攻击：飞弦·斩]的暴击率提升25%，悠真的[冲刺攻击：飞弦·斩]命中敌人并触发暴击时，将获得1层[锋芒]，同一招式内最多获得3层，[锋芒]最多叠加6层，持续5秒，重复触发时刷新持续时间；每层[锋芒]会使[冲刺攻击：飞弦·斩]造成的暴击伤害提升12%。</t>
  </si>
  <si>
    <t>额外能力：超频</t>
  </si>
  <si>
    <t>队伍中存在[击破]角色或[异常]角色时触发：
    悠真攻击命中处于失衡状态或属性异常状态下的敌人时，自身造成的伤害提升40%；悠真发射[落羽]命中处于失衡状态或属性异常状态下的敌人时，会为其施加2层[电囚]效果。</t>
  </si>
  <si>
    <t>核心被动：迷你毁灭拍档</t>
  </si>
  <si>
    <t>指派杜苏拉或安娜塔莎进行攻击时，队伍中其他角色的穿透率随丽娜自身的穿透率提升，提升效果等同于丽娜25%穿透率+6%，最高提升30%，杜苏拉和安娜塔莎均返回丽娜身边后，对应增益效果结束。</t>
  </si>
  <si>
    <t>指派杜苏拉或安娜塔莎进行攻击时，队伍中其他角色的穿透率随丽娜自身的穿透率提升，提升效果等同于丽娜25%穿透率+7.5%，最高提升30%，杜苏拉和安娜塔莎均返回丽娜身边后，对应增益效果结束。</t>
  </si>
  <si>
    <t>指派杜苏拉或安娜塔莎进行攻击时，队伍中其他角色的穿透率随丽娜自身的穿透率提升，提升效果等同于丽娜25%穿透率+9%，最高提升30%，杜苏拉和安娜塔莎均返回丽娜身边后，对应增益效果结束。</t>
  </si>
  <si>
    <t>指派杜苏拉或安娜塔莎进行攻击时，队伍中其他角色的穿透率随丽娜自身的穿透率提升，提升效果等同于丽娜25%穿透率+10.2%，最高提升30%，杜苏拉和安娜塔莎均返回丽娜身边后，对应增益效果结束。</t>
  </si>
  <si>
    <t>指派杜苏拉或安娜塔莎进行攻击时，队伍中其他角色的穿透率随丽娜自身的穿透率提升，提升效果等同于丽娜25%穿透率+10.8%，最高提升30%，杜苏拉和安娜塔莎均返回丽娜身边后，对应增益效果结束。</t>
  </si>
  <si>
    <t>指派杜苏拉或安娜塔莎进行攻击时，队伍中其他角色的穿透率随丽娜自身的穿透率提升，提升效果等同于丽娜25%穿透率+11.4%，最高提升30%，杜苏拉和安娜塔莎均返回丽娜身边后，对应增益效果结束。</t>
  </si>
  <si>
    <t>指派杜苏拉或安娜塔莎进行攻击时，队伍中其他角色的穿透率随丽娜自身的穿透率提升，提升效果等同于丽娜25%穿透率+12%，最高提升30%，杜苏拉和安娜塔莎均返回丽娜身边后，对应增益效果结束。</t>
  </si>
  <si>
    <t>额外能力：完美舞会</t>
  </si>
  <si>
    <t>队伍中存在与自身属性或阵营相同的角色时触发：
    队伍中任意角色对敌人施加[感电]效果时，该效果的持续时间提升3秒；场上存在处于[感电]状态下的敌人时，全队角色造成的电属性伤害提升10%。</t>
  </si>
  <si>
    <t>核心被动：月蚀</t>
  </si>
  <si>
    <t>月城柳发动[强化特殊技]后，队伍中任意角色对敌人施加[紊乱]效果时，[紊乱]效果的伤害倍率提升125%，持续15秒；[强化特殊技]命中敌人时，月城柳对目标造成的电属性伤害提升10%，持续15秒。</t>
  </si>
  <si>
    <t>月城柳发动[强化特殊技]后，队伍中任意角色对敌人施加[紊乱]效果时，[紊乱]效果的伤害倍率提升145%，持续15秒；[强化特殊技]命中敌人时，月城柳对目标造成的电属性伤害提升11.6%，持续15秒。</t>
  </si>
  <si>
    <t>月城柳发动[强化特殊技]后，队伍中任意角色对敌人施加[紊乱]效果时，[紊乱]效果的伤害倍率提升166%，持续15秒；[强化特殊技]命中敌人时，月城柳对目标造成的电属性伤害提升13.3%，持续15秒。</t>
  </si>
  <si>
    <t>月城柳发动[强化特殊技]后，队伍中任意角色对敌人施加[紊乱]效果时，[紊乱]效果的伤害倍率提升188%，持续15秒；[强化特殊技]命中敌人时，月城柳对目标造成的电属性伤害提升15%，持续15秒。</t>
  </si>
  <si>
    <t>月城柳发动[强化特殊技]后，队伍中任意角色对敌人施加[紊乱]效果时，[紊乱]效果的伤害倍率提升208%，持续15秒；[强化特殊技]命中敌人时，月城柳对目标造成的电属性伤害提升16.6%，持续15秒。</t>
  </si>
  <si>
    <t>月城柳发动[强化特殊技]后，队伍中任意角色对敌人施加[紊乱]效果时，[紊乱]效果的伤害倍率提升230%，持续15秒；[强化特殊技]命中敌人时，月城柳对目标造成的电属性伤害提升18.3%，持续15秒。</t>
  </si>
  <si>
    <t>月城柳发动[强化特殊技]后，队伍中任意角色对敌人施加[紊乱]效果时，[紊乱]效果的伤害倍率提升250%，持续15秒；[强化特殊技]命中敌人时，月城柳对目标造成的电属性伤害提升20%，持续15秒。</t>
  </si>
  <si>
    <t>额外能力：月相</t>
  </si>
  <si>
    <t>队伍中存在其他[异常]角色或与自身属性相同的角色时触发：
    架势切换后，月城柳发动[普通攻击：夜见尊神乐]命中敌人时累积的电属性异常积蓄值提升45%，持续8秒。</t>
  </si>
  <si>
    <t>核心被动：特种弹药</t>
  </si>
  <si>
    <t>朱鸢在[压制模式]下，消耗[强化霰弹]进行攻击时，招式造成的伤害提升20%，攻击处于失衡状态下的敌人时，该增益效果额外提升20%；进入战场时，朱鸢立刻获得6枚[强化霰弹]。</t>
  </si>
  <si>
    <t>朱鸢在[压制模式]下，消耗[强化霰弹]进行攻击时，招式造成的伤害提升23.3%，攻击处于失衡状态下的敌人时，该增益效果额外提升23.3%；进入战场时，朱鸢立刻获得6枚[强化霰弹]。</t>
  </si>
  <si>
    <t>朱鸢在[压制模式]下，消耗[强化霰弹]进行攻击时，招式造成的伤害提升26.6%，攻击处于失衡状态下的敌人时，该增益效果额外提升26.6%；进入战场时，朱鸢立刻获得6枚[强化霰弹]。</t>
  </si>
  <si>
    <t>朱鸢在[压制模式]下，消耗[强化霰弹]进行攻击时，招式造成的伤害提升30%，攻击处于失衡状态下的敌人时，该增益效果额外提升30%；进入战场时，朱鸢立刻获得6枚[强化霰弹]。</t>
  </si>
  <si>
    <t>朱鸢在[压制模式]下，消耗[强化霰弹]进行攻击时，招式造成的伤害提升33.3%，攻击处于失衡状态下的敌人时，该增益效果额外提升33.3%；进入战场时，朱鸢立刻获得6枚[强化霰弹]。</t>
  </si>
  <si>
    <t>朱鸢在[压制模式]下，消耗[强化霰弹]进行攻击时，招式造成的伤害提升36.6%，攻击处于失衡状态下的敌人时，该增益效果额外提升36.6%；进入战场时，朱鸢立刻获得6枚[强化霰弹]。</t>
  </si>
  <si>
    <t>朱鸢在[压制模式]下，消耗[强化霰弹]进行攻击时，招式造成的伤害提升40%，攻击处于失衡状态下的敌人时，该增益效果额外提升40%；进入战场时，朱鸢立刻获得6枚[强化霰弹]。</t>
  </si>
  <si>
    <t>额外能力：武装协同</t>
  </si>
  <si>
    <t>队伍中存在[支援]角色或与自身阵营相同的角色时触发：
    朱鸢发动[强化特殊技]、[连携技]或[终结技]时，自身暴击率提升30%，持续10秒。</t>
  </si>
  <si>
    <t>核心被动：千秋岁</t>
  </si>
  <si>
    <t>青衣在[普通攻击：醉花月云转]中发动终结一击命中敌人时，会对敌人施加5层[羁服]，最多叠加20层，每层[羁服]能够使目标的失衡易伤倍率提升2%；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</si>
  <si>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2.4%；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</si>
  <si>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2.7%；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</si>
  <si>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3%；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</si>
  <si>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3.4%；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</si>
  <si>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3.7%；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</si>
  <si>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4%；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</si>
  <si>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额外能力：阳关三叠</t>
  </si>
  <si>
    <t>队伍中存在[强攻]角色或与自身阵营相同的角色时触发：
    [普通攻击]造成的失衡值提升20%；此外，若青衣的冲击力高于120点，每超过1点冲击力会使自身的攻击力提升6点，通过这种方式最多使自身的攻击力提升600点。</t>
  </si>
  <si>
    <t>核心被动：洞察</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</si>
  <si>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20%，暴击伤害为50%，简的每点异常精通会使该效果的暴击率额外提升0.1%。</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</si>
  <si>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25%，暴击伤害为50%，简的每点异常精通会使该效果的暴击率额外提升0.11%。</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</si>
  <si>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28%，暴击伤害为50%，简的每点异常精通会使该效果的暴击率额外提升0.12%。</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</si>
  <si>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31%，暴击伤害为50%，简的每点异常精通会使该效果的暴击率额外提升0.13%。</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</si>
  <si>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34%，暴击伤害为50%，简的每点异常精通会使该效果的暴击率额外提升0.14%。</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</si>
  <si>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37%，暴击伤害为50%，简的每点异常精通会使该效果的暴击率额外提升0.15%。</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</si>
  <si>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40%，暴击伤害为50%，简的每点异常精通会使该效果的暴击率额外提升0.16%。</t>
  </si>
  <si>
    <t>额外能力：痛点</t>
  </si>
  <si>
    <t>队伍中存在其他[异常]角色或与自身阵营相同的角色时触发：
    简的物理异常积蓄效率提升20%，当敌人已经处于属性异常状态下时，简对其累积的物理异常积蓄值额外提升15%。</t>
  </si>
  <si>
    <t>核心被动：守望者</t>
  </si>
  <si>
    <t>赛斯发动[强化特殊技：电光盾冲-高伏特]时，会获得等同于自身40%初始攻击力的护盾[匪石之盾]，最高不超过3000点，持续25秒，10秒内最多触发一次；队伍中其他角色通过[普通攻击：雷霆击-感电]或[支援突击：治安裁决]所触发的[快速支援]或[连携技]入场时，会为该队友提供等同于赛斯40%初始攻击力的护盾[匪石之盾]，最高不超过3000点，持续25秒，10秒内最多触发一次；拥有[匪石之盾]时，持有者的异常精通提升50点。</t>
  </si>
  <si>
    <t>赛斯发动[强化特殊技：电光盾冲-高伏特]时，会获得等同于自身50%初始攻击力的护盾[匪石之盾]，最高不超过3000点，持续25秒，10秒内最多触发一次；队伍中其他角色通过[普通攻击：雷霆击-感电]或[支援突击：治安裁决]所触发的[快速支援]或[连携技]入场时，会为该队友提供等同于赛斯50%初始攻击力的护盾[匪石之盾]，最高不超过3000点，持续25秒，10秒内最多触发一次；拥有[匪石之盾]时，持有者的异常精通提升62点。</t>
  </si>
  <si>
    <t>赛斯发动[强化特殊技：电光盾冲-高伏特]时，会获得等同于自身60%初始攻击力的护盾[匪石之盾]，最高不超过3000点，持续25秒，10秒内最多触发一次；队伍中其他角色通过[普通攻击：雷霆击-感电]或[支援突击：治安裁决]所触发的[快速支援]或[连携技]入场时，会为该队友提供等同于赛斯60%初始攻击力的护盾[匪石之盾]，最高不超过3000点，持续25秒，10秒内最多触发一次；拥有[匪石之盾]时，持有者的异常精通提升75点。</t>
  </si>
  <si>
    <t>赛斯发动[强化特殊技：电光盾冲-高伏特]时，会获得等同于自身68%初始攻击力的护盾[匪石之盾]，最高不超过3000点，持续25秒，10秒内最多触发一次；队伍中其他角色通过[普通攻击：雷霆击-感电]或[支援突击：治安裁决]所触发的[快速支援]或[连携技]入场时，会为该队友提供等同于赛斯68%初始攻击力的护盾[匪石之盾]，最高不超过3000点，持续25秒，10秒内最多触发一次；拥有[匪石之盾]时，持有者的异常精通提升85点。</t>
  </si>
  <si>
    <t>赛斯发动[强化特殊技：电光盾冲-高伏特]时，会获得等同于自身72%初始攻击力的护盾[匪石之盾]，最高不超过3000点，持续25秒，10秒内最多触发一次；队伍中其他角色通过[普通攻击：雷霆击-感电]或[支援突击：治安裁决]所触发的[快速支援]或[连携技]入场时，会为该队友提供等同于赛斯72%初始攻击力的护盾[匪石之盾]，最高不超过3000点，持续25秒，10秒内最多触发一次；拥有[匪石之盾]时，持有者的异常精通提升90点。</t>
  </si>
  <si>
    <t>赛斯发动[强化特殊技：电光盾冲-高伏特]时，会获得等同于自身76%初始攻击力的护盾[匪石之盾]，最高不超过3000点，持续25秒，10秒内最多触发一次；队伍中其他角色通过[普通攻击：雷霆击-感电]或[支援突击：治安裁决]所触发的[快速支援]或[连携技]入场时，会为该队友提供等同于赛斯76%初始攻击力的护盾[匪石之盾]，最高不超过3000点，持续25秒，10秒内最多触发一次；拥有[匪石之盾]时，持有者的异常精通提升95点。</t>
  </si>
  <si>
    <t>赛斯发动[强化特殊技：电光盾冲-高伏特]时，会获得等同于自身80%初始攻击力的护盾[匪石之盾]，最高不超过3000点，持续25秒，10秒内最多触发一次；队伍中其他角色通过[普通攻击：雷霆击-感电]或[支援突击：治安裁决]所触发的[快速支援]或[连携技]入场时，会为该队友提供等同于赛斯80%初始攻击力的护盾[匪石之盾]，最高不超过3000点，持续25秒，10秒内最多触发一次；拥有[匪石之盾]时，持有者的异常精通提升100点。</t>
  </si>
  <si>
    <t>额外能力：意气风发</t>
  </si>
  <si>
    <t>队伍中存在与自身属性或阵营相同的角色时触发：
    赛斯发动[连携技：最终制裁]命中敌人或在[普通攻击：雷霆击-感电]中发动终结一击命中敌人时，目标的全属性异常积蓄抗性降低20%，持续20秒。</t>
  </si>
  <si>
    <t>核心被动：动力蓄能</t>
  </si>
  <si>
    <t>派派在[强化特殊技：引擎转]或[终结技]中发动旋转斩击命中敌人时，获得1层[动力]，最多叠加20层，持续12秒，重复触发时刷新持续时间；每拥有一层[动力]，派派的物理异常积蓄效率提升2%。</t>
  </si>
  <si>
    <t>派派在[强化特殊技：引擎转]或[终结技]中发动旋转斩击命中敌人时，获得1层[动力]，最多叠加20层，持续12秒，重复触发时刷新持续时间；每拥有一层[动力]，派派的物理异常积蓄效率提升2.3%。</t>
  </si>
  <si>
    <t>派派在[强化特殊技：引擎转]或[终结技]中发动旋转斩击命中敌人时，获得1层[动力]，最多叠加20层，持续12秒，重复触发时刷新持续时间；每拥有一层[动力]，派派的物理异常积蓄效率提升2.6%。</t>
  </si>
  <si>
    <t>派派在[强化特殊技：引擎转]或[终结技]中发动旋转斩击命中敌人时，获得1层[动力]，最多叠加20层，持续12秒，重复触发时刷新持续时间；每拥有一层[动力]，派派的物理异常积蓄效率提升3%。</t>
  </si>
  <si>
    <t>派派在[强化特殊技：引擎转]或[终结技]中发动旋转斩击命中敌人时，获得1层[动力]，最多叠加20层，持续12秒，重复触发时刷新持续时间；每拥有一层[动力]，派派的物理异常积蓄效率提升3.3%。</t>
  </si>
  <si>
    <t>派派在[强化特殊技：引擎转]或[终结技]中发动旋转斩击命中敌人时，获得1层[动力]，最多叠加20层，持续12秒，重复触发时刷新持续时间；每拥有一层[动力]，派派的物理异常积蓄效率提升3.6%。</t>
  </si>
  <si>
    <t>派派在[强化特殊技：引擎转]或[终结技]中发动旋转斩击命中敌人时，获得1层[动力]，最多叠加20层，持续12秒，重复触发时刷新持续时间；每拥有一层[动力]，派派的物理异常积蓄效率提升4%。</t>
  </si>
  <si>
    <t>额外能力：同步疾驰</t>
  </si>
  <si>
    <t>队伍中存在与自身属性或阵营相同的角色时触发：
    派派拥有20层或以上[动力]时，全队角色造成的伤害提升18%。</t>
  </si>
  <si>
    <t>核心被动：终末裁决</t>
  </si>
  <si>
    <t>[连携技：命运戏法]命中敌人或雨果的攻击使敌人失衡时，雨果获得[暗渊回响]状态，持续6秒，重复触发时刷新持续时间，该状态下雨果的暴击率提升12%，暴击伤害提升25%；
    队伍中存在其他1/2名[击破]角色时，雨果的攻击力提升25/75点；
    [强化特殊技：魂狩·惩戒]或[终结技：渎神者]的终结一击命中敌人时，若敌人处于失衡状态，会对其触发[决算]效果，使得招式的终结一击伤害倍率提升500%，此外[决算]效果会根据触发时敌人剩余的失衡时间，使得该招式伤害倍率进一步提升：敌人失衡时间小于等于5秒的部分，每剩余1秒，招式伤害倍率提升140%，5秒到15秒的部分，每剩余1秒，招式伤害倍率提升50%，总共最多可以提升1700%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</si>
  <si>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队伍中存在其他1/2名[击破]角色时，雨果的攻击力提升50/150点；
    [强化特殊技：魂狩·惩戒]或[终结技：渎神者]的终结一击命中敌人时，若敌人处于失衡状态，会对其触发[决算]效果，使得招式的终结一击伤害倍率提升583%，此外[决算]效果会根据触发时敌人剩余的失衡时间，使得该招式伤害倍率进一步提升：敌人失衡时间小于等于5秒的部分，每剩余1秒，招式伤害倍率提升163%，5秒到15秒的部分，每剩余1秒，招式伤害倍率提升58%，总共最多可以提升1978%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</si>
  <si>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队伍中存在其他1/2名[击破]角色时，雨果的攻击力提升80/240点；
    [强化特殊技：魂狩·惩戒]或[终结技：渎神者]的终结一击命中敌人时，若敌人处于失衡状态，会对其触发[决算]效果，使得招式的终结一击伤害倍率提升667%，此外[决算]效果会根据触发时敌人剩余的失衡时间，使得该招式伤害倍率进一步提升：敌人失衡时间小于等于5秒的部分，每剩余1秒，招式伤害倍率提升187%，5秒到15秒的部分，每剩余1秒，招式伤害倍率提升67%，总共最多可以提升2272%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</si>
  <si>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队伍中存在其他1/2名[击破]角色时，雨果的攻击力提升120/360点；
    [强化特殊技：魂狩·惩戒]或[终结技：渎神者]的终结一击命中敌人时，若敌人处于失衡状态，会对其触发[决算]效果，使得招式的终结一击伤害倍率提升750%，此外[决算]效果会根据触发时敌人剩余的失衡时间，使得该招式伤害倍率进一步提升：敌人失衡时间小于等于5秒的部分，每剩余1秒，招式伤害倍率提升210%，5秒到15秒的部分，每剩余1秒，招式伤害倍率提升75%，总共最多可以提升2550%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</si>
  <si>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队伍中存在其他1/2名[击破]角色时，雨果的攻击力提升180/540点；
    [强化特殊技：魂狩·惩戒]或[终结技：渎神者]的终结一击命中敌人时，若敌人处于失衡状态，会对其触发[决算]效果，使得招式的终结一击伤害倍率提升833%，此外[决算]效果会根据触发时敌人剩余的失衡时间，使得该招式伤害倍率进一步提升：敌人失衡时间小于等于5秒的部分，每剩余1秒，招式伤害倍率提升233%，5秒到15秒的部分，每剩余1秒，招式伤害倍率提升83%，总共最多可以提升2828%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</si>
  <si>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队伍中存在其他1/2名[击破]角色时，雨果的攻击力提升270/810点；
    [强化特殊技：魂狩·惩戒]或[终结技：渎神者]的终结一击命中敌人时，若敌人处于失衡状态，会对其触发[决算]效果，使得招式的终结一击伤害倍率提升917%，此外[决算]效果会根据触发时敌人剩余的失衡时间，使得该招式伤害倍率进一步提升：敌人失衡时间小于等于5秒的部分，每剩余1秒，招式伤害倍率提升257%，5秒到15秒的部分，每剩余1秒，招式伤害倍率提升92%，总共最多可以提升3122%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</si>
  <si>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队伍中存在其他1/2名[击破]角色时，雨果的攻击力提升300/900点；
    [强化特殊技：魂狩·惩戒]或[终结技：渎神者]的终结一击命中敌人时，若敌人处于失衡状态，会对其触发[决算]效果，使得招式的终结一击伤害倍率提升1000%，此外[决算]效果会根据触发时敌人剩余的失衡时间，使得该招式伤害倍率进一步提升：敌人失衡时间小于等于5秒的部分，每剩余1秒，招式伤害倍率提升280%，5秒到15秒的部分，每剩余1秒，招式伤害倍率提升100%，总共最多可以提升3400%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</si>
  <si>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额外能力：终焉序曲</t>
  </si>
  <si>
    <t>队伍中存在其他[击破]角色或与自身属性相同的角色时触发：
    [连携技：命运戏法]造成的伤害提升15%，对普通敌人造成的伤害额外提升35%；触发[决算]时，招式造成的伤害提升40%，[强化特殊技：魂狩·惩戒]对普通敌人触发[决算]效果时额外回复20点能量，能量回复效果30秒内最多触发一次。</t>
  </si>
  <si>
    <t>核心被动：衔风驭火</t>
  </si>
  <si>
    <t>奥菲丝&amp;「鬼火」的暴击率提升12.5%，[追加攻击]造成的伤害提升42.5%；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130点，当奥菲丝&amp;「鬼火」的初始能量自动回复大于等于1.6点时，超过的部分每拥有0.1点初始能量自动回复，攻击力额外提升20点，初始提升与额外提升总共不超过340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</si>
  <si>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奥菲丝&amp;「鬼火」的暴击率提升14.6%，[追加攻击]造成的伤害提升49.6%；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155点，当奥菲丝&amp;「鬼火」的初始能量自动回复大于等于1.6点时，超过的部分每拥有0.1点初始能量自动回复，攻击力额外提升20点，初始提升与额外提升总共不超过400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</si>
  <si>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奥菲丝&amp;「鬼火」的暴击率提升16.7%，[追加攻击]造成的伤害提升56.7%；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180点，当奥菲丝&amp;「鬼火」的初始能量自动回复大于等于1.6点时，超过的部分每拥有0.1点初始能量自动回复，攻击力额外提升20点，初始提升与额外提升总共不超过460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</si>
  <si>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奥菲丝&amp;「鬼火」的暴击率提升18.8%，[追加攻击]造成的伤害提升63.7%；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205点，当奥菲丝&amp;「鬼火」的初始能量自动回复大于等于1.6点时，超过的部分每拥有0.1点初始能量自动回复，攻击力额外提升20点，初始提升与额外提升总共不超过520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</si>
  <si>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奥菲丝&amp;「鬼火」的暴击率提升20.8%，[追加攻击]造成的伤害提升70.8%；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230点，当奥菲丝&amp;「鬼火」的初始能量自动回复大于等于1.6点时，超过的部分每拥有0.1点初始能量自动回复，攻击力额外提升20点，初始提升与额外提升总共不超过580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</si>
  <si>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奥菲丝&amp;「鬼火」的暴击率提升22.9%，[追加攻击]造成的伤害提升77.9%；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255点，当奥菲丝&amp;「鬼火」的初始能量自动回复大于等于1.6点时，超过的部分每拥有0.1点初始能量自动回复，攻击力额外提升20点，初始提升与额外提升总共不超过640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</si>
  <si>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奥菲丝&amp;「鬼火」的暴击率提升25%，[追加攻击]造成的伤害提升85%；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280点，当奥菲丝&amp;「鬼火」的初始能量自动回复大于等于1.6点时，超过的部分每拥有0.1点初始能量自动回复，攻击力额外提升20点，初始提升与额外提升总共不超过700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</si>
  <si>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额外能力：熔炉所铸</t>
  </si>
  <si>
    <t>队伍中存在[击破]角色或[支援]角色时触发：
    拥有[准星聚焦]的代理人攻击造成的[追加攻击]伤害无视25%防御力。</t>
  </si>
  <si>
    <t>核心被动：《如歌的行板》</t>
  </si>
  <si>
    <t>[咏叹华彩]状态下，队伍中其他角色通过[快速支援]、[连携技]、[招架支援]或[回避支援]入场，耀嘉音消耗能量追加释放[震音]进行攻击时，耀嘉音和入场角色的攻击力提升，提升效果等同于耀嘉音初始攻击力的22%，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</si>
  <si>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24%，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</si>
  <si>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26%，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</si>
  <si>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28%，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</si>
  <si>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30%，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</si>
  <si>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32%，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</si>
  <si>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35%，最高不超过1200点，持续20秒，重复触发时延长持续时间，最多不超过30秒。</t>
  </si>
  <si>
    <t>额外能力：《月华乱舞》</t>
  </si>
  <si>
    <t>队伍中存在[强攻]、[异常]或[命破]角色时触发：
    消耗能量发动[精准支援]或[普通攻击：终曲]时，耀嘉音将额外追加释放1道[震音]和3枚[音簇]进行攻击。</t>
  </si>
  <si>
    <t>核心被动：缠丝</t>
  </si>
  <si>
    <t>进入[牵缠禁制]时，伊芙琳的暴击率提升12.5%，退出[牵缠禁制]后，伊芙琳仍可继续保有增益，持续10秒；在[牵缠禁制]期间切换至其他角色时，伊芙琳将自动衔接[特殊技：束裂式·I型]。</t>
  </si>
  <si>
    <t>进入[牵缠禁制]时，伊芙琳的暴击率提升14.6%，退出[牵缠禁制]后，伊芙琳仍可继续保有增益，持续10秒；在[牵缠禁制]期间切换至其他角色时，伊芙琳将自动衔接[特殊技：束裂式·I型]。</t>
  </si>
  <si>
    <t>进入[牵缠禁制]时，伊芙琳的暴击率提升16.7%，退出[牵缠禁制]后，伊芙琳仍可继续保有增益，持续10秒；在[牵缠禁制]期间切换至其他角色时，伊芙琳将自动衔接[特殊技：束裂式·I型]。</t>
  </si>
  <si>
    <t>进入[牵缠禁制]时，伊芙琳的暴击率提升18.8%，退出[牵缠禁制]后，伊芙琳仍可继续保有增益，持续10秒；在[牵缠禁制]期间切换至其他角色时，伊芙琳将自动衔接[特殊技：束裂式·I型]。</t>
  </si>
  <si>
    <t>进入[牵缠禁制]时，伊芙琳的暴击率提升20.8%，退出[牵缠禁制]后，伊芙琳仍可继续保有增益，持续10秒；在[牵缠禁制]期间切换至其他角色时，伊芙琳将自动衔接[特殊技：束裂式·I型]。</t>
  </si>
  <si>
    <t>进入[牵缠禁制]时，伊芙琳的暴击率提升23%，退出[牵缠禁制]后，伊芙琳仍可继续保有增益，持续10秒；在[牵缠禁制]期间切换至其他角色时，伊芙琳将自动衔接[特殊技：束裂式·I型]。</t>
  </si>
  <si>
    <t>进入[牵缠禁制]时，伊芙琳的暴击率提升25%，退出[牵缠禁制]后，伊芙琳仍可继续保有增益，持续10秒；在[牵缠禁制]期间切换至其他角色时，伊芙琳将自动衔接[特殊技：束裂式·I型]。</t>
  </si>
  <si>
    <t>额外能力：潜袭支点</t>
  </si>
  <si>
    <t>队伍中存在[击破]角色或[支援]角色时触发：
    伊芙琳的[连携技]和[终结技]造成的伤害提升30%；当伊芙琳的暴击率大于等于80%时，[连携技：月辉丝·绊]、[终结技：月辉丝·弦音]和[终结技：月辉丝·弦影]的伤害倍率提升至原本的125%。</t>
  </si>
  <si>
    <t>[普通攻击：落羽生花]命中处于以太异常状态、电属性异常状态、火属性异常状态、物理属性异常状态、冰属性异常状态的目标时，触发一次[异放]：额外结算一次属性异常伤害，相对于原属性异常伤害的比例为每10点异常精通3.07%/1.6%/4%/0.37%/0.54%；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</si>
  <si>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3.59%/1.86%/4.66%/0.44%/0.63%；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</si>
  <si>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4.11%/2.12%/5.32%/0.51%/0.72%；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</si>
  <si>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4.63%/2.38%/5.98%/0.58%/0.81%；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</si>
  <si>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5.15%/2.64%/6.64%/0.65%/0.9%；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</si>
  <si>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5.65%/2.9%/7.3%/0.7%/0.99%；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</si>
  <si>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6.15%/3.2%/8%/0.75%/1.08%；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</si>
  <si>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额外能力：预言之泪</t>
  </si>
  <si>
    <t>队伍中存在其他[异常]角色或与自身属性相同的角色时触发：
    队伍中其他角色对敌人施加属性异常效果时，薇薇安会消耗1点[护羽]并对目标发动一次[普通攻击：落羽生花]，0.5秒内至多触发一次；
    全队角色造成的[侵蚀]伤害和[侵蚀]状态被结算的[紊乱]伤害提升12%。</t>
  </si>
  <si>
    <t>核心被动：最佳同事</t>
  </si>
  <si>
    <t>照会额外根据初始最大生命值提高暴击率，每1000点初始最大生命值提高0.8%暴击率；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照开启[以太帷幕·涌泉]时，使全队角色的攻击力提升100点，持续50秒，重复触发时刷新持续时间。</t>
  </si>
  <si>
    <t>照会额外根据初始最大生命值提高暴击率，每1000点初始最大生命值提高0.9%暴击率；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照开启[以太帷幕·涌泉]时，使全队角色的攻击力提升250点，持续50秒，重复触发时刷新持续时间。</t>
  </si>
  <si>
    <t>照会额外根据初始最大生命值提高暴击率，每1000点初始最大生命值提高1%暴击率；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照开启[以太帷幕·涌泉]时，使全队角色的攻击力提升400点，持续50秒，重复触发时刷新持续时间。</t>
  </si>
  <si>
    <t>照会额外根据初始最大生命值提高暴击率，每1000点初始最大生命值提高1.1%暴击率；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照开启[以太帷幕·涌泉]时，使全队角色的攻击力提升550点，持续50秒，重复触发时刷新持续时间。</t>
  </si>
  <si>
    <t>照会额外根据初始最大生命值提高暴击率，每1000点初始最大生命值提高1.2%暴击率；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照开启[以太帷幕·涌泉]时，使全队角色的攻击力提升700点，持续50秒，重复触发时刷新持续时间。</t>
  </si>
  <si>
    <t>照会额外根据初始最大生命值提高暴击率，每1000点初始最大生命值提高1.3%暴击率；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照开启[以太帷幕·涌泉]时，使全队角色的攻击力提升850点，持续50秒，重复触发时刷新持续时间。</t>
  </si>
  <si>
    <t>照会额外根据初始最大生命值提高暴击率，每1000点初始最大生命值提高1.4%暴击率；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照开启[以太帷幕·涌泉]时，使全队角色的攻击力提升1000点，持续50秒，重复触发时刷新持续时间。</t>
  </si>
  <si>
    <t>额外能力：凝聚力</t>
  </si>
  <si>
    <t>队伍中存在[强攻]或[异常]或[支援]角色时触发：
照处于任意[以太帷幕]中时，使全队造成的伤害提升10%，照的初始最大生命值高于15000点时，每超过400点初始最大生命值，可使增伤效果额外提升1%，初始效果与额外提升最大总共提升至40%，当初始最大生命值达到27000点时，上述增益效果达到最大值。</t>
  </si>
  <si>
    <t>核心被动：猎手本能</t>
  </si>
  <si>
    <t>波可娜发动[强化特殊技]、[支援突击]、[连携技]、[终结技]时，将会进入[猎步]状态，使自身造成的失衡值提升15%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</si>
  <si>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17.5%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</si>
  <si>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20%，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</si>
  <si>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22.5%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</si>
  <si>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</si>
  <si>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27.5%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</si>
  <si>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30%，持续6秒；切换至其他角色后，若波可娜仍处于[猎步]状态下，则其持续时间会改为切换回波可娜时；进入[猎步]状态后，自身为当前操作中的角色时，波可娜重击命中敌人，能够触发队伍中上一位角色的[快速支援]。</t>
  </si>
  <si>
    <t>额外能力：业务搭档</t>
  </si>
  <si>
    <t>队伍中存在[强攻]或[命破]角色或自身阵营相同的角色时触发：
    波可娜发动[特殊技：噬爪·噩梦袭影]、[强化特殊技：噬爪·瞬步]、[支援突击：单独计价]、[连携技：嗨，想不到吧]、[终结技：噢，游戏时间]命中敌人时，将对敌人施加[困迹]效果，持续15秒；被施加[困迹]效果后，所有单位发动[追加攻击]对目标造成的伤害提升30%。</t>
  </si>
  <si>
    <t>核心被动：破隙幽瞳</t>
  </si>
  <si>
    <t>「扳机」发动[追加攻击]命中敌人时，目标的失衡易伤倍率提升20%，持续5秒，通过这种途径施加的失衡易伤倍率提升效果，在目标未进入失衡状态时亦可生效。</t>
  </si>
  <si>
    <t>「扳机」发动[追加攻击]命中敌人时，目标的失衡易伤倍率提升22.5%，持续5秒，通过这种途径施加的失衡易伤倍率提升效果，在目标未进入失衡状态时亦可生效。</t>
  </si>
  <si>
    <t>「扳机」发动[追加攻击]命中敌人时，目标的失衡易伤倍率提升25%，持续5秒，通过这种途径施加的失衡易伤倍率提升效果，在目标未进入失衡状态时亦可生效。</t>
  </si>
  <si>
    <t>「扳机」发动[追加攻击]命中敌人时，目标的失衡易伤倍率提升27.5%，持续5秒，通过这种途径施加的失衡易伤倍率提升效果，在目标未进入失衡状态时亦可生效。</t>
  </si>
  <si>
    <t>「扳机」发动[追加攻击]命中敌人时，目标的失衡易伤倍率提升30%，持续5秒，通过这种途径施加的失衡易伤倍率提升效果，在目标未进入失衡状态时亦可生效。</t>
  </si>
  <si>
    <t>「扳机」发动[追加攻击]命中敌人时，目标的失衡易伤倍率提升32.5%，持续5秒，通过这种途径施加的失衡易伤倍率提升效果，在目标未进入失衡状态时亦可生效。</t>
  </si>
  <si>
    <t>「扳机」发动[追加攻击]命中敌人时，目标的失衡易伤倍率提升35%，持续5秒，通过这种途径施加的失衡易伤倍率提升效果，在目标未进入失衡状态时亦可生效。</t>
  </si>
  <si>
    <t>额外能力：灵目银灯</t>
  </si>
  <si>
    <t>队伍中存在[强攻]角色或与自身属性相同的角色时触发：
    「扳机」的暴击率高于40%时，每超过1%暴击率会使自身发动[追加攻击]造成的失衡值提升1.5%，最多提升75%。</t>
  </si>
  <si>
    <t>核心被动：术法宗师</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</si>
  <si>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仪玄施展[普通攻击：玄墨极阵]、[普通攻击：青溟震击]、[强化特殊技]、[支援突击]、[连携技]、[终结技]造成的伤害提升30%；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</si>
  <si>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仪玄施展[普通攻击：玄墨极阵]、[普通攻击：青溟震击]、[强化特殊技]、[支援突击]、[连携技]、[终结技]造成的伤害提升35%；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</si>
  <si>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仪玄施展[普通攻击：玄墨极阵]、[普通攻击：青溟震击]、[强化特殊技]、[支援突击]、[连携技]、[终结技]造成的伤害提升40%；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</si>
  <si>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仪玄施展[普通攻击：玄墨极阵]、[普通攻击：青溟震击]、[强化特殊技]、[支援突击]、[连携技]、[终结技]造成的伤害提升45%；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</si>
  <si>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仪玄施展[普通攻击：玄墨极阵]、[普通攻击：青溟震击]、[强化特殊技]、[支援突击]、[连携技]、[终结技]造成的伤害提升50%；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</si>
  <si>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仪玄施展[普通攻击：玄墨极阵]、[普通攻击：青溟震击]、[强化特殊技]、[支援突击]、[连携技]、[终结技]造成的伤害提升55%；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</si>
  <si>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仪玄施展[普通攻击：玄墨极阵]、[普通攻击：青溟震击]、[强化特殊技]、[支援突击]、[连携技]、[终结技]造成的伤害提升60%；
    释放[终结技：符法千重]后，仪玄获得一点[玄墨值]，仪玄可消耗一点[玄墨值]，释放[普通攻击：玄墨极阵]。</t>
  </si>
  <si>
    <t>额外能力：玄墨暗涌</t>
  </si>
  <si>
    <t>队伍中存在[击破]角色或[支援]角色或[防护]角色时触发：
    队友释放终结技时，仪玄持续回复2点闪能，持续10秒；仪玄被极限支援换下场时，仪玄会自动追加一道落雷，造成等同于仪玄225%贯穿力的伤害并额外回复5点闪能；
    [强化特殊技：凝云术]与[强化特殊技：墨烬影消]命中处于失衡状态下的敌人时，伤害提升30%；
    发动[终结技]后，仪玄进入[凝神]状态，[凝神]状态下，仪玄的暴击伤害提升40%，持续15秒。</t>
  </si>
  <si>
    <t>核心被动：电位差</t>
  </si>
  <si>
    <t>零号·安比对拥有[银星]标记的敌人造成的伤害提升12.5%；敌方单位被施加[银星]标记后，受到的[追加攻击]暴击伤害额外提升，提升效果等同于零号·安比暴击伤害的15%。</t>
  </si>
  <si>
    <t>零号·安比对拥有[银星]标记的敌人造成的伤害提升14.5%；敌方单位被施加[银星]标记后，受到的[追加攻击]暴击伤害额外提升，提升效果等同于零号·安比暴击伤害的17.5%。</t>
  </si>
  <si>
    <t>零号·安比对拥有[银星]标记的敌人造成的伤害提升16.5%；敌方单位被施加[银星]标记后，受到的[追加攻击]暴击伤害额外提升，提升效果等同于零号·安比暴击伤害的20%。</t>
  </si>
  <si>
    <t>零号·安比对拥有[银星]标记的敌人造成的伤害提升18.8%；敌方单位被施加[银星]标记后，受到的[追加攻击]暴击伤害额外提升，提升效果等同于零号·安比暴击伤害的22.5%。</t>
  </si>
  <si>
    <t>零号·安比对拥有[银星]标记的敌人造成的伤害提升20.8%；敌方单位被施加[银星]标记后，受到的[追加攻击]暴击伤害额外提升，提升效果等同于零号·安比暴击伤害的25%。</t>
  </si>
  <si>
    <t>零号·安比对拥有[银星]标记的敌人造成的伤害提升23%；敌方单位被施加[银星]标记后，受到的[追加攻击]暴击伤害额外提升，提升效果等同于零号·安比暴击伤害的27.5%。</t>
  </si>
  <si>
    <t>零号·安比对拥有[银星]标记的敌人造成的伤害提升25%；敌方单位被施加[银星]标记后，受到的[追加攻击]暴击伤害额外提升，提升效果等同于零号·安比暴击伤害的30%。</t>
  </si>
  <si>
    <t>额外能力：电极化</t>
  </si>
  <si>
    <t>队伍中存在[击破]或[支援]角色时触发：
    零号·安比的暴击率提升10%；当前操作中的角色为零号·安比时，全队角色[追加攻击]对拥有[银星]标记的敌人造成的伤害提升25%。</t>
  </si>
  <si>
    <t>核心被动：虎虎生威</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</si>
  <si>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10%，橘福福的初始攻击力大于等于2800点时，每超过100点攻击力会使暴击伤害额外提升5%，最多额外提升30%；
    [虎啸]状态下，角色的[连携技]/[终结技]造成的伤害提升10%/20%；
    [虎啸]状态持续30秒，重复触发时刷新持续时间，橘福福处于[虎啸]效果中，冲击力提升25点。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</si>
  <si>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11.7%，橘福福的初始攻击力大于等于2800点时，每超过100点攻击力会使暴击伤害额外提升5%，最多额外提升30%；
    [虎啸]状态下，角色的[连携技]/[终结技]造成的伤害提升11.7%/23.3%；
    [虎啸]状态持续30秒，重复触发时刷新持续时间，橘福福处于[虎啸]效果中，冲击力提升29.2点。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</si>
  <si>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13.3%，橘福福的初始攻击力大于等于2800点时，每超过100点攻击力会使暴击伤害额外提升5%，最多额外提升30%；
    [虎啸]状态下，角色的[连携技]/[终结技]造成的伤害提升13.3%/26.7%；
    [虎啸]状态持续30秒，重复触发时刷新持续时间，橘福福处于[虎啸]效果中，冲击力提升33.3点。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</si>
  <si>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15%，橘福福的初始攻击力大于等于2800点时，每超过100点攻击力会使暴击伤害额外提升5%，最多额外提升30%；
    [虎啸]状态下，角色的[连携技]/[终结技]造成的伤害提升15%/30%；
    [虎啸]状态持续30秒，重复触发时刷新持续时间，橘福福处于[虎啸]效果中，冲击力提升37.5点。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</si>
  <si>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16.7%，橘福福的初始攻击力大于等于2800点时，每超过100点攻击力会使暴击伤害额外提升5%，最多额外提升30%；
    [虎啸]状态下，角色的[连携技]/[终结技]造成的伤害提升16.7%/33.3%；
    [虎啸]状态持续30秒，重复触发时刷新持续时间，橘福福处于[虎啸]效果中，冲击力提升41.7点。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</si>
  <si>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18.3%，橘福福的初始攻击力大于等于2800点时，每超过100点攻击力会使暴击伤害额外提升5%，最多额外提升30%；
    [虎啸]状态下，角色的[连携技]/[终结技]造成的伤害提升18.3%/36.7%；
    [虎啸]状态持续30秒，重复触发时刷新持续时间，橘福福处于[虎啸]效果中，冲击力提升45.8点。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</si>
  <si>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20%，橘福福的初始攻击力大于等于2800点时，每超过100点攻击力会使暴击伤害额外提升5%，最多额外提升30%；
    [虎啸]状态下，角色的[连携技]/[终结技]造成的伤害提升20%/40%；
    [虎啸]状态持续30秒，重复触发时刷新持续时间，橘福福处于[虎啸]效果中，冲击力提升50点。</t>
  </si>
  <si>
    <t>额外能力：八面威风</t>
  </si>
  <si>
    <t>队伍中存在[强攻]或[命破]角色时触发：
    队伍中所有角色的喧响值上限提升1000点，[强攻]或[命破]角色发动[终结技]时，该角色获得300点喧响值。</t>
  </si>
  <si>
    <t>核心被动：剑心双虹</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</si>
  <si>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爱丽丝触发[强击]时，物理异常积蓄效率提升12.5%，持续30秒。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</si>
  <si>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爱丽丝触发[强击]时，物理异常积蓄效率提升14.6%，持续30秒。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</si>
  <si>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爱丽丝触发[强击]时，物理异常积蓄效率提升16.7%，持续30秒。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</si>
  <si>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爱丽丝触发[强击]时，物理异常积蓄效率提升18.8%，持续30秒。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</si>
  <si>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爱丽丝触发[强击]时，物理异常积蓄效率提升20.8%，持续30秒。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</si>
  <si>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爱丽丝触发[强击]时，物理异常积蓄效率提升22.9%，持续30秒。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</si>
  <si>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爱丽丝触发[强击]时，物理异常积蓄效率提升25%，持续30秒。</t>
  </si>
  <si>
    <t>额外能力：寻奇猎幽</t>
  </si>
  <si>
    <t>队伍中存在另一名[异常]或[支援]角色时触发：
    队伍中任意角色触发[紊乱]效果时，爱丽丝回复30点[剑仪]；
    若爱丽丝的异常掌控大于140点，每超过1点异常掌控会提升1.6点异常精通；
    进入战场时，爱丽丝获得300点[剑仪]，在勘域模式中此效果180秒内最多触发一次。</t>
  </si>
  <si>
    <t>核心被动：奇巧缤纷</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</si>
  <si>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[狸之愿]效果会提供等同于柚叶的40%初始攻击力的攻击力加成，最多提升600点，并使拥有者造成的伤害提升15%，持续40秒，重复触发时刷新持续时间；
    当柚叶的初始攻击力达到1500点时，为全队角色提供的攻击力增益效果达到最大值。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</si>
  <si>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[狸之愿]效果会提供等同于柚叶的40%初始攻击力的攻击力加成，最多提升700点，并使拥有者造成的伤害提升15%，持续40秒，重复触发时刷新持续时间；
    当柚叶的初始攻击力达到1750点时，为全队角色提供的攻击力增益效果达到最大值。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</si>
  <si>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[狸之愿]效果会提供等同于柚叶的40%初始攻击力的攻击力加成，最多提升800点，并使拥有者造成的伤害提升15%，持续40秒，重复触发时刷新持续时间；
    当柚叶的初始攻击力达到2000点时，为全队角色提供的攻击力增益效果达到最大值。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</si>
  <si>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[狸之愿]效果会提供等同于柚叶的40%初始攻击力的攻击力加成，最多提升900点，并使拥有者造成的伤害提升15%，持续40秒，重复触发时刷新持续时间；
    当柚叶的初始攻击力达到2250点时，为全队角色提供的攻击力增益效果达到最大值。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</si>
  <si>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[狸之愿]效果会提供等同于柚叶的40%初始攻击力的攻击力加成，最多提升1000点，并使拥有者造成的伤害提升15%，持续40秒，重复触发时刷新持续时间；
    当柚叶的初始攻击力达到2500点时，为全队角色提供的攻击力增益效果达到最大值。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</si>
  <si>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[狸之愿]效果会提供等同于柚叶的40%初始攻击力的攻击力加成，最多提升1100点，并使拥有者造成的伤害提升15%，持续40秒，重复触发时刷新持续时间；
    当柚叶的初始攻击力达到2750点时，为全队角色提供的攻击力增益效果达到最大值。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</si>
  <si>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[狸之愿]效果会提供等同于柚叶的40%初始攻击力的攻击力加成，最多提升1200点，并使拥有者造成的伤害提升15%，持续40秒，重复触发时刷新持续时间；
    当柚叶的初始攻击力达到3000点时，为全队角色提供的攻击力增益效果达到最大值。</t>
  </si>
  <si>
    <t>额外能力：人多乐趣大</t>
  </si>
  <si>
    <t>队伍中存在[异常]角色或与自身阵营相同的角色时触发：
    若柚叶的异常掌控大于100点，每超过1点异常掌控会使拥有[狸之愿]效果的角色的属性异常积蓄效率提升0.2%，最多提升20%，还会使其所有属性异常伤害和[紊乱]伤害提升0.2%，最多提升20%，当柚叶的异常掌控达到200点时，上述增益效果达到最大值。</t>
  </si>
  <si>
    <t>核心被动：脉中乾坤</t>
  </si>
  <si>
    <t>潘引壶发动[强化特殊技：贴山震脉靠]命中敌人触发[快速支援]的一段时间内，通过[快速支援]或[连携技]入场的下一位代理人将会获得[通窍]效果。该效果提供潘引壶初始攻击力9%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</si>
  <si>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10.5%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</si>
  <si>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12%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</si>
  <si>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13.5%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</si>
  <si>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</si>
  <si>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16.5%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</si>
  <si>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18%的贯穿力提升，持续25秒。该效果提供的贯穿力最多不超过540点。</t>
  </si>
  <si>
    <t>额外能力：食铁纳金</t>
  </si>
  <si>
    <t>队伍中存在[命破]角色或与自身阵营相同的角色时触发：
    潘引壶发动[特殊技：断脉破穴手]命中敌人时对敌人施加[气绝]效果，使所有单位对其造成的伤害提升20%，[特殊技：断脉破穴手]命中敌人时将分别对敌人造成10秒[气绝]效果。该效果不可叠加，招式重复命中相同敌人时，该效果时长可延长。</t>
  </si>
  <si>
    <t>核心被动：照破无明</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</si>
  <si>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进入战场时，获得[合道]效果，暴击率提升15%，造成的伤害提升10%。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</si>
  <si>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进入战场时，获得[合道]效果，暴击率提升17.5%，造成的伤害提升12.5%。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</si>
  <si>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进入战场时，获得[合道]效果，暴击率提升20%，造成的伤害提升15%。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</si>
  <si>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进入战场时，获得[合道]效果，暴击率提升22.5%，造成的伤害提升17.5%。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</si>
  <si>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进入战场时，获得[合道]效果，暴击率提升25%，造成的伤害提升20%。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</si>
  <si>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进入战场时，获得[合道]效果，暴击率提升27.5%，造成的伤害提升22.5%。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</si>
  <si>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进入战场时，获得[合道]效果，暴击率提升30%，造成的伤害提升25%。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</si>
  <si>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额外能力：溯影惊鸿</t>
  </si>
  <si>
    <t>队伍中存在[支援]或[防护]角色时触发：
    队友开启任意[以太帷幕]时，获得3点[青溟剑势]，若自身已经处于[明心境]状态，则会转化为3层[载物]效果。</t>
  </si>
  <si>
    <t>核心被动：熔锋之势</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</si>
  <si>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真斗在[普通攻击：炽风·胧切]或[支援突击]的连续斩击中消耗生命值时，使此次攻击的暴击伤害提升25%，闪能回复效率提升100%；
    [熔锋]状态下，真斗的暴击率提升10%，火属性伤害提升10%。</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</si>
  <si>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真斗在[普通攻击：炽风·胧切]或[支援突击]的连续斩击中消耗生命值时，使此次攻击的暴击伤害提升29.2%，闪能回复效率提升100%；
    [熔锋]状态下，真斗的暴击率提升10%，火属性伤害提升11.7%。</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</si>
  <si>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真斗在[普通攻击：炽风·胧切]或[支援突击]的连续斩击中消耗生命值时，使此次攻击的暴击伤害提升33.3%，闪能回复效率提升100%；
    [熔锋]状态下，真斗的暴击率提升10%，火属性伤害提升13.3%。</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</si>
  <si>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真斗在[普通攻击：炽风·胧切]或[支援突击]的连续斩击中消耗生命值时，使此次攻击的暴击伤害提升37.5%，闪能回复效率提升100%；
    [熔锋]状态下，真斗的暴击率提升10%，火属性伤害提升15%。</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</si>
  <si>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真斗在[普通攻击：炽风·胧切]或[支援突击]的连续斩击中消耗生命值时，使此次攻击的暴击伤害提升41.7%，闪能回复效率提升100%；
    [熔锋]状态下，真斗的暴击率提升10%，火属性伤害提升16.7%。</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</si>
  <si>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真斗在[普通攻击：炽风·胧切]或[支援突击]的连续斩击中消耗生命值时，使此次攻击的暴击伤害提升45.8%，闪能回复效率提升100%；
    [熔锋]状态下，真斗的暴击率提升10%，火属性伤害提升18.3%。</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</si>
  <si>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真斗在[普通攻击：炽风·胧切]或[支援突击]的连续斩击中消耗生命值时，使此次攻击的暴击伤害提升50%，闪能回复效率提升100%；
    [熔锋]状态下，真斗的暴击率提升10%，火属性伤害提升20%。</t>
  </si>
  <si>
    <t>额外能力：复燃之心</t>
  </si>
  <si>
    <t>队伍中存在[支援]或[击破]角色时触发：
    真斗发动终结技时，获得8层[残焰]，发动连携技时，获得4层[残焰]，持续60秒，最多叠加20层，重复触发时刷新持续时间；真斗发动[普通攻击：炽风·胧切]或[支援突击]的连续斩击时，如果生命值低于100%最大生命值，则消耗一层[残焰]，回复2%最大生命值。</t>
  </si>
  <si>
    <t>核心被动：迷途夜颂</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</si>
  <si>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卢西娅发动招式升级或[追加攻击]时，会为全队角色施加[巡梦童谣]状态，[巡梦童谣]状态下，角色造成的伤害提升10%，持续12秒，重复触发时刷新持续时间；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</si>
  <si>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卢西娅发动招式升级或[追加攻击]时，会为全队角色施加[巡梦童谣]状态，[巡梦童谣]状态下，角色造成的伤害提升11.7%，持续12秒，重复触发时刷新持续时间；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</si>
  <si>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卢西娅发动招式升级或[追加攻击]时，会为全队角色施加[巡梦童谣]状态，[巡梦童谣]状态下，角色造成的伤害提升13.3%，持续12秒，重复触发时刷新持续时间；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</si>
  <si>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卢西娅发动招式升级或[追加攻击]时，会为全队角色施加[巡梦童谣]状态，[巡梦童谣]状态下，角色造成的伤害提升15%，持续12秒，重复触发时刷新持续时间；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</si>
  <si>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卢西娅发动招式升级或[追加攻击]时，会为全队角色施加[巡梦童谣]状态，[巡梦童谣]状态下，角色造成的伤害提升16.7%，持续12秒，重复触发时刷新持续时间；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</si>
  <si>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卢西娅发动招式升级或[追加攻击]时，会为全队角色施加[巡梦童谣]状态，[巡梦童谣]状态下，角色造成的伤害提升18.3%，持续12秒，重复触发时刷新持续时间；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</si>
  <si>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卢西娅发动招式升级或[追加攻击]时，会为全队角色施加[巡梦童谣]状态，[巡梦童谣]状态下，角色造成的伤害提升20%，持续12秒，重复触发时刷新持续时间；
    [梦境值]不足或离开[以太帷幕]时，卢西娅退出[梦境]状态。</t>
  </si>
  <si>
    <t>额外能力：长夜诗篇</t>
  </si>
  <si>
    <t>队伍中存在[命破]角色或[击破]角色时触发：
    施加[破暗]状态时，额外附加暴击伤害提升30%效果。</t>
  </si>
  <si>
    <t>核心被动：花链协议</t>
  </si>
  <si>
    <t>「席德」将初始攻击力最高的[强攻]队友视为[正兵]；
    [正兵]释放[强化特殊技]时，使「席德」获得[强袭]状态，提升「席德」100点攻击力和15%暴击伤害，「席德」释放[强化特殊技]时，使[正兵]获得[明攻]状态，提升[正兵]100点攻击力和15%暴击伤害；
    [明攻][强袭]同时存在时，「席德」与[正兵]同时获得[围杀]状态，造成的伤害提升12.5%；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</si>
  <si>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[正兵]释放[强化特殊技]时，使「席德」获得[强袭]状态，提升「席德」225点攻击力和17.5%暴击伤害，「席德」释放[强化特殊技]时，使[正兵]获得[明攻]状态，提升[正兵]225点攻击力和17.5%暴击伤害；
    [明攻][强袭]同时存在时，「席德」与[正兵]同时获得[围杀]状态，造成的伤害提升14.5%；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</si>
  <si>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[正兵]释放[强化特殊技]时，使「席德」获得[强袭]状态，提升「席德」350点攻击力和20%暴击伤害，「席德」释放[强化特殊技]时，使[正兵]获得[明攻]状态，提升[正兵]350点攻击力和20%暴击伤害；
    [明攻][强袭]同时存在时，「席德」与[正兵]同时获得[围杀]状态，造成的伤害提升16.5%；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</si>
  <si>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[正兵]释放[强化特殊技]时，使「席德」获得[强袭]状态，提升「席德」475点攻击力和22.5%暴击伤害，「席德」释放[强化特殊技]时，使[正兵]获得[明攻]状态，提升[正兵]475点攻击力和22.5%暴击伤害；
    [明攻][强袭]同时存在时，「席德」与[正兵]同时获得[围杀]状态，造成的伤害提升18.5%；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</si>
  <si>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[正兵]释放[强化特殊技]时，使「席德」获得[强袭]状态，提升「席德」600点攻击力和25%暴击伤害，「席德」释放[强化特殊技]时，使[正兵]获得[明攻]状态，提升[正兵]600点攻击力和25%暴击伤害；
    [明攻][强袭]同时存在时，「席德」与[正兵]同时获得[围杀]状态，造成的伤害提升20.5%；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</si>
  <si>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[正兵]释放[强化特殊技]时，使「席德」获得[强袭]状态，提升「席德」725点攻击力和27.5%暴击伤害，「席德」释放[强化特殊技]时，使[正兵]获得[明攻]状态，提升[正兵]725点攻击力和27.5%暴击伤害；
    [明攻][强袭]同时存在时，「席德」与[正兵]同时获得[围杀]状态，造成的伤害提升22.5%；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</si>
  <si>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[正兵]释放[强化特殊技]时，使「席德」获得[强袭]状态，提升「席德」1000点攻击力和30%暴击伤害，「席德」释放[强化特殊技]时，使[正兵]获得[明攻]状态，提升[正兵]1000点攻击力和30%暴击伤害；
    [明攻][强袭]同时存在时，「席德」与[正兵]同时获得[围杀]状态，造成的伤害提升25%；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</si>
  <si>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额外能力：奇兵轰临</t>
  </si>
  <si>
    <t>队伍中存在其他[强攻]角色时触发：
    「席德」作为操作中角色造成伤害时，为[正兵]回复2点能量，1秒内最多触发一次；
    「席德」[普通攻击：落华·重戮]，[普通攻击：落华·崩坠]与[终结技：机芯花园·绽放！]造成的伤害提升30%，且无视敌人25%电属性伤害抗性。</t>
  </si>
  <si>
    <t>核心被动：群山如我</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</si>
  <si>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般岳发动[强化特殊技]或[支援突击]时，贯穿力提升150点，造成的火属性伤害提升18%，暴击伤害提升18%，持续30秒，重复触发时刷新持续时间。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</si>
  <si>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般岳发动[强化特殊技]或[支援突击]时，贯穿力提升175点，造成的火属性伤害提升21%，暴击伤害提升21%，持续30秒，重复触发时刷新持续时间。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</si>
  <si>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般岳发动[强化特殊技]或[支援突击]时，贯穿力提升200点，造成的火属性伤害提升24%，暴击伤害提升24%，持续30秒，重复触发时刷新持续时间。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</si>
  <si>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般岳发动[强化特殊技]或[支援突击]时，贯穿力提升225点，造成的火属性伤害提升27%，暴击伤害提升27%，持续30秒，重复触发时刷新持续时间。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</si>
  <si>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般岳发动[强化特殊技]或[支援突击]时，贯穿力提升250点，造成的火属性伤害提升30%，暴击伤害提升30%，持续30秒，重复触发时刷新持续时间。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</si>
  <si>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般岳发动[强化特殊技]或[支援突击]时，贯穿力提升275点，造成的火属性伤害提升33%，暴击伤害提升33%，持续30秒，重复触发时刷新持续时间。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</si>
  <si>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般岳发动[强化特殊技]或[支援突击]时，贯穿力提升300点，造成的火属性伤害提升36%，暴击伤害提升36%，持续30秒，重复触发时刷新持续时间。</t>
  </si>
  <si>
    <t>额外能力：绝巅</t>
  </si>
  <si>
    <t>队伍中存在[支援]或[击破]角色时触发：
    处于[怒相]状态时，若通过普通攻击派生或者快速键入指令的方式消耗[山威]发动[强化特殊技]时 ，般岳会获得一层[明王]，每层[明王]会使自身造成的火属性伤害提升5%，最多叠加3层，持续8秒，重复触发时刷新持续时间。</t>
  </si>
  <si>
    <t>核心被动：五星客服热线</t>
  </si>
  <si>
    <t>进入战场时，琉音初始拥有60点[好评]，初始暴击率超过50%时，每超过1%，冲击力提升1.4点，最多提升100点；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15%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</si>
  <si>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进入战场时，琉音初始拥有60点[好评]，初始暴击率超过50%时，每超过1%，冲击力提升1.5点，最多提升100点；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17.5%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</si>
  <si>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进入战场时，琉音初始拥有60点[好评]，初始暴击率超过50%时，每超过1%，冲击力提升1.6点，最多提升100点；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20%，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</si>
  <si>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进入战场时，琉音初始拥有60点[好评]，初始暴击率超过50%时，每超过1%，冲击力提升1.7点，最多提升100点；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22.5%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</si>
  <si>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进入战场时，琉音初始拥有60点[好评]，初始暴击率超过50%时，每超过1%，冲击力提升1.8点，最多提升100点；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</si>
  <si>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进入战场时，琉音初始拥有60点[好评]，初始暴击率超过50%时，每超过1%，冲击力提升1.9点，最多提升100点；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27.5%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</si>
  <si>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进入战场时，琉音初始拥有60点[好评]，初始暴击率超过50%时，每超过1%，冲击力提升2点，最多提升100点；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30%，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</si>
  <si>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额外能力：场外连线</t>
  </si>
  <si>
    <t>队伍中存在[强攻]角色或[命破]角色时触发：
    琉音造成的[强化特殊技]伤害的暴击伤害提升50%；
    发动[强化特殊技]或[终结技]时全队获得[好评如潮]效果，[好评如潮]状态下的角色造成的伤害提升40%，持续15秒，琉音在[好评如潮]状态下发动[强化特殊技]或[终结技]时，若当前[好评如潮]的剩余持续时间小于35秒，则将该状态的持续时间延长10秒；
    [强化特殊技：石头]、[强化特殊技：剪刀]、[强化特殊技：布！]重击命中时会根据队伍中琉音的上一位队友的特性造成额外伤害：
    队友为[强攻]代理人时，[强化特殊技：石头]、[强化特殊技：剪刀]、[强化特殊技：布！]额外造成等同于该[强攻]代理人320%攻击力的伤害；
    队友为[命破]代理人时，[强化特殊技：石头]、[强化特殊技：剪刀]、[强化特殊技：布！]额外造成等同于该[命破]代理人400%贯穿力的伤害。</t>
  </si>
  <si>
    <t>核心被动：可爱即正义</t>
  </si>
  <si>
    <t>处于[天使协律]状态下的角色的攻击力提升，提升数值等同于千夏30%初始攻击力，最高不超过525点；当千夏的初始攻击力达到1750点时，为全队角色提供的攻击力增益效果达到最大值；
    [普通攻击：坏猫出没]、[强化特殊技：泡泡糖轰炸]、[强化特殊技：特别拍照技巧]、[连携技：别惹猫咪]、[终结技：通通砸碎！]攻击命中敌人时，为目标添加[猫的凝视]，持续12秒，千夏为当前操作中角色时，会不断刷新[猫的凝视]的持续时间；持有[猫的凝视]的部分普通怪物对千夏的攻击欲望降低；
    队伍中的[强攻]或[异常]角色持续攻击命中持有[猫的凝视]的敌人时，会触发并清除[猫的凝视]：
    [强攻]角色触发时，对范围内敌人造成150%攻击力的代理人属性伤害；
    [异常]角色触发时，对范围内敌人造成240%攻击力的代理人属性伤害，此次伤害必定暴击，且暴击伤害增加80%；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</si>
  <si>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处于[天使协律]状态下的角色的攻击力提升，提升数值等同于千夏30%初始攻击力，最高不超过615点；当千夏的初始攻击力达到2050点时，为全队角色提供的攻击力增益效果达到最大值；
    [普通攻击：坏猫出没]、[强化特殊技：泡泡糖轰炸]、[强化特殊技：特别拍照技巧]、[连携技：别惹猫咪]、[终结技：通通砸碎！]攻击命中敌人时，为目标添加[猫的凝视]，持续12秒，千夏为当前操作中角色时，会不断刷新[猫的凝视]的持续时间；持有[猫的凝视]的部分普通怪物对千夏的攻击欲望降低；
    队伍中的[强攻]或[异常]角色持续攻击命中持有[猫的凝视]的敌人时，会触发并清除[猫的凝视]：
    [强攻]角色触发时，对范围内敌人造成175%攻击力的代理人属性伤害；
    [异常]角色触发时，对范围内敌人造成280%攻击力的代理人属性伤害，此次伤害必定暴击，且暴击伤害增加90%；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</si>
  <si>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处于[天使协律]状态下的角色的攻击力提升，提升数值等同于千夏30%初始攻击力，最高不超过705点；当千夏的初始攻击力达到2350点时，为全队角色提供的攻击力增益效果达到最大值；
    [普通攻击：坏猫出没]、[强化特殊技：泡泡糖轰炸]、[强化特殊技：特别拍照技巧]、[连携技：别惹猫咪]、[终结技：通通砸碎！]攻击命中敌人时，为目标添加[猫的凝视]，持续12秒，千夏为当前操作中角色时，会不断刷新[猫的凝视]的持续时间；持有[猫的凝视]的部分普通怪物对千夏的攻击欲望降低；
    队伍中的[强攻]或[异常]角色持续攻击命中持有[猫的凝视]的敌人时，会触发并清除[猫的凝视]：
    [强攻]角色触发时，对范围内敌人造成200%攻击力的代理人属性伤害；
    [异常]角色触发时，对范围内敌人造成320%攻击力的代理人属性伤害，此次伤害必定暴击，且暴击伤害增加100%；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</si>
  <si>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处于[天使协律]状态下的角色的攻击力提升，提升数值等同于千夏30%初始攻击力，最高不超过795点；当千夏的初始攻击力达到2650点时，为全队角色提供的攻击力增益效果达到最大值；
    [普通攻击：坏猫出没]、[强化特殊技：泡泡糖轰炸]、[强化特殊技：特别拍照技巧]、[连携技：别惹猫咪]、[终结技：通通砸碎！]攻击命中敌人时，为目标添加[猫的凝视]，持续12秒，千夏为当前操作中角色时，会不断刷新[猫的凝视]的持续时间；持有[猫的凝视]的部分普通怪物对千夏的攻击欲望降低；
    队伍中的[强攻]或[异常]角色持续攻击命中持有[猫的凝视]的敌人时，会触发并清除[猫的凝视]：
    [强攻]角色触发时，对范围内敌人造成225%攻击力的代理人属性伤害；
    [异常]角色触发时，对范围内敌人造成360%攻击力的代理人属性伤害，此次伤害必定暴击，且暴击伤害增加120%；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</si>
  <si>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处于[天使协律]状态下的角色的攻击力提升，提升数值等同于千夏30%初始攻击力，最高不超过885点；当千夏的初始攻击力达到2950点时，为全队角色提供的攻击力增益效果达到最大值；
    [普通攻击：坏猫出没]、[强化特殊技：泡泡糖轰炸]、[强化特殊技：特别拍照技巧]、[连携技：别惹猫咪]、[终结技：通通砸碎！]攻击命中敌人时，为目标添加[猫的凝视]，持续12秒，千夏为当前操作中角色时，会不断刷新[猫的凝视]的持续时间；持有[猫的凝视]的部分普通怪物对千夏的攻击欲望降低；
    队伍中的[强攻]或[异常]角色持续攻击命中持有[猫的凝视]的敌人时，会触发并清除[猫的凝视]：
    [强攻]角色触发时，对范围内敌人造成250%攻击力的代理人属性伤害；
    [异常]角色触发时，对范围内敌人造成400%攻击力的代理人属性伤害，此次伤害必定暴击，且暴击伤害增加130%；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</si>
  <si>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处于[天使协律]状态下的角色的攻击力提升，提升数值等同于千夏30%初始攻击力，最高不超过975点；当千夏的初始攻击力达到3250点时，为全队角色提供的攻击力增益效果达到最大值；
    [普通攻击：坏猫出没]、[强化特殊技：泡泡糖轰炸]、[强化特殊技：特别拍照技巧]、[连携技：别惹猫咪]、[终结技：通通砸碎！]攻击命中敌人时，为目标添加[猫的凝视]，持续12秒，千夏为当前操作中角色时，会不断刷新[猫的凝视]的持续时间；持有[猫的凝视]的部分普通怪物对千夏的攻击欲望降低；
    队伍中的[强攻]或[异常]角色持续攻击命中持有[猫的凝视]的敌人时，会触发并清除[猫的凝视]：
    [强攻]角色触发时，对范围内敌人造成275%攻击力的代理人属性伤害；
    [异常]角色触发时，对范围内敌人造成440%攻击力的代理人属性伤害，此次伤害必定暴击，且暴击伤害增加140%；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</si>
  <si>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处于[天使协律]状态下的角色的攻击力提升，提升数值等同于千夏30%初始攻击力，最高不超过1050点；当千夏的初始攻击力达到3500点时，为全队角色提供的攻击力增益效果达到最大值；
    [普通攻击：坏猫出没]、[强化特殊技：泡泡糖轰炸]、[强化特殊技：特别拍照技巧]、[连携技：别惹猫咪]、[终结技：通通砸碎！]攻击命中敌人时，为目标添加[猫的凝视]，持续12秒，千夏为当前操作中角色时，会不断刷新[猫的凝视]的持续时间；持有[猫的凝视]的部分普通怪物对千夏的攻击欲望降低；
    队伍中的[强攻]或[异常]角色持续攻击命中持有[猫的凝视]的敌人时，会触发并清除[猫的凝视]：
    [强攻]角色触发时，对范围内敌人造成300%攻击力的代理人属性伤害；
    [异常]角色触发时，对范围内敌人造成480%攻击力的代理人属性伤害，此次伤害必定暴击，且暴击伤害增加150%；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</si>
  <si>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额外能力：白日梦对位法</t>
  </si>
  <si>
    <t>队伍中存在[强攻]或与自身阵营相同的角色时触发：
    处于[以太帷幕·妄想重奏]内的角色攻击命中敌人时，目标的失衡易伤倍率提升30%，持续40秒；
    千夏进入战场时，回复15能量，在勘域模式中此效果180秒内最多触发一次。</t>
  </si>
  <si>
    <t>核心被动：控场核心</t>
  </si>
  <si>
    <t xml:space="preserve">爱芮的异常精通提升45点；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13.8%/7.2%/17.9%/1.25%/1.8%，当目标处于失衡状态下时，该伤害比例额外提升50%。
</t>
  </si>
  <si>
    <t xml:space="preserve">爱芮的异常精通提升52点；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16%/8.3%/20.8%/1.46%/2.1%，当目标处于失衡状态下时，该伤害比例额外提升50%。
</t>
  </si>
  <si>
    <t xml:space="preserve">爱芮的异常精通提升60点；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18.3%/9.5%/23.8%/1.67%/2.4%，当目标处于失衡状态下时，该伤害比例额外提升50%。
</t>
  </si>
  <si>
    <t xml:space="preserve">爱芮的异常精通提升67点；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20.6%/10.7%/26.8%/1.88%/2.7%，当目标处于失衡状态下时，该伤害比例额外提升50%。
</t>
  </si>
  <si>
    <t xml:space="preserve">爱芮的异常精通提升75点；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22.9%/11.9%/29.8%/2.08%/3%，当目标处于失衡状态下时，该伤害比例额外提升50%。
</t>
  </si>
  <si>
    <t xml:space="preserve">爱芮的异常精通提升82点；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25.2%/13.1%/32.7%/2.29%/3.3%，当目标处于失衡状态下时，该伤害比例额外提升50%。
</t>
  </si>
  <si>
    <t xml:space="preserve">爱芮的异常精通提升90点；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27.5%/14.3%/35.7%/2.5%/3.6%，当目标处于失衡状态下时，该伤害比例额外提升50%。
</t>
  </si>
  <si>
    <t>额外能力：合作舞台</t>
  </si>
  <si>
    <t>队伍中存在[击破]、[支援]或与自身阵营相同的角色时触发：
    当有[以太帷幕]开启时，会在场上生成4个[应援能量]，1秒内最多触发1次；
    队伍中任意角色对敌人施加[侵蚀]效果时，该效果的持续时间提升3秒。</t>
  </si>
  <si>
    <t>代理人ID</t>
  </si>
  <si>
    <t>强化ID</t>
  </si>
  <si>
    <t>代理人名称</t>
  </si>
  <si>
    <t>强化后技能名称</t>
  </si>
  <si>
    <t>强化后技能描述</t>
  </si>
  <si>
    <t>强化前技能名称</t>
  </si>
  <si>
    <t>强化前技能描述</t>
  </si>
  <si>
    <t>核心技等级</t>
  </si>
  <si>
    <t>普通攻击：火力镇压, 普通攻击:火力迸发</t>
  </si>
  <si>
    <t>c("在恰当的时机点按 &lt;IconMap:Icon_Normal&gt; 发动：\n发动更加强力的斩击，造成火属性伤害。\n必定触发[火力镇压]的状态下，在进攻即将结束时点按 &lt;IconMap:Icon_Normal&gt; 可更快速地衔接至下一段[普通攻击]。\n在必定触发[火力镇压]的状态下，可解锁第五段[普通攻击]，发动[连携技]或[终结技]时，可强化下一次第五段[普通攻击]。强化第五段[普通攻击]发动时可消耗当前所有必定触发[火力镇压]的次数，每消耗一次造成额外火属性伤害。\n触发[极限闪避]后，可保留当前普攻段数持续5秒，发动[闪避反击]后点按 &lt;IconMap:Icon_Normal&gt; 可从保留的普攻段数开始发动[普通攻击]。", 
    "长按 &lt;IconMap:Icon_Normal&gt; 发动：[普通攻击：火力充能]\n[普通攻击：火力充能]发动过程中松开 &lt;IconMap:Icon_Normal&gt; 时发动[普通攻击：火力迸发]。\n[普通攻击：火力迸发]发动过程中或[普通攻击：火力充能]发动瞬间受到敌方攻击时，可触发格挡反击，免疫该次伤害，并额外获得3次必定触发[火力镇压]的次数，点按 &lt;IconMap:Icon_Normal&gt; 可衔接至第三段[普通攻击]，上限为8次，\n在蓄力过程中拖曳{LAYOUT_CONSOLECONTROLLER#操作杆}{LAYOUT_FALLBACK#摇杆}时，可以发动[普通攻击：烈焰奔袭]。"
    )</t>
  </si>
  <si>
    <t>连携技：昂扬烈焰, 终结技：轰鸣烈焰</t>
  </si>
  <si>
    <t>c("触发[连携技]时，选择对应角色发动：\n对前方小范围敌人进行强力上挑斩击，造成大量火属性伤害；\n招式发动期间拥有无敌效果；\n招式发动后，[普通攻击]和[冲刺攻击]必定触发[火力镇压]，最多持续30秒或触发8次。\n招式发动后，点击 &lt;IconMap:Icon_Normal&gt; 可直接衔接至第四段[普通攻击]。 \n招式发动后，将进入[戒备姿态]；在[戒备姿态]下，若[普通攻击]期间受到敌人攻击，会发动[普通攻击：火力充能]格挡此次攻击，随后发动[普通攻击：火力迸发]，在[普通攻击：火力迸发]发动后点按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 
    "喧响等级达到[极]时，点按 &lt;IconMap:Icon_UltimateReady&gt; 发动：\n对前方小范围敌人进行强力上挑斩击，造成大量火属性伤害；\n招式发动期间拥有无敌效果；\n招式发动后，[普通攻击]和[冲刺攻击]必定触发[火力镇压]，最多持续30秒或触发8次。\n招式发动后，点击 &lt;IconMap:Icon_Normal&gt; 可直接衔接至第四段[普通攻击]。\n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
    )</t>
  </si>
  <si>
    <t>c("触发[连携技]时，选择对应角色发动：\n对前方小范围敌人进行强力上挑斩击，造成大量火属性伤害；\n招式发动期间拥有无敌效果；\n招式发动后，[普通攻击]和[冲刺攻击]必定触发[火力镇压]，最多持续30秒或触发8次。", "喧响等级达到[极]时，点按 &lt;IconMap:Icon_UltimateReady&gt; 发动：\n对前方小范围敌人进行强力上挑斩击，造成大量火属性伤害；\n招式发动期间拥有无敌效果；\n招式发动后，[普通攻击]和[冲刺攻击]必定触发[火力镇压]，最多持续30秒或触发8次。"
    )</t>
  </si>
  <si>
    <t>潜能觉醒：绝焰</t>
  </si>
  <si>
    <t>[额外能力：燎原]中，「11号」自身暴击伤害提升16%。</t>
  </si>
  <si>
    <t>无强化前效果</t>
  </si>
  <si>
    <t>character(0)</t>
  </si>
  <si>
    <t>[额外能力：燎原]中，「11号」自身暴击伤害提升24%。</t>
  </si>
  <si>
    <t>[额外能力：燎原]中，「11号」自身暴击伤害提升32%。</t>
  </si>
  <si>
    <t>[额外能力：燎原]中，「11号」自身暴击伤害提升40%。</t>
  </si>
  <si>
    <t>[额外能力：燎原]中，「11号」自身暴击伤害提升48%。</t>
  </si>
  <si>
    <t>招架支援：狩猎干预, 支援突击：复仇反扑·冰舞</t>
  </si>
  <si>
    <t>c("前场角色即将被攻击时，点按 &lt;IconMap:Icon_Switch&gt; 发动：\n招架敌人的攻击，累积大量失衡值；\n具有较为优秀的招架性能，承受高强度攻击时[支援点数]的消耗量降低；\n招式发动期间拥有无敌效果。", "发动[招架支援]后，长按 &lt;IconMap:Icon_Normal&gt; 发动：\n对前方敌人快速发动多段打击，造成冰属性伤害；\n招式发动期间拥有无敌效果。"
    )</t>
  </si>
  <si>
    <t>核心被动：金属狼足, 额外能力：优雅猎群</t>
  </si>
  <si>
    <t>c("莱卡恩在[普通攻击]中完成蓄力或发动[闪避反击]、[冲刺攻击]时，招式造成的失衡值提升40%；\n[强化特殊技：狂猎时刻]、[支援突击：复仇反扑]或[支援突击：复仇反扑·冰舞]命中敌人时，目标的冰属性伤害抗性降低25%，受到的其他属性伤害提升30%，持续30秒。\n进入战场时，莱卡恩会获得一次进入[围猎]状态的次数。\n [围猎]状态有可用次数时，[支援突击：复仇反扑·冰舞]命中敌人时将触发队伍中上一位角色的[快速支援]，招式持续期间，队伍中其他角色通过[快速支援]入场时，莱卡恩会进入[围猎]状态，持续8秒。\n 当精英或首领级敌人进入失衡状态时获取一次进入[围猎]状态次数。[围猎]状态次数最多保存一次。\n [围猎]状态结束时，莱卡恩会自动发动[支援突击：复仇反扑·冰舞]，若[围猎]状态提前结束，每剩余1秒时长便会使下一次[支援突击：复仇反扑·冰舞]造成的失衡值提升6%。\n 当前操作中角色停止进攻或发动[连携技]和[终结技]时，莱卡恩会提前结束[围猎]状态。\n 莱卡恩主动发动[支援突击：复仇反扑·冰舞]时，也会提前结束[围猎]状态，但不会自动发动[支援突击：复仇反扑·冰舞]。 \n[围猎]状态持续期间，莱卡恩会根据当前操作中角色发动的招式，分别相应发动[普通攻击]、[闪避]、[冲刺攻击]和[闪避反击]。\n 当操作中角色发动[普通攻击]或[强化特殊技]时，莱卡恩会同步发动[普通攻击]第一段至第三段；\n 当操作中角色发动[闪避]和[闪避反击]时，莱卡恩会同步发动[闪避]和[闪避反击]，处于[围猎]状态下发动[闪避反击]后，莱卡恩可直接衔接[普通攻击]第三段。\n [围猎]状态持续期间，莱卡恩为非当前操作中代理人时发动的招式仅造成伤害与失衡值；莱卡恩为当前操作中角色时，[围猎]持续时间不再减少。", 
    "队伍中存在与自身属性或阵营相同的角色或其他[异常]角色时触发：\n莱卡恩攻击命中处于失衡状态下的敌人时，目标的失衡易伤倍率提升35%。")</t>
  </si>
  <si>
    <t>c("莱卡恩在[普通攻击]中完成蓄力时，招式造成的失衡值提升40%；\n[强化特殊技：狂猎时刻]或[支援突击：复仇反扑]命中敌人时，目标的冰属性伤害抗性降低25%，持续30秒。",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</si>
  <si>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46.6%；\n[强化特殊技：狂猎时刻]、[支援突击：复仇反扑]或[支援突击：复仇反扑·冰舞]命中敌人时，目标的冰属性伤害抗性降低25%，受到的其他属性伤害提升30%，持续30秒。\n进入战场时，莱卡恩会获得一次进入[围猎]状态的次数。\n [围猎]状态有可用次数时，[支援突击：复仇反扑·冰舞]命中敌人时将触发队伍中上一位角色的[快速支援]，招式持续期间，队伍中其他角色通过[快速支援]入场时，莱卡恩会进入[围猎]状态，持续8秒。\n 当精英或首领级敌人进入失衡状态时获取一次进入[围猎]状态次数。[围猎]状态次数最多保存一次。\n [围猎]状态结束时，莱卡恩会自动发动[支援突击：复仇反扑·冰舞]，若[围猎]状态提前结束，每剩余1秒时长便会使下一次[支援突击：复仇反扑·冰舞]造成的失衡值提升6%。\n 当前操作中角色停止进攻或发动[连携技]和[终结技]时，莱卡恩会提前结束[围猎]状态。\n 莱卡恩主动发动[支援突击：复仇反扑·冰舞]时，也会提前结束[围猎]状态，但不会自动发动[支援突击：复仇反扑·冰舞]。 \n[围猎]状态持续期间，莱卡恩会根据当前操作中角色发动的招式，分别相应发动[普通攻击]、[闪避]、[冲刺攻击]和[闪避反击]。\n 当操作中角色发动[普通攻击]或[强化特殊技]时，莱卡恩会同步发动[普通攻击]第一段至第三段；\n 当操作中角色发动[闪避]和[闪避反击]时，莱卡恩会同步发动[闪避]和[闪避反击]，处于[围猎]状态下发动[闪避反击]后，莱卡恩可直接衔接[普通攻击]第三段。\n [围猎]状态持续期间，莱卡恩为非当前操作中代理人时发动的招式仅造成伤害与失衡值；莱卡恩为当前操作中角色时，[围猎]持续时间不再减少。", 
    "队伍中存在与自身属性或阵营相同的角色或其他[异常]角色时触发：\n莱卡恩攻击命中处于失衡状态下的敌人时，目标的失衡易伤倍率提升35%。")</t>
  </si>
  <si>
    <t>c("莱卡恩在[普通攻击]中完成蓄力时，招式造成的失衡值提升46.6%；\n[强化特殊技：狂猎时刻]或[支援突击：复仇反扑]命中敌人时，目标的冰属性伤害抗性降低25%，持续30秒。",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</si>
  <si>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53.3%；\n[强化特殊技：狂猎时刻]、[支援突击：复仇反扑]或[支援突击：复仇反扑·冰舞]命中敌人时，目标的冰属性伤害抗性降低25%，受到的其他属性伤害提升30%，持续30秒。\n进入战场时，莱卡恩会获得一次进入[围猎]状态的次数。\n [围猎]状态有可用次数时，[支援突击：复仇反扑·冰舞]命中敌人时将触发队伍中上一位角色的[快速支援]，招式持续期间，队伍中其他角色通过[快速支援]入场时，莱卡恩会进入[围猎]状态，持续8秒。\n 当精英或首领级敌人进入失衡状态时获取一次进入[围猎]状态次数。[围猎]状态次数最多保存一次。\n [围猎]状态结束时，莱卡恩会自动发动[支援突击：复仇反扑·冰舞]，若[围猎]状态提前结束，每剩余1秒时长便会使下一次[支援突击：复仇反扑·冰舞]造成的失衡值提升6%。\n 当前操作中角色停止进攻或发动[连携技]和[终结技]时，莱卡恩会提前结束[围猎]状态。\n 莱卡恩主动发动[支援突击：复仇反扑·冰舞]时，也会提前结束[围猎]状态，但不会自动发动[支援突击：复仇反扑·冰舞]。 \n[围猎]状态持续期间，莱卡恩会根据当前操作中角色发动的招式，分别相应发动[普通攻击]、[闪避]、[冲刺攻击]和[闪避反击]。\n 当操作中角色发动[普通攻击]或[强化特殊技]时，莱卡恩会同步发动[普通攻击]第一段至第三段；\n 当操作中角色发动[闪避]和[闪避反击]时，莱卡恩会同步发动[闪避]和[闪避反击]，处于[围猎]状态下发动[闪避反击]后，莱卡恩可直接衔接[普通攻击]第三段。\n [围猎]状态持续期间，莱卡恩为非当前操作中代理人时发动的招式仅造成伤害与失衡值；莱卡恩为当前操作中角色时，[围猎]持续时间不再减少。", 
    "队伍中存在与自身属性或阵营相同的角色或其他[异常]角色时触发：\n莱卡恩攻击命中处于失衡状态下的敌人时，目标的失衡易伤倍率提升35%。")</t>
  </si>
  <si>
    <t>c("莱卡恩在[普通攻击]中完成蓄力时，招式造成的失衡值提升53.3%；\n[强化特殊技：狂猎时刻]或[支援突击：复仇反扑]命中敌人时，目标的冰属性伤害抗性降低25%，持续30秒。",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</si>
  <si>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60%；\n[强化特殊技：狂猎时刻]、[支援突击：复仇反扑]或[支援突击：复仇反扑·冰舞]命中敌人时，目标的冰属性伤害抗性降低25%，受到的其他属性伤害提升30%，持续30秒。\n进入战场时，莱卡恩会获得一次进入[围猎]状态的次数。\n [围猎]状态有可用次数时，[支援突击：复仇反扑·冰舞]命中敌人时将触发队伍中上一位角色的[快速支援]，招式持续期间，队伍中其他角色通过[快速支援]入场时，莱卡恩会进入[围猎]状态，持续8秒。\n 当精英或首领级敌人进入失衡状态时获取一次进入[围猎]状态次数。[围猎]状态次数最多保存一次。\n [围猎]状态结束时，莱卡恩会自动发动[支援突击：复仇反扑·冰舞]，若[围猎]状态提前结束，每剩余1秒时长便会使下一次[支援突击：复仇反扑·冰舞]造成的失衡值提升6%。\n 当前操作中角色停止进攻或发动[连携技]和[终结技]时，莱卡恩会提前结束[围猎]状态。\n 莱卡恩主动发动[支援突击：复仇反扑·冰舞]时，也会提前结束[围猎]状态，但不会自动发动[支援突击：复仇反扑·冰舞]。 \n[围猎]状态持续期间，莱卡恩会根据当前操作中角色发动的招式，分别相应发动[普通攻击]、[闪避]、[冲刺攻击]和[闪避反击]。\n 当操作中角色发动[普通攻击]或[强化特殊技]时，莱卡恩会同步发动[普通攻击]第一段至第三段；\n 当操作中角色发动[闪避]和[闪避反击]时，莱卡恩会同步发动[闪避]和[闪避反击]，处于[围猎]状态下发动[闪避反击]后，莱卡恩可直接衔接[普通攻击]第三段。\n [围猎]状态持续期间，莱卡恩为非当前操作中代理人时发动的招式仅造成伤害与失衡值；莱卡恩为当前操作中角色时，[围猎]持续时间不再减少。", 
    "队伍中存在与自身属性或阵营相同的角色或其他[异常]角色时触发：\n莱卡恩攻击命中处于失衡状态下的敌人时，目标的失衡易伤倍率提升35%。")</t>
  </si>
  <si>
    <t>c("莱卡恩在[普通攻击]中完成蓄力时，招式造成的失衡值提升60%；\n[强化特殊技：狂猎时刻]或[支援突击：复仇反扑]命中敌人时，目标的冰属性伤害抗性降低25%，持续30秒。",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</si>
  <si>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66.6%；\n[强化特殊技：狂猎时刻]、[支援突击：复仇反扑]或[支援突击：复仇反扑·冰舞]命中敌人时，目标的冰属性伤害抗性降低25%，受到的其他属性伤害提升30%，持续30秒。\n进入战场时，莱卡恩会获得一次进入[围猎]状态的次数。\n [围猎]状态有可用次数时，[支援突击：复仇反扑·冰舞]命中敌人时将触发队伍中上一位角色的[快速支援]，招式持续期间，队伍中其他角色通过[快速支援]入场时，莱卡恩会进入[围猎]状态，持续8秒。\n 当精英或首领级敌人进入失衡状态时获取一次进入[围猎]状态次数。[围猎]状态次数最多保存一次。\n [围猎]状态结束时，莱卡恩会自动发动[支援突击：复仇反扑·冰舞]，若[围猎]状态提前结束，每剩余1秒时长便会使下一次[支援突击：复仇反扑·冰舞]造成的失衡值提升6%。\n 当前操作中角色停止进攻或发动[连携技]和[终结技]时，莱卡恩会提前结束[围猎]状态。\n 莱卡恩主动发动[支援突击：复仇反扑·冰舞]时，也会提前结束[围猎]状态，但不会自动发动[支援突击：复仇反扑·冰舞]。 \n[围猎]状态持续期间，莱卡恩会根据当前操作中角色发动的招式，分别相应发动[普通攻击]、[闪避]、[冲刺攻击]和[闪避反击]。\n 当操作中角色发动[普通攻击]或[强化特殊技]时，莱卡恩会同步发动[普通攻击]第一段至第三段；\n 当操作中角色发动[闪避]和[闪避反击]时，莱卡恩会同步发动[闪避]和[闪避反击]，处于[围猎]状态下发动[闪避反击]后，莱卡恩可直接衔接[普通攻击]第三段。\n [围猎]状态持续期间，莱卡恩为非当前操作中代理人时发动的招式仅造成伤害与失衡值；莱卡恩为当前操作中角色时，[围猎]持续时间不再减少。", 
    "队伍中存在与自身属性或阵营相同的角色或其他[异常]角色时触发：\n莱卡恩攻击命中处于失衡状态下的敌人时，目标的失衡易伤倍率提升35%。")</t>
  </si>
  <si>
    <t>c("莱卡恩在[普通攻击]中完成蓄力时，招式造成的失衡值提升66.6%；\n[强化特殊技：狂猎时刻]或[支援突击：复仇反扑]命中敌人时，目标的冰属性伤害抗性降低25%，持续30秒。",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</si>
  <si>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73.3%；\n[强化特殊技：狂猎时刻]、[支援突击：复仇反扑]或[支援突击：复仇反扑·冰舞]命中敌人时，目标的冰属性伤害抗性降低25%，受到的其他属性伤害提升30%，持续30秒。\n进入战场时，莱卡恩会获得一次进入[围猎]状态的次数。\n [围猎]状态有可用次数时，[支援突击：复仇反扑·冰舞]命中敌人时将触发队伍中上一位角色的[快速支援]，招式持续期间，队伍中其他角色通过[快速支援]入场时，莱卡恩会进入[围猎]状态，持续8秒。\n 当精英或首领级敌人进入失衡状态时获取一次进入[围猎]状态次数。[围猎]状态次数最多保存一次。\n [围猎]状态结束时，莱卡恩会自动发动[支援突击：复仇反扑·冰舞]，若[围猎]状态提前结束，每剩余1秒时长便会使下一次[支援突击：复仇反扑·冰舞]造成的失衡值提升6%。\n 当前操作中角色停止进攻或发动[连携技]和[终结技]时，莱卡恩会提前结束[围猎]状态。\n 莱卡恩主动发动[支援突击：复仇反扑·冰舞]时，也会提前结束[围猎]状态，但不会自动发动[支援突击：复仇反扑·冰舞]。 \n[围猎]状态持续期间，莱卡恩会根据当前操作中角色发动的招式，分别相应发动[普通攻击]、[闪避]、[冲刺攻击]和[闪避反击]。\n 当操作中角色发动[普通攻击]或[强化特殊技]时，莱卡恩会同步发动[普通攻击]第一段至第三段；\n 当操作中角色发动[闪避]和[闪避反击]时，莱卡恩会同步发动[闪避]和[闪避反击]，处于[围猎]状态下发动[闪避反击]后，莱卡恩可直接衔接[普通攻击]第三段。\n [围猎]状态持续期间，莱卡恩为非当前操作中代理人时发动的招式仅造成伤害与失衡值；莱卡恩为当前操作中角色时，[围猎]持续时间不再减少。", 
    "队伍中存在与自身属性或阵营相同的角色或其他[异常]角色时触发：\n莱卡恩攻击命中处于失衡状态下的敌人时，目标的失衡易伤倍率提升35%。")</t>
  </si>
  <si>
    <t>c("莱卡恩在[普通攻击]中完成蓄力时，招式造成的失衡值提升73.3%；\n[强化特殊技：狂猎时刻]或[支援突击：复仇反扑]命中敌人时，目标的冰属性伤害抗性降低25%，持续30秒。",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</si>
  <si>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80%；\n[强化特殊技：狂猎时刻]、[支援突击：复仇反扑]或[支援突击：复仇反扑·冰舞]命中敌人时，目标的冰属性伤害抗性降低25%，受到的其他属性伤害提升30%，持续30秒。\n进入战场时，莱卡恩会获得一次进入[围猎]状态的次数。\n [围猎]状态有可用次数时，[支援突击：复仇反扑·冰舞]命中敌人时将触发队伍中上一位角色的[快速支援]，招式持续期间，队伍中其他角色通过[快速支援]入场时，莱卡恩会进入[围猎]状态，持续8秒。\n 当精英或首领级敌人进入失衡状态时获取一次进入[围猎]状态次数。[围猎]状态次数最多保存一次。\n [围猎]状态结束时，莱卡恩会自动发动[支援突击：复仇反扑·冰舞]，若[围猎]状态提前结束，每剩余1秒时长便会使下一次[支援突击：复仇反扑·冰舞]造成的失衡值提升6%。\n 当前操作中角色停止进攻或发动[连携技]和[终结技]时，莱卡恩会提前结束[围猎]状态。\n 莱卡恩主动发动[支援突击：复仇反扑·冰舞]时，也会提前结束[围猎]状态，但不会自动发动[支援突击：复仇反扑·冰舞]。 \n[围猎]状态持续期间，莱卡恩会根据当前操作中角色发动的招式，分别相应发动[普通攻击]、[闪避]、[冲刺攻击]和[闪避反击]。\n 当操作中角色发动[普通攻击]或[强化特殊技]时，莱卡恩会同步发动[普通攻击]第一段至第三段；\n 当操作中角色发动[闪避]和[闪避反击]时，莱卡恩会同步发动[闪避]和[闪避反击]，处于[围猎]状态下发动[闪避反击]后，莱卡恩可直接衔接[普通攻击]第三段。\n [围猎]状态持续期间，莱卡恩为非当前操作中代理人时发动的招式仅造成伤害与失衡值；莱卡恩为当前操作中角色时，[围猎]持续时间不再减少。", 
    "队伍中存在与自身属性或阵营相同的角色或其他[异常]角色时触发：\n莱卡恩攻击命中处于失衡状态下的敌人时，目标的失衡易伤倍率提升35%。")</t>
  </si>
  <si>
    <t>c("莱卡恩在[普通攻击]中完成蓄力时，招式造成的失衡值提升80%；\n[强化特殊技：狂猎时刻]或[支援突击：复仇反扑]命中敌人时，目标的冰属性伤害抗性降低25%，持续30秒。",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</si>
  <si>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潜能觉醒：掠冰</t>
  </si>
  <si>
    <t>[围猎]状态持续期间，莱卡恩作为非当前操作中代理人发动[普通攻击]、[冲刺攻击]和[闪避反击]时，冲击力提升5%。</t>
  </si>
  <si>
    <t>[围猎]状态持续期间，莱卡恩作为非当前操作中代理人发动[普通攻击]、[冲刺攻击]和[闪避反击]时，冲击力提升7.5%。</t>
  </si>
  <si>
    <t>[围猎]状态持续期间，莱卡恩作为非当前操作中代理人发动[普通攻击]、[冲刺攻击]和[闪避反击]时，冲击力提升10%。</t>
  </si>
  <si>
    <t>[围猎]状态持续期间，莱卡恩作为非当前操作中代理人发动[普通攻击]、[冲刺攻击]和[闪避反击]时，冲击力提升12.5%。</t>
  </si>
  <si>
    <t>[围猎]状态持续期间，莱卡恩作为非当前操作中代理人发动[普通攻击]、[冲刺攻击]和[闪避反击]时，冲击力提升15%。</t>
  </si>
  <si>
    <t>强化特殊技：灼热摇荡法, 强化特殊技：灼热摇荡法·双份, 强化特殊技：灼热抛接法</t>
  </si>
  <si>
    <t>c("能量足够时，点按 &lt;IconMap:Icon_SpecialReady&gt; 发动：\n使用单手喷射器持续喷射火焰，随后向前方直线范围发动一次火焰冲击，造成大量火属性伤害，保持长按可以持续消耗能量并延长喷射的持续时间；\n持续喷射期间拖曳{LAYOUT_CONSOLECONTROLLER#操作杆}{LAYOUT_FALLBACK#摇杆}，可以发动侧身闪避，向对应方向调整身位；\n持续喷射期间抗打断等级提升，受到的伤害降低60%；\n侧身闪避和火焰冲击发动期间拥有无敌效果。", 
    "[强化特殊技：灼热摇荡法]发动期间，能量足够时，点按 &lt;IconMap:Icon_SpecialReady&gt; 发动：\n使用双手喷射器持续喷射火焰，随后向前方直线范围发动一次强力的火焰冲击，造成大量火属性伤害，保持长按可以持续消耗能量并延长喷射的持续时间；\n喷射发动瞬间和火焰冲击发动期间拥有无敌效果；\n持续喷射期间抗打断等级提升，受到的伤害降低60%。", 
    "拥有[流火]时，换入前场时发动：\n队友触发12次[余烬]后，柏妮思获得一点[流火]，拥有[流火]时，柏妮思下一次换入前场时消耗一点[流火]自动发动该招式，该次入场视作以[快速支援]入场，[普通攻击：炽焰搅拌式]触发的[余烬]命中敌人时增加2次计数，拥有[流火]时不再增加计数，消耗[流火]时清空计数；\n快速突进并越过敌人，向敌人发动一次火焰冲击，造成物理伤害和火属性伤害；\n招式重击命中处于以太异常状态、电属性异常状态、火属性异常状态、物理属性异常状态、冰属性异常状态的目标时，触发一次[异放]：额外结算一次原属性异常480%/240%/600%/40%/60%的伤害；\n[额外能力：星火燎原]的火属性异常积蓄值提升效果对该招式生效；\n招式发动期间拥有无敌效果；\n招式发动后，点按 &lt;IconMap:Icon_SpecialReady&gt; 可以直接衔接发动[强化特殊技：灼热摇荡法·双份]。"
    )</t>
  </si>
  <si>
    <t>强化特殊技：灼热摇荡法, 强化特殊技：灼热摇荡法·双份</t>
  </si>
  <si>
    <t>c("能量足够时，点按 &lt;IconMap:Icon_SpecialReady&gt; 发动：\n使用单手喷射器持续喷射火焰，随后向前方直线范围发动一次火焰冲击，造成大量火属性伤害，保持长按可以持续消耗能量并延长喷射的持续时间；\n持续喷射期间拖曳{LAYOUT_CONSOLECONTROLLER#操作杆}{LAYOUT_FALLBACK#摇杆}，可以发动侧身闪避，向对应方向调整身位；\n持续喷射期间抗打断等级提升，受到的伤害降低40%；\n侧身闪避和火焰冲击发动期间拥有无敌效果。", 
    "[强化特殊技：灼热摇荡法]发动期间，能量足够时，点按 &lt;IconMap:Icon_SpecialReady&gt; 发动：\n使用双手喷射器持续喷射火焰，随后向前方直线范围发动一次强力的火焰冲击，造成大量火属性伤害，保持长按可以持续消耗能量并延长喷射的持续时间；\n喷射发动瞬间和火焰冲击发动期间拥有无敌效果；\n持续喷射期间抗打断等级提升，受到的伤害降低40%。"
    )</t>
  </si>
  <si>
    <t>潜能觉醒：沸点派对</t>
  </si>
  <si>
    <t>当柏妮思的初始能量自动回复大于等于1.8点时，超过的部分每拥有0.1点初始能量自动回复，异常掌控额外提升1点，造成的伤害提升1%，异常掌控最多提升25点，造成的伤害最多提升20%；[核心被动：燃油特调]中触发[余烬]的间隔降低至1.35秒。</t>
  </si>
  <si>
    <t>当柏妮思的初始能量自动回复大于等于1.8点时，超过的部分每拥有0.1点初始能量自动回复，异常掌控额外提升1.3点，造成的伤害提升1.25%，异常掌控最多提升25点，造成的伤害最多提升20%；[核心被动：燃油特调]中触发[余烬]的间隔降低至1.35秒。</t>
  </si>
  <si>
    <t>当柏妮思的初始能量自动回复大于等于1.8点时，超过的部分每拥有0.1点初始能量自动回复，异常掌控额外提升1.6点，造成的伤害提升1.5%，异常掌控最多提升25点，造成的伤害最多提升20%；[核心被动：燃油特调]中触发[余烬]的间隔降低至1.35秒。</t>
  </si>
  <si>
    <t>当柏妮思的初始能量自动回复大于等于1.8点时，超过的部分每拥有0.1点初始能量自动回复，异常掌控额外提升2点，造成的伤害提升1.75%，异常掌控最多提升25点，造成的伤害最多提升20%；[核心被动：燃油特调]中触发[余烬]的间隔降低至1.35秒。</t>
  </si>
  <si>
    <t>当柏妮思的初始能量自动回复大于等于1.8点时，超过的部分每拥有0.1点初始能量自动回复，异常掌控额外提升2.5点，造成的伤害提升2%，异常掌控最多提升25点，造成的伤害最多提升20%；[核心被动：燃油特调]中触发[余烬]的间隔降低至1.35秒。</t>
  </si>
  <si>
    <t>特殊技：工程清障, 强化特殊技：超规工程清障, [脉冲], 特殊技：工程清障·循环</t>
  </si>
  <si>
    <t>c("点按 &lt;IconMap:Icon_Special&gt; 发动：\n向前方投掷一颗手雷，造成电属性伤害；\n发动招式时，可以拖曳{LAYOUT_CONSOLECONTROLLER#操作杆}{LAYOUT_FALLBACK#摇杆}，向对应方向调整身位；\n消耗[电能]发动时可以闪避敌人的攻击；\n招式发动期间抗打断等级提升。", "能量足够时，点按 &lt;IconMap:Icon_SpecialReady&gt; 发动：\n腾空跃起，并向前方投掷两颗手雷，造成大量电属性伤害；\n发动招式时，可以拖曳{LAYOUT_CONSOLECONTROLLER#操作杆}{LAYOUT_FALLBACK#摇杆}，向对应方向调整身位；\n若[电能]层数到达上限，会额外投掷一枚[涡流集束手雷]，在爆炸位置生成电磁场，持续牵引敌人，造成电属性伤害；\n招式发动期间拥有无敌效果。", 
    "发动[终结技]时，获得25层[脉冲]（上限25层），获得[电能]时会消耗一层[脉冲]；\n消耗[脉冲]获得8层[电能]时，下次投掷手雷时会额外丢出一枚脉冲手雷，并在命中处于以太异常状态、电属性异常状态、火属性异常状态、物理属性异常状态、冰属性异常状态的目标时，触发一次[异放]：额外结算一次原属性异常560%/280%/700%/50%/70%的伤害；\n[脉冲]状态下解锁[特殊技：工程清障·循环]。", 
    "[脉冲]状态下长按 &lt;IconMap:Icon_Special&gt; 发动：\n招式期间持续向前方投掷手雷，造成电属性伤害，每次投掷手雷获得一层[电能]；\n发动招式时，可以拖曳{LAYOUT_CONSOLECONTROLLER#操作杆}{LAYOUT_FALLBACK#摇杆}，向对应方向调整身位，并可以闪避敌人的攻击；\n招式发动期间抗打断等级提升。")</t>
  </si>
  <si>
    <t>特殊技：工程清障, 强化特殊技：超规工程清障</t>
  </si>
  <si>
    <t>c("点按 &lt;IconMap:Icon_Special&gt; 发动：\n向前方投掷一颗手雷，造成电属性伤害；\n发动招式时，可以拖曳{LAYOUT_CONSOLECONTROLLER#操作杆}{LAYOUT_FALLBACK#摇杆}，向对应方向调整身位；\n招式发动期间抗打断等级提升。", "能量足够时，点按 &lt;IconMap:Icon_SpecialReady&gt; 发动：\n腾空跃起，并向前方投掷两颗手雷，造成大量电属性伤害；\n发动招式时，可以拖曳{LAYOUT_CONSOLECONTROLLER#操作杆}{LAYOUT_FALLBACK#摇杆}，向对应方向调整身位；\n招式发动期间拥有无敌效果。"
    )</t>
  </si>
  <si>
    <t>队伍中存在与自身属性或阵营相同的角色或其他[异常]角色时触发：
    格莉丝[强化特殊技]命中敌人时，目标下次被施加[感电]效果时，该次[感电]伤害提升18%，最多叠加2层，同一招式内每个敌人最多触发一次效果，[感电]状态结束时效果重置。</t>
  </si>
  <si>
    <t>潜能觉醒：超频工程引擎</t>
  </si>
  <si>
    <t>消耗[电能]时获得[电能强化]状态，造成的电属性伤害提升10%，持续25秒，重复触发时刷新持续时间。</t>
  </si>
  <si>
    <t>消耗[电能]时获得[电能强化]状态，造成的电属性伤害提升15%，持续25秒，重复触发时刷新持续时间。</t>
  </si>
  <si>
    <t>消耗[电能]时获得[电能强化]状态，造成的电属性伤害提升20%，持续25秒，重复触发时刷新持续时间。</t>
  </si>
  <si>
    <t>消耗[电能]时获得[电能强化]状态，造成的电属性伤害提升25%，持续25秒，重复触发时刷新持续时间。</t>
  </si>
  <si>
    <t>消耗[电能]时获得[电能强化]状态，造成的电属性伤害提升30%，持续25秒，重复触发时刷新持续时间。</t>
  </si>
  <si>
    <t>普通攻击：冰刃浪, 普通攻击：霜锋</t>
  </si>
  <si>
    <t>c("第三段[普通攻击：急冻修剪法]、[冲刺攻击：冰渊潜袭]蓄力剪击、[闪避反击：暗礁]和[快速支援]发动后，若艾莲拥有[急冻充能]，点按 &lt;IconMap:Icon_Normal&gt; 可以发动[普通攻击：冰刃浪]，造成冰属性伤害；\n招式消耗2点[急冻充能];\n招式发动后，可直接衔接第三段[普通攻击]；\n招式发动期间拥有无敌效果。", 
    "第三段[普通攻击：急冻修剪法]、[强化特殊技：鲨卷风]、[闪避反击：暗礁]和[支援突击]发动后，将自动发动[普通攻击：霜锋]，对前方大范围敌人造成多段冰属性伤害，且对中/大体型的敌人会分别额外造成多段冰属性伤害；\n招式发动后，艾莲将获得[快蓄]效果；\n[普通攻击：霜锋]不影响原本招式派生;\n招式发动期间拥有无敌效果。"
    )</t>
  </si>
  <si>
    <t>核心被动：凌牙厉齿, 额外能力：风暴潮</t>
  </si>
  <si>
    <t>c("艾莲在[冲刺攻击：冰渊潜袭]中发动蓄力剪击，或消耗[急冻充能]发动[普通攻击：急冻修剪法]时，招式的暴击伤害提升50%；\n上述效果对[连携技]、[终结技]、[普通攻击：霜锋]和[普通攻击：冰刃浪]同样生效。",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</si>
  <si>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c("艾莲在[冲刺攻击：冰渊潜袭]中发动蓄力剪击，或消耗[急冻充能]发动[普通攻击：急冻修剪法]时，招式的暴击伤害提升50%。",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</si>
  <si>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58.3%；\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</si>
  <si>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c("艾莲在[冲刺攻击：冰渊潜袭]中发动蓄力剪击，或消耗[急冻充能]发动[普通攻击：急冻修剪法]时，招式的暴击伤害提升58.3%。",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</si>
  <si>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66.6%；\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</si>
  <si>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c("艾莲在[冲刺攻击：冰渊潜袭]中发动蓄力剪击，或消耗[急冻充能]发动[普通攻击：急冻修剪法]时，招式的暴击伤害提升66.6%。",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</si>
  <si>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c("艾莲在[冲刺攻击：冰渊潜袭]中发动蓄力剪击，或消耗[急冻充能]发动[普通攻击：急冻修剪法]时，招式的暴击伤害提升75%；\n上述效果对[连携技]、[终结技]、[普通攻击：霜锋]和[普通攻击：冰刃浪]同样生效。",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</si>
  <si>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c("艾莲在[冲刺攻击：冰渊潜袭]中发动蓄力剪击，或消耗[急冻充能]发动[普通攻击：急冻修剪法]时，招式的暴击伤害提升75%。",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</si>
  <si>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83.3%；\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</si>
  <si>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c("艾莲在[冲刺攻击：冰渊潜袭]中发动蓄力剪击，或消耗[急冻充能]发动[普通攻击：急冻修剪法]时，招式的暴击伤害提升83.3%。",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</si>
  <si>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91.6%；\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</si>
  <si>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c("艾莲在[冲刺攻击：冰渊潜袭]中发动蓄力剪击，或消耗[急冻充能]发动[普通攻击：急冻修剪法]时，招式的暴击伤害提升91.6%。",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</si>
  <si>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100%；\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</si>
  <si>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c("艾莲在[冲刺攻击：冰渊潜袭]中发动蓄力剪击，或消耗[急冻充能]发动[普通攻击：急冻修剪法]时，招式的暴击伤害提升100%。", "队伍中存在与自身属性或阵营相同的角色时触发：\n艾莲造成冰属性伤害时，后继冰属性伤害提升3%，持续10秒，最多叠加10层，重复触发时刷新持续时间。"
    )</t>
  </si>
  <si>
    <t>潜能觉醒：极冰带</t>
  </si>
  <si>
    <t>艾莲[额外能力：风暴潮]，每层暴击伤害提升1.6%。叠加至10层时，攻击目标无视3.3%的冰属性伤害抗性</t>
  </si>
  <si>
    <t>艾莲[额外能力：风暴潮]，每层暴击伤害提升2.4%。叠加至10层时，攻击目标无视5%的冰属性伤害抗性</t>
  </si>
  <si>
    <t>艾莲[额外能力：风暴潮]，每层暴击伤害提升3.2%。叠加至10层时，攻击目标无视6.7%的冰属性伤害抗性</t>
  </si>
  <si>
    <t>艾莲[额外能力：风暴潮]，每层暴击伤害提升4%。叠加至10层时，攻击目标无视8.3%的冰属性伤害抗性</t>
  </si>
  <si>
    <t>艾莲[额外能力：风暴潮]，每层暴击伤害提升4.8%。叠加至10层时，攻击目标无视10%的冰属性伤害抗性</t>
  </si>
  <si>
    <t>[冲刺攻击：飞弦·斩]、[逐雷]和[终结技]的暴击率提升10.6%，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6%。</t>
  </si>
  <si>
    <t>[冲刺攻击：飞弦·斩]、[逐雷]和[终结技]的暴击率提升13%，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7%。</t>
  </si>
  <si>
    <t>[冲刺攻击：飞弦·斩]、[逐雷]和[终结技]的暴击率提升15.4%，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8%。</t>
  </si>
  <si>
    <t>[冲刺攻击：飞弦·斩]、[逐雷]和[终结技]的暴击率提升17.8%，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9%。</t>
  </si>
  <si>
    <t>[冲刺攻击：飞弦·斩]、[逐雷]和[终结技]的暴击率提升20.2%，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10%。</t>
  </si>
  <si>
    <t>[冲刺攻击：飞弦·斩]、[逐雷]和[终结技]的暴击率提升22.6%，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11%。</t>
  </si>
  <si>
    <t>[冲刺攻击：飞弦·斩]、[逐雷]和[终结技]的暴击率提升25%，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12%。</t>
  </si>
  <si>
    <t>潜能觉醒：贯注</t>
  </si>
  <si>
    <t>发动[强化特殊技]、[连携技]或[终结技]时，攻击力提升4%，[冲刺攻击：飞弦·斩]和[逐雷]无视目标5%的电属性伤害抗性，持续12秒，重复触发时刷新持续时间；
    [核心被动]中[锋芒]的持续时间延长至10秒。</t>
  </si>
  <si>
    <t>发动[强化特殊技]、[连携技]或[终结技]时，攻击力提升6%，[冲刺攻击：飞弦·斩]和[逐雷]无视目标7.5%的电属性伤害抗性，持续12秒，重复触发时刷新持续时间；
    [核心被动]中[锋芒]的持续时间延长至10秒。</t>
  </si>
  <si>
    <t>发动[强化特殊技]、[连携技]或[终结技]时，攻击力提升8%，[冲刺攻击：飞弦·斩]和[逐雷]无视目标10%的电属性伤害抗性，持续12秒，重复触发时刷新持续时间；
    [核心被动]中[锋芒]的持续时间延长至10秒。</t>
  </si>
  <si>
    <t>发动[强化特殊技]、[连携技]或[终结技]时，攻击力提升10%，[冲刺攻击：飞弦·斩]和[逐雷]无视目标12.5%的电属性伤害抗性，持续12秒，重复触发时刷新持续时间；
    [核心被动]中[锋芒]的持续时间延长至10秒。</t>
  </si>
  <si>
    <t>发动[强化特殊技]、[连携技]或[终结技]时，攻击力提升12%，[冲刺攻击：飞弦·斩]和[逐雷]无视目标15%的电属性伤害抗性，持续12秒，重复触发时刷新持续时间；
    [核心被动]中[锋芒]的持续时间延长至10秒。</t>
  </si>
  <si>
    <t>核心被动：电位差, 额外能力：电极化</t>
  </si>
  <si>
    <t>c("零号·安比对拥有[银星]标记的敌人造成的伤害提升12.5%；敌方单位被施加[银星]标记后，受到的[追加攻击]暴击伤害额外提升，提升效果等同于零号·安比暴击伤害的15%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</si>
  <si>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c("零号·安比对拥有[银星]标记的敌人造成的伤害提升12.5%；敌方单位被施加[银星]标记后，受到的[追加攻击]暴击伤害额外提升，提升效果等同于零号·安比暴击伤害的15%。", "队伍中存在[击破]或[支援]角色时触发：\n零号·安比的暴击率提升10%；当前操作中的角色为零号·安比时，全队角色[追加攻击]对拥有[银星]标记的敌人造成的伤害提升25%。"
    )</t>
  </si>
  <si>
    <t>c("零号·安比对拥有[银星]标记的敌人造成的伤害提升14.5%；敌方单位被施加[银星]标记后，受到的[追加攻击]暴击伤害额外提升，提升效果等同于零号·安比暴击伤害的17.5%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</si>
  <si>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c("零号·安比对拥有[银星]标记的敌人造成的伤害提升14.5%；敌方单位被施加[银星]标记后，受到的[追加攻击]暴击伤害额外提升，提升效果等同于零号·安比暴击伤害的17.5%。", "队伍中存在[击破]或[支援]角色时触发：\n零号·安比的暴击率提升10%；当前操作中的角色为零号·安比时，全队角色[追加攻击]对拥有[银星]标记的敌人造成的伤害提升25%。"
    )</t>
  </si>
  <si>
    <t>c("零号·安比对拥有[银星]标记的敌人造成的伤害提升16.5%；敌方单位被施加[银星]标记后，受到的[追加攻击]暴击伤害额外提升，提升效果等同于零号·安比暴击伤害的20%；[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</si>
  <si>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c("零号·安比对拥有[银星]标记的敌人造成的伤害提升16.5%；敌方单位被施加[银星]标记后，受到的[追加攻击]暴击伤害额外提升，提升效果等同于零号·安比暴击伤害的20%。", "队伍中存在[击破]或[支援]角色时触发：\n零号·安比的暴击率提升10%；当前操作中的角色为零号·安比时，全队角色[追加攻击]对拥有[银星]标记的敌人造成的伤害提升25%。"
    )</t>
  </si>
  <si>
    <t>c("零号·安比对拥有[银星]标记的敌人造成的伤害提升18.8%；敌方单位被施加[银星]标记后，受到的[追加攻击]暴击伤害额外提升，提升效果等同于零号·安比暴击伤害的22.5%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</si>
  <si>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c("零号·安比对拥有[银星]标记的敌人造成的伤害提升18.8%；敌方单位被施加[银星]标记后，受到的[追加攻击]暴击伤害额外提升，提升效果等同于零号·安比暴击伤害的22.5%。", "队伍中存在[击破]或[支援]角色时触发：\n零号·安比的暴击率提升10%；当前操作中的角色为零号·安比时，全队角色[追加攻击]对拥有[银星]标记的敌人造成的伤害提升25%。"
    )</t>
  </si>
  <si>
    <t>c("零号·安比对拥有[银星]标记的敌人造成的伤害提升20.8%；敌方单位被施加[银星]标记后，受到的[追加攻击]暴击伤害额外提升，提升效果等同于零号·安比暴击伤害的25%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</si>
  <si>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c("零号·安比对拥有[银星]标记的敌人造成的伤害提升20.8%；敌方单位被施加[银星]标记后，受到的[追加攻击]暴击伤害额外提升，提升效果等同于零号·安比暴击伤害的25%。", "队伍中存在[击破]或[支援]角色时触发：\n零号·安比的暴击率提升10%；当前操作中的角色为零号·安比时，全队角色[追加攻击]对拥有[银星]标记的敌人造成的伤害提升25%。"
    )</t>
  </si>
  <si>
    <t>c("零号·安比对拥有[银星]标记的敌人造成的伤害提升23%；敌方单位被施加[银星]标记后，受到的[追加攻击]暴击伤害额外提升，提升效果等同于零号·安比暴击伤害的27.5%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</si>
  <si>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c("零号·安比对拥有[银星]标记的敌人造成的伤害提升23%；敌方单位被施加[银星]标记后，受到的[追加攻击]暴击伤害额外提升，提升效果等同于零号·安比暴击伤害的27.5%。", "队伍中存在[击破]或[支援]角色时触发：\n零号·安比的暴击率提升10%；当前操作中的角色为零号·安比时，全队角色[追加攻击]对拥有[银星]标记的敌人造成的伤害提升25%。"
    )</t>
  </si>
  <si>
    <t>c("零号·安比对拥有[银星]标记的敌人造成的伤害提升25%；敌方单位被施加[银星]标记后，受到的[追加攻击]暴击伤害额外提升，提升效果等同于零号·安比暴击伤害的30%；[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</si>
  <si>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c("零号·安比对拥有[银星]标记的敌人造成的伤害提升25%；敌方单位被施加[银星]标记后，受到的[追加攻击]暴击伤害额外提升，提升效果等同于零号·安比暴击伤害的30%。", "队伍中存在[击破]或[支援]角色时触发：\n零号·安比的暴击率提升10%；当前操作中的角色为零号·安比时，全队角色[追加攻击]对拥有[银星]标记的敌人造成的伤害提升25%。"
    )</t>
  </si>
  <si>
    <t>潜能觉醒：电脉冲</t>
  </si>
  <si>
    <t>[额外能力：电极化]中，全队角色[追加攻击]对拥有[银星]标记的敌人造成的伤害提升效果提升至34%</t>
  </si>
  <si>
    <t>[额外能力：电极化]中，全队角色[追加攻击]对拥有[银星]标记的敌人造成的伤害提升效果提升至38%</t>
  </si>
  <si>
    <t>[额外能力：电极化]中，全队角色[追加攻击]对拥有[银星]标记的敌人造成的伤害提升效果提升至42%</t>
  </si>
  <si>
    <t>[额外能力：电极化]中，全队角色[追加攻击]对拥有[银星]标记的敌人造成的伤害提升效果提升至46%</t>
  </si>
  <si>
    <t>[额外能力：电极化]中，全队角色[追加攻击]对拥有[银星]标记的敌人造成的伤害提升效果提升至50%</t>
  </si>
  <si>
    <t>觉醒ID</t>
  </si>
  <si>
    <t>觉醒被动名称</t>
  </si>
  <si>
    <t>觉醒被动描述</t>
  </si>
  <si>
    <t>觉醒名称</t>
  </si>
  <si>
    <t>炽焰行歌 I</t>
  </si>
  <si>
    <t>炽焰行歌 II</t>
  </si>
  <si>
    <t>炽焰行歌 III</t>
  </si>
  <si>
    <t>炽焰行歌 IV</t>
  </si>
  <si>
    <t>炽焰行歌 V</t>
  </si>
  <si>
    <t>炽焰行歌 VI</t>
  </si>
  <si>
    <t>狩猎的风度 I</t>
  </si>
  <si>
    <t>狩猎的风度 II</t>
  </si>
  <si>
    <t>狩猎的风度 III</t>
  </si>
  <si>
    <t>狩猎的风度 IV</t>
  </si>
  <si>
    <t>狩猎的风度 V</t>
  </si>
  <si>
    <t>狩猎的风度 VI</t>
  </si>
  <si>
    <t>烈火的旋舞 I</t>
  </si>
  <si>
    <t>烈火的旋舞 II</t>
  </si>
  <si>
    <t>烈火的旋舞 III</t>
  </si>
  <si>
    <t>烈火的旋舞 IV</t>
  </si>
  <si>
    <t>烈火的旋舞 V</t>
  </si>
  <si>
    <t>烈火的旋舞 VI</t>
  </si>
  <si>
    <t>钢械交响曲 I</t>
  </si>
  <si>
    <t>钢械交响曲 II</t>
  </si>
  <si>
    <t>钢械交响曲 III</t>
  </si>
  <si>
    <t>钢械交响曲 IV</t>
  </si>
  <si>
    <t>钢械交响曲 V</t>
  </si>
  <si>
    <t>钢械交响曲 VI</t>
  </si>
  <si>
    <t>鲨气汹汹 I</t>
  </si>
  <si>
    <t>鲨气汹汹 II</t>
  </si>
  <si>
    <t>鲨气汹汹 III</t>
  </si>
  <si>
    <t>鲨气汹汹 IV</t>
  </si>
  <si>
    <t>鲨气汹汹 V</t>
  </si>
  <si>
    <t>鲨气汹汹 VI</t>
  </si>
  <si>
    <t>例无虚发 I</t>
  </si>
  <si>
    <t>例无虚发 II</t>
  </si>
  <si>
    <t>例无虚发 III</t>
  </si>
  <si>
    <t>例无虚发 IV</t>
  </si>
  <si>
    <t>例无虚发 V</t>
  </si>
  <si>
    <t>例无虚发 VI</t>
  </si>
  <si>
    <t>银白色的心 I</t>
  </si>
  <si>
    <t>银白色的心 II</t>
  </si>
  <si>
    <t>银白色的心 III</t>
  </si>
  <si>
    <t>银白色的心 IV</t>
  </si>
  <si>
    <t>银白色的心 V</t>
  </si>
  <si>
    <t>银白色的心 VI</t>
  </si>
  <si>
    <t>影画</t>
  </si>
  <si>
    <t>标题</t>
  </si>
  <si>
    <t>描述</t>
  </si>
  <si>
    <t>描述2</t>
  </si>
  <si>
    <t>快充模式</t>
  </si>
  <si>
    <t>[普通攻击]第四段斩击命中敌人时，安比的能量获得效率提升12%，持续30秒。</t>
  </si>
  <si>
    <t>「快充一分钟，战斗半小时！」
    为武器加装拓展功能模块的专家是这么保证的——
    使用效果也确实符合他的宣言。</t>
  </si>
  <si>
    <t>精准放电</t>
  </si>
  <si>
    <t>[普通攻击：落雷]命中处于失衡状态下的敌人时，招式造成的伤害提升30%；
    [强化特殊技]命中未处于失衡状态下的敌人时，招式造成的失衡值提升10%。</t>
  </si>
  <si>
    <t>「触电了，就会晕倒。」
    少女淡淡的望着面前轰然昏倒的敌人，补了一句：
    「电影里都是这么演的。」</t>
  </si>
  <si>
    <t>训练有素</t>
  </si>
  <si>
    <t>[普通攻击]、[闪避]、[支援技]、[特殊技]、[连携技] 技能等级+2</t>
  </si>
  <si>
    <t>奔跑、挥刀、动若雷霆。少女不是探索空洞的生手，而是精于此道的专家。</t>
  </si>
  <si>
    <t>电荷传导</t>
  </si>
  <si>
    <t>发动[连携技]或[终结技]时，为后场电属性角色回复3点能量；
    安比每拥有12%能量获得效率，回复量额外提升2点，最多额外提升6点。</t>
  </si>
  <si>
    <t>单打独斗不是长久之计，老练的盗洞客还会在战斗中适时为队友创造机会。</t>
  </si>
  <si>
    <t>街头经验</t>
  </si>
  <si>
    <t>狡兔屋的工作不仅能提升心理素质，还能（被迫）提升身体素质。</t>
  </si>
  <si>
    <t>充能电场</t>
  </si>
  <si>
    <t>发动[强化特殊技]时，安比获得8层充能（上限8层）；
    [普通攻击]或[冲刺攻击]命中敌人时，消耗1层充能，使当前招式造成的伤害提升45%。</t>
  </si>
  <si>
    <t>闪烁的电光在少女的指尖跳跃。
    少女抬起头，眼里盛着超出外貌年龄的坚毅。
    或许终有一日，她将成为掌控这须臾电光的人。</t>
  </si>
  <si>
    <t>猎鸟技巧</t>
  </si>
  <si>
    <t>从背后攻击命中敌人时，猫又无视目标16%物理伤害抗性；
    敌方处于失衡状态时，猫又对其的所有攻击均被视为背后攻击。</t>
  </si>
  <si>
    <t>娇小的猫又并没有强大的膂力，取而代之的是捕捉对手弱点的眼光，和准确攻击弱点的迅敏。</t>
  </si>
  <si>
    <t>猫鼠游戏</t>
  </si>
  <si>
    <t>当场上只有一名敌人且自身位于前场时，猫又的能量获得效率提升25%。</t>
  </si>
  <si>
    <t>猫咪们总是更喜欢玩弄猎物。
    当场上的「老鼠」只剩一只时，就是独属于她的玩乐时光了。</t>
  </si>
  <si>
    <t>好奇的左尾</t>
  </si>
  <si>
    <t>在旧文明的传说里，一根尾巴代表猫的一条命，里面寄宿着多年的生存智慧…
    这话是假的，但猫又积累的街头生存经验确实是真的。</t>
  </si>
  <si>
    <t>磨爪</t>
  </si>
  <si>
    <t>发动[强化特殊技]时，猫又的暴击率提升7%，
    最多叠加2层，持续15秒，每层效果单独结算持续时间。</t>
  </si>
  <si>
    <t>「多来点多来点！我全~部都能消化掉哟！」
    猫希人舔了舔爪子，眼睛亮晶晶的。</t>
  </si>
  <si>
    <t>幸运的右尾</t>
  </si>
  <si>
    <t>在旧文明的传说里，一根尾巴代表猫的一条命，里面寄宿着多年的生存智慧…
    有时候猫又也会好奇，如果自己能继续幸运地活下去，是不是还会长出新尾巴？</t>
  </si>
  <si>
    <t>捕食者血统</t>
  </si>
  <si>
    <t>发动[连携技]或[终结技]时，猫又的暴击伤害提升18%，最多叠加3层，退出接战状态时增益效果结束；猫又击败敌人时，该增益效果直接叠加至层数上限。</t>
  </si>
  <si>
    <t>「对猫希人来说，因攻击行为而获得的正向反馈，
    极有可能触发他们性格中所潜藏的暴力倾向。
    幸运的是，这种倾向似乎并不具有永久性效果…」
    ——摘自一本破旧的《猫希人不完全研究手册》</t>
  </si>
  <si>
    <t>增压强化弹</t>
  </si>
  <si>
    <t>[强化特殊技]造成的伤害和累积的属性异常积蓄值提升16%；
    发动[强化特殊技]时，每多蓄力0.1秒，在目标处生成的能量场持续时间提升0.15秒。</t>
  </si>
  <si>
    <t>「你们都被我强化了，赶紧上！」
    「什么，我、我才没有想趁机逃跑，只是需要休息下而已！」</t>
  </si>
  <si>
    <t>聚能装置</t>
  </si>
  <si>
    <t>触发[核心被动：机关箱]的减益效果时，妮可回复5点能量，15秒内最多触发一次。</t>
  </si>
  <si>
    <t>「不要小看增加的这一秒钟！」
    「你知道这一秒内，我能产生多少价值吗？那可是数都数不清！」
    「所以，我再多要10％的补贴，不过分吧？」</t>
  </si>
  <si>
    <t>狡兔智慧</t>
  </si>
  <si>
    <t>既没有卓绝的武力，也没有丰厚的资源，妮可能把狡兔屋运营至今靠的是灵活的头脑。</t>
  </si>
  <si>
    <t>领域扩增</t>
  </si>
  <si>
    <t>妮可发动[强化特殊技]、[连携技]、[终结技]时，
    在目标处生成的能量场攻击范围提升，直径增加3米。</t>
  </si>
  <si>
    <t>「这里，还有这里，以后都会成为狡兔屋的领域，你听明白了吗！」
    「什么，你问多久之后？」
    「呃…按照我们现在的营收状况，也就10000年左右吧！」</t>
  </si>
  <si>
    <t>业界红人</t>
  </si>
  <si>
    <t>虽然在业界仇人众多，但妮可还是屡次率领部下们从九死一生的险境里生还，狡兔屋的名气和经验也因此稳步提升。</t>
  </si>
  <si>
    <t>侵蚀能量场</t>
  </si>
  <si>
    <t>能量场对敌人造成伤害时，所有单位对该目标的暴击率提升1.5%，
    最多叠加10层，持续12秒，每层效果单独结算持续时间。</t>
  </si>
  <si>
    <t>选用更高级的机关弹药，装药量和浓缩以太物质含量均有所提高，更强的伤害、更长的持续时间…更贵的价格。</t>
  </si>
  <si>
    <t>快速升温</t>
  </si>
  <si>
    <t>成为接战状态下的当前操作角色时，若「11号」的能量不足40点，
    则立即回复至80点，50秒内最多触发一次。</t>
  </si>
  <si>
    <t>长期的高强度实战训练让「11号」掌握了对于自身状态的调控。
    她会竭尽全力，保证以最好的状态迎接每一场战斗。</t>
  </si>
  <si>
    <t>高温汇聚</t>
  </si>
  <si>
    <t>触发[火力镇压]时，[普通攻击]、[冲刺攻击]、[闪避反击]造成的伤害提升3%，
    最多叠加12层，持续15秒，每层效果单独结算持续时间。</t>
  </si>
  <si>
    <t>「虽然她看起来又冷又硬，跟个大冰块似的…」
    「实际上内心却是滚烫滚烫的呢，就像有火在燃烧。」
    ——来自黑曜石营内一位匿名的军人</t>
  </si>
  <si>
    <t>精锐士兵</t>
  </si>
  <si>
    <t>不论是训练还是实战，「11号」从来都是以最高标准要求自己，故而能一直拥有高标准的战斗力。</t>
  </si>
  <si>
    <t>纵情燃烧</t>
  </si>
  <si>
    <t>[普通攻击]第一、二、三段或[冲刺攻击]发动时，若触发[火力镇压]，
    则在招式发动期间抗打断等级提升，受到的伤害降低18%；
    [普通攻击]第四段发动时，若触发[火力镇压]，
    则在招式发动期间获得无敌效果。</t>
  </si>
  <si>
    <t>她很羡慕火焰。
    而这些尽情燃烧着的火焰，也总会帮到她。</t>
  </si>
  <si>
    <t>完美士兵</t>
  </si>
  <si>
    <t>从精锐到楷模是一次漫长的跨越，但「11号」依然咬牙坚持着，似乎暗中有些什么理由一直鞭策她向完美士兵这一目标努力…</t>
  </si>
  <si>
    <t>炽热心流</t>
  </si>
  <si>
    <t>发动[强化特殊技]、[连携技]或[终结技]时，「11号」获得8层充能（上限8层）；
    触发[火力镇压]时，消耗1层充能，使当前招式无视目标25%火属性伤害抗性。</t>
  </si>
  <si>
    <t>剑刃的火焰撩起热浪，银发少女的战斗越来越热烈，那份热度仿佛顺着呼吸渗入了精神，连思考也变得炽热起来。</t>
  </si>
  <si>
    <t>过往沉溺于渊下</t>
  </si>
  <si>
    <t>伊德海莉发动[强化特殊技]所需消耗的闪能减少10点；
    发动[强化特殊技：缠霜]或[强化特殊技：极寒重碾]后，保持长按「普通攻击」或「特殊攻击」按键，可以消耗35闪能，放弃回复生命值并立即衔接1次[强化特殊技：极寒重碾]，并使本次[强化特殊技：极寒重碾]回复的生命值额外提升100%；
    伊德海莉的[普通攻击]、[强化特殊技]无视目标20%冰属性伤害抗性。</t>
  </si>
  <si>
    <t>她在跌入深不可测的秘境。
    ——这里是何处，又将跌向何方？
    心下生出这份疑惑时，黑暗里好像有个声音在答：
    「这里是未知之处，将通向尽知之方。」
    还有阴影紧跟身边一同坠下，重重叠叠，无有穷尽。
    ——他们又是什么人，为什么他们的影子在这里落下？
    脑海浮现这般不解后，那个声音便再道：
    「他们是命运断绝之人，这里落下的是他们的过往。」
    于是，小小的女孩孤独地拥抱着自己，为那无数逝去的过往裹挟着，向下坠落。
    她茫然地睁大眼睛，放眼望去，在这渊底绽放的尽是冰冷、死寂、孤独。</t>
  </si>
  <si>
    <t>何人于此遐思</t>
  </si>
  <si>
    <t>伊德海莉的暴击伤害提升40%；成功触发[溯寒]或[追碾]后，持续回复闪能，
    每秒回复0.5点，最多30秒，重复触发时刷新持续时间。</t>
  </si>
  <si>
    <t>黑暗里沉睡着女孩的遐思。
    并非童真的奇思妙想，并非无拘的天马行空。
    她在思考那些能见的过往。
    「需要我做些什么？需要我来承担什么？」
    「幸好是我，不是其他人。」
    「我很擅长处理这份孤独…大概吧。」
    翻阅着那些过往，女孩坦然地接受这份有些沉重的天赋。</t>
  </si>
  <si>
    <t>无人聆听的故事</t>
  </si>
  <si>
    <t>人类原来是这样复杂的存在。
    一辈子可以有这么多的欢喜，有那么多的悲伤。
    可如今它们尽数落入这片虚无，将被吞没，将被泯灭，将被埋葬。
    无人会再在意这些欢欣的笑声，那些悲恸的哭泣。
    可是啊，这些无人聆听的故事啊，它们都被刻在了这座心渊。</t>
  </si>
  <si>
    <t>在静默中盛放</t>
  </si>
  <si>
    <t>[核心被动：拾梦空想]中，生命值降低时，伊德海莉获得的喧响值增加10%；
    处于[以太帷幕·涌泉]中时，伊德海莉的最大生命值额外提升5%。</t>
  </si>
  <si>
    <t>那朵花在黑暗中颤巍巍地绽放着，白色的、透明的，像是照着这座渊底唯一的光。
    ——原来那是一个脆弱又坚强的灵魂。
    在那无数下坠的黑影之中，在那层层冲刷而下的过往中…她没有被浸染，依然坚强地绽放着自我。
    可终究…她也会在无依的飘摇中消散？</t>
  </si>
  <si>
    <t>并非虚构的慰藉</t>
  </si>
  <si>
    <t>「好漂亮的眼睛…我还在梦里吗…」
    这是初次的相见，也是与「真实」的相遇。
    在那虚妄，怪诞，好似能将吞噬一切的荒芜渊底，她望见了那双眼睛。
    就好似炎热沙漠里钻出的一抹绿意，干涸河床中涌出的一眼清泉。
    「我好像得到了呢…会主动予以我回应的期待。」</t>
  </si>
  <si>
    <t>终逢安宁之梦</t>
  </si>
  <si>
    <t>伊德海莉消耗喧响值开启或延长[以太帷幕·涌泉]后，将获得[启谛]，持续30秒；
    [启谛]期间，伊德海莉造成的贯穿伤害提高25%，首次受到致命伤害时，生命值最多降低至1，在5秒内不会战败退场并持续回复25%生命值。</t>
  </si>
  <si>
    <t>沉溺在那些翻涌的过往时，她不曾有须臾安宁。
    唯有向孤独索取——避开繁世的嘈杂，沉浸在怪诞的故事里，在朦胧的雨雾遮蔽下，亦或是温暖的水流拥护中，求取片刻静谧。
    可如今她能安然漫步于人潮之中，不再烦恼声色的喧闹，阳光的灼烈，因为「虚妄」不再困囿她的精神，「真实」使她的灵魂得以依托。</t>
  </si>
  <si>
    <t>开放性创伤</t>
  </si>
  <si>
    <t>[连携技]或[终结技]命中敌人时，可琳对目标造成的伤害提升12%，持续15秒。</t>
  </si>
  <si>
    <t>「大小姐说，做事情的时候一定要专注，不能被周围影响。」
    「可琳练习了很久，终于可以做到了！」
    「可是…你看到了吗，大小姐…」</t>
  </si>
  <si>
    <t>裂解效应</t>
  </si>
  <si>
    <t>[强化特殊技]、[连携技]或[终结技]命中敌人时，目标的物理伤害抗性下降0.5%，
    最多叠加20层，持续5秒，每层效果单独结算持续时间。</t>
  </si>
  <si>
    <t>「对不起，以骸先生或者以骸女士！」
    「但是可琳需要完成自己的任务…真的很抱歉！」
    少女真诚而愧疚地对着面前的怪物道歉——
    一边挥动着手上的电锯，将面前的敌人们尽数消灭。</t>
  </si>
  <si>
    <t>初级女仆</t>
  </si>
  <si>
    <t>「为、为了成为能独当一面的女仆，可琳会加油努力的！」
    ——可琳手持锯子，一边走向以骸一边说道</t>
  </si>
  <si>
    <t>战场随侍</t>
  </si>
  <si>
    <t>发动[快速支援]、[招架支援]或[连携技]时，可琳回复7.2点能量，16秒内最多触发一次。</t>
  </si>
  <si>
    <t>勤恳认真的女仆小姐，对待任何事情都是一心一意的。
    当然，也包括在战场上面对敌人的时候。</t>
  </si>
  <si>
    <t>特勤女仆</t>
  </si>
  <si>
    <t>「唔…对、对不起，可琳笨手笨脚的，没办法把东西切得很均匀…」
    ——看着脚下遍布的以骸残块，可琳沮丧地说道</t>
  </si>
  <si>
    <t>厚积薄发</t>
  </si>
  <si>
    <t>持续斩击命中敌人时，可琳获得1层充能（最多40层）；
    在[闪避反击]、[特殊技]、[强化特殊技]、[快速支援]、[支援突击]中，引爆电锯命中敌人时，
    消耗所有充能，每层充能使本次攻击额外造成可琳3%攻击力的伤害。</t>
  </si>
  <si>
    <t>可琳知道，自己并不是最厉害的女仆，也不是最聪明的女仆。
    但她希望能成为最努力的女仆。
    过去积累的每一份努力，都有存在的意义。</t>
  </si>
  <si>
    <t>楔式进军</t>
  </si>
  <si>
    <t>成为接战状态下的当前操作角色时，凯撒立即为全队提供[荣光之盾]，300秒内最多触发一次；
    [荣光之盾]存在期间，持有者附近5米范围内敌人的全属性伤害抗性降低15%。</t>
  </si>
  <si>
    <t>「大老爹教过我，这时候就该以强大的兵力构成楔子般的队形，向敌方最薄弱之处进行攻击——」
    「当然，是由我来打头阵！」</t>
  </si>
  <si>
    <t>异域传承</t>
  </si>
  <si>
    <t>[核心被动：坚韧之壁]中，[荣光之盾]存在期间，
    凯撒的能量获得效率提升10%，持有者的攻击力提升效果提升至原本的150%。</t>
  </si>
  <si>
    <t>凯撒的战斗方式与新艾利都或是外环的风格都略有不同，继承成自流浪者集团最厉害的武者们。
    在恰当的时候收敛锋芒，在恰当的时候一击毙命——这向来是流浪者们的生存之道。
    而凯撒一直是个好学生。</t>
  </si>
  <si>
    <t>绝对信任</t>
  </si>
  <si>
    <t>一旦认可某个人之后，凯撒就会把对方划到自己的麾下，并予以其绝对的信任，毫不设防…
    一如她现在对待你那样。</t>
  </si>
  <si>
    <t>阿瑞斯攻城锤</t>
  </si>
  <si>
    <t>凯撒发动[连携技]或[终结技]时，额外回复3点[支援点数]；
    凯撒的能量值不足20点时，可以消耗1点[支援点数]作为代替，
    发动[强化特殊技：超强力盾击]，代替效果5秒内最多触发一次。</t>
  </si>
  <si>
    <t>凯撒在流浪者集团导师教育下学会的战术之一。
    「无论如何，我会战到最后一刻！」</t>
  </si>
  <si>
    <t>浪漫征伐</t>
  </si>
  <si>
    <t>与外表不同，凯撒拥有特别的浪漫情怀。
    例如她总是对一些恋爱戏码充满了好奇心。
    但如果你和她更「深入」地聊这个话题…凯撒则会难得红了脸。</t>
  </si>
  <si>
    <t>霸主之志</t>
  </si>
  <si>
    <t>[强化特殊技：超强力盾击]和[支援突击：支援之锋]必定触发暴击，
    招式造成的伤害提升50%，对主要目标造成的伤害额外提升50%；
    凯撒发动[强化特殊技：超强力盾击]或[支援突击：支援之锋]时，
    自身暴击率提升30%，暴击伤害提升60%，持续15秒。</t>
  </si>
  <si>
    <t>「我曾只看向前方。我以为只要自己够强，就没有办不到的事。」
    「但要成为优秀的霸主，这还远远不够。」
    「我还需要守护好后方的同伴——他们才是我最大的底气。」</t>
  </si>
  <si>
    <t>闪亮登场</t>
  </si>
  <si>
    <t>[冲刺攻击]或[闪避反击]命中敌人时，比利额外回复2.7点能量，5秒内最多触发一次。</t>
  </si>
  <si>
    <t>「作为反派，你们也太老实了！」
    「就像为了配合主角登场，故意设置的固定靶一样！」</t>
  </si>
  <si>
    <t>游斗射术</t>
  </si>
  <si>
    <t>[闪避反击]造成的伤害提升25%；
    [普通攻击]中的翻滚射击将被视为闪避动作，在招式发动期间获得无敌效果，
    并且能够触发[极限闪避]，翻滚射击触发[极限闪避]时，将自动衔接[闪避反击]。</t>
  </si>
  <si>
    <t>「星徽骑士从来不会逃避危险，那叫做战术游走射击！」
    ——星徽闪耀-交流区，会员「哦梦中的莫妮卡」留言。</t>
  </si>
  <si>
    <t>星徽骑士的教导</t>
  </si>
  <si>
    <t>绝不懈怠训练，绝不停止进步！这是星徽骑士倡导的精神。比利真的相信，而且真的在遵守。</t>
  </si>
  <si>
    <t>星徽-惩戒弹药</t>
  </si>
  <si>
    <t>[强化特殊技]命中敌人时，招式的暴击率随自身与目标之间的距离而提升；
    比利与目标距离越近，提升效果越显著，最高提升32%。</t>
  </si>
  <si>
    <t>比利独创的爆破型子弹，
    在近身战时有着惊人的威力。
    不过比利改造子弹的本意，是让开枪时的演出效果更加帅气。</t>
  </si>
  <si>
    <t>失落技术构造体</t>
  </si>
  <si>
    <t>未知的精密元件和独特的构造设计带给了比利远超同侪的性能…和维修养护费用。</t>
  </si>
  <si>
    <t>星徽-英雄时刻</t>
  </si>
  <si>
    <t>累计命中敌人10次或触发[极限闪避]时，比利造成的伤害提升6%，
    最多叠加5层，被敌方击退或击飞后增益效果重置。</t>
  </si>
  <si>
    <t>「呼~感觉来了！安比你让开，现在是我的主场！」
    「呃，安比，能帮忙放一下星徽骑士片头曲吗？」
    ——狡兔屋内部「十大禁句」评选，安比的提案。</t>
  </si>
  <si>
    <t>雪上加霜</t>
  </si>
  <si>
    <t>在[霜月架势]期间，每消耗1点[落霜]，
    [普通攻击：霜月]将无视目标6%防御力，最多叠加6层，退出[霜月架势]后增益效果结束；
    在[普通攻击：霜月]中进行三段蓄力，斩击命中处于[霜灼]状态下的敌人时，
    可以立即消除目标的[霜灼]状态，并使全队角色属性异常积蓄效率提升20%，持续10秒。</t>
  </si>
  <si>
    <t>雅自幼起便喜欢吟诵霜雪相关的诗句。
    即使初见时不能完全理解，但她依旧日复一日地思索着。
    不知不觉间，她已明悟出其中的真意。
    不是在某个清朗的雪夜，而是在刀刃相向的战场上。</t>
  </si>
  <si>
    <t>吐纳法</t>
  </si>
  <si>
    <t>[普通攻击：风花]和[闪避反击]造成的伤害提升30%；
    第五段[普通攻击：风花]最后一击命中敌人时，星见雅获得1点[落霜]；
    进入战场时，星见雅立刻获得6点[落霜]，自身暴击率提升15%。</t>
  </si>
  <si>
    <t>「刀刃如常，心亦如是。」这是星见流剑术的训诫之一。
    击倒敌人只是致胜的第一步，在战斗中不失从容之心、
    保持毫不懈怠的仪态始终如一，才是武者的修行之道。</t>
  </si>
  <si>
    <t>武者修养</t>
  </si>
  <si>
    <t>武家出身的雅有着极好锻炼习惯，剑术修行是不能断的。什么？要开会？那就翘掉开会。</t>
  </si>
  <si>
    <t>皲裂</t>
  </si>
  <si>
    <t>[霜灼·破]造成的伤害提升30%，触发[霜灼·破]时，星见雅额外获得250点喧响值。</t>
  </si>
  <si>
    <t>战斗时轻吟诗句，可以调节呼吸的节律。
    无论是心境还是呼吸，少女都时刻保持在盛开前的最佳状态。</t>
  </si>
  <si>
    <t>纪念日</t>
  </si>
  <si>
    <t>少女带着鲜花来到那个熟悉的地方，呼出的气化作白雾，融化在冰冷的空气里。
    她的指尖轻轻抚过纪念碑上的那个名字。
    周围的一切都很安静，如同最沉默的见证者。</t>
  </si>
  <si>
    <t>天资卓越</t>
  </si>
  <si>
    <t>在[霜月架势]期间，星见雅将获得[极意]效果，使[普通攻击：霜月]造成的伤害提升30%，获得[极意]效果后，消耗[落霜]时，星见雅会根据当前蓄力段数，自动拔刀向前方发动强力斩击；
    在[落霜]耗尽前，拔刀斩击不会打断[霜月架势]下的蓄力进度；
    在一次[霜月架势]期间，最多连续发动3次拔刀斩击。</t>
  </si>
  <si>
    <t>经历的战斗数量越多，越是能让外人察觉到一个事实：若是有刀剑的神灵存在，那他们一定颇为偏爱星见雅。</t>
  </si>
  <si>
    <t>锤击节奏</t>
  </si>
  <si>
    <t>当衔接在[普通攻击]第二、第四段或强化[普通攻击]后，
    快速发动[特殊技]或[强化特殊技]时，招式造成的失衡值提升15%。</t>
  </si>
  <si>
    <t>火爆的脾气只是表象，其实珂蕾妲心思很细腻。比如她知道什么时候挥锤能打得更痛。</t>
  </si>
  <si>
    <t>动能回收</t>
  </si>
  <si>
    <t>[强化特殊技]命中敌人时，珂蕾妲回复60点能量，45秒内最多触发一次。</t>
  </si>
  <si>
    <t>对珂蕾妲来说，完美的锤击自有独特的节奏。
    像是加速敲击手鼓，每一击都在为下一次更强的节拍蓄力。
    当然，面前的「玩具」能够撑住几下，就不好说了。</t>
  </si>
  <si>
    <t>「别惹我！」</t>
  </si>
  <si>
    <t>作为合格的「玩具」，当珂蕾妲逐渐找到挥锤的手感时，
    最好不要节外生枝惹麻烦，只要老老实实挨锤就好。
    ——毕竟，反抗又有什么用呢？</t>
  </si>
  <si>
    <t>熔炉余温</t>
  </si>
  <si>
    <t>消耗[熔炉升温]发动强化[普通攻击]时，珂蕾妲获得1层充能（上限2层）；
    [连携技：天崩-地裂]或[终结技：锤进地心]命中敌人时，消耗所有充能，每层充能使当前招式造成的伤害提升18%。</t>
  </si>
  <si>
    <t>当炽热的挥锤让周围温度上升后，珂蕾妲便进入了作战状态。
    现在，她比以太炸药更易燃易爆。</t>
  </si>
  <si>
    <t>「敢小瞧我？」</t>
  </si>
  <si>
    <t>珂蕾妲非常在意自己这个年轻的首领会让外人小瞧白祇重工。为了弥补这一点，她总是悄悄努力训练。</t>
  </si>
  <si>
    <t>饱和爆破</t>
  </si>
  <si>
    <t>在[强化特殊技]、[连携技]或[终结技]中，引发爆炸命中敌人时，
    额外造成珂蕾妲360%攻击力的伤害。</t>
  </si>
  <si>
    <t>在珂蕾妲眼里，讨厌的人分为两种：
    笨蛋，和无可救药的笨蛋。
    万幸的是，白祇重工向来不缺烈性以太炸药。
    多余的份正好可以用在这些笨蛋头上。</t>
  </si>
  <si>
    <t>热身运动</t>
  </si>
  <si>
    <t>[电钻攻击]命中敌人时，能够额外回复能量；同一招式内，该效果最多为安东回复5点能量。</t>
  </si>
  <si>
    <t>「醒了吗？转起来，兄弟！」
    「跟上节奏，现在是早操时间！」</t>
  </si>
  <si>
    <t>气势如虹</t>
  </si>
  <si>
    <t>发动[强化特殊技]进入[爆发状态]时，获得等同于安东7.5%生命值上限的护盾；
    在[爆发状态]下进入接战状态或换入前场时，将刷新护盾效果，15秒内最多触发一次；
    退出[爆发状态]时，该护盾效果结束。</t>
  </si>
  <si>
    <t>经过长期的艰苦训练，有少部分幸运儿在进行高强度运动时，会爆发绝佳气势，超水平发挥自身能力，俗称「领域」。
    现在，你准备好一起动起来，进入「领域」了吗？
    ——燃油饮独家冠名节目，「早安，热血上班族！」</t>
  </si>
  <si>
    <t>轮岗培训</t>
  </si>
  <si>
    <t>什么都会一点只能叫平庸，但在情况复杂多变的空洞作业现场，多一个技能有时就意味着多一个突破困境的可能。</t>
  </si>
  <si>
    <t>一起燃烧！</t>
  </si>
  <si>
    <t>发动[连携技]或[终结技]时，全队角色暴击率提升10%，持续12秒。</t>
  </si>
  <si>
    <t>「想想平时训练的感觉，一起动起来！」
    当安东开始认真时，所有人的动作都会跟着变得利索起来。
    毕竟，如果跟不上他的节拍，明天的早操是要单独加练的。</t>
  </si>
  <si>
    <t>全栈专家</t>
  </si>
  <si>
    <t>什么都会一点只能叫平庸，但如果你足够坚定，从「会一点」变成「很擅长」，那你就是全能！</t>
  </si>
  <si>
    <t>突破极限</t>
  </si>
  <si>
    <t>[打桩攻击]造成暴击时，[普通攻击：热血上工操（爆发状态）]和[闪避反击：过载钻击（爆发状态）]造成的伤害提升4%，最多叠加6层，持续30秒，重复触发时刷新持续时间。</t>
  </si>
  <si>
    <t>「哦，兄弟！你也想燃烧吗！」
    每当安东想要突破极限时，
    「兄弟」便会爆发出惊人的转速，以嗡鸣声应和着他的意志。</t>
  </si>
  <si>
    <t>反作用力</t>
  </si>
  <si>
    <t>发动[特殊技]或[强化特殊技]，成功格挡敌人的攻击时，
    攻击者造成的伤害降低30%，持续15秒。</t>
  </si>
  <si>
    <t>「力的作用是相互的，为什么还要正面撞过来？」
    「看来你没有好好计算过」</t>
  </si>
  <si>
    <t>以守为攻</t>
  </si>
  <si>
    <t>在[特殊技]或[强化特殊技]中，成功触发格挡反击时，额外造成本300%防御力的伤害。</t>
  </si>
  <si>
    <t>不像其他熊希人，战斗时的本非常有耐心。
    因为他相信，只要做好防护，一定能等到敌人露出破绽的时刻。</t>
  </si>
  <si>
    <t>精打细算</t>
  </si>
  <si>
    <t>担当财务负责人必须学会精打细算，用一切可用的资源强化大家和自己。</t>
  </si>
  <si>
    <t>灵活应变</t>
  </si>
  <si>
    <t>在[特殊技]或[强化特殊技]中，通过无敌效果成功格挡攻击时 ，后继反击造成的伤害提升30%。</t>
  </si>
  <si>
    <t>出于会计的职业本能，
    本总是会根据形式，动态调整自己的对策。
    无论是账目还是对敌，务必以最小成本达到最佳效果。</t>
  </si>
  <si>
    <t>巨细靡遗</t>
  </si>
  <si>
    <t>本敏锐的眼光不会放弃任何报表上的错误，同样也不会放过自己战斗方式上的失误，在纠错中逐渐变强。</t>
  </si>
  <si>
    <t>野性斗志</t>
  </si>
  <si>
    <t>在[强化特殊技]中发动攻击或追加强力打击后，
    [普通攻击]、[冲刺攻击]、[闪避反击]造成的失衡值提升20%，持续12秒。</t>
  </si>
  <si>
    <t>熊希人与犬希人不同，
    并不能用食物安抚他们躁动的情绪。
    当他们发脾气时，你唯一能做的就是跑快一点，跑远一点…
    ——下架书籍《做个好邻居！与希人相处的100个小窍门》</t>
  </si>
  <si>
    <t>振奋汇流</t>
  </si>
  <si>
    <t>苍角触发[核心被动：刃旗助威]或[额外能力：团膳套餐]时，增益效果的持续时间提升8秒。</t>
  </si>
  <si>
    <t>蓄能完毕后，特制充能模块可以形成以太能量风场，为周围的以太设备充能。
    对苍角来说，这就像她最喜欢的聚餐时刻。
    「大家~来吃自助餐咯！」</t>
  </si>
  <si>
    <t>实验型充能模块</t>
  </si>
  <si>
    <t>[普通攻击]、[冲刺攻击]、[闪避反击]、[快速支援]命中敌人时，
    苍角有15%的概率获得一层[涡流]，1秒内最多触发一次；
    [涡流]层数到达上限后，若再次获得[涡流]，将改为苍角回复1.2点能量。</t>
  </si>
  <si>
    <t>充能模块能够在战斗中不断积蓄能量，
    因此被研发部门视作划时代的新概念战术兵器。
    但对苍角来说，蓄能完毕，只意味着开饭的时间到了。</t>
  </si>
  <si>
    <t>出勤餐补</t>
  </si>
  <si>
    <t>要激励苍角努力锻炼的方法非常简单：提高出勤的餐饮补助标准就行。</t>
  </si>
  <si>
    <t>失温症</t>
  </si>
  <si>
    <t>[展旗]攻击命中敌人时，目标的冰属性伤害抗性降低10%，持续8秒。</t>
  </si>
  <si>
    <t>特制武装战鬼刃旗内置强大的制冷装置，产生冷气的催化剂中含有以太物质，能深度伤害被击中的敌人。</t>
  </si>
  <si>
    <t>夜宵福利</t>
  </si>
  <si>
    <t>要进一步激励苍角努力锻炼的方法也很简单：在出勤餐补之外再追加夜宵。</t>
  </si>
  <si>
    <t>朔风侵袭</t>
  </si>
  <si>
    <t>[霜染刃旗]状态下，强化[普通攻击]和强化[冲刺攻击]的可发动次数提升至12次，
    且招式造成的伤害提升45%。</t>
  </si>
  <si>
    <t>解开刃旗内的保险装置，让武器以最大功率模式运转，不仅战斗没问题…用来吹凉便当也没问题。</t>
  </si>
  <si>
    <t>满月蓄势</t>
  </si>
  <si>
    <t>[强化特殊技：狂猎时刻]命中敌人时，招式造成的失衡值提升12%，8秒内最多触发一次；
    在[强化特殊技：狂猎时刻]中完成蓄力时，该增益效果额外提升10%。</t>
  </si>
  <si>
    <t>据记载，当狼人身处月夜的时候，其攻击性将有显著提升。
    「不要直视月亮。」</t>
  </si>
  <si>
    <t>能量回馈</t>
  </si>
  <si>
    <t>使敌人失衡或触发队友的[连携技]时，莱卡恩回复5点能量，1秒内最多触发一次。</t>
  </si>
  <si>
    <t>「对于犬科动物来说，当他们完成某些较难的任务后，大脑所产生的兴奋感会短暂地提升他们的精神能量。」
    「这时作为主人的你若是可以摸摸他们的头，以示鼓励，他们将为此感到非常开心…」
    ——摘自《犬类动物不靠谱研究手册》</t>
  </si>
  <si>
    <t>执事教养</t>
  </si>
  <si>
    <t>他的举手投足总是充满从容，他的言谈举止让人如沐春风。执事的教养就是让一切都在掌握中。</t>
  </si>
  <si>
    <t>保持风度</t>
  </si>
  <si>
    <t>在[普通攻击]或[特殊技]的发动期间受到敌方攻击时，莱卡恩立刻获得等同于自身7.5%生命值上限的护盾，持续15秒，护盾持续期间抗打断等级提升，15秒内最多触发一次。</t>
  </si>
  <si>
    <t>「优秀的执事，在任何情况下都能保持风度。」</t>
  </si>
  <si>
    <t>头狼本色</t>
  </si>
  <si>
    <t>他的眼神暗藏野性，他的喉间滚动嚎音。不论现在的他如何优雅，礼服下的他依然凶猛。</t>
  </si>
  <si>
    <t>冷酷猎手</t>
  </si>
  <si>
    <t>蓄力攻击命中敌人时，莱卡恩对目标造成的伤害提升10%，最多叠加5层，持续12秒；
    同一招式内最多叠加1层效果，重复触发时刷新持续时间。</t>
  </si>
  <si>
    <t>「抱歉，即使如此，我也是不会手下留情的。」
    「毕竟，空洞可不是什么需要公平对决的地方。」</t>
  </si>
  <si>
    <t>队形操练中</t>
  </si>
  <si>
    <t>亲卫队小猪发动[亲卫队小猪：回旋挥击！]时，为露西回复2点能量，
    15秒内最多触发一次，每只亲卫队小猪单独结算冷却时间。</t>
  </si>
  <si>
    <t>「阿草，向右看齐！…那是左边，笨蛋！！！」
    一声令下，两种方向，三阵惨呼，四面哀嚎。</t>
  </si>
  <si>
    <t>小猪大队长</t>
  </si>
  <si>
    <t>露西发动[连携技]或[终结技]时，
    将为全队角色、邦布和亲卫队小猪施加[加油！]状态，持续10秒。</t>
  </si>
  <si>
    <t>「毋庸置疑，露西队长是卡吕冬野猪希人最棒的领导者！」
    这是阿木在「卡吕冬之子年度工作报告」中的结语。</t>
  </si>
  <si>
    <t>铁腕监护人</t>
  </si>
  <si>
    <t>「要是露西队长在打飞我们的时候下手轻点就更好了。」
    这是阿木没敢说出来的后半句心里话。</t>
  </si>
  <si>
    <t>无规则球赛</t>
  </si>
  <si>
    <t>处于[加油！]状态下的友方单位，暴击伤害额外提升10%。</t>
  </si>
  <si>
    <t>规则和裁判的肋骨，总有一样要被打破。</t>
  </si>
  <si>
    <t>荒原贵公主</t>
  </si>
  <si>
    <t>对球棍下惨叫的对手用敬语，
    向匍匐在脚边的敌人说抱歉，
    这就是千金的完美礼仪。</t>
  </si>
  <si>
    <t>处于[加油！]状态下的队友[强化特殊技]命中敌人时，
    一只亲卫队小猪会从空中落地引发爆炸，造成等同于亲卫队小猪300%攻击力的火属性伤害，
    并使全队角色、邦布和亲卫队小猪的[加油！]状态的持续时间提升5秒；
    持续时间最多提升3次，上限30秒，重新获得[加油！]状态时刷新可提升次数；
    亲卫队小猪落地引发爆炸后，将会发动一次[亲卫队小猪：回旋挥击！]。</t>
  </si>
  <si>
    <t>被称为「赤鬣亲卫队」的小猪希人们总是冲锋在战斗的最前线！
    虽然说不清从球棒起飞的那一刹那，心绪是万念俱灰还是心甘情愿。
    勇敢小猪，身先士卒！</t>
  </si>
  <si>
    <t>常胜冠军</t>
  </si>
  <si>
    <t>在[核心被动：助燃剂]所施加的减益效果中，
    [溃败]效果将使失衡持续时间提升5秒，冰属性伤害抗性和火属性伤害抗性将额外降低10%；
    在轻拳起攻或刺拳连击期间耗尽[士气]，自动衔接发动强力终结一击时，
    强力终结一击造成的伤害提升30%。</t>
  </si>
  <si>
    <t>常胜冠军的胜利至关重要。与对面最强的战士决斗，为团长解决威胁——同时为团队带来巨大的士气鼓舞。
    对他来说，唯有胜利值得赞颂。
    「常胜冠军不能倒下。」</t>
  </si>
  <si>
    <t>红围巾</t>
  </si>
  <si>
    <t>通过[核心被动：助燃剂]对敌人施加[溃败]效果时，目标的失衡易伤倍率提升25%；
    [额外能力：斗志昂扬]中由[昂扬]提供的冰属性伤害和火属性伤害增益效果提升至原本的120%。</t>
  </si>
  <si>
    <t>作为卡吕冬之子的「红围巾」，莱特在外环非常有名。
    不只是因为他的拳头，也因为…某些说话风格。
    「虽然我乐得清闲…不过没有我的话，你们也搞不定吧？」</t>
  </si>
  <si>
    <t>佣兵团长</t>
  </si>
  <si>
    <t>「我大概是全世界最不适合当团长的人吧。」</t>
  </si>
  <si>
    <t>墨镜</t>
  </si>
  <si>
    <t>莱特位于后场时，前场角色的能量自动回复效率提升10%；
    莱特进入[士气喷发]状态时，为后场角色回复4点能量，18秒内最多触发一次。</t>
  </si>
  <si>
    <t>「问我为什么要带墨镜？嗯…因为我晕血啊，大概吧。」</t>
  </si>
  <si>
    <t>决策者</t>
  </si>
  <si>
    <t>「给我命令，我来照做。就这么简单。」
    莱特推了推自己的墨镜，笑得漫不经心。
    「别再让我来做决定就行。」</t>
  </si>
  <si>
    <t>幸存者</t>
  </si>
  <si>
    <t>莱特的[士气]回复效率提升至原本的200%；莱特在[普通攻击]、[闪避反击]、[特殊技]、[强化特殊技]、[快速支援]、[支援突击]、[连携技]、[终结技]中发动重击命中敌人时，将会触发[火焰冲击]效果，造成250%攻击力的火属性伤害，每个敌人8秒内最多触发一次；若莱特的冲击力高于170点，每超过1点冲击力会使[火焰冲击]的倍率额外提升5%，最多提升500%；在轻拳起攻或刺拳连击期间耗尽[士气]，自动衔接发动强力终结一击命中敌人时，可以忽略冷却时间，额外触发一次[火焰冲击]效果。</t>
  </si>
  <si>
    <t>重来一次，他绝不会选择成为唯一的幸存者。
    可惜命运向来无法选择。</t>
  </si>
  <si>
    <t>热络同心</t>
  </si>
  <si>
    <t>[燃点]的上限从100点提升至140点，进入战场时，柏妮思额外累积40点[燃点]；
    [余烬]效果的伤害倍率提升，提升效果等同于柏妮思攻击力的100%；
    [余烬]效果累积的火属性异常积蓄值提升25%。</t>
  </si>
  <si>
    <t>「谁都有不够顺利的时候，很正常啦！」
    「别难过，凯撒，来一杯燃油饮特调怎么样？我加了很多很多糖哦！」</t>
  </si>
  <si>
    <t>加量不加价</t>
  </si>
  <si>
    <t>触发[余烬]效果时，将对敌人施加[热意洞穿]，
    最多叠加5层，持续6秒，重复触发时刷新持续时间；
    受到我方攻击时，目标每拥有一层[热意洞穿]，本次攻击的穿透率提升4%，最多提升20%。</t>
  </si>
  <si>
    <t>作为卡吕冬之子的调饮师，柏妮思乐于为所有朋友调制新艾利都最美味的燃油饮。
    当然，如果你是她的「敌人」…则会有机会喝到前所未有的新口味饮品。
    「是一生只能喝一次的超绝美味哦！」</t>
  </si>
  <si>
    <t>天性乐观</t>
  </si>
  <si>
    <t>「柏妮思那家伙，不管什么时候都是一副元气满满的样子啊！就连刚起床都是！真不知道她从哪来这么多能量…」
    「更可怕的是，她还能把身边人都带动着积极起来！这简直快称得上是妖怪了吧！」
    「不过…我倒是不讨厌就是啦…」
    ——来自一位不愿意透露姓名的猪猪管理者</t>
  </si>
  <si>
    <t>超绝燃油补给</t>
  </si>
  <si>
    <t>[强化特殊技]或[支援攻击]命中敌人时，招式的暴击率提升30%；
    [强化特殊技：灼热摇荡法·双份]中，火焰喷射的持续时间上限提升1秒。</t>
  </si>
  <si>
    <t>「喜欢我调的饮料？谢谢你，大钢牙也很喜欢~那家伙一顿能吃两百升呢！」
    「哦，大钢牙就是我们的那辆大卡车啦！」
    「想尝尝它的特供燃油吗？很火热的哦~」</t>
  </si>
  <si>
    <t>火与冰之舞</t>
  </si>
  <si>
    <t>在调制饮品的时候，冰块也是非常重要的一环。
    毕竟没有极致的冰冷，就难以衬托出极致的火热。
    「这种火与冰交融的感觉~真令人沉迷呢！」</t>
  </si>
  <si>
    <t>盛焰邀约</t>
  </si>
  <si>
    <t>柏妮思的[强化特殊技：灼热摇荡法·双份]命中敌人时，将额外触发特殊的[余烬]效果，
    对目标造成等同于柏妮思60%攻击力的火属性伤害，0.5秒内最多触发1次，无需消耗[燃点]；
    发动[强化特殊技：灼热摇荡法·双份]命中敌人后，招式发动期间，
    [强化特殊技：灼热摇荡法·双份]、特殊的[余烬]效果、[灼烧]效果
    将无视目标25%火属性伤害抗性；
    在[强化特殊技：灼热摇荡法·双份]中发动火焰冲击命中处于[灼烧]状态下的敌人时，
    能够额外结算一次[灼烧]伤害，伤害效果等同于原本的1800%，同一目标20秒内最多触发一次。</t>
  </si>
  <si>
    <t>好像从来没有谁见过柏妮思真正生气的样子。
    「相信我，你们不会想要看到的~」
    ——来自一位正在大钢牙上准备入睡的司机</t>
  </si>
  <si>
    <t>再充能弹膛</t>
  </si>
  <si>
    <t>[普通攻击]第四段每次命中敌人时，全队角色回复0.25点能量；
    同一招式内，该效果最多为全队回复2点能量。</t>
  </si>
  <si>
    <t>效率是工程学的生命。在格莉丝的枪膛里，回响着工程学的心跳声。</t>
  </si>
  <si>
    <t>电致击穿</t>
  </si>
  <si>
    <t>在[普通攻击]、[特殊技]、[强化特殊技]等招式中投掷手雷命中敌人时，
    目标的电属性伤害抗性降低8.5%，电属性异常积蓄抗性降低8.5%，持续8秒。</t>
  </si>
  <si>
    <t>「解剖」复杂的机械结构是格莉丝最大的爱好，即使是在战斗之中。
    被解剖者会作何感想呢？当它们每一方寸的破绽都如此赤裸。</t>
  </si>
  <si>
    <t>首席机械师</t>
  </si>
  <si>
    <t>格莉丝亲自参与编写了《白祇重工安全施工指南》，
    并且成为了违反「禁止在施工场地携带危险爆炸物」条例次数最多的员工。</t>
  </si>
  <si>
    <t>爆破电容</t>
  </si>
  <si>
    <t>发动[强化特殊技]时，格莉丝获得6层充能（上限6层）；
    [普通攻击：高压射钉]或[冲刺攻击：突击检查]命中敌人时，消耗1层充能，使当前招式的能量获得效率提升20%。</t>
  </si>
  <si>
    <t>安东怀疑，在被格莉丝称为「电脉冲回收模块」的元件里，其实有一只以太仓鼠在不分昼夜地鼠力发电。
    「能在我兄弟上也整一个吗？」</t>
  </si>
  <si>
    <t>「冰冷铁魔女」</t>
  </si>
  <si>
    <t>「冰冷铁魔女」能够驯服任何机械造物，至少起这个名字的匿名粉丝是这么认为的。</t>
  </si>
  <si>
    <t>起爆扳机</t>
  </si>
  <si>
    <t>消耗所有[电能]发动[特殊技]或[强化特殊技]时，能够强化招式效果，
    额外投掷一颗手雷，并使每颗手雷造成的伤害提升至原本的200%。</t>
  </si>
  <si>
    <t>白祇重工旗下员工的平均血液温度是九十八摄氏度，格莉丝总是被当作沸腾前的降温阀。
    当格莉丝放弃了克制，大家就知道，是时候把耳朵捂上了。</t>
  </si>
  <si>
    <t>凛冬前兆</t>
  </si>
  <si>
    <t>在[冲刺攻击：冰渊潜袭]中发动快速剪击命中敌人时，获得的[急冻充能]提升至3点；
    在[冲刺攻击：冰渊潜袭]中发动蓄力剪击命中敌人时，获得的[急冻充能]提升至6点；
    每消耗1点[急冻充能]，艾莲的暴击率提升2%，持续15秒，
    最多叠加6层，每层效果单独结算持续时间。</t>
  </si>
  <si>
    <t>寒风是凛冬的前兆，也是艾莲请长假冬眠的信号。
    话说回来，鲨鱼真的需要冬眠吗？</t>
  </si>
  <si>
    <t>冰洋掠食者</t>
  </si>
  <si>
    <t>发动第三段[普通攻击：急冻修剪法]后，可以直接衔接发动[强化特殊技：鲨卷风]；
    发动[强化特殊技]时，每拥有1点[急冻充能]，
    当前招式造成的暴击伤害提升20%，最多提升60%。</t>
  </si>
  <si>
    <t>虽然沾染鲜红，艾莲所持的巨剪并无半分温热。
    彻骨的寒意来自铁铸的凶器，也来自面对捕食者的恐慌。</t>
  </si>
  <si>
    <t>永不加班</t>
  </si>
  <si>
    <t>「效率」的意义就是今天可以早点回家睡觉。
    所以要更快地斩击，更用力地出刀。</t>
  </si>
  <si>
    <t>无休寒潮</t>
  </si>
  <si>
    <t>队伍中任意角色对敌人施加[冻结]效果或使敌人失衡时，
    自身获得6点[急冻充能]和[快蓄]效果，并回复4点能量，能量回复效果10秒内最多触发一次。</t>
  </si>
  <si>
    <t>凌冽的攻势不曾止休，
    可怖的造物们得以在艾莲的刀下领受冬的美与残酷。
    不过相比起来，还是作为女仆节假日无休的工作更加残酷…</t>
  </si>
  <si>
    <t>睡眠充足</t>
  </si>
  <si>
    <t>除非是最艰难的战斗中，艾莲永远都是一副「如果不是在工作我立刻深度睡眠」的样子。
    因此掉以轻心而完蛋的敌人不在少数。</t>
  </si>
  <si>
    <t>盛宴时分</t>
  </si>
  <si>
    <t>发动[强化特殊技]、[连携技]或获得[快蓄]时，
    艾莲的穿透率提升20%，持续6秒，同时获得1层[盛宴]，[盛宴]最多叠加3层；
    拥有3层[盛宴]后，在[冲刺攻击：冰渊潜袭]中发动蓄力剪击命中敌人时，
    消耗所有[盛宴]，使当前招式造成的伤害提升250%。</t>
  </si>
  <si>
    <t>一道伤口，一滴鲜血。一次狩猎，一场盛宴。一纸薄命，一刻满足。</t>
  </si>
  <si>
    <t>「意气风发」</t>
  </si>
  <si>
    <t>[普通攻击：甲乙矢]中，[电囚]效果的叠加层数上限提升至14层；
    [电壶]被激活时，将会向目标连续发射2支[甲乙矢]。</t>
  </si>
  <si>
    <t>「我才不像某些死心眼的家伙一样，总之执着于正面战。」
    「不管是明枪还是暗箭，能让我早点下班的都是好孩子~」</t>
  </si>
  <si>
    <t>挥霍</t>
  </si>
  <si>
    <t>发动[连携技]或[终结技]时，悠真获得7层[电掣]，最多叠加7层；
    拥有[电掣]时，[冲刺攻击：飞弦·斩]造成的伤害提升50%；
    [冲刺攻击：飞弦·斩]结束后，消耗1层[电掣]。</t>
  </si>
  <si>
    <t>「别看我这样，我其实很弱很弱的~」
    悠真懒洋洋地趴在了办公桌上。
    「所以这次的任务，换个人怎么样？」</t>
  </si>
  <si>
    <t>白色谎言</t>
  </si>
  <si>
    <t>「…放心，暂时死不了。」
    他笑着抹了一把嘴角溢出的鲜血，再次架起了弓。
    「我可是要遗千年的。」</t>
  </si>
  <si>
    <t>偶有充盈</t>
  </si>
  <si>
    <t>[电囚]效果的持续时间提升至20秒；
    [冲刺攻击：飞弦·斩]命中敌人时，悠真获得30点喧响值，同一招式内最多触发一次；
    发动[终结技]时，将为场上所有敌人施加满层[电囚]效果。</t>
  </si>
  <si>
    <t>悠真偶尔也有干劲满满的时候——
    在距离下班还有五分钟之前。</t>
  </si>
  <si>
    <t>无人知晓</t>
  </si>
  <si>
    <t>「我想要假期，要自由，要每天都开开心心——」
    「骗你的。我想活着。」</t>
  </si>
  <si>
    <t>会心</t>
  </si>
  <si>
    <t>[甲乙矢]命中处于失衡状态或属性异常状态下的敌人后，
    悠真将无视其15%电属性伤害抗性，持续12秒；
    [甲乙矢]每命中同一名敌人12次，
    将额外触发1次电磁爆炸，对目标造成悠真1500%攻击力的电属性伤害。</t>
  </si>
  <si>
    <t>「师父曾教过我很多事。如何拉弓，如何用刀，如何…在这个世界里幸存下来。」
    「…你问后来？」
    「后来啊…他也离开我了。」</t>
  </si>
  <si>
    <t>双人领舞</t>
  </si>
  <si>
    <t>被指派并发动攻击后，返回丽娜身边前，杜苏拉和安娜塔莎会在原处额外逗留5.5秒；
    在杜苏拉或安娜塔莎附近10米范围内的角色，
    从[核心被动：迷你毁灭拍档]中获得的增益效果提升至原本的130%。</t>
  </si>
  <si>
    <t>「干不完活就要挨揍！」杜苏拉总是这样鼓励大家。
    「挨揍挨揍！」安娜塔莎总是如此附和。</t>
  </si>
  <si>
    <t>主人的典范</t>
  </si>
  <si>
    <t>成为接战状态下的当前操作角色时，丽娜造成的伤害提升15%，持续12秒，18秒内最多触发一次。</t>
  </si>
  <si>
    <t>「只有卓越的女仆长能够带领卓越的女仆，
    只有模范的主人能够培养模范的邦布。」
    ——丽娜在「维多利亚家政人力资源管理暨邦布培养心得分享讲座」上的讲话</t>
  </si>
  <si>
    <t>女仆长的专长</t>
  </si>
  <si>
    <t>丽娜总是有做好任何事的自信和毁灭任何事的本领。
    不过，在毁灭敌人的好心情这件事上，她的信心和能力得到了统一。</t>
  </si>
  <si>
    <t>针与锤</t>
  </si>
  <si>
    <t>杜苏拉和安娜塔莎均被指派在外时，丽娜的能量自动回复速度提升0.5点/秒；
    杜苏拉或安娜塔莎返回丽娜身边时，对应增益效果结束。</t>
  </si>
  <si>
    <t>杜苏拉和安娜塔莎从未达成任何一致的意见，
    「殴打前面那个傻瓜」是一个例外。</t>
  </si>
  <si>
    <t>完美主义女仆长</t>
  </si>
  <si>
    <t>「『丽娜』在邦布的语言里是完美的意思。」
    完美主义是维多利亚家政员工手册的第一准则。
    而对于「完美」的评判，丽娜自有准绳。</t>
  </si>
  <si>
    <t>雷雨夜惊魂</t>
  </si>
  <si>
    <t>[强化特殊技]、[连携技]或[终结技]命中敌人时，全队角色造成的电属性伤害提升15%，持续8秒。</t>
  </si>
  <si>
    <t>雨夜的古堡，雷声隆隆。长廊的深处，诡影憧憧。 
    恐惧电路超载，惊悚电影开拍。</t>
  </si>
  <si>
    <t>知己知彼</t>
  </si>
  <si>
    <t>队伍中任意角色对敌人施加属性异常效果时，
    月城柳会获得1层[洞悉]，持续15秒，最多叠加3层，重复触发时刷新持续时间；
    受到敌方攻击时，月城柳将消耗1层[洞悉]并获得无敌效果，持续1秒；
    拥有1层或以上[洞悉]时，月城柳的异常精通提升80点。</t>
  </si>
  <si>
    <t>「洞悉敌人的弱点，等同于为自己赢得更多的保障…和胜算。」
    柳推了推眼镜，即使已然胜券在握，她依然如像往常一般不动声色。</t>
  </si>
  <si>
    <t>卓越适应性</t>
  </si>
  <si>
    <t>[强化特殊技]中，快速突刺累积的电属性异常积蓄值提升20%；
    快速突刺命中敌人时，保持长按「特殊攻击」按键，可以额外消耗10点能量，再次发动突刺攻击，
    能量不足或停止长按后将自动衔接下落攻击；
    下落攻击命中处于属性异常状态下的敌人并触发[极性紊乱]效果时，
    对目标造成的伤害倍率提升至原本[紊乱]效果的20%，
    每额外发动一次突刺攻击，该伤害倍率额外提升15%，伤害倍率额外提升效果最多触发2次。</t>
  </si>
  <si>
    <t>「柳的话…无论被丢到怎样异常的环境，一定都能处理好的。」
    「我比相信自己更加相信她。」
    ——来自一位正在进行「斩断面前所有落叶」修行的武者</t>
  </si>
  <si>
    <t>月城氏管理学</t>
  </si>
  <si>
    <t>人人都说对空六课聚集了一帮怪人和天才，其中唯一的「正常人」便是月城柳了。
    但也正是她的存在，把怪人和天才们「粘合」了起来。</t>
  </si>
  <si>
    <t>掌棋者</t>
  </si>
  <si>
    <t>月城柳对敌人造成属性异常伤害时，会为其施加[识破]效果，持续15秒；
    处于[识破]效果下的敌人受到攻击时，本次攻击的穿透率提升16%。</t>
  </si>
  <si>
    <t>无论在何种情况下，月城柳都能以最快的速度掌握当下所有信息，并据此做出最合适的判断。</t>
  </si>
  <si>
    <t>鬼「妈妈」</t>
  </si>
  <si>
    <t>目前，月城柳是苍角的唯一指定监护人。
    「苍角，这是课长的饭团，不可以随便吃——算了，过来，我给你加热一下。」
    「之后再买个一样的还给课长吧…」</t>
  </si>
  <si>
    <t>非人之血</t>
  </si>
  <si>
    <t>在[强化特殊技]中发动突刺攻击后，[森罗万象]状态的持续时间提升至30秒，
    状态持续期间，[强化特殊技]造成的伤害提升20%；
    [卓越适应性]中，[极性紊乱]伤害倍率额外提升效果的触发次数上限提升至4次，
    前4次额外发动突刺攻击时所需的能量消耗减半。</t>
  </si>
  <si>
    <t>月城柳的身体中流淌着一部分不属于她的血液。
    这些血曾让她在绝境中获得了新生，也因此拥有了一些特殊的力量。
    「但如你所知，一切本不属于我的东西…终有代价。」</t>
  </si>
  <si>
    <t>快速装填</t>
  </si>
  <si>
    <t>朱鸢发动[连携技]/[终结技]时，将获得[快速装填]效果；
    当朱鸢拥有[快速装填]效果时，耗尽所有[强化霰弹]后，
    将消耗[快速装填]效果，立刻获得6/9枚[强化霰弹]。</t>
  </si>
  <si>
    <t>朱鸢曾经参加过雅努斯区治安官能力比拼大赛，并凭借着魔术般的装填技巧拔得头筹。
    同事对此评价道：无他，惟手熟尔。</t>
  </si>
  <si>
    <t>以太余烬</t>
  </si>
  <si>
    <t>[压制模式]下，朱鸢的抗打断等级提升，受到伤害降低10%；
    消耗[强化霰弹]攻击命中敌人时，[普通攻击：请勿抵抗]与[冲刺攻击：火力压制]造成的
    以太伤害提升10%，最多叠加5层，持续5秒，
    每次开火最多获得一层效果，重复触发时刷新持续时间。</t>
  </si>
  <si>
    <t>朱鸢装配有治安局特制的以太子弹，一旦击中敌人，则会对其造成不可逆的侵蚀伤害。
    所以，朱鸢在开枪前会喊话让敌方乖乖投降、放弃抵抗，真的是为了对方的安全着想…</t>
  </si>
  <si>
    <t>治安官特训</t>
  </si>
  <si>
    <t>作为精英治安官，朱鸢接受的训练只有一个目的：全面提升空洞内各项作战能力，碾压一切不法之徒。</t>
  </si>
  <si>
    <t>以太侵彻</t>
  </si>
  <si>
    <t>朱鸢消耗[强化霰弹]攻击命中敌人时，
    [普通攻击：请勿抵抗]与[冲刺攻击：火力压制]无视目标25%以太伤害抗性。</t>
  </si>
  <si>
    <t>在交战的时候，空洞的匪帮们喜欢暗中计算对方还剩多少子弹；
    但他们绝对想不到，朱鸢配备的特制弹匣，能够利用周围的以太为自己持续供电…</t>
  </si>
  <si>
    <t>特勤经验</t>
  </si>
  <si>
    <t>老练的特勤组治安官，更能懂得审时度势，高效发挥作战能力。
    有时候甚至只需要一个充满震慑力的眼神，就能让敌人打消抵抗的念头。</t>
  </si>
  <si>
    <t>扩容能源包-叁型</t>
  </si>
  <si>
    <t>朱鸢累计消耗12枚[强化霰弹]时，将获得[以太余温]效果，
    并使下次发动的[强化特殊技]能量消耗降低30点；
    发动[强化特殊技]时，将消耗[以太余温]效果，额外发射总计4枚以太鹿弹，
    每枚额外发射的以太鹿弹将造成朱鸢220%攻击力的伤害。</t>
  </si>
  <si>
    <t>朱鸢会经常在意自身装备的剩余电量，在电量下降至红色区域时感到紧张，并刻意节省电量。
    直到治安局为其配备了超大容量持续续航的能源包，才彻底解决了这个烦恼。</t>
  </si>
  <si>
    <t>介电击穿</t>
  </si>
  <si>
    <t>青衣进入战场时，立即使[闪络电压]回复至上限，并使其后继累积效率提升30%；
    发动[普通攻击：醉花月云转]时，若[闪络电压]已累积至上限，
    则使本次招式命中的敌人防御力降低15%，且自身对该目标的暴击率提升20%，持续15秒。</t>
  </si>
  <si>
    <t>「虽不会有生命危险，不过还请不要拒捕…」
    电流的方向和强度都经过精密的计算，保证每位嫌疑犯都能获得安全的电击体验。</t>
  </si>
  <si>
    <t>四两拨千斤</t>
  </si>
  <si>
    <t>[核心被动：千秋岁]中每层[羁服]提供的失衡易伤倍率提升效果提升至原本的135%；
    青衣攻击命中敌人时，若对其施加的[羁服]已叠加至层数上限，
    则自身对其造成的失衡值提升15%。</t>
  </si>
  <si>
    <t>旧文明典籍中记载的一种搏击技术，起初似乎是一种拳术而非棍术的技巧。
    「不必拘泥，其实手臂也是一种三节棍，嗯。」</t>
  </si>
  <si>
    <t>多喝热水</t>
  </si>
  <si>
    <t>「年轻人要注意养生，还是多喝热水吧。」
    每次青衣捧着保温杯啜饮的时候，都给人以非常温暖的感受。但接过她递上的热水时一定要小心——
    「就算是100度的开水前辈也能不动声色地喝下…」某位中过招的治安官留下了这样的记录。</t>
  </si>
  <si>
    <t>稳态电弧屏障</t>
  </si>
  <si>
    <t>进入或退出[闪络]状态时，获得等同于青衣10%生命值上限的护盾；
    护盾效果刷新时，如果上一次获得的护盾仍然存在，则为青衣回复5点能量，
    能量回复效果10秒内最多触发一次。</t>
  </si>
  <si>
    <t>怀斯塔学会逆向研究旧文明的钰偶而开发出的电弧屏障，是集防御、攻击、电能转换于一体的技术。
    「俗话说：水能载舟，亦能覆舟。物理学俗话又说：电流如水流。并联得到：电流进可攻退可守。真是相当好的结合。」</t>
  </si>
  <si>
    <t>童心未泯</t>
  </si>
  <si>
    <t>「善，年轻人就要勇于尝试新的事物，加油！」
    虽然有时候会觉得青衣的鼓励里带着几分摸鱼、几分捉弄。但如果真的不幸捅了娄子，只要信赖她就可以了。
    毕竟是活了几百上千年的老家伙了，什么都能摆平。</t>
  </si>
  <si>
    <t>奇经八脉</t>
  </si>
  <si>
    <t>[普通攻击：醉花月云转]的打断等级大幅提升，招式的暴击伤害额外提升100%；
    青衣[普通攻击：醉花月云转]命中敌人时，目标的全属性伤害抗性降低20%，持续15秒。</t>
  </si>
  <si>
    <t>旧文明典籍中记载的对人体循环系统的一种学说，据说完整掌握这一理论后，可以在搏击中瞬间让对手失去行动能力。
    「下次试试让人发痒的穴位吧，找谁来试验呢？店长？还是朱鸢？」</t>
  </si>
  <si>
    <t>犯罪顾问</t>
  </si>
  <si>
    <t>[普通攻击：萨霍夫跳]的可使用次数上限增加一次；
    在[狂热]状态下，简的物理异常积蓄效率额外提升15%，同时每点异常精通将会使自身造成的伤害提升0.1%，最多提升30%。</t>
  </si>
  <si>
    <t>「犯罪顾问，是指研究犯罪行为学的顾问，不是精通如何犯罪的顾问。」
    简忽然凑近，眨了眨眼睛。
    「当然，你要理解成后者的话…我也不反对哦。」</t>
  </si>
  <si>
    <t>近朱者赤</t>
  </si>
  <si>
    <t>简攻击命中处于[啮咬]状态下的敌人，或队伍中任意角色对处于[啮咬]状态下的敌人触发[强击]时，将会无视其15%防御力，当[强击]伤害触发暴击时，其暴击伤害额外提升50%。</t>
  </si>
  <si>
    <t>凝视深渊时会被深渊回以凝视，这只是第一步。
    「然后要靠近它、进入它、理解它，这是第二步。」
    「最后一步…不要成为它。」</t>
  </si>
  <si>
    <t>无名氏</t>
  </si>
  <si>
    <t>「无名氏，意味着我可以成为任何人。比如你最喜欢的人~」
    「或者，你最恐惧的人？」</t>
  </si>
  <si>
    <t>因势利导</t>
  </si>
  <si>
    <t>队伍中任意角色触发[强击]或[紊乱]效果时，
    全队角色造成的属性异常伤害提升18%，持续15秒。</t>
  </si>
  <si>
    <t>「是猎人还是猎物，往往取决于你选择的视角。不过，我更喜欢另一个简单的判断方式——」
    「输的人，就是猎物。」</t>
  </si>
  <si>
    <t>囤积癖好</t>
  </si>
  <si>
    <t>简的房间里永远塞满了各式各样的东西，其中最多的是速食食品。
    「这里很不错吧？到处都是触手可及的食物哦~」</t>
  </si>
  <si>
    <t>「肮脏」技巧</t>
  </si>
  <si>
    <t>[狂热]状态下，简的暴击率提升20%，暴击伤害提升40%；队伍中任意角色对敌人施加[强击]效果时，简将直接进入[狂热]状态，并使[狂热心流]回复至上限，此次[强击]伤害触发暴击时，将会对目标发动一次额外攻击，造成等同于简1600%异常精通的物理伤害。</t>
  </si>
  <si>
    <t>街头可不在乎手段脏不脏，只在乎结果赢没赢。
    「看清最黑暗的欲望，才能推演出最痛切的弱点。」</t>
  </si>
  <si>
    <t>英雄主义</t>
  </si>
  <si>
    <t>[匪石之盾]提供的护盾及其上限提升30%；
    [匪石之盾]失效时，[核心被动：守望者]提供的异常精通提升效果额外维持10秒。</t>
  </si>
  <si>
    <t>团队行动的时候，赛斯永远是冲在最前面的人。
    「逮捕犯人就交给我吧！我的近身擒拿成绩是99分，扣掉的那一分是因为不小心扭伤了教官的手腕。」</t>
  </si>
  <si>
    <t>年少轻狂</t>
  </si>
  <si>
    <t>进入战场时，赛斯立刻为自身累积75%[意气]；
    发动[普通攻击：雷霆击-感电]命中敌人时，招式累积的电属性异常积蓄值提升35%。</t>
  </si>
  <si>
    <t>赛斯很容易被各种犯罪者小看。
    或许是因为他的眼神太过清澈，又或许是因为那无害的毛茸茸耳朵和尾巴——
    无论如何，所有看低他的人，最终都会付出相应的代价。</t>
  </si>
  <si>
    <t>钝感力</t>
  </si>
  <si>
    <t>「像你这么厉害的治安官，肯定做什么都是靠自己吧？绝对没依赖其他人吧？」
    即使被这么说了，赛斯依然不动声色。
    直到半夜，他才忽然惊醒：
    「那家伙白天的话…莫非是在讽刺我？」</t>
  </si>
  <si>
    <t>初心</t>
  </si>
  <si>
    <t>[招架支援：迅雷盾]造成的失衡值提升25%。</t>
  </si>
  <si>
    <t>「放下你那愚蠢的善恶观。世上没有一种方式可以守护所有人。有时候，你必须做出选择。」
    「这就是我的选择，也是治安官最基本的职责——是你变了，哥哥。」</t>
  </si>
  <si>
    <t>憧憬的距离</t>
  </si>
  <si>
    <t>对于自己的兄长，赛斯曾抱有极度的憧憬和尊敬。
    但就像你知道的那样——「憧憬」是距离「理解」最遥远的距离。
    「总有一天，我会成为最厉害的治安官…让那家伙收回之前的话！」</t>
  </si>
  <si>
    <t>理想主义</t>
  </si>
  <si>
    <t>赛斯在[普通攻击：雷霆击-感电]中发动终结一击命中敌人时，
    额外造成自身500%攻击力的伤害，本次攻击必定触发暴击，且暴击伤害提升60%。</t>
  </si>
  <si>
    <t>少年人眼里的一切很清晰，黑白分明，善恶有别。
    一定会有人想告诉他世界的颜色是混沌的灰。但黑白分明善恶有别的世界…不值得追求吗？</t>
  </si>
  <si>
    <t>悠闲一刻</t>
  </si>
  <si>
    <t>派派在[特殊技：轮胎转]、[强化特殊技：引擎转]或[终结技]中发动旋转斩击命中敌人时，
    有50%概率额外获得1层[动力]，[动力]的叠加层数上限提升至30层。</t>
  </si>
  <si>
    <t>卡吕冬之子某个平常的上午，派派慢悠悠地打了个哈欠。
    「早上好——」
    「今天也能悠闲地度过吧？养生可是很重要的，不然这个人会过劳死哦——」</t>
  </si>
  <si>
    <t>上进心</t>
  </si>
  <si>
    <t>在[特殊技：轮胎转]和[强化特殊技：引擎转]发动期间，派派的移动速度有所提升；
    在[特殊技：有亿点重]、[强化特殊技：非常重]和[终结技]中发动下砸攻击命中敌人时，
    招式造成的物理伤害提升10%，每拥有1层[动力]，该增益效果额外提升1%。</t>
  </si>
  <si>
    <t>暂时的努力，是为了更加长久的休憩。
    当然，如果能一直都不努力就更好了——派派伸了个懒腰，拍了拍卡车里的柔软床铺，躺了下来。</t>
  </si>
  <si>
    <t>卡车专家</t>
  </si>
  <si>
    <t>派派总是对卡车的一切充满兴趣。
    即使是在熟睡的状态下，只要引擎声响起，少女就能瞬间清醒：
    「100马力，载重5吨，这是…三门重工新发售的轻型卡车！」</t>
  </si>
  <si>
    <t>技巧娴熟</t>
  </si>
  <si>
    <t>队伍中任意角色对敌人施加属性异常效果时，派派回复20点能量，30秒内最多触发一次。</t>
  </si>
  <si>
    <t>成为派派的乘客是一件让人心惊胆战的事。
    通常在她慢悠悠地提醒「坐~稳~咯~」的时候，「稳」字发音还没结束，卡车就已经向前行驶了惊人的距离。
    当然，她总能在最短的时间内把你安全送到目的地——精神损失不算在内。</t>
  </si>
  <si>
    <t>私人爱好</t>
  </si>
  <si>
    <t>派派似乎拥有一些不太符合外表的私人爱好。
    「这匹马好像很能跑的样子…唔，但是买的人好少，果然还是那匹胜率更高吗…」
    「嗝——燃油饮…我才没喝多…再来一杯！」</t>
  </si>
  <si>
    <t>轻度兴奋</t>
  </si>
  <si>
    <t>[强化特殊技：引擎转]的持续时间上限提升2秒，[动力]的持续时间提升4秒。</t>
  </si>
  <si>
    <t>如你所知，派派最大的愿望是永远都能悠闲度日。
    但此刻，少女总是半睁着的双眸竟少有的精神奕奕。
    「如果是为了你…这个人稍微努力一下下，也可以哦~」</t>
  </si>
  <si>
    <t>仇恨之子</t>
  </si>
  <si>
    <t>[暗渊回响]状态下，
    触发[决算]效果时招式的暴击率额外提升12%，暴击伤害额外提升30%。</t>
  </si>
  <si>
    <t>「不要否认你的欲望，不要抗拒你的野心。那是你与生俱来的天赋，是命运送给你最好的礼物！」
    「承认吧，你的内心埋着一枚火种，它早就迫不及待地想要点燃一场熊熊大火，将一切燃烧殆尽——」
    「我就是那颗种子。」
    「嗯，我知道。我一直都知道。」</t>
  </si>
  <si>
    <t>内在小孩</t>
  </si>
  <si>
    <t>[终结技：渎神者]触发[决算]效果时不会使敌人的失衡状态结束；
    此外，触发[决算]效果时招式将会无视其15%防御力。</t>
  </si>
  <si>
    <t>「家族是刻在一个人身上永恒不灭的诅咒。」
    「无论你成长为何种模样，无论你去往何处，这份诅咒终将如影随形。」
    「在你跌入谷底，亦或是爬上巅峰的时候，它总会突然出现，把你变回那个无力的，无能的，只敢躲在衣柜里颤抖哭泣的孩子。」
    「除非你真正地看见他，拥抱他。」
    有些痛苦只有被看见，被接受，才会消弭。</t>
  </si>
  <si>
    <t>毒树之果</t>
  </si>
  <si>
    <t>他们说，深渊里开出的花必然浸透恶意，就像有毒的树上结不出无毒的果。
    但所有果实都会坠落。
    于是，他把自己摔成一场破碎的雨。
    雨水浸没大地，在每一颗露珠上折射崭新的黎明。</t>
  </si>
  <si>
    <t>拟剧论</t>
  </si>
  <si>
    <t>蓄力射击命中敌人后，雨果的攻击对该目标无视12%冰属性伤害抗性，持续15秒，重复触发时刷新持续时间。</t>
  </si>
  <si>
    <t>正义，邪恶，疯狂，理智，圆滑，固执。
    他由千万重面相组成。
    「那么，真正的你在哪里？」
    「这不重要。不如由你来告诉我，莱卡恩——」
    「你眼里看到的，又是怎样的我？」</t>
  </si>
  <si>
    <t>涅槃</t>
  </si>
  <si>
    <t>世界不需要被毁灭再重建，也没有谁有资格这么做。
    但人可以。
    所以，他将自己打碎再重生。
    「如果必须坠落，就让我坠落。我会成为的那个人，一定会接住我。」</t>
  </si>
  <si>
    <t>荆棘王冠</t>
  </si>
  <si>
    <t>所有射击攻击命中敌人时，均可触发[暗渊回响]状态，
    最多持续6秒，重复触发时刷新持续时间；
    此外，任意招式触发[决算]效果时，此次伤害额外提升60%；
    [强化特殊技：魂狩·惩戒]的终结一击命中非失衡状态下的敌人时也可触发[决算]效果，
    使得招式的终结一击伤害倍率固定提升1000%。</t>
  </si>
  <si>
    <t>他欣然走向无尽深渊，任由满地荆棘划破伤口。
    血色蔓延处，破碎的尊严与执念自创口抽芽。
    而他捡起浸满血渍的荆棘，为自己加冕。
    「能杀我的人，能救我的人，从来都只有我自己。」</t>
  </si>
  <si>
    <t>豪华猫屋</t>
  </si>
  <si>
    <t>奥菲丝&amp;「鬼火」发动[特殊技：蚀光一闪]、[强化特殊技：灼红旋涡]、
    [强化特殊技：蓄热充能]、[强化特殊技：燥焰迸射]造成的伤害无视15%火属性伤害抗性，
    且拥有[准星聚焦]的代理人攻击造成的伤害提升20%。</t>
  </si>
  <si>
    <t>奥菲丝的房间角落堆满了为猫猫购买的各类用品：一套供它上下的猫爬架、一张柔软的垫子、一块抓不坏的猫抓板，还有精心挑选的玩具…
    「我总是很担心在哨站附近遇到一只无家可归的生病猫猫…如果提前备好这些东西，就可以方便它住在这里…」
    「不过营中不能养猫…到时候我肯定会在队长的规定期限内，为它找到善良的主人！」
    「但奥菲丝，那些东西都已经在宿舍三年了，还没有遇到过这样的猫！」</t>
  </si>
  <si>
    <t>怪味食品清单</t>
  </si>
  <si>
    <t>奥菲丝&amp;「鬼火」每次发动[追加攻击]时回复65点喧响值，4秒内最多触发一次；
    奥菲丝&amp;「鬼火」发动[终结技]后，自身的攻击力提升20%，最多持续45秒。</t>
  </si>
  <si>
    <t>海葡萄爆米花、樱花蜜桃海鲜粥、麻辣草莓烧豆腐…奥菲丝有时会尝试一些口味奇怪的食物，而它们都被杂乱无章地列在她桌角的愿望清单上。
    「虽然好吃的东西很吸引人，但有趣的味道也值得一试嘛！…不过，最好不要有苦味！」
    「对了绳匠，要不要尝尝我最爱的激辣草莓椰奶糖？我已经替你剥开包装啦——」
    「奥菲丝队员，你的怪癖总有一天会吓走所有朋友！」</t>
  </si>
  <si>
    <t>《战术手册》</t>
  </si>
  <si>
    <t>摆在少女床头的《战术手册·奥菲丝特别拓展篇》究竟写了些什么，就连「鬼火」队长也不清楚…
    「『歼灭·一』、『撤退·三』、『巡逻·二』…对了，还有『约会·五』！」
    「等等，奥菲丝，什么时候关于约会的战术对策已经拓展到第五条了？！」
    「刚才是想检验一下队长对《战术手册》有没有足够熟悉，嘿嘿！队长过关啦！」</t>
  </si>
  <si>
    <t>粉红色枪套</t>
  </si>
  <si>
    <t>[准星聚焦]的初始时间提高至16秒，
    且奥菲丝&amp;「鬼火」发动[强化特殊技：蓄热充能]或[终结技：与火共舞]
    造成的伤害提高40%。</t>
  </si>
  <si>
    <t>「鬼火」从来不会回应虚张声势的威胁，这就是为什么奥菲丝真的买来了一个粉红色的枪套。
    它被放在储物柜最底下的抽屉里，时刻提醒着「鬼火」谨言慎行——虽然效果有限。
    「队长，我都说了，说话前要三思，不然很容易伤害到别人的！」
    「像那些小混蛋，吃我几发子弹怎么了？等等，奥菲丝…奥菲丝队员，我命令你不许给我套上那个粉色的玩意儿！！」</t>
  </si>
  <si>
    <t>渡河的钱币</t>
  </si>
  <si>
    <t>那枚泛着银色光芒的纪念币，被奥菲丝摆在进门一眼就能看到的地方。
    「渡过冥河的那枚银币，到底在哪里呢~」
    「不如…定做一套这样的纪念币？采用队章的图案，也作为小队精神的象征。」
    「漆黑的火焰中，也能诞生月光的勋章吗…」
    「别再说那些让人听不懂的话了，『11号』！不过『扳机』姐的建议很好，背面还可以写上小队所有成员的名字！队长觉得怎么样？」
    「批准。」</t>
  </si>
  <si>
    <t>魔法种子</t>
  </si>
  <si>
    <t>能量足够时，[普通攻击：高压火枪]的火刀攻击后
    可点按 &lt;IconMap:Icon_SpecialReady&gt; 直接衔接[强化特殊技：灼红旋涡]；
    [普通攻击：高压火枪]的火刀攻击发动时，回复10点[蓄炎]，
    [强化特殊技：蓄热充能]低火力期间打断等级也会提高；
    [强化特殊技：蓄热充能]或[终结技]的激光命中敌人时，
    额外对敌人造成等同于奥菲丝&amp;「鬼火」250%攻击力的火属性伤害，
    该效果每0.5秒最多触发一次，
    该伤害视为[强化特殊技]和[追加攻击]伤害。</t>
  </si>
  <si>
    <t>「队长，这颗种子种不出来花。就像奥菲丝一样，无论怎么努力都没有结果…」
    「奥菲丝，这是一颗有魔法的种子。它虽然自己无法开花发芽，却能让别的种子长成大树…只要把它带在身边，就会获得好运。」
    「它会像队长一样，始终陪着奥菲丝，见证你一点一点成为最优秀的士兵。」
    ——面对那个用手掌胡乱擦着眼泪、委屈而伤心的小小身影，「鬼火」的枪口流泻出了之前从未有过的温柔嗓音。</t>
  </si>
  <si>
    <t>十二平均律</t>
  </si>
  <si>
    <t>耀嘉音攻击命中敌人时，目标的全属性伤害抗性降低6%，最多叠加3层，
    持续30秒，重复触发时刷新持续时间；
    进入战场时，耀嘉音立刻获得1000点喧响值；
    发动[终结技]时，全队角色各自获得1层[庇佑之音]效果，持续60秒，
    受到敌方攻击时，将消耗[庇佑之音]并获得无敌效果，持续1秒。</t>
  </si>
  <si>
    <t>「老师老师，什么是十二平均律？」
    「十二平均律是一种音乐的律式，就像小朋友们要排队队一样，声音也要排队队。」
    「那声音肯定也和小朋友一样，不爱排队队！」
    ——嘉音六岁时的音乐老师，在她成名之后回忆道。</t>
  </si>
  <si>
    <t>贪心艺术</t>
  </si>
  <si>
    <t>[核心被动：《如歌的行板》]中的攻击力提升效果额外提升19%，上限额外提升400点；
    [咏叹华彩]状态下，队伍中其他角色通过[快速支援]、[连携技]、[招架支援]或[回避支援]入场时，耀嘉音将额外追加释放1道[震音]和3枚[音簇]进行攻击，3秒内最多触发一次。</t>
  </si>
  <si>
    <t>「这个世界上最闪亮的东西，当然是爱！」
    像筑巢的小鸟，想要收集亮晶晶的东西。艺术家内心的那份小贪心，就是收集世界上所有的爱吧？只要将所有的爱汇聚在一起，就能创作出最动人的旋律。</t>
  </si>
  <si>
    <t>交错五线谱</t>
  </si>
  <si>
    <t>空白的五线谱，是永不相交的平行线，就像未曾相遇的灵魂，静静等待着彼此的旋律交织成曲。
    「那就用音符填满它好了！还要很多很多连音符，会是一首很棒的歌吧？」
    就这样创作了一首从头到尾用连音符横跨了136小节的新歌…</t>
  </si>
  <si>
    <t>《后颈的碎发》</t>
  </si>
  <si>
    <t>发动[连携技]或[终结技]后，15秒内，耀嘉音未拥有[和弦]时也能够触发[快速支援]，
    且攻击命中敌人时触发[快速支援]的间隔缩短至1秒；
    [咏叹华彩]状态下，队伍中其他角色通过[快速支援]入场时，
    将根据自身特性获得不同的增益效果，全队3秒内最多触发一次：
    [强攻]：下一次[快速支援]重击命中敌人时，额外造成等同于耀嘉音300%攻击力的伤害；
    [异常]：下一次[快速支援]累积的属性异常积蓄值提升50%；
    [击破]：下一次[快速支援]造成的失衡值提升50%。</t>
  </si>
  <si>
    <t>一只手悬在钢琴上
    不知该按下哪一个键
    是悲伤的小调
    还是悠扬的思念？
    在音符间寻觅你的影子
    闭上眼，就能看到
    你后颈的碎发</t>
  </si>
  <si>
    <t>绳匠与丝弦</t>
  </si>
  <si>
    <t>「伊芙！我有一个重大发现——伊芙和{M#哲}{F#铃}都是长条形的！」
    「…这两者的共性是什么？」
    「你们都是我最喜欢的人啊！」
    嘉音像发现了什么不得了的机密一般，开心而明媚。</t>
  </si>
  <si>
    <t>我们即是世界</t>
  </si>
  <si>
    <t>在[咏叹华彩]状态下释放和追加释放的[震音]和[音簇]的伤害倍率提升至原本的200%，
    暴击率提升80%；
    触发[精准支援]时，耀嘉音会自动追加发动蓄力完成后的[普通攻击：《随想曲》]第三段攻击，
    并使该招式的暴击率提升80%，10秒内最多触发一次。</t>
  </si>
  <si>
    <t>世界的纷纷扰扰，都是源自人心的孤寂。如果每个人的心都可以得到回音，会不会，这个世界的苦难、悲伤、沉默都可以被统统抹去？
    若能用歌声编织起这份连结，是否所有的裂痕都会愈合，所有的痛楚都会化作悠扬的音律，在寂静中响起？那时，整个世界，便不再是任何一座孤岛。
    「这首歌，献给这个世界！」</t>
  </si>
  <si>
    <t>织梦</t>
  </si>
  <si>
    <t>进入战场时，伊芙琳立刻获得1500点喧响值；
    敌人进入[牵缠禁制]后，将被施加[禁锢]效果，
    伊芙琳攻击带有[禁锢]效果的敌人时，无视目标12%防御力；
    伊芙琳发动[特殊技：束裂式·I型]或[强化特殊技：束裂式·终型]时，会将[禁锢]效果扩散给所有被招式命中的敌人，被扩散的[禁锢]效果持续10秒。</t>
  </si>
  <si>
    <t>远方模糊的光亮，似乎是她编织出的梦，一个无法触碰的未来。那不是为了赎罪，而是对自由的渴求。
    「你果然也是想要的吧？真正的生活。」——一位匿名的前同事曾对伊芙琳这样说道。</t>
  </si>
  <si>
    <t>赴火之舞</t>
  </si>
  <si>
    <t>伊芙琳的攻击力提升15%；
    伊芙琳发动[普通攻击：绞勒式·I型]或[普通攻击：绞勒式·II型]时，
    将返还所消耗的[燎火]，25秒内最多触发一次；
    伊芙琳消耗[燎索点]发动[连携技：月辉丝·绊]时，招式的打断等级提升。</t>
  </si>
  <si>
    <t>「对我来说，那种光是陌生的，我本该避开，可它却穿透了所有防线，像是要提醒我，黑暗之外还有什么值得追寻。」
    回忆起第一次见到嘉音的情景，伊芙琳的语气里夹杂着一丝罕见的柔软。</t>
  </si>
  <si>
    <t>破茧</t>
  </si>
  <si>
    <t>那一刻，她从禁锢中脱身，成为更真实的自己。
    绷紧的绳索断裂，曾经的枷锁化作破碎的茧壳。伊芙琳站在新生的边界，冷冽的目光里，一丝柔光若隐若现。</t>
  </si>
  <si>
    <t>命运的弦音</t>
  </si>
  <si>
    <t>发动[连携技]或[终结技]时，伊芙琳立刻获得等同于自身10%生命值上限的护盾，
    持有该护盾时，伊芙琳的暴击伤害提升40%。</t>
  </si>
  <si>
    <t>「伊芙，你知道吗？每次遇到对我的生命而言至关重要的人时，我心里都会『噔噔！』这样响一下~」
    伊芙琳叹了口气，示意时间已经不早了，嘉音慌忙拉上礼服的后襟，推门而出。
    「…噔噔。」独自留在化妆间的伊芙琳，低声重复了一遍。</t>
  </si>
  <si>
    <t>丹缕如霞</t>
  </si>
  <si>
    <t>她的丝线，如同被晨曦染成赤红的云霞。
    每一次攻击后潇洒地回身，炽焰如霞光般散落。无需言语，伊芙琳早已将守护化为燃烧的光辉。</t>
  </si>
  <si>
    <t>光与影的牵绊</t>
  </si>
  <si>
    <t>发动[连携技]或[终结技]时，伊芙琳将获得[弦影绝锋]，持续20秒；
    [弦影绝锋]期间，伊芙琳发动[普通攻击]、[冲刺攻击]、[特殊技]或[强化特殊技]命中主要攻击目标时，将额外释放一段[月辉丝·弦]进行追击，
    对范围内敌人造成等同于伊芙琳375%攻击力的火属性伤害，
    该伤害会被视为[连携技]伤害，最多触发16次，
    再次获得[弦影绝锋]时刷新可触发次数。</t>
  </si>
  <si>
    <t>有光的地方，永远有影。
    它无声无息地隐匿，追随着光的轨迹，守护每一次明亮的绽放。
    影从不试图夺走光的辉煌，却在每一个转身间，默默填补它未及的角落。
    两者从未分离，也无法分离——光因影而完整，影因光而存在。这是一场永无止息的追随，也是一份不可言说的羁绊。</t>
  </si>
  <si>
    <t>《在春天走进果园》</t>
  </si>
  <si>
    <t>累计消耗4点[护羽]时回复1点[飞羽]；
    处于[薇薇安的预言]下的目标受到的所有属性异常伤害和[紊乱]伤害提升16%。</t>
  </si>
  <si>
    <t>「每个清晨都是与你的初遇，每个夜晚都是重逢。」
    她曾窥得命运无常，无法改变的结局总是被泪水侵染。
    但因你的出现，她不愿再成为那预言灾厄的飞鸟，她愿让自己消失在火里，沉眠于光中，用自己的一切改变关于你的结局。
    所以，请不要关上窗，飞鸟会为你衔来爱意，衔走死亡。</t>
  </si>
  <si>
    <t>《暴风雨夜，暴风雨夜》</t>
  </si>
  <si>
    <t>薇薇安的以太异常积蓄效率提升25%；
    [异放]从精通中获得的收益提升至原本的130%，且无视目标15%全属性伤害抗性。</t>
  </si>
  <si>
    <t>「假如我不曾见过太阳 我本可以忍受黑暗。」
    救赎者这个词汇太过沉重，好心人这个词又稍显轻率。
    所以，不如说，你曾是她的撑船人。
    在那场名为恶意与自我懊悔的暴风雨中，你是一束光，引她渡过洪流。
    于是那之后，她无法再忍受诅咒与噩梦，她走向追寻你的旅程。</t>
  </si>
  <si>
    <t>《另一个，同一个》</t>
  </si>
  <si>
    <t>「我们用黄昏丈量彼此的阴影，发现完全重叠。」
    在你不知道的无数个黄昏里，她曾与你看着同一个太阳西沉，将一片海煮沸至瑰丽暖色。
    在无数分岔的路径中，她坚定地选择了走到你身边的方向。
    而今天，她终于与你影子相叠。
    而今天，夕阳依旧。</t>
  </si>
  <si>
    <t>《苇间风》</t>
  </si>
  <si>
    <t>[普通攻击：裙裾浮游·悬落]和[普通攻击：落羽生花]命中时必定暴击，并使薇薇安的攻击力提升12%，持续12秒，重复触发时刷新持续时间；
    进入战场时，薇薇安立即获得5点[护羽]。</t>
  </si>
  <si>
    <t>「将我的真心，如月光铺满你脚下的路。」
    在追赶你的路上，她已自成穹顶。
    她没有如此博爱，拥有的也并不算多。
    但为你，只为你，她可倾泻月光，覆盖黑暗，修补裂痕。
    你是她唯一的慷慨，是她最大的勇气。</t>
  </si>
  <si>
    <t>《十四行诗》</t>
  </si>
  <si>
    <t>「能否将你比作夏日？」
    她如飞鸟，带着悸动与期盼从深秋启航，羽翼掠过冬雪，在春日里采衔一枝花，就这么撞入夏日炙阳中。
    只因你的眼中藏着千万个太阳，让她永爱烈阳，不惧寒霜侵袭。</t>
  </si>
  <si>
    <t>《薇薇安》</t>
  </si>
  <si>
    <t>薇薇安造成的以太伤害提升40%；
    [普通攻击：淑女礼仪·舞步]突进期间触发极限闪避、发动[强化特殊技：堇花悼亡]时，均额外回复1点[飞羽]；
    发动[普通攻击：裙裾浮游·悬落]时会消耗全部[护羽]，下落攻击的范围大幅增加，并在命中时触发一次特殊的[异放]，额外消耗的[护羽]会提高此次[异放]结算的额外异常伤害的比例，最多消耗5点[护羽]，使伤害比例提高至原本的5倍。</t>
  </si>
  <si>
    <t>「薇薇安是一首只送给你的情诗。」
    「我们拥有世界上所有的时间。」
    「所以，请允许我把余生写成你的注脚。」</t>
  </si>
  <si>
    <t>凛然裁决</t>
  </si>
  <si>
    <t>照被切换为非当前操作角色时，使全队角色造成的伤害无视目标15%全属性伤害抗性，
    持续50秒，重复触发时刷新持续时间。</t>
  </si>
  <si>
    <t>「别被那可爱的外表迷惑了！我永远记得那场大会上，她当着几十号人的面挥着手指，用最可爱的样子说出最冷酷的裁决：『以上整改条目如有任何一条不接受，那贵司必将被剔除出TOPS，这不是威胁，是绝对正确的评估。』这个画面我一辈子都忘不掉！…唉，但还是感谢照小姐。」
    ——接受毁灭式整改后起死回生的某位企业管理者扶着额头，表情复杂地说道。</t>
  </si>
  <si>
    <t>黑枝前辈</t>
  </si>
  <si>
    <t>照的生命值回复时，提升20%攻击力，并使队伍中其他角色提升15%攻击力，
    持续50秒，重复触发时刷新持续时间。</t>
  </si>
  <si>
    <t>小照在早期就加入了黑枝，哪怕在精锐中的精锐——坎卜斯黑枝中也要被尊称一声「大前辈」，事情本应如此…怎奈后续加入的后辈同事们，都是一些遵循个性远大于遵守规矩的人。</t>
  </si>
  <si>
    <t>霜婵冰刃</t>
  </si>
  <si>
    <t>小照的武器名为「霜婵」，是TOPS秘密研发项目所提供的实验资产。使用这把武器时，并非单纯地释放冰属性以太造成打击，而是将以太转化为武器本身的一部分。通常状态下，「霜婵」只有同规格武器一半的重量，但在进入战斗状态时，快速凝结的前端冰刃能获得更强的破坏力，这个特性简直是为小照量身定做的。</t>
  </si>
  <si>
    <t>轻盈踏痕</t>
  </si>
  <si>
    <t>照开启[以太帷幕]时，获得250点喧响值；
    [终结技]、[连携技]和[普通攻击：最终裁决]的暴击伤害提升40%。</t>
  </si>
  <si>
    <t>灵活、轻盈、难以捕捉。这些本是描述小兔子的词汇，正被用来描述一位手持巨刃，无坚不摧的可怕战士…</t>
  </si>
  <si>
    <t>毛茸茸聆听者</t>
  </si>
  <si>
    <t>如果小照的耳朵不自觉地抖了一下并且微微竖起，说明她听到了最在意的话语。可能是情报、任务、交易…或者夸奖。</t>
  </si>
  <si>
    <t>无价亦是价值</t>
  </si>
  <si>
    <t>[核心被动：最佳同事]提高暴击率的效果提升至原本的125%；
    [普通攻击：最终裁决]累积蓄力时长的额外伤害提升至原本的140%，并使累积的蓄力时长不会在攻击中被消耗。</t>
  </si>
  <si>
    <t>自儿时起受无数人影响所筑成的观念壁垒，正因与一个人的相遇产生裂隙。
    小照对于「价值」的想法有了改变：有些东西没有标价，并非是它无用，而是珍贵到不存在对等的东西能与之交换。</t>
  </si>
  <si>
    <t>利己主义</t>
  </si>
  <si>
    <t>对被施加[困迹]效果的敌人造成伤害时，自身暴击率提升10%。</t>
  </si>
  <si>
    <t>「利己主义是一种本能，但其实也可以在后天习得。」
    「如何习得？」
    「多吃点亏自然就明白了。」</t>
  </si>
  <si>
    <t>借势而为</t>
  </si>
  <si>
    <t>处于[核心被动：猎手本能]的[猎步]状态时，波可娜的攻击力额外提升10%。</t>
  </si>
  <si>
    <t>「一个雇佣兵最重要的素质不是忠诚，而是懂得借势而为。挑选合适的雇主，接下合适的委托，完成分内工作，绝不签长期合同。即使跳槽去对手那边，原雇主也没什么话好说。」
    「波可娜，刚才又有人来找你麻烦，被我打发走了。你怎么会得罪这么多人？」
    「是感情用事的人太多了。所以你看，他们都是一群拈不清自己斤两的失败者。」</t>
  </si>
  <si>
    <t>领地意识</t>
  </si>
  <si>
    <t>波可娜居住的卡车车厢门上贴着一张大纸。上面用红色的大字写着：这是我的地盘！进来要敲门！敲门！敲门！
    纸下方还贴有一张稍小的纸，上面用黑色的大字写着：凯撒，赔我的锁！10万丁尼！
    黑色的大字下还有一行歪歪扭扭的小字：我问过绳匠了，那锁2万！</t>
  </si>
  <si>
    <t>狩猎乐趣</t>
  </si>
  <si>
    <t>发动[强化特殊技：噬爪·瞬步]时的能量消耗降低5点。</t>
  </si>
  <si>
    <t>「挑战强者有什么意思，我又不是自虐狂。对我而言知道自己稳赢的时候，才能体会真正的狩猎乐趣！」
    5分钟后。
    「这游戏的AI太弱了吧，没劲。」</t>
  </si>
  <si>
    <t>尾巴游戏</t>
  </si>
  <si>
    <t>波可娜童年最早的模糊回忆，是一条温暖的大尾巴。在她刚学会爬行的时候，最喜欢玩追逐它的游戏。
    「后来呢？」
    「他们告诉我，那条尾巴就是我自己的。」
    但波可娜知道，那条尾巴不是她的。因为除了尾巴游戏，晚上它还会紧紧地包裹住她，度过每一个寒冷的夜晚。可能是空洞把它夺走了，或者是别的什么…哎，无所谓，反正她早就不玩这个游戏了。</t>
  </si>
  <si>
    <t>面具之下</t>
  </si>
  <si>
    <t>[特殊技：噬爪·噩梦袭影]造成的伤害提升15%，
    重复攻击的可触发次数额外提升2次；
    [额外能力：业务搭档]中[困迹]的效果对[追加攻击]以外的伤害类型也会生效。</t>
  </si>
  <si>
    <t>覆面式呼吸过滤器挡住了以太粒子和花粉，阻隔了或好奇或畏惧或不怀好意的视线，却让人再也没办法蜷缩起来舒服地睡个好觉了。好想去一个温暖的地方，毫无防备地睡一个午觉…
    车厢的门被毫无征兆地推开了，从梦中惊醒的她立刻抓起老搭档扣在脸上，「你们能不能学会敲门？！」
    …啊，原来现在她已经可以摘掉它了。</t>
  </si>
  <si>
    <t>精准感知</t>
  </si>
  <si>
    <t>通过[核心被动：破隙幽瞳]施加的失衡易伤倍率额外提升20%；
    发动[普通攻击：协奏狙杀]时，触发的冷却时间降低至2秒；
    在[狙击姿态]下发动连续射击或蓄力反击命中敌人时，获得的[绝意]值提升25%，
    [绝意]值上限提升至125点。</t>
  </si>
  <si>
    <t>能分辨微风的每一丝变化的听觉，能感知地面的每一次震动的触觉。为了弥补视觉上的缺憾，少女将其余的五感磨练到了极致。
    「除了狙击，我别无所长…至少在狙击上，我不想败给任何人。」</t>
  </si>
  <si>
    <t>「以太视域」</t>
  </si>
  <si>
    <t>发动[追加攻击]时，「扳机」将获得1层[猎眸]；
    在[狙击姿态]下发动终结一击时，「扳机」将获得2层[猎眸]；
    每拥有1层[猎眸]，全队角色暴击伤害提升6%，最多叠加4层，持续10秒，
    重复触发时刷新持续时间。</t>
  </si>
  <si>
    <t>置身于空洞内时，周围的一切以太波动都将成为她观测空间的助力。
    「曾经的我一直觉得这是双充满痛苦的、被诅咒的眼睛。」
    「但现在…它们是我达成目标的通行证，更是我不曾忘却往日的证明。」</t>
  </si>
  <si>
    <t>《归乡》</t>
  </si>
  <si>
    <t>能够归去的家，已经尘封于昨日。
    她有些冰凉的双唇抵住口琴，孤寂的旋律是记忆铭刻下的唯一证明。</t>
  </si>
  <si>
    <t>「扳机」进入或延长[协战状态]后，状态持续期间，
    队伍中其他角色下一次触发[普通攻击：协奏狙杀]或[普通攻击：协奏狙杀·冥狱]时，
    将会在招式命中敌人时触发[断离]效果，额外造成「扳机」200%攻击力的伤害，
    并累积「扳机」120%冲击力的失衡值；
    招式具有较高的打断等级。</t>
  </si>
  <si>
    <t>脚步，呼吸，心跳。扼杀自己的一切气息，直至整个身形完全与环境融为一体。她如神出鬼没的死神一般游走于战场。
    而在战场外，由于这种悄无声息的行动方式已经给队友造成了数次惊吓，因此被禁止使用。
    当然，找不到见面机会而频繁使用此行动方式在录像店周边观察店内这种事，或许应该大概也是没做过的…吧？</t>
  </si>
  <si>
    <t>锁定的意志</t>
  </si>
  <si>
    <t>一旦锁定目标，哪怕躯体破损腐朽、刺痛力竭，也绝不会将准心挪开。从复仇对象到保护对象，从敌军到同伴均是如此——此为狙击手的意志。
    唯有那对在至暗之刻为自己洒下阳光的绳匠。与其说是锁定，不如说是被吸引，哪怕找不到继续注视的理由，也绝不想将准心挪开——此为少女的意志。</t>
  </si>
  <si>
    <t>冥河彼岸</t>
  </si>
  <si>
    <t>进入战场时，「扳机」可获得5枚[破甲凶弹]，
    每消耗25点[绝意]值，「扳机」可额外获得1枚[破甲凶弹]，上限5枚；
    拥有[破甲凶弹]时，「扳机」在[狙击姿态]中命中目标时，
    将消耗1枚[破甲凶弹]，额外对目标造成「扳机」1200%攻击力的电属性伤害，
    且[破甲凶弹]造成的伤害额外提升50%，0.2秒内最多触发一次。</t>
  </si>
  <si>
    <t>「你知道吗？在战斗中沾染血腥之人，死后能去往的地方只有冥界。」
    「渡过冥河的彼岸，一定能见到无比美丽的景色。绽放的曼珠沙华簇拥着我，熟悉的故人们陪伴我迎接最后的安宁与归宿。」
    「但…因为有你，因为有想守护的事物，或许我还不希望那一天那么早到来。」</t>
  </si>
  <si>
    <t>清灵道心</t>
  </si>
  <si>
    <t>进入战场时，暴击率提升10%，
    立即获得120点[术法值]，在勘域模式中此效果180秒内最多触发一次；
    队伍中任意角色命中敌人时，仪玄会自动追加一道落雷，
    造成等同于仪玄50%贯穿力的伤害并额外回复5点闪能，6秒内最多追加一次落雷。</t>
  </si>
  <si>
    <t>「命运多变，前路难测，守恒不变的唯有清灵心境而已。纵使沧海桑田，依旧无悔。」
    「术法万千，其本质不变；歧路难行，唯心志不改。」
    「无论身处何等险境，遭逢何种强敌，皆可随机应变，以平常心应敌。」</t>
  </si>
  <si>
    <t>消灾渡厄</t>
  </si>
  <si>
    <t>[终结技]或[强化特殊技]造成伤害时，
    无视目标15%以太伤害抗性；
    发动[终结技：青溟云影]时，使所有处于失衡状态的敌人失衡持续时间提升3秒，
    敌人在一次失衡期间内只会受到一次该效果，且同类效果不可叠加；
    此外，发动[终结技：符法千重]时，获得一层[聚墨]效果，
    发动[普通攻击：青溟震击]、[强化特殊技：墨烬影消]后点按普通攻击键，
    发动[强化特殊技：青溟震击-破]后点按特殊技键，
    可消耗一层[聚墨]发动[强化特殊技：符法千重-破]，最多造成等同于1200%贯穿力的伤害，
    [聚墨]效果最多维持一层。</t>
  </si>
  <si>
    <t>「世事难测，即使是卜算者也只能知其一二。」
    「所谓消灾祈福，只不过是因势象形，趋利避害而已。」
    「若能通晓避祸之术，便自然也能做到加祸于敌…只需将对方未曾遭逢的劫数，提前招来而已。」</t>
  </si>
  <si>
    <t>阴阳相生</t>
  </si>
  <si>
    <t>「万事万物皆有其相生相克之道，若能窥见其中真谛，则可阴阳相生，克敌制胜。」
    「以简单的技巧达到最佳效果，这不是走捷径，而是顺势引导的结果。」</t>
  </si>
  <si>
    <t>术道归一</t>
  </si>
  <si>
    <t>发动[终结技]时，获得一层[静心]效果，最多拥有2层；
    每有一层[静心]效果，
    下一次[强化特殊技：凝云术]和[强化特殊技：墨烬影消]造成的伤害提升30%。</t>
  </si>
  <si>
    <t>「正所谓百变不离其中，学习术法不可拘泥于形，更需通晓其意。」
    「若能领悟其中真谛，则一招一式，皆可相互转化，此所谓术法之道，万变归一。」</t>
  </si>
  <si>
    <t>静观流云</t>
  </si>
  <si>
    <t>「若要修习术法，除去勤学善思之外，更要懂得保持灵台清明，闲时听风，静时观云。」
    「进入物我两忘的境地，不知不觉间对以太的掌握便能愈发精进。」
    「长此以往，无论遇到何事，都能稳住心性，以不变应万变。」</t>
  </si>
  <si>
    <t>动静相宜</t>
  </si>
  <si>
    <t>发动[终结技：青溟云影]后，获得一层[调息]效果，
    [调息]状态下，可无视[术法值]发动一次[终结技：符法千重]，
    发动[终结技：符法千重]后[调息]状态结束，该效果每30秒最多获得一次，
    [调息]效果最多维持一层；
    此外，[凝神]状态下，仪玄的贯穿伤害提高20%。</t>
  </si>
  <si>
    <t>「以静制动，动静相宜。而动中有静，静中亦有动。」
    「无论何时，只要守得灵台清明，就能以不变应万变，抓住时机一招致胜。」
    「你…学会了吗？」
    「就算没有学会也无妨…静静领悟之后，总有那一刻会突然顿悟。这，也是另一种『动静相宜』。」</t>
  </si>
  <si>
    <t>静滞电荷</t>
  </si>
  <si>
    <t>零号·安比发动[强化特殊技]命中敌人时，将会连续触发3次[白雷]的额外伤害，该效果不会消耗[白雷]层数。</t>
  </si>
  <si>
    <t>「我在这里的事，请不要让妮可他们知道。」
    「好的。今天你睡楼下沙发，还是楼上？」
    「…绳匠…谢谢。」</t>
  </si>
  <si>
    <t>冗余协议</t>
  </si>
  <si>
    <t>零号·安比的暴击率提升12%；
    发动[终结技]时，零号·安比会获得6层[电鸣]（上限6层）；
    拥有[电鸣]后，零号·安比[特殊技：苍光]命中拥有[白雷]的敌人时，
    将改为消耗1层[电鸣]作为代替，同一招式命中多名敌人时最多消耗1层[电鸣]，
    消耗[电鸣]时仍会触发[白雷]的额外伤害。
    激发潜能后，每消耗3层[电鸣]，下次发动[特殊技：苍光·临界]时速度加快。</t>
  </si>
  <si>
    <t>「怎么了？你看起来很累。」
    「我…没事。」
    「如果需要帮忙，随时开口。」</t>
  </si>
  <si>
    <t>旧日荣光</t>
  </si>
  <si>
    <t>「安比，我们刚刚还在聊你的事。你——真的撑得住吗？」
    「我，没…」
    「再想用『没事』敷衍，小心我对你不客气。」
    「绳匠的不客气…会是怎样的？」</t>
  </si>
  <si>
    <t>银白残响</t>
  </si>
  <si>
    <t>攻击命中拥有[银星]标记的敌人时，零号·安比无视目标12%电属性伤害抗性。</t>
  </si>
  <si>
    <t>「安比，你刚从空洞里回来，要洗澡吗？」
    「绳匠先洗吧。我还有些情报，需要再整理一下…」
    「哈。」
    「唔？」
    「为什么觉得安比，好像已经在这个家里住了很久了呢…」</t>
  </si>
  <si>
    <t>导演剪辑版</t>
  </si>
  <si>
    <t>「原来如此。安比的事，还有白银小队的事…」
    「对不起。我本来不想让这些事成为绳匠的负担。」
    「所以——今晚想看什么电影？」
    「诶…？」
    「你的事，永远不会是负担。看吧，我们的日常生活还是可以继续下去。」</t>
  </si>
  <si>
    <t>前传主角</t>
  </si>
  <si>
    <t>触发6次[白雷]的额外伤害时，将会引发电磁涡流，
    对目标及其周围的敌人造成零号·安比1000%攻击力的电属性伤害，
    该伤害被视为[追加攻击]伤害。</t>
  </si>
  <si>
    <t>「那么…我要回去了，绳匠。谢谢你一直以来的照顾。」
    「我知道你答应过妮可，不再离家出走。但这样，对我有点不公平吧？
    ——我也很怀念和安比两个人一起看电影到天亮的日子。」
    「对…对绳匠不公平？那么，我会想出补偿的方法的。」
    「快点想。」
    「零号，遵命。…诶、诶…」</t>
  </si>
  <si>
    <t>超级可怕小老虎</t>
  </si>
  <si>
    <t>进入战场时，橘福福的暴击率提升12%，立即获得100点[威风]；
    橘福福的[连携技]命中敌人时，目标处于失衡状态下时，失衡易伤倍率提升35%，持续30秒。</t>
  </si>
  <si>
    <t>「告别与死生的课题，对孩子来说太难懂，对大人来说太沉重，对长者来说太残酷。」
    「但我不害怕——我是不会害怕的虎希人，早早地知晓这一课。」
    「我是超级可怕的大老虎，可爱小动物们请不要直视我的目光！」</t>
  </si>
  <si>
    <t>神通广大青溟客</t>
  </si>
  <si>
    <t>处于[虎啸]状态下角色的暴击伤害额外提升22%；
    任意角色发动[终结技]时，橘福福回复3点[威势]。</t>
  </si>
  <si>
    <t>「师父教我的术法真是神奇，虽然比不过那些童话和传说。」
    「如果我厉害一点——再厉害一点，是不是可以将那些命定的过往全都重来过，就像童话和传说。」
    「我一开始确实也摸不着头脑，但其实把握了关窍就很简单啦。我来教你吧，{F#小师妹}{M#小师弟}！」</t>
  </si>
  <si>
    <t>仗义行侠少年郎</t>
  </si>
  <si>
    <t>「那一刻的善，那一刻的恶，或许都是一念之差。一念之差留下好多遗憾好多如果——还有好多牺牲与爱。」
    「我不聪明，大道理我不懂得许多，只好去做我觉得正确的选择。」
    「有福福大侠的地方，就有公义！」</t>
  </si>
  <si>
    <t>降妖伏魔虎修者</t>
  </si>
  <si>
    <t>橘福福处于[虎啸]状态下时，自身的暴击伤害提升35%。</t>
  </si>
  <si>
    <t>「以骸好可怕，强盗好可怕，空洞好可怕，没有星星的黑夜好可怕——可我是云岿山绝顶厉害的修者，我不可以退缩，不可以再看到我的故事发生。」
    「那堪黯晦绝此景，不忍山与月与云。」
    「我是云岿山绝顶厉害的修者！魑魅魍魉速速伏诛！」</t>
  </si>
  <si>
    <t>神威盖世大师姐</t>
  </si>
  <si>
    <t>「诸位安心——大师姐来了！」
    「小时候的那个我没有等到一直在等待的英雄，我不会让你等——我会成为你的英雄。」
    「福福可欺而师弟师妹不可欺！我去跟他拼了！嗷——！」</t>
  </si>
  <si>
    <t>知我心中虎啸声</t>
  </si>
  <si>
    <t>橘福福的[连携技]造成的伤害提升30%；
    橘福福在高速旋转状态下时，消耗[威势]命中敌人时，会发射3个爆米花，每个爆米花造成福福攻击力160%的伤害，且造成的伤害视为[连携技]伤害。</t>
  </si>
  <si>
    <t>「威风摇落山上月，气宇踏平洞中窟——师姐这句诗写得如何？有没有把师姐威风八面的气概写出来？」
    「侠名不重要，遗憾不重要，泪水不重要，总有一天会到来的离别也没关系。」
    「只要有你还记得，我曾勇敢咆哮过。」</t>
  </si>
  <si>
    <t>掌心的芫荽</t>
  </si>
  <si>
    <t>爱丽丝触发[极性强击]时，回复25点[剑仪]；
    爱丽丝触发[强击]时，目标的防御力降低20%，持续30秒。</t>
  </si>
  <si>
    <t>一株芫荽摇曳如新生的绿星，
    指尖仿佛下一秒便能将它穿透。
    她摊开微微颤抖的双手，
    将那丝悸动拥入掌心。
    少女的心跳如雨后晨曦破土的春芽。</t>
  </si>
  <si>
    <t>剑尖的鼠尾草</t>
  </si>
  <si>
    <t>[终结技：星芒终章]的终结一击命中敌人时，触发[极性强击]；
    全队角色造成的[强击]伤害提升15%；
    物理异常状态下的敌人被结算的[紊乱]伤害提升15%；
    进入战场时，爱丽丝立刻获得1000点喧响值，在勘域模式中此效果180秒内最多触发一次。</t>
  </si>
  <si>
    <t>银色的剑尖低吻着鼠尾草叶上的霜痕，
    战前的行礼是少女余裕的体现。
    恐惧与无力已被冰封于昨日的故梦中，
    佩剑跃动着，将要勾勒出繁星的轮廓。
    破晓就要到来，花蕾等待着盛开。</t>
  </si>
  <si>
    <t>对称主义</t>
  </si>
  <si>
    <t>她无法拒绝完美的对称。
    对称之中，存在着秩序与规律。若看不到对称，她的兔耳和尾巴将会丧失柔顺与光泽，仿佛美好的事物下一秒就会离她而去。
    「所以…这就是你非得提我的堆堆袜，还想卸掉我腿环的理由？」
    「我实在受不了你的不对称啦！就一下，我保证就一下！」</t>
  </si>
  <si>
    <t>唇间的迷迭香</t>
  </si>
  <si>
    <t>爱丽丝无视目标10%物理伤害抗性；
    强化后的[普通攻击：星仪序曲]累积的物理异常积蓄值提升25%。</t>
  </si>
  <si>
    <t>双唇间残留着迷迭香的香气，
    誓言滚烫且坚定，烙印于吐出的白息之中。
    纵使吸入肺内的空气冰冷而沉重，
    少女也绝不会忘却名为爱的咒语。
    「以泰姆菲尔德之名…我绝不背弃。」</t>
  </si>
  <si>
    <t>灵异渴求</t>
  </si>
  <si>
    <t>她无法拒绝恐怖的灵异。
    灵异之中，隐藏着未知与危险。若能感受到灵异，她的兔耳和尾巴都会在战栗中炸毛，却又在平复过后欲罢不能地变得更加顺滑。
    「所以…这就是你每回怪谈冒险明明怕得要死，还是要紧跟着我的理由？」
    「我只是好奇会发生什么…但是好恐怖，我已经后悔了！就一次，下次绝对不来了！」</t>
  </si>
  <si>
    <t>心中的百里香</t>
  </si>
  <si>
    <t>爱丽丝发动三段蓄力的[普通攻击：星芒圆舞曲]或[终结技：星芒终章]时，进入[决胜状态]，持续30秒，在持续期间，队伍中任意角色攻击命中目标后的短时间内，爱丽丝对目标发动1次额外攻击，造成等同于爱丽丝3300%异常精通的物理伤害，必定暴击，该效果1秒内最多触发一次，最多触发6次，再次获得[决胜状态]时刷新可触发次数。</t>
  </si>
  <si>
    <t>百里香漫放的那片庄园，
    天体观测的那个夜晚，
    知晓勇气为何物的那个瞬间。
    熏风驱散了乌云，阳光掩盖了水晶灯的华彩，
    少女向往日轻轻行了个礼。
    她缓缓消失在百里香的花田。</t>
  </si>
  <si>
    <t>幸运体质</t>
  </si>
  <si>
    <t>柚叶进入战场时，回复30点能量，在勘域模式中该效果每180秒最多触发一次；
    处于[甜蜜惊吓]状态下的敌人全属性伤害抗性降低10%；[额外能力]中属性异常伤害和[紊乱]伤害增益效果提升至原本的130%。</t>
  </si>
  <si>
    <t>「唉，这下完蛋了！」
    「柚叶你也考砸了吗？呜哇，92！这真是靠蒙能蒙出来的分数吗，你这完全是在炫耀吧！」
    「不不不，幸运最重要的就是适度，这一科明明没必要考这么高的…直觉告诉我，这下下午的考试肯定没有选择题了！」</t>
  </si>
  <si>
    <t>趣友云集</t>
  </si>
  <si>
    <t>柚叶的[强化特殊技：小心蛀牙]、[强化特殊技：小心蛀牙，就是现在！]和[终结技：不投降就捣乱]攻击命中敌人时，会使全队角色造成的伤害提升15%，属性异常积蓄效率提升15%，持续40秒，重复触发时刷新持续时间，重击命中不处于失衡状态的敌人时，会强制触发[连携技]，通过该种方式发动的[连携技]，打断等级降低，强制触发[连携技]的效果每20秒最多触发一次；
    其他角色通过[连携技]入场时，柚叶会获得1点[甜度点]；
    柚叶触发[普通攻击：硬糖射击]的冷却时间减少25%。</t>
  </si>
  <si>
    <t>「阿釜明明没离开过我的视线，可一瞬间这么多东西都被掉包了，到底是怎么做到的？」
    「哼哼~阿釜也是有很多朋友的呀！来来来，大家都出来，给你介绍一下，从左到右依次是：竹之助、伊之助，百之助…」
    「等等，说太快了！」
    「那再来一次，信之助、喜之助、春之助…」
    「名字跟之前完全不一样啊！」</t>
  </si>
  <si>
    <t>幽城童话</t>
  </si>
  <si>
    <t>「…公主的每一天都很忙碌，清晨，老成沉默的侍女们就会为她穿上华服，戴上沉重的魔法头冠和其他首饰，簇拥着她前往王座。在那里，她将施展神奇的力量，将平平无奇的石头变为价值连城的珍宝。」
    「姐姐，公主每天都要把石头变成宝石吗？比一边看店一边写作业还无聊呢。」
    「嗯…可如果公主不做这些，贫穷的王国就要灭亡了呀。」
    「只靠公主一个人拼命的没用王国，就让它灭亡好了！」
    她忍不住大笑起来。是呀，那样没用的王国，就让它灭亡好了。</t>
  </si>
  <si>
    <t>坠落魔法</t>
  </si>
  <si>
    <t>柚叶的[支援突击：夹心硬糖射击]和[支援突击：来块曲奇]造成的伤害提升30%，属性异常积蓄效率提升20%，且该招式命中敌人时将触发[快速支援]。</t>
  </si>
  <si>
    <t>从狭窄的通风口看到的那个女孩，闪亮得就像是从童话书里走出来的一样。
    她才是真正的公主，而我只不过是一个囚徒。
    神啊，她已经拥有那么多东西了，即使分给我一点点也没关系吧？
    然后，那个发卡就无声地落了下来。</t>
  </si>
  <si>
    <t>残冬梦迹</t>
  </si>
  <si>
    <t>TOPS高层和督导调查团来的那天，她和真斗也刚好从学校返回，为了给贵客们的座驾腾位置，他们乘坐的空艇在附近盘旋了好久才降落。在二人满头大汗地穿过天桥时，大批记者正簇拥着贵客们从下方经过，她一眼就看到了那个女孩。那天晚上，她做了一个梦，被记者簇拥着从天桥下走过的人变成了她，然而在路的尽头，她看到了那把专门为她准备的王座…
    已经很久没有再梦到类似的事了。她爬起来喝水，回想起白天听到的话：「什么专家组成的调查团，竟然让有钱人家的小姐混在里面充数！」
    「阿釜，阿釜！」她拉开窗户小声呼唤，一个毛茸茸的身影立刻从窗外探出头来。「我有个好主意，明天晚上，我们去做点有趣的事吧。」</t>
  </si>
  <si>
    <t>落地生根</t>
  </si>
  <si>
    <t>通过[招架支援]或[普通攻击：狸之帐]成功招架敌人攻击时额外获得1点[甜度点]，发动[支援突击：夹心硬糖射击]时可以长按&lt;IconMap:Icon_Normal&gt;进行蓄能，最多持续0.8秒，松开&lt;IconMap:Icon_Normal&gt;或蓄能至最大时间时，柚叶会额外发射强力炮弹攻击敌人。每蓄能0.4秒，柚叶都会消耗1点[甜度点]追加发射一枚强力炮弹，每颗追加强力炮弹攻击造成柚叶300%攻击力的物理伤害；
    [支援突击：夹心硬糖射击]的任意强力炮弹命中敌人时，会使全队角色[紊乱]效果的伤害倍率提升105%，持续40秒，最多叠加3层，每层单独结算持续时间，额外强力炮弹命中处于[甜蜜惊吓]状态的敌人时也会触发1次[普通攻击：彩糖花火·极]攻击；
    柚叶蓄能过程中如果受到敌人攻击，会自动闪避敌人攻击并直接发动最大蓄能攻击。</t>
  </si>
  <si>
    <t>听证会结束那天晚上，宝荣叔说要庆祝小枫拿到奖学金，于是释诡斋早早关了店，全家人一起去了饮茶仙。
    席间，远在法努斯区的哥哥也打来电话祝贺，小堇和阿文则绘声绘色地讲着白天发生的事：学校里那只花斑猫丢了孩子，大家怎么找都找不到，今天中午，小猫竟然自己回来了。哥哥在电话里叹气：「阿文，一问你成绩你就转移话题，爸和柚叶不管你，我可要替他们管了！」全家人都笑了起来，只有宝荣叔不住地喃喃道：「返嚟就好啦，返嚟就好啦…」</t>
  </si>
  <si>
    <t>气劲护体</t>
  </si>
  <si>
    <t>所有单位对被施加[气绝]效果的敌人造成伤害时，造成的伤害额外提升10%。</t>
  </si>
  <si>
    <t>云岿术法外可御以太流动，内可护经络筋骨。气劲如盾，刀枪不入，这便是潘引壶硬扛攻击的奥妙所在。
    另，这招在和大叔大妈们比拼抢购超市促销商品时尤其管用。</t>
  </si>
  <si>
    <t>云岿点穴手</t>
  </si>
  <si>
    <t>每消耗6点[破劲]，潘引壶将回复4点能量，[特殊技：断脉破穴手]命中敌人时对敌人造成的[气绝]效果将提升至12秒。</t>
  </si>
  <si>
    <t>「嘿嘿，贼人，动弹不得了吧！」
    「这招唤作云岿点穴手，既可痹体定身，也可打通经脉，乃我门派惩恶扬善之绝学也！」
    「…诶，你说只是因为我手劲太大，把你身子给打麻了？…你就说能不能动吧！」</t>
  </si>
  <si>
    <t>经外奇穴</t>
  </si>
  <si>
    <t>「这些个穴位，跟我们熊猫希人性质差不多。」
    「又少又分散，归不进哪个具体的系统里，也没几个人真正研究过，凄凉哟。」
    「但啥时候真当了那么一回奇兵，感觉又挺不错的，不是吗？」</t>
  </si>
  <si>
    <t>特等上厨</t>
  </si>
  <si>
    <t>[终结技：满汉全席！]为全队角色回复生命时，生命回复效果提升25%，持续回复效果的生命回复效果提升25%；发动[终结技：满汉全席！]时获得[储粮]效果，当队伍内任意角色损失生命值时，消耗[储粮]效果为其回复[终结技：满汉全席！]即时回复生命值50%的生命值，该效果不可叠加。</t>
  </si>
  <si>
    <t>初次下厨时，他差点把灶台点着。赶来救火的人里有个厨子，看着那堆烧糊了的食物，把还没用的鸡蛋下锅给他做了盘蛋炒饭。
    他狼吞虎咽，热泪盈眶。抬起头来，只见厨子向他亮出一张纸，上面写着「100」。
    「大师，我悟了！您是想告诉我烹饪要百折不挠是吧！」「不是，我是想说吃一口100丁尼，你吃了一百多口，该付钱了。」
    从那以后，潘引壶坚持自己亲自下厨，且再也没搞砸过。这便是特级厨师的诞生过程。</t>
  </si>
  <si>
    <t>「稀人」</t>
  </si>
  <si>
    <t>在这诺大的新艾利都，熊猫希人的存在实属罕有。他抗拒被人以稀奇的眼神打量，也早已习惯了无人帮衬的孤独生活。
    直到拜入云岿山门下，他变得不再孤单。
    同时，直到发现不少市民愿意为了和熊猫希人合影而付费…他也变得不再抗拒被人打量。</t>
  </si>
  <si>
    <t>气穴论</t>
  </si>
  <si>
    <t>[核心被动：脉中乾坤]提供的[通窍]将额外获得潘引壶初始攻击力6%的提升，该效果提供的贯穿力最多提升至720点。</t>
  </si>
  <si>
    <t>「古人有云，气穴足有三百六十五处。其实人的活法亦是如此。」
    「喏，从这张穴位图上选一个喜欢的。」
    「它就代表了你现在的活法——在哪里，有啥用，都不重要。只要你喜欢，就够了。」
    「至于选它出来有啥用，我想想…有了。下回师兄教训贼人时，就专攻这个穴位吧。」</t>
  </si>
  <si>
    <t>梦中身</t>
  </si>
  <si>
    <t>进入战场时，获得6点[青溟剑势]，在勘域模式中此效果180秒内最多触发一次；
    [核心被动：照破无明]中[合道]效果额外使造成的伤害提升10%，无视目标20%防御力。</t>
  </si>
  <si>
    <t>无数次午夜梦回，她都会回想起那一天——
    剑刃嗡鸣，长剑认主，契约就此缔结。
    那究竟是幸运，亦或是诅咒？
    …无人知晓这个问题的答案，然而从那一日开始，她的命运便牵系于此剑之上。</t>
  </si>
  <si>
    <t>光与影</t>
  </si>
  <si>
    <t>[载物]可叠加层数提升至6层，[观止]可叠加至9层；
    [明心境]状态下，每消耗1点[青溟剑势]，则获得1层[观止]效果；
    [强化特殊技：明心境·飞光]和[终结技：斩妄开天]造成的伤害无视目标40%防御力。</t>
  </si>
  <si>
    <t>岁月流淌，寒来暑往。
    她所拥有的天地，不过云岿山上这小小一隅，山间四时便是能看到的所有景象。
    在漫长无尽的寂寥与如影随形的恐惧中，「另一个自己」悄然诞生。
    「…我是她的一部分，从始至终，未曾分离。」
    「若她是光，那我就是影子。若她是高悬的圣像，那我就是匍匐的凡人。」
    「与她不同，我不愿成为什么『英雄』…」
    「…我只想活下去。」</t>
  </si>
  <si>
    <t>剑客行</t>
  </si>
  <si>
    <t>绝世的名剑藏于深山，敛尽锋芒。
    而它出鞘之时，长剑所及寒芒千丈，风雪过处仍余孤光耀目。
    「剑客是什么？」
    「不过是…一往无前的勇气，与斩开一切的决心。」</t>
  </si>
  <si>
    <t>共黯尘</t>
  </si>
  <si>
    <t>进入战场时，获得1000点喧响值，在勘域模式中此效果180秒内最多触发一次；
    [以太帷幕·决裁]提供的帷幕易伤加成上限提升至200%。</t>
  </si>
  <si>
    <t>宏大的愿景下潜藏着谎言，所谓的拯救却需得燃尽自身。
    命运于她从无怜悯，而她欣然奔赴最后的结局。
    「我知道的。」
    「我的一生都会与『失去』共存。」
    「我自愿接受这一切…」
    「…我选择去成为这样的人。」</t>
  </si>
  <si>
    <t>微光引</t>
  </si>
  <si>
    <t>「…我想，我终究还是那个『幸运』的孩子。」
    「秽息不会淹没我，灾难不会吞噬我。」
    「即便是青溟剑，也无法将我拽进漆黑不见底的深渊…」
    「哥哥、师父、随便观的大家…还有你。」
    「…我知道，你们会一直等着我。」
    如此，纵使前路棘刺满地，亦存微光照亮旅途。</t>
  </si>
  <si>
    <t>明灯愿</t>
  </si>
  <si>
    <t>进入战场时，获得2层[明灯愿]；
    每次进入[明心境]状态会获得1层[明灯愿]，至多叠加4层；
    拥有3层[明灯愿]时，将[强化特殊技：明心境·归尘]替换为[终结技：斩妄开天]，发动此[终结技：斩妄开天]时，消耗3层[明灯愿]；
    [强化特殊技：明心境·归尘]和[终结技：斩妄开天]最后一击额外造成1500%攻击力的物理伤害。</t>
  </si>
  <si>
    <t>她曾孑然一身，独行于黑暗；
    又执剑奔赴灾厄，青溟出鞘之时，一瞬的虹光划破长空，照彻静寂黑暗之地。
    「…我想成为万千萤火中的一盏。」
    「天总会亮的。无论黑夜多么漫长，白昼终将到来。」
    「在遥远的过去，和遥远的未来，一定也有无数人做出了和我一样的选择。我们…从不孤单。」</t>
  </si>
  <si>
    <t>流浪生存法则</t>
  </si>
  <si>
    <t>真斗的生命值降低时，累积已损失生命值，每有相当于最大生命值1%的已损失生命值使[支援突击]和[普通攻击]造成的火属性伤害提升0.4%，最多提升20%。</t>
  </si>
  <si>
    <t>不幸的孩子都是相似的。
    曾经亲切的呼唤、温暖的灯光、欢快的约定…未经告别就猝然沉没；因为无形无状，所以再尖锐的獠牙也无法咬紧、再锋利的指甲也无法攥住。
    「我什么都能吃，又不太怕冷——如果说有什么『活下来的秘诀』，也许就是这些。」</t>
  </si>
  <si>
    <t>昼夜、厨房与爱</t>
  </si>
  <si>
    <t>[熔锋]状态下，真斗无视目标8%火属性伤害抗性；
    [特殊技：归烬]或[特殊技：归烬·舍身]发动期间受到敌人攻击后，点按 &lt;IconMap:Icon_Normal&gt; 可以发动[支援突击]。</t>
  </si>
  <si>
    <t>和谐的家庭关系也许就是这样——真斗、阿青和阿月，每个人都觉得自己是「被捡回家」的幸运儿。
    如果说还有什么值得争吵的事情，也许只剩下「最后一筷子青菜到底该谁吃」。
    「真的不好吃吗？那我下次再去饮茶仙问问，是不是有哪一步搞错了…」
    「…商业机密？！可是上次…我只是站着，那个厨师就全告诉我了。」</t>
  </si>
  <si>
    <t>踏入怪谈世界</t>
  </si>
  <si>
    <t>在论坛站稳脚跟的第一步，是起一个朗朗上口的昵称——所有人都觉得自己并不擅长此道，但对于偶尔要留校补考文学课的犬希人来说，这尤其困难。
    「…你不是已经知道了吗。就是那个、那个…咳，『泅珑de孤鬼』。」
    「——你明明就听清楚了！」
    「可恶。总有一天，我要改成『再提曾用名就空洞见』。」</t>
  </si>
  <si>
    <t>幼年的誓言</t>
  </si>
  <si>
    <t>最大生命值提升8%；
    [特殊技：归烬]和[特殊技：归烬·舍身]发动期间，真斗受到致命伤害时不会在招式发动期间战败退场，生命值最多降低至1，10秒内最多触发一次。</t>
  </si>
  <si>
    <t>把自己想象成一头目光冷冽的孤狼，也许是每位青少年都会做的事…更何况，真斗在这件事上更具优势。
    如果不是溺想者的出现，他本可以和别人一样假装无事发生。
    「都说了，那只是我八岁时候的想法——」
    「『朋友』就是这样吗…你们确实没把我当作脆弱的人，但也没把我当作人。」</t>
  </si>
  <si>
    <t>孤影归群</t>
  </si>
  <si>
    <t>事实上，即使有外形上的天然隔阂，真斗依然很受大家的欢迎。
    有人与他结成了友谊、有人想要寻求他的庇护，还有人…想找他帮忙打广告。
    「抱歉，我可能不是很适合为你的店铺做宣传。」
    「可我没有做什么『卧推』。除非你指的是…被以骸按在地上的时候，用胳膊推起重剑、抵挡它们乱挠的爪子？」</t>
  </si>
  <si>
    <t>越过昔年梦</t>
  </si>
  <si>
    <t>[特殊技：归烬]命中处于失衡状态下的敌人时，真斗回复75点[炽心]，获得4层[残焰]，点按 &lt;IconMap:Icon_Normal&gt; 可以发动[支援突击]，获得[残焰]的效果在20秒内最多触发一次；
    [支援突击]命中敌人时，造成的火属性伤害提升3%，持续8秒，最多叠加5层，重复触发刷新持续时间。</t>
  </si>
  <si>
    <t>越过昔年的孤勇之梦，真斗拥抱了珍视的朋友们。
    但他偶尔还是会因为「朋友」而受挫，比如…在卫非地特色老火靓汤店。
    「我说要为你们『殿后』，不是这种——在喝椰子鸡汤的时候殿后。」
    「可是，喝蝎子汤的时候，怎么又轮到我冲锋了？」
    …最后还是冲锋了。</t>
  </si>
  <si>
    <t>秘密朋友</t>
  </si>
  <si>
    <t>[巡梦童谣]状态额外附加造成伤害时无视敌人18%全属性伤害抗性和喧响值获取效率提升5%效果；
    且卢西娅发动招式升级时获得1层[回音]，最多叠加4层，当[巡梦童谣]状态结束时，若卢西娅持有[回音]，则会自动消耗1层并重新为全队角色施加[巡梦童谣]状态。</t>
  </si>
  <si>
    <t>在还是个孩子的时候，奶奶就牵着卢西娅的手，将她带进了空洞。
    从此，她穿梭于漆黑的小径，狩猎于无边的空洞；画笔下描绘了擦肩而过的以骸，以太光芒构成了童年的所有光彩。
    「小时候，我有三个朋友：很强壮的黑盾，会瞬间移动的塔纳，还有特别特别厉害的大铠甲！」
    「后来，他们都不见啦…」
    「不过没关系！我把他们都画在了本子上——现在，只要挥挥法杖，我就能把他们都召唤出来！」</t>
  </si>
  <si>
    <t>魔术大师</t>
  </si>
  <si>
    <t>卢西娅处于[以太帷幕·涌泉]内时[合唱]造成的伤害提升15%；
    拥有[破暗]状态的代理人，处于[以太帷幕·涌泉]内时，额外获得贯穿伤害提升15%效果。</t>
  </si>
  <si>
    <t>近来，新艾利都流传着一则关于「夜魔使者」的传说。
    「每到晚上十二点，夜魔使者就会出现在街头，给我们讲各种各样的故事！」
    「她还是个很厉害的魔术师！只要念起咒语，就能『哗啦啦』召唤出好多好多以骸，帮我们战斗！」
    「上次在空洞里迷路时，夜魔使者就是用这招把我们救出来的！」
    ——上述内容由果核布、恶魔布和飞靶布口述</t>
  </si>
  <si>
    <t>最佳搭档</t>
  </si>
  <si>
    <t>——咚，咚咚。
    伴随着有规律的敲击声，一把烤串从窗口递了进来。
    「绳匠接着！刚出炉的烤肉搭配柠檬跳跳糖，契合得就像杜拉罕的左手刀和右手盾！」
    「吃完了的话…我们现在一起出去玩吧！」
    「我有预感，今晚一定能找到超级棒的怪谈素材——能『嘭』地一下掀翻论坛那种程度！」</t>
  </si>
  <si>
    <t>深夜时间</t>
  </si>
  <si>
    <t>当场上有[以太帷幕]开启或延长时，卢西娅使全队角色获得100点喧响值，该效果15秒内最多触发一次。</t>
  </si>
  <si>
    <t>对于「怪谈学者」来说，旺盛的好奇心、充沛的行动力以及说走就走的决心，都是必不可少的重要特质，卢西娅也是这样。
    正因如此，在刚来新艾利都的那段时间，她成为了治安局的常客。
    「说过多少次了，哪怕是追踪怪谈的时候，也不可以随随便便闯进工地——」
    「不要在街上睡觉，不可以半夜到处乱跑，不能在所有人面前冲进空洞…这些全都是『新艾利都生活守则』，需要好好遵守！」
    「实在睡不着的话，要不…唔，就去泰姆菲尔德庄园探险，顺便给爱丽丝讲点鬼故事怎么样？」</t>
  </si>
  <si>
    <t>梦境守望人</t>
  </si>
  <si>
    <t>夜色如墨深沉，繁星瑰丽璀璨。
    她从远方跋涉而来，带着故事、歌谣和未完成的诗篇。
    她摘下花朵，露水凝结在花瓣中，放在窗前。
    她守候着你的梦境，让它温暖安全。
    「早上好…诶，卢西娅是什么时候过来的？」
    「我不记得了，应该没有很久吧…毕竟，和绳匠在一起的时间总是过得很快。」</t>
  </si>
  <si>
    <t>永不结束的旅途</t>
  </si>
  <si>
    <t>卢西娅处于任意[以太帷幕]内时，会根据自身初始最大生命值的2%提升自身攻击力，且[合唱]必定暴击，[合唱]造成暴击时暴击伤害提升30%。</t>
  </si>
  <si>
    <t>卢西娅的生命是一场没有尽头的旅程。她在月色下奔跑寻觅，横跨一条又一条街道，走过一个又一个城市。
    故事的丝线编织出无数美梦，轻盈的歌声于夜灯下流淌。
    寻觅的脚步从不停歇，星空下的旅途永不终止。
    直到夜幕消褪，阳光升起，少女才伸着懒腰走出空洞。
    「哈欠…好困…可是大家都说最好别睡在空洞里…」
    「要不，还是去录像店打个地铺吧！」</t>
  </si>
  <si>
    <t>「冻眠期」</t>
  </si>
  <si>
    <t>「席德」[钢能]达到100点时，即可发动[普通攻击：落华·崩坠]且总计消耗的[钢能]降低至100点；
    获得一次快速释放[普通攻击：落华·重戮]机会所需的[钢能]降低至100点；
    进入战场/发动[终结技]时，额外累积40/20点[钢能]；
    [普通攻击：落华·崩坠]造成的暴击伤害提升30%。</t>
  </si>
  <si>
    <t>这儿是一处与外界隔绝的，肃穆而神秘的建筑。
    洁白的她属于这里。她瑟缩着，小心翼翼地朝着铁丝网外探出头。外面的世界是什么样的呢？
    她的好奇心漫过无菌的房间，越过崩裂的高楼，躲开天空中粉色的巨花。
    流呀流……
    「看起来很像一个破壳的臭鸡蛋呢～」
    「但我想在这儿待一会儿…」</t>
  </si>
  <si>
    <t>「汲光法」</t>
  </si>
  <si>
    <t>代理人[围杀]状态的增益效果生效时，该代理人造成的伤害无视20%防御力；
    发动[强化特殊技：铁萼雨幕]时，在累计消耗60点能量后，可继续消耗能量延长招式，直到松开按键或累计消耗120点能量；
    [强化特殊技：铁萼雨幕]每消耗5点能量会使本次衔接的[普通攻击：落华·重戮]造成的伤害提升5%。</t>
  </si>
  <si>
    <t>这儿是一片钢筋错落的、连绵的废墟。
    莫名的、无法表达的情绪梗住了喉头，口舌却无法发声…
    视线悄悄模糊，某种古怪的液体顺着脸颊流了下来。
    揉揉眼眶，眨眨眼睛…
    那刺眼的、笨拙地凑近过来的，究竟是什么呢？
    「不要害怕…我来…救你了…」
    「你有…名字吗？我的代号是…『席德』。」</t>
  </si>
  <si>
    <t>「抽芽说」</t>
  </si>
  <si>
    <t>这儿是一所军营里再普通不过的休息间。
    她们向她打着招呼，尝试着打开她的心扉。
    怯生生的红头发少女，大呼小叫的奇怪枪管，戴着眼罩的金毛狗狗…
    大个子机器人告诉她，她们都是她的朋友。
    「什么是朋友？」
    「朋友啊…是一回头就能看见的人。」</t>
  </si>
  <si>
    <t>「芳香调」</t>
  </si>
  <si>
    <t>「席德」[围杀]状态的增益效果生效时，
    喧响值获取效率提升10%，[终结技]造成的伤害提升20%。</t>
  </si>
  <si>
    <t>这儿是一处盛大的、人头攒动的广场。
    比所有人都要高的台子上，有人叽里咕噜地说着什么。
    有声音喊了她的名字，很多人簇拥了过来，茫然的花儿被移植到了舞台，甚至还没洗去发梢上的硝烟。
    黑匣子闪烁着比星星更亮的光，一枚小小的金属贴片被别在了同样手足无措的老朋友与小朋友身上。
    这份表彰也意味着，从这一刻起，她成为了「『席德』」，一直陪伴着她的机器人成为了「老『席德』」。
    「我做的很好吗？」
    「当然，你是我们的骄傲…这个代号就是证明，『席德』。」</t>
  </si>
  <si>
    <t>「绽蕊时」</t>
  </si>
  <si>
    <t>这儿是一所几乎无人知晓的、狭小的安全屋。
    零碎的、杂乱无章的东西填满了整个空间。箱子、沙发、相框、一盆又一盆的花朵，红的，黄的，粉的，站得笔直的，蓬松的，耷拉脑袋的。
    闭上眼睛，捂紧嘴巴，一定会忍住的——她保证。
    「再给它们一点时间，好吗？」
    「它们会长得很好的…就像你一样。」</t>
  </si>
  <si>
    <t>「有心论」</t>
  </si>
  <si>
    <t>「席德」的暴击伤害提升50%；
    发动[普通攻击：落华·重戮]时，额外发射3道激光，每道激光造成165%攻击力的伤害，3秒内最多触发一次。</t>
  </si>
  <si>
    <t>这儿是一片鲜花漫野的、灿烂的花海。
    她记起了这里最开始的样子，光秃秃，连一棵小草也没有。
    是谁做的坏事呢？是谁把荒芜的、阴郁的零号空洞变成了这样呢？是谁在苍白的土壤里种出了一颗茁壮的心呢？
    「原来你走了这么大的一个圈呢…」
    「下次再见，『老席德』。」</t>
  </si>
  <si>
    <t>贪欲如火</t>
  </si>
  <si>
    <t>[强化特殊技：论道]和[强化特殊技：地动]命中敌人时，会使敌人陷入[战栗]状态，处于该状态的敌人火属性伤害抗性降低10%，持续30秒；
    [强化特殊技：狮子吼]、[强化特殊技：狮子吼·怒]、[强化特殊技：山摇]、[强化特殊技：山摇·怒]、[普通攻击：倾山]和[普通攻击：摧岳]命中处于[战栗]状态的敌人时，造成的贯穿伤害提高10%；
    [普通攻击：摧岳]命中处于失衡状态的敌人时，会使其此次失衡的失衡持续时间提升2秒，敌人在一次失衡期间内只会受到一次该效果，且同类效果不可叠加。</t>
  </si>
  <si>
    <t>般岳师父可有过什么欲求么，他在澄辉坪开着家武馆，似乎也只因为某位宗师提议他开家武馆。
    那座武馆连名字都没有，既不为名，更不图利，甚至连什么要传宗授艺之类的口号都没教学生喊过。
    只有般岳师父自己知道，名为「赎罪」的执妄日夜灼烧着他钢铁铸成的心，一着不慎便是迷途。
    「贪欲如火，恰当的欲望能够成为前行的炬火，不加收敛便会自受其焚。」</t>
  </si>
  <si>
    <t>嗔恨如刀</t>
  </si>
  <si>
    <t>[核心被动]中的暴击伤害增益效果额外提升15%，火属性伤害增益效果额外提升15%；
    处于[怒相]状态时，般岳消耗[山威]发动[强化特殊技]时，额外回复5点闪能。</t>
  </si>
  <si>
    <t>武馆的学生们从未见过般岳师父生气——更别说是发怒，即使对于最驽钝或最轻狂的学生，般岳师父似乎也拥有无限的耐心。
    山脉怎么会轻易发怒呢，它过分厚重的沉稳总使人们几乎忘记它的暴烈。
    但当它引动天倾的怒火，即使最嚣狂的恶兽，也要因此而战栗。
    「嗔恨如刀，平日要好生藏于鞘中，莫要伤了身边的人。」</t>
  </si>
  <si>
    <t>痴愚如锁</t>
  </si>
  <si>
    <t>般岳师父不止是武人，更是位智者——不管是武馆的学生们还是相熟的邻里，都这么说。
    毕竟般岳师父平常看起来就很深沉的样子嘛，寡言少语的他一开口，总是些让人耐人寻味的格言般的句子。
    武道不止修身，更是修心，而般岳师父常说，自己皆不过是学徒。
    「般岳鲁钝，也曾踏入歧途，但为阁下开辟这一程的道路…尚有双拳可付。」</t>
  </si>
  <si>
    <t>肃灭单元·零型</t>
  </si>
  <si>
    <t>[强化特殊技：狮子吼·怒]、[强化特殊技：山摇·怒]、[普通攻击：倾山]和[普通攻击：摧岳]造成的伤害提升30%。</t>
  </si>
  <si>
    <t>命运或许是天定或许是人为，但有些人的宿命与罪责，从不曾有幸被自由意志粉饰。
    在获得如今的姓名之前，被称为「零型」的作战构造体不过是字面意义的杀戮机器。
    而「心」是何时诞生的呢？是代码的桎梏被她抹去的那天，还是当你获得背负这一切前行的勇气？
    「忏悔太过轻巧，比起逃避曾经的罪孽，不如背负这如山的过往…为如今挥拳吧。」</t>
  </si>
  <si>
    <t>学徒</t>
  </si>
  <si>
    <t>听说了么？山上开了家武馆，教功夫的是个大个子构造体。
    从那武馆里出来的学徒都颇有些真功夫呢，连以骸都能过上几招。
    那位铁铸的师父也常跑到空洞里救灾救人，想必也是位武道的宗师吧？
    「我不过也还是个稚拙的学徒…各位虽然称我一声师父，却也教会我许多为『人』的道理 。」</t>
  </si>
  <si>
    <t>降世明王</t>
  </si>
  <si>
    <t>任意时刻，般岳发动[强化特殊技]都可获取[明王]；
    [明王]提供的火属性伤害增益效果额外提升8%，持续时间提升至30秒；
    发动[普通攻击：摧岳]时，般岳会对周身敌人造成等同于自身600%贯穿力的火属性伤害；
    衔接在[强化特殊技]后释放[闪避：叫阵]也可以获取[明王]。</t>
  </si>
  <si>
    <t>「用性命抵债很轻松吧大块头？可你前面还有很长的赎罪之路要走呢！」
    「这是我对你…最终的裁决！」
    那个女孩的身形实在纤细，但那掷地有声的判词却似乎拨开如山的重负与迷雾。
    「我仍在思索自己是否具备裁决的智勇…但那不是我驻足不前的借口。」</t>
  </si>
  <si>
    <t>服务热情保持饱满</t>
  </si>
  <si>
    <t>每秒积累的[好评]与发动[强化特殊技：石头]、[强化特殊技：剪刀]、[强化特殊技：布！]命中敌人时积累的[好评]提升16%，
    [好评如潮]状态下的角色无视敌人15%全属性伤害抗性。</t>
  </si>
  <si>
    <t>欢迎来到「跨部门响应客服中心」！
    我们的服务宗旨是，永远保持笑容，永远对客户充满热情~！
    笑容？曾经最不熟练的表情，什么时候成了最习以为常的皮肤呢？
    「亲亲~有什么可以帮到您吗？当然~我的意思不是说我真的可以帮到您哦~！」</t>
  </si>
  <si>
    <t>7×24热线畅通</t>
  </si>
  <si>
    <t>[恶意投诉]效果下敌人进入失衡状态后的失衡易伤倍率额外提升20%，
    所有单位对[恶意投诉]效果下的敌人造成的伤害提升15%。</t>
  </si>
  <si>
    <t>TOPS是全新艾利都最~大~的企业联合体，我们工作关乎着这座城市的生息~！
    我们是这座巨型机械最~重要~的润滑剂，所以我们的服务热线7×24小时要随时保持畅通！
    无时无刻从不停止的喧噪杂音么？没问题，那是我最熟悉的东西。
    「请您随时联系我~！反正不管您什么时候联系，我都是这么讨您嫌的样子呢~！」</t>
  </si>
  <si>
    <t>空洞来电</t>
  </si>
  <si>
    <t>空洞是一座巨大的坟墓，所有生命的响亮，都在漆黑的棺椁中寂静。
    但唯独对我来说，它是无法回绝的通话，是每一本日记的最后一页，是执念与痴怨的备忘录。
    虽然所有那些释怀或痴心的台词，都与我自己的故事无关。
    「没关系没关系~！我跟很多比您更无法沟通的客户沟通过呢~！」</t>
  </si>
  <si>
    <t>往事从不如烟</t>
  </si>
  <si>
    <t>进入战场时，琉音回复20点能量，
    在勘域模式中此效果180秒内最多触发一次；
    [好评如潮]效果下，琉音攻击力提升500点。</t>
  </si>
  <si>
    <t>因为个子小一点总是被当成小孩子，可我的童年早就结束了。
    那一天是哪一天呢？是第一次听到亡灵的絮语时么？是被当作牺牲者送入空洞时么？还是啼哭的第一个夜晚？ 
    无人庇护只好独自学步，忘不掉过往只好装作释怀。
    「我无意了解您人格的缺陷~但我很关心您童年创伤对我投诉率的影响~！」</t>
  </si>
  <si>
    <t>谎话</t>
  </si>
  <si>
    <t>人总是在被人在乎的时候说谎，却又在被人遗忘的时候吐露真相。
    这些不明智的抉择总是带来悔恨，我的工作不过是用昨天的悔恨，来让今天的悔恨少一些。
    我知道人总是讲谎话，但至少还有人愿意对我说谎。
    「我的策略建议是：在您人身攻击的间隙中，插入对您有利的胡说八道~！」</t>
  </si>
  <si>
    <t>真言</t>
  </si>
  <si>
    <t>通过[核心被动]使其他队友以终结技入场后，该队友获得[余音]效果，
    攻击命中敌人时琉音对敌人造成额外一次物理属性伤害，等同于琉音480%攻击力，
    该伤害被视为[强化特殊技]伤害，1秒内最多触发一次，最多触发12次，
    重复获得[余音]效果时刷新次数，同时只能有一名队友获得[余音]效果。</t>
  </si>
  <si>
    <t>但骤然降临的死亡就像时间的标本，将真相框定、凝结成了不会变更的模样。
    我从亡灵的手中取回这些标本， 把他们的死亡证明当作裁决书的底本。
    绝对客观的「真相」是唯一可以信赖的准绳，是指引我前路的唯一绳索，直到…
    「绳匠，我也可以说谎么？」</t>
  </si>
  <si>
    <t>《孤独侵蚀症》</t>
  </si>
  <si>
    <t>千夏进入战场时，回复15能量，在勘域模式中此效果180秒内最多触发一次；[猫的凝视]触发并命中敌人时，使目标的防御力降低7%，持续40秒，最多叠加3层，每层效果单独结算持续时间。</t>
  </si>
  <si>
    <t>不被理解没有关系，只要有音乐就够了。没有人主动搭话也没关系，反正女孩本就未曾对此抱有期待…
    身处人群的紧张让她从世界仓皇逃开，以妄想填补被余留下来的空白——她是自己小小天地的国王，在领土边界竖起了「生人勿入」的警戒线，然后用音符将那里涂抹得色彩缤纷。
    「我是和他们不一样的小孩，是…是孤独的天才！」 
    她鼓起脸，用掌心悄悄抹去眼角钻出的那滴寂寞。</t>
  </si>
  <si>
    <t>《猫的随波逐流》</t>
  </si>
  <si>
    <t>千夏处于任意[以太帷幕]内时，使全队角色攻击力提升10%，每10秒获得1个[磨爪器]；
    [猫的凝视]触发所需的攻击次数减少；触发造成的伤害倍率提升：
    [强攻]角色触发时，伤害倍率增加200%；
    [异常]角色触发时，伤害倍率增加300%。</t>
  </si>
  <si>
    <t>「那孩子是异类，总是只身一人在角落哼着古怪的歌…」
    她早已习惯旁人如此这般话语，因此也从未期许过其他的评价。
    而在那个暖融融的午后，垂下眼睑的黑发女孩像天使，朝她伸出了手。
    啊，啊，原来她一直在寻求这份理解。一直在…等待一个能称之为同伴的存在。
    即使已反复练习寂寞到熟稔，原来所谓人类仍旧是社会动物。那个人从湿漉漉的孤独中将她打捞起来，从此她有了一个羽毛搭成的避难所。</t>
  </si>
  <si>
    <t>《变身苹果》</t>
  </si>
  <si>
    <t>在此之前，她从未得到过如此多陌生人的赞许。
    「温柔的歌，给予了我力量。」
    「在最悲伤的时候，遇到能令我共鸣的曲子，感动…」
    「音乐风格也太可爱了吧！！」
    少女紧张地盯住屏幕，消息栏标示提醒的小红点正伴随她的心跳声不住颤抖，她操纵着手中的鼠标，一次又一次点开那个窗口——
    再多一点吧，再多一点人看到我的音乐，再多一点人看到这个除了写歌一无是处的我…
    再多一点人，能汲取到这份小小的力量就好了。</t>
  </si>
  <si>
    <t>《妄想调查队》</t>
  </si>
  <si>
    <t>千夏发动[终结技]时，使全队角色造成的伤害提升18%，持续60秒。</t>
  </si>
  <si>
    <t>从被南宫拉出门，到在那张合同上签好名字…对少女来说，这一天过得如同夏日划过雨夜的闪电般迅疾。
    就好像做梦一样，就好像过家家一样…总之，那都是存在于「妄想」中的事情。
    迈出这里，她们就不再是独立的三个人，而是作为一个组合的「妄想天使」。迈出这里，她就不再只是幕后的创作者千夏，还是台前面对粉丝演绎自我的偶像。
    ——这份盛大降临的妄想，是她迄今为止所收到过最不可思议的礼物。</t>
  </si>
  <si>
    <t>《银河电车》</t>
  </si>
  <si>
    <t>那些星星悬挂于夜幕之上，好像一盏盏黄昏时分被点亮的汽灯。
    她想象在偌大的银河里，有人驾驶着一辆哼哧哼哧的电车，从淡色的晨曦出发一路驶向无限。
    乘客都是猫猫狗狗小兔子之类可爱的家伙，列车长精通深海鱼和猫头鹰的语言。
    离开仓促的生活，离开琐碎的日常——
    「如果乘着妄想天使的翅膀，就能把大家带进这样的音乐里吧！」
    在香薰蜡烛甜甜的气味里，她啊呜一声伸个懒腰，在曲谱上写下这场浪漫的梦。</t>
  </si>
  <si>
    <t>《空洞大爆炸》</t>
  </si>
  <si>
    <t>千夏发动[强化特殊技]时，进入[潜心创作中！]状态，持续8秒；
    [潜心创作中！]状态下，千夏发动的攻击必定暴击，并根据自身初始攻击力的0.03%提升自身的暴击伤害，最多提升105%；
    [潜心创作中！]状态下，千夏抗打断等级提升，受到的伤害降低40%；
    [潜心创作中！]状态下，千夏可以触发[猫的凝视]，以[强攻]代理人规则结算伤害；如果触发[猫的凝视]时，千夏拥有[磨爪器]，则立即消耗[磨爪器]并再次给敌人添加[猫的凝视]；
    [潜心创作中！]状态下，全队触发[猫的凝视]造成的伤害提升50%。</t>
  </si>
  <si>
    <t>「你是为什么而站上舞台的？」
    是为了粉丝吗？是为了享受舞台上的荣光吗？还是为了那个在角落看着别人玩耍、不敢上前的自己？
    也许全都有，但或者也许全都没有。
    少女只知道握住话筒的时候心跳会变慢，四周会变得寂静…直到鼓点奏响，乐声如波纹漫过舞台的那一刹那，属于音乐的微光会照亮这段被大家所共享的时间。
    那种感觉就像是——她们都是天使，拥有带着所有人飞出「此刻」的翅膀。</t>
  </si>
  <si>
    <t>元气声浪</t>
  </si>
  <si>
    <t>爱芮的[普通攻击]、[特殊技]，[强化特殊技]对敌人造成伤害时，无视目标10%的以太异常积蓄抗性；
    且自身触发[异放]时有概率触发暴击：基础暴击率为25%，暴击伤害为25%；若初始异常掌控大于100点，每超过1点初始异常掌控会使该效果的暴击率额外提升0.5%。</t>
  </si>
  <si>
    <t>「你看到了吗？他们都在期待着我们。所以只要灯光亮起，便一定要饱含元气。这便是身为偶像的意义。」
    ——一些上台前的悄悄话。</t>
  </si>
  <si>
    <t>梦幻节拍</t>
  </si>
  <si>
    <t>爱芮攻击和触发[异放]时无视目标16%防御力；在[妄想时刻]持续时间内，攻击和触发[异放]时额外无视目标8%防御力。</t>
  </si>
  <si>
    <t>「不用唱出来，闭上眼睛，去感受它，去接纳它。之后在舞台上，用我们的表演，让全场听众一起爱上它。」</t>
  </si>
  <si>
    <t>梦想家</t>
  </si>
  <si>
    <t>「梦想也好，妄想也罢，只要奔跑在成为更好自己的路上。每个人都值得被欣赏，每次努力都会有人记在心上。」</t>
  </si>
  <si>
    <t>机械天使</t>
  </si>
  <si>
    <t>爱芮触发[异放]时，自身获得4点能量和70点喧响值，10秒内最多触发一次。</t>
  </si>
  <si>
    <t>我的羽翼，是精钢锻铸的月光，
    在数据中，校准着每一次振响。
    齿轮咬合着宿命的节拍，
    电流是体内寂静的喧嚷。</t>
  </si>
  <si>
    <t>雨中之泪</t>
  </si>
  <si>
    <t>我曾看到过，城市被空洞包裹，秩序被以太重塑，美好的一切都被黑暗吞噬，坠入时间的长河…一如泪水消逝在雨中。</t>
  </si>
  <si>
    <t>构造体之梦</t>
  </si>
  <si>
    <t>进入战场时，爱芮立即获得1200点喧响值，在勘域模式中此效果180秒内最多触发一次；且爱芮进入[妄想时刻]后将不会退出，强化版[普通攻击：绝对音准]和[终结技]造成的以太伤害提升40%；
    当爱芮处于[妄想时刻]时，若场上有敌人进入属性异常状态，爱芮获得1层[全场应援]，该效果6秒内最多触发一次；
    在获得[全场应援]效果时，若自身已有3层[全场应援]效果，则会将溢出的[全场应援]效果转化为2个[应援能量]生成在场上。</t>
  </si>
  <si>
    <t>你是否还记得，九月的夜晚，爱在那时产生。
    你是否还记得，舞台上的欢舞，在坠入妄想的日子。</t>
  </si>
  <si>
    <t>等阶</t>
  </si>
  <si>
    <t>生命值加成</t>
  </si>
  <si>
    <t>攻击力加成</t>
  </si>
  <si>
    <t>防御力加成</t>
  </si>
  <si>
    <t>名称</t>
  </si>
  <si>
    <t>性别</t>
  </si>
  <si>
    <t>身高</t>
  </si>
  <si>
    <t>出生日期</t>
  </si>
  <si>
    <t>档案信息</t>
  </si>
  <si>
    <t>合作备注_铃</t>
  </si>
  <si>
    <t>合作备注_哲</t>
  </si>
  <si>
    <t>额外信息</t>
  </si>
  <si>
    <t>安比·德玛拉</t>
  </si>
  <si>
    <t>女</t>
  </si>
  <si>
    <t>2/20</t>
  </si>
  <si>
    <t>安比，狡兔屋成立最初的雇员（没有之一）。
    根据新艾利都居民档案可知，「安比·德玛拉」这一身份在其加入狡兔屋后才凭空出现，且「德玛拉」的姓氏明显取自妮可。而在以狡兔屋雇员的身份进行相关登记之前，安比的个人履历及相关数据全部呈现可疑的空白。
    安比虽然极度缺乏常识，但却精通战斗相关事宜，属于狡兔屋最强战力（之一）。
    安比最大的兴趣爱好是电影，且涉猎范围极其广泛。或许是因为过度痴迷，她常把电影中的故事当真。
    和看起来一副喜怒不形于色的模样不同，安比很容易被一些并不存在的故事情节感动。
    最钟意的食物是汉堡，因为「同时包含蛋白质，碳水和绿叶菜，味道好吃，甚至还价格低廉的食物，除了汉堡之外没有其他。」</t>
  </si>
  <si>
    <t>安比经常来录像店借影片呢，而且每次还得都很快，看起来阅片量很大啊。
    有危机感了吗，哥哥？身为录像店店长，我们的阅片量要是不如客人，那可就太丢脸了。</t>
  </si>
  <si>
    <t>说实话，我最好奇的是安比的歌单。因为她一直戴着耳机…到底是在听什么呢？</t>
  </si>
  <si>
    <t>另有小道消息称，安比是妮可在旧都附近的废墟中「捡到」的。因为看上了她不知从何而来的强大战力。
    「才不是因为看她厉害！我收留她是因为我人好~」——by妮可
    根据安比的日常行为和战斗表现分析推测，她的身上存在一定军事训练的痕迹。
    考虑到其履历中的可疑空白，建议：对此人保持一定程度的警惕。</t>
  </si>
  <si>
    <t>猫宫又奈</t>
  </si>
  <si>
    <t>7/30</t>
  </si>
  <si>
    <t>猫宫又奈，通常自称「猫又」。
    猫希人，拥有猫科动物的相关特性，在狩猎状态时具有强大的机动性，同时对外界怀有过剩的好奇心。
    偶尔会耍些小坏，做一些无伤大雅的恶作剧。但当她盯准了猎物之后，那种猫科动物与生俱来的行动力与专注度，也总会让人感到心惊。
    目前最感兴趣的东西是「别人的钱包」。
    建议：在与猫又相处时，时刻关注自己钱包的去向。
    猫又曾隶属于新艾利都老牌组织「赤牙帮」，自小受到赤牙帮老大「白佬」米格尔的照顾，与其情同父女。后因与赤牙帮产生理念分歧，离开了组织，独自在外漂泊。
    在与妮可等人共同经历某些事件后，决意加入狡兔屋，成为狡兔屋的第三位雇员。</t>
  </si>
  <si>
    <t>猫猫！谁会不喜欢猫猫！
    呜呜呜好想摸摸猫又的尾巴！她还有两条，双倍的快乐！</t>
  </si>
  <si>
    <t>冷静一点…这可不是新艾利都街头可爱又无害的小猫…
    不过在面对猫又的时候，最重要的事应该是守护好自己的钱包吧…</t>
  </si>
  <si>
    <t>额外信息：在狡兔屋中，猫又似乎对妮可怀有相当的兴趣，但却因此招来安比的不满。
    推测原因可能为：「明明是我先来的…」。</t>
  </si>
  <si>
    <t>妮可·德玛拉</t>
  </si>
  <si>
    <t>11/11</t>
  </si>
  <si>
    <t>在数据库中搜索：妮可，返回相关结果：
    「万能事务所『狡兔屋』的经营者」，「街头摸爬滚打出来的人精」，「父母成谜的孤儿」。
    妮可旗下事务所原名为「gentle house」，温柔之家。但因其狡猾抠门的处事风格而被戏称为「狡兔屋」。
    「这人真是钻钱眼里去了！真不知道她搞这么多钱是要干嘛，好像什么也没干。」
    ——以上信息原文摘录自绳网热贴：「挂一家离谱的万事屋，我从未见过这种钻到钱眼里的老板！」
    对此，当事人的表态为：「这、这是污蔑！听好了，我妮可从来没有钻到钱眼里——因为根本就没钱！」
    根据可靠消息，狡兔屋常年处于赤字状态。经营者的「精打细算」似乎并没有为这个组织带来正面效果。</t>
  </si>
  <si>
    <t>原来妮可在圈子里比我想象的还要有名诶！</t>
  </si>
  <si>
    <t>比起这些锐评，我还是更想看到妮可到目前为止拖欠的所有账单整合。</t>
  </si>
  <si>
    <t>妮可早年曾在孤儿院内待过较长时间。
    有传闻称，妮可曾和有名望的家庭达成过收养协议。但不久之后，妮可却再次独自现身于新艾利都某处，并由此开始混迹街头巷尾的生活，直至现在。</t>
  </si>
  <si>
    <t>比利·奇德</t>
  </si>
  <si>
    <t>男</t>
  </si>
  <si>
    <t>11/25</t>
  </si>
  <si>
    <t>比利·奇德，是一台通过了禁果测试的智能构造体。简言之，拥有自我意志的机器人。
    人如其名，虽然有着机器人的外表，他的内心却（幼稚的）像个孩子。
    钟爱一部名为「星徽骑士」的特摄片。希望自己也能成为剧中主角那样的英雄，于是总是以星徽骑士自居，还会用较为夸张的姿态模仿剧中台词。
    但这样的行为似乎只能造成一些（适合用来调节气氛的）喜剧效果。
    「不要把我说的好像笨蛋一样啊！我明明是很聪明的！」——by比利</t>
  </si>
  <si>
    <t>「星徽骑士」系列的特摄片，哥哥小时候好像也曾经痴迷过？
    啊，真怀念呢，哥哥叉着腰大喊「星徽荣耀幻影！」的时候…</t>
  </si>
  <si>
    <t>并没有那种时候。请把这些不存在的记忆从你的大脑里清空。
    我已经脱离那个年龄段很久了，毕竟我的名字里可没有「kid」。</t>
  </si>
  <si>
    <t>和安比相似，比利的个人履历中也存在部分空白区域。
    有信息显示，在加入狡兔屋之前比利曾经长期效忠于另一个神秘的组织。
    截至目前为止，比利似乎仍然和盘踞于新艾利都外环的某组织老大之间保有密切联系。</t>
  </si>
  <si>
    <t>珂蕾妲·贝洛伯格</t>
  </si>
  <si>
    <t>8/10</t>
  </si>
  <si>
    <t>珂蕾妲，白祇重工的现任社长。同时也是公司创始人霍尔斯的亲生女儿。
    父亲霍尔斯因涉嫌「卷款潜逃事件」失踪，导致公司遭受巨大冲击，几近一蹶不振。在那之后，达到法定年龄的珂蕾妲主动接过「烂摊子」，整合仅剩的公司人员和资产，重新开始经营资金和声誉都岌岌可危的白祇重工。
    在新的骨干成员们的协助下，白祇重工终于在业界相关领域内再次崭露头角。虽不及全盛时期的辉煌，但现在的白祇重工也称得上是业内值得瞩目的新星。
    在此过程中，珂蕾妲积累了实实在在的生活和工作阅历，也收获了一群始终追随她的如同家人般贴心的工友们。不过为了让娇小的自己能有个「领袖的样子」，珂蕾妲似乎总是会刻意用严厉的口吻和大家说话。
    这样特殊的成长经历，也使得珂蕾妲在某些方面远比同龄人更加成熟。
    当然，也会在某些方面看起来更加幼稚。
    推测：或许珂蕾妲相较同龄人更加单薄的身材，是由于长期在空洞内活动所产生的影响而造成的。
    目前尚未搜索到可以支撑此观点的公开论文及研究，我将会持续关注此议题。</t>
  </si>
  <si>
    <t>哥哥，我们以前看的那个侦探片里的名言是怎么说的来着？
    「虽然外表看似小孩…」呃，实际上不管年龄还是外表，珂蕾妲也确实就是小孩子嘛，很可爱呀！</t>
  </si>
  <si>
    <t>你的这句评价一定不能被当事人看到，不然我们的录像店招牌可能都会被她一怒之下用锤子砸了。</t>
  </si>
  <si>
    <t>根据相关行为分析可知，珂蕾妲其实很喜欢甜食，但是却不愿意坦率承认。
    推测原因为：她认为喜欢甜食很幼稚，不想让其他人觉得自己幼稚。
    此外，珂蕾妲似乎对所有与「小孩子」相关的形容词都表现出了过度的敏感，一旦提及就有可能遭受她的怒视：
    「先提醒你，我现在能轻松地敲到你的胫骨，所以『像个小孩子啊』之类的话你最好想清楚了再说！」</t>
  </si>
  <si>
    <t>安东·伊万诺夫</t>
  </si>
  <si>
    <t>5/2</t>
  </si>
  <si>
    <t>安东，白祇重工的主力建设人员，珂蕾妲的亲信之一。
    「有搞不定的活儿？让我来！」
    身体先于头脑的热血青年，白祇重工的干部之一，是被老社长霍尔斯招募入行的「老员工」。
    是个一根筋的好人，总是用充沛的精力鼓舞着其他工友们。
    除此之外，安东似乎总是会和自己手上的「动力冲击锤」进行对话，并称其为「兄弟」。
    在此记录一段观测到的日常片段：
    安东（低头自言自语）：「你觉得呢，兄弟？」
    动力冲击锤：「轰隆隆隆隆——」
    安东（恍然大悟状）：「原来如此，我明白了。不愧是你，兄弟！」 
    对于此种情况，我目前尚未得到充足的信息，无法进行分析。</t>
  </si>
  <si>
    <t>安东好像一直说自己「钻探业绩全司第二」…
    所以第一是谁来着？</t>
  </si>
  <si>
    <t>似乎是他们公司的那台重工钻探机，我听他说过「下次一定要赢过它」之类的话。</t>
  </si>
  <si>
    <t>在此记录另一段日常观测片段：
    深夜的工地，安东低头对着自己的钻头自言自语：好累啊，兄弟……
    「动力冲击锤」启动嗡嗡嗡，安东点点头：「不行，真男人可不能说累！谢谢你的提醒，兄弟——等等，真男人也不能说不行！」
    原来安东给工人们定下了一些严苛的试炼任务，希望他们突破自己的潜力。但是在看到大家无法完成试炼逐渐失去自信的样子，于心不忍，于是在一个漆黑的夜晚帮助大家完成了任务。
    结果被试炼的人变成了安东自己。
    *安东珍爱的「兄弟」，又名「动力冲击锤」，似乎与他曾经的工友们相关。</t>
  </si>
  <si>
    <t>本·比格</t>
  </si>
  <si>
    <t>12/23</t>
  </si>
  <si>
    <t>本，白祇重工的人（熊）力财务兼资产管理负责人，珂蕾妲的亲信之一。
    「我喜欢算术，但这也不妨碍我可以一巴掌拍碎歹徒。」
    魁梧健壮的熊希人。
    看起来凶狠，实际上出乎意料的心思细腻，对数字相关问题有着天生的敏感性。
    原本是白祇重工的一线机械操作工，被珂蕾妲慧眼识英提拔为干部，负责公司的财务工作。
    因为感激珂蕾妲对自己的信任，本对她非常忠诚。
    喜欢的食物是黑鱼子酱，但是不喜欢鱼。
    曾观测到这位壮硕的身影坐在小小的办公椅上，戴着小小的眼镜，用粗大的手指边按计算器边核对白祇重工资产信息的画面。
    提问：用绳网上的话来说，这就是所谓的「反差萌」吗？</t>
  </si>
  <si>
    <t>第一次看到他的时候确实吓了一跳…
    不过没想到本意外的是个软乎乎毛茸茸，性格温和的好熊呢！</t>
  </si>
  <si>
    <t>以貌取人是很不好的行为。
    虽说如此，但是本好像也经常被要求摆出一副很凶的姿态，用来对敌方进行威慑…似乎效果还挺好的。</t>
  </si>
  <si>
    <t>根据相关数据推测，本现有的服装风格是为了更好地服务于白祇重工，并非出自自身喜好。</t>
  </si>
  <si>
    <t>格莉丝·霍华德</t>
  </si>
  <si>
    <t>4/14</t>
  </si>
  <si>
    <t>格莉丝，白祇重工的技术专家，是将空洞内重工机械技术专利发展完善的核心人才。
    醉心于齿轮、金属和电线，是当之无愧的「机械宅」。看到感兴趣的机械设备后会两眼放光，迫不及待想要拆卸研究：
    「这冷峻硬朗的线条，真美啊…看得让人心痒痒的~」
    在面对机械时，格莉丝总是会表现出超凡的耐心，把这些精密的金属构成物当做自己的孩子般宠爱。
    据相关信息判断，格莉丝是唯一敢喊珂蕾妲「小不点」却不会被她锤胫骨的人。
    提问：在格莉丝的认知范围内，我是否也算是机械？但我目前并没有实体，因此也不存在齿轮，金属或电线之类的部件。</t>
  </si>
  <si>
    <t>总觉得格莉丝对着机械说话的语气，很像人类对着猫猫或者其他可爱小动物说话的感觉…是我的错觉吗？</t>
  </si>
  <si>
    <t>是你对猫猫说话的感觉吧。
    比起这个，Fairy竟然已经开始思考「我是谁」这样的哲学问题了吗…</t>
  </si>
  <si>
    <t>格莉丝的父母均为空洞相关的科研工作人员，在一次危险的空洞考察活动中双双失踪，不久被判定为死亡。独自一人的格莉丝被父母生前的友人霍尔斯，即白祇重工的前任社长，珂蕾妲的父亲所收养。因此格莉丝与珂蕾妲存在非血缘意义上的「姐妹」关系。</t>
  </si>
  <si>
    <t>可琳·威克斯</t>
  </si>
  <si>
    <t>6/2</t>
  </si>
  <si>
    <t>可琳，维多利亚家政的女仆之一。
    是非常乖巧听话的女仆，但是极度缺乏自信，害怕被其他人讨厌。总是慌慌张张的模样，着急的时候说话还会有些小结巴。
    不管发生了什么事，可琳都常常把道歉的话挂在嘴边。
    「对对对对不起！像我这样的人…果然还是不行吧…」
    实际上可琳总是能把任务完成得很好，是维多利亚家政组内非常靠谱且值得信任的成员之一。
    但即使完美完成了任务，可琳依然对自己的能力充满了怀疑，时刻担心自己会拖同伴们的后腿。这一点也常常让莱卡恩感到头疼。
    思考：可琳这样的性格到底是生来如此，还是由环境造就？</t>
  </si>
  <si>
    <t>可琳明明就很优秀，为什么总是这么不相信自己呢…
    真想把我的自信分一半给她~</t>
  </si>
  <si>
    <t>有些人的性格生来就是更内向敏感一些的，还好可琳的同伴们都完全信任她的能力。
    铃，我们以后有机会的话，也多多鼓励她吧。</t>
  </si>
  <si>
    <t>可琳的市民健康档案显示，在加入维多利亚家政之前，她曾有过一段病危经历，接受了某个重大手术后才得以恢复健康。</t>
  </si>
  <si>
    <t>冯·莱卡恩</t>
  </si>
  <si>
    <t>10/4</t>
  </si>
  <si>
    <t>莱卡恩，维多利亚家政的实质领导者兼对外负责人，负责统筹管理所有成员的工作。
    理性又可靠，举止优雅绅士，如同万能执事一般，不管发生什么事情都能妥善解决。是团队最坚实的后盾，令人心安的存在。
    有些轻微的洁癖，总会习惯性地把周围清理干净，难以忍受脏污的环境。
    虽然莱卡恩看起来总是波澜不惊的优雅模样，但偶尔也会因为犬系的生理本能暴露本心。当他特别高兴的时候，尾巴和耳朵总会无意识地摆动。当事人似乎也清楚的知晓这一点，并为此感到困扰。
    除此之外，如同大多数毛茸茸的希人一样，莱卡恩很在意自己的毛发状况。
    建议：以犬科希人的喜好来说，如果摸摸他的脑袋或者下巴，或许可以增加您和他之间情感连接（不保证成功率）。
    *风险提示：由于莱卡恩身高较高，您可能即使垫脚也做不到上述动作。</t>
  </si>
  <si>
    <t>这个世界上真的有能难倒莱卡恩的东西吗？
    总感觉不管遇到什么问题（只要摸摸他的尾巴）莱卡恩全部都能解决！</t>
  </si>
  <si>
    <t>铃，你的评价是不是混进去了什么奇怪的真心话…
    还有Fairy建议我们摸的是下巴和脑袋，不是尾巴。</t>
  </si>
  <si>
    <t>莱卡恩拥有一段让他自己讳莫如深的过去。
    与现在优雅绅士的执事相反，过去的莱卡恩曾经历过一段乖张肆意的时光，有过一位可以交付后背的挚友。
    只是曾经生死与共的挚友，如今已是剑拔弩张的宿敌。
    备注：由于信息不足，难以得知莱卡恩黑历史的详细信息。
    建议您尝试对当事人进行多方位打探，获取更多有效情报。</t>
  </si>
  <si>
    <t>艾莲·乔</t>
  </si>
  <si>
    <t>1/4</t>
  </si>
  <si>
    <t>艾莲，维多利亚家政女仆，也是最后一位加入组织的成员。
    节能主义，几乎不喜欢一切需要耗费精力的事情。但在队友们的配合下，可以在关键时刻充分发挥自身的强大战力。
    战斗方式具有高耗能特质，通常需要补充糖分，常把棒棒糖叼在嘴里。
    虽然嘴上总是说着「麻烦，想换工作」，实际上非常珍惜现在维多利亚家政的队友们。
    艾莲在新艾利都的某所学校读书，有一帮普通的朋友们。
    除了维多利亚家政的工作之外，艾莲也常常会和朋友们待在一起，过着平凡而快乐的学生生活。
    思考：身兼数职的艾莲，需要平衡学生生活和维多利亚家政的工作。
    或许这也是艾莲常常感觉到疲惫的原因之一？</t>
  </si>
  <si>
    <t>之前看到常服的艾莲，还真是吓了一跳呢…
    所以对艾莲来说，维多利亚家政的工作莫非就和课外打工一样？真厉害呀！</t>
  </si>
  <si>
    <t>铃，从某种意义上来说，我们其实也在打两份工…</t>
  </si>
  <si>
    <t>艾莲似乎拥有与常人不同的超级味觉：队友丽娜总是会烹饪出各种「奇妙的」食物，而艾莲是唯一一位能够面不改色吃下这些食物的人。
    提议：或许您也可以找机会品尝一下丽娜制作的食物，我会将您和艾莲的反应进行对比研究，获取更多重要数据。</t>
  </si>
  <si>
    <t>亚历山德丽娜·莎芭丝缇安</t>
  </si>
  <si>
    <t>9/23</t>
  </si>
  <si>
    <t>丽娜，维多利亚家政的女仆长，同时也是组织资历最深的成员。
    漂亮端庄，从头到脚都非常完美，气质高贵，脸上总是带着淡淡的笑意。
    很在意自己在他人眼中的印象。
    丽娜身边漂浮着两个邦布分别名为安娜塔莎（棕发）和杜苏拉（金发），都拥有独立的人格。
    杜苏拉与丽娜一起的时间较长，非常聪明，能够读懂丽娜当下内心的情绪和真实想法。
    安娜塔莎刚加入不久，通常说话只会应和，总是被杜苏拉欺负。
    丽娜最大的爱好是烹饪，但似乎很少有人能承受丽娜烹饪的食物。
    建议：可以找机会尝尝丽娜烹饪的食物，以此来测试自己是否是天选之子。</t>
  </si>
  <si>
    <t>哥哥你看，Fairy这家伙怎么越来越坏了，竟然建议我们吃丽娜做的饭！</t>
  </si>
  <si>
    <t>我们现在并不需要做风险如此大的事情，建议Fairy下次不要建议了。</t>
  </si>
  <si>
    <t>为了维护自身的形象，即使遇到最难缠的客人，丽娜依然会保持专业和温柔的态度。
    但杜苏拉有时会不分场合地说出她的真心话。
    *丽娜的家族似乎拥有深厚行业背景，向来是某些大人物手下的执事/女仆。
    莱卡恩的一些执事技能就是由丽娜所传授的。</t>
  </si>
  <si>
    <t>3/21</t>
  </si>
  <si>
    <t>「11号」是新艾利都防卫军的成员，现属于黑曜石营中奥波勒斯小队，担任主攻手。「11号」是她在军队中的代号，其自称早已舍弃了真实的姓名。
    「11号」似乎很喜欢辛辣口味的食物，对锦鲤面馆的超辣拉面情有独钟。值得一提的是，目前她每次和我们打招呼时，都会叫出不同的名字。</t>
  </si>
  <si>
    <t>猫、爆辣拉面、执行任务、还有奥波勒斯小队的各位，组成了现在「11号」的生活呢…希望我们也能在她内心占据一席之地~</t>
  </si>
  <si>
    <t>我想一定会的！不过还是希望「11号」有一天能好好记住我们的名字…</t>
  </si>
  <si>
    <t xml:space="preserve">
    主人，根据您的真实见闻以及代理人安比所提供的证词，「11号」的真名为夏潾，是新艾利都防卫军曾经推行的克隆士兵项目的复制体之一，与安比同样曾隶属于防卫军的「白银小队」。
    该研究项目制造了多名绝对听命于防卫军高层的复制体，但受到多方面因素影响，在多年前不得不宣告作废；防卫军意图处理掉该不人道项目的产出与证据，仅保留一名士兵作为代表性成果，这一成果原定人选为安比，但安比为保护「11号」而做出了自毁行为，令「11号」成为了被保留下来的那一位士兵。此后，奥波勒斯小队的队长「鬼火」主动接收了「11号」至自己的队伍中。
    由于并不知道这段真相，「11号」一直对安比保持着被抛弃、被背叛的仇恨心理，并以成为比安比更强的最强士兵为奋斗目标。同时，奥波勒斯小队的各位成员与她均相处融洽，她已将小队的众人视作最为重要的战友与同伴。</t>
  </si>
  <si>
    <t>奥菲丝·马格努森&amp;「鬼火」</t>
  </si>
  <si>
    <t>11/3</t>
  </si>
  <si>
    <t>奥菲丝·马格努森，隶属新艾利都防卫军·黑曜石营·奥波勒斯小队，是枪械形态的智能构造体「鬼火」的持枪人。
    「鬼火」是奥波勒斯小队的队长，曾由于旧都陷落事件身受重伤、性命垂危；在参与军方研究计划后，其意识被转移至武器之中，以智能生命的方式得以继续存活。自奥波勒斯小队组建以来，她一直作为灵魂人物发挥着作用，虽然脾气火爆、行事偶有冲动，但深受小队成员的尊敬和信赖。
    奥菲丝似乎与「鬼火」有着不一般的关系，两人相识多年，其情谊无法用简单的「搭档」一词形容。「鬼火」时常如同母亲一般关心与教导奥菲丝，而奥菲丝也不遗余力试图回应前者的期待，渴望能够成为如「鬼火」队长般独当一面的军人。
    确切来说，奥菲丝有许多「鬼火」并不赞许的兴趣爱好，她喜欢漂亮的甜点、温暖的小动物、外形花哨的玩具，而所有这些在她的队长看来都是过于软弱的东西。不过，「鬼火」虽会在人前毫不松懈地管教奥菲丝，以「士兵」的美德和纪律要求她，私底下又经常打着「休眠模式」的幌子，默许奥菲丝不符合「完美士兵准绳」的出格举动。据这位声明自己「铁面无私」的队长所言，她的行为严格遵循着网络视频「天才少女养成计划」中所提到的育儿经验。</t>
  </si>
  <si>
    <t>奥菲丝的性格很好，和她在一起，心情会很放松！
    不过她的粗神经让「鬼火」遭了不少罪，而且奥菲丝本人似乎没意识到这一点…</t>
  </si>
  <si>
    <t>她们俩的相处模式是很有意思。
    如果以这一人一枪为主角拍部电影，应该会获得不低的票房。</t>
  </si>
  <si>
    <t xml:space="preserve">
    看似是「鬼火」队长在指挥和命令奥菲丝，但实际上，奥菲丝也在另一层意义上微妙地制衡着「鬼火」。
    奥菲丝与「鬼火」互相作为「另一个自己」，拥有一些共同的弱点。然而在「鬼火」身上，它们表现得并不十分明显。
    备注：即便如此，主人也已经发现了不少被「鬼火」隐藏起来的弱点。在您的火眼金睛面前，一切秘密都无处遁形！</t>
  </si>
  <si>
    <t>4/21</t>
  </si>
  <si>
    <t>「扳机」，新艾利都防卫军·黑曜石营·奥波勒斯小队的狙击手。「扳机」是其于艾利都时期入伍所持有的代号，一直沿用至今。
    有着极其特殊的双眼，虽然无法看到绝大部分事物，但在空洞环境下可以清晰辨别一切具备以太波动事物的方位与变化。注意：具备以太波动的事物，泛指生命体、原生以太物质、以太制品以及以骸。
    作为广义上的「盲人」，「扳机」将视觉以外的五感锻炼到了极致，因此可以如正常人般活动，甚至敏锐地洞悉周遭环境的一切变化。这使她高度适配狙击手的战术定位，并可胜任潜行、监视、暗杀等一系列隐秘任务。
    不同于精准而致命的战斗表现，她的性格相当无害。除了有时会悄无声息地出现在录像店内、对第二助手造成突然的惊吓以外，基本可以认为不存在任何危险性。</t>
  </si>
  <si>
    <t>上回独自看家时发烧了，「扳机」突然就出现在店里，体温都没测就确定我烧到了38.6度，照顾了我一下午…她到底是怎么知道的？</t>
  </si>
  <si>
    <t>你是指知道你发烧，还是知道你具体烧到了几度？我也不清楚，但前阵子我在车库崴到脚时她也带着冰袋迅速出现了…</t>
  </si>
  <si>
    <t>据资料显示，「扳机」原本从属于艾利都防卫军·猫眼石营的里拉小队，该小队的其他成员在旧都陷落中遭遇了全灭，她的眼睛也是在此次灾难中遭遇了侵蚀。「扳机」眼下正与现小队的其他成员共同追查着旧都陷落的真相中。
    「扳机」的同伴意识极强，有着为了同伴赴汤蹈火的觉悟。主人，根据对她的行为分析，她正坚定地将您认定为同伴，并对您抱持着明显的高好感度。推测存在某个事件，令您给她留下了极好的印象。
    提议：以红豆包不限量供应、全天候提供隔音房间用于口琴吹奏作为条件，尝试与其谈成长期合作。这将使您以最低的支出，收获极其可靠的战力。</t>
  </si>
  <si>
    <t>153/240（机甲）</t>
  </si>
  <si>
    <t>11/22</t>
  </si>
  <si>
    <t>「席德」，新艾利都防卫军·黑曜石营·奥波勒斯小队的火炮手。本名芙罗拉，「席德」这一代号继承自其监护人、防卫军战斗用智能构造体「席德」，后者则已将代号变更为「老席德」。
    根据多方证言，「席德」是「老席德」于旧都陷落时，从零号空洞内营救出的、身份不明的孤儿，「老席德」收养了她并在防卫军宿舍内独自将其抚养成人。
    距今数年前，「老席德」通过申请成功编入奥波勒斯小队，随后不久便因逻辑核心的不可逆损坏而死亡，「席德」也因此接替他成为奥波勒斯小队的成员。当前我们所能听到的「老席德」语音，均为其自带的系统预载语音。
    在机械改造与研究方面，「席德」具有远超常人的天赋，可以设计并制造出许多常人无法想象的发明；同时，她具备超高的以太适性，并能以驾驶、远程操作、加装战斗模组等方式将「老席德」的战斗力发挥至极致。
    因此尽管体能训练严重不达标、身份来历全是谜团，军方还是默许了接收她作为一名精英军人服役。
    日常中的「席德」行为模式异于常人，她以「老席德」的驾驶舱为休憩的固定地点，喜好钻进狭窄的地方，极度反感与同伴以外的人进行接触交谈，且言行的逻辑跳跃性极强，具有很高的沟通难度。
    幸运的是，主人，不知为何，她对您和助手二号表现出异常的亲近，您既省了取得她信任与喜欢的冗长流程，也不用担心她不时表现出的危险破坏性会波及到您。可喜可贺。
    提议：多以花朵、机器人等该代理人最喜欢的事物作为沟通话题，用平常心看待其对话中无法理解逻辑或含义的部分，可以有效拉近您与她的关系。</t>
  </si>
  <si>
    <t>「席德」打电玩超级厉害，喜欢的音乐类型和我相近，也很不爱运动，驾驶舱就是她的卧室…和我确实很有「同类」的感觉呢。还有一点相同的，我们都知道自己很可爱~</t>
  </si>
  <si>
    <t>虽然大部分时候都能勉强跟上她的电波思维，但还是大意不得。上回她说滑板车故障了，我说我可以处理，结果她让我背着她充当一整天她的代步工具！还好我跑得比她快…</t>
  </si>
  <si>
    <t>「席德」自幼便存在某些诡异甚至危险的异能力表现，具体现象为：可以操纵、瘫痪甚至引爆一定范围内的机械造物；此能力仅在其陷入严重的情绪不稳定状态时会出现，其外在表现为双眼部位闪烁红光。
    正是由于此能力的存在，令初次发现她的「老席德」的自警系统将其自动识别为高危对象，并间接造成了「老席德」逻辑核心的不可逆损毁。
    同时，「席德」被「老席德」从零号空洞带出时，便已经存在人格层面上的缺陷，因不明原因，她缺失了对生命的理解、感知与共情力。
    在被收养的几年间，「老席德」一直致力于培养其完整的人格，他去世后该接力棒由奥波勒斯小队的众人接过，时至今日，「席德」的人格缺陷已得到显著的改善。
    主人，根据您与「席德」之前于零号空洞的探索记录，可知「席德」的真实身份与您类似，都是来自赫利俄斯机关的学徒。
    推定她在赫利俄斯机关期间，所隶属的研究项目与您不同，很可能是某个与机械研究相关的项目，上述「席德」的异能力与人格缺陷，都是该项目的遗留结果；由于代理人遗失与赫利俄斯机关以及旧都陷落相关的记忆，目前尚无法解析出更进一步的信息。
    此外，主人，她有时候会微笑着一直注视着我，推定可能有将我拆解以满足好奇心的冲动，十分瘆人。严正要求对我的人身安全施加多重保护，以免您痛失一名可爱的得力助手。</t>
  </si>
  <si>
    <t>9/1</t>
  </si>
  <si>
    <t>朱鸢，治安局精锐中的精锐，被认为是「假以时日，必然能接任治安局长的人物」而重点培养。目前的职务为雅努斯区分局都市秩序部刑侦特勤组组长，组内已知的成员有：青衣、赛斯，以及保密。
    备注：针对治安局系统内安保级别较高的文件，需进一步调查，排期等级-低。
    刑侦、战斗力及自我管理（加班）能力卓越。任职至今经手的案件，尚无未结案的记录。
    建议：与朱鸢相处就是在危险的边缘疯狂试探，请时刻牢记自己「绳匠」的身份，时刻牢记自己「绳匠」的身份，牢记自己「绳匠」的身份。</t>
  </si>
  <si>
    <t>是模板级别的「优秀人类」。和这样的对手「周旋」了那么久的我们，是不是也挺厉害的？</t>
  </si>
  <si>
    <t>那毕竟是你+我+Fairy，一对一的话——我不是很想知道结果…</t>
  </si>
  <si>
    <t>有完美主义倾向，对「整齐」、「满分」有着相当强烈的执念，似乎是其唯一的弱点（？）。其生活上的前辈，工作上的下属治安官青衣常常吐槽朱鸢「不治将恐深」。但也正因为她对自我极高的要求，所积累的实力足以支撑起刑侦特勤组的工作，吸引优秀的人才追随其后。
    此外，似乎有热爱种植的兴趣爱好。在办公室培育着一株番茄，经常遭到一对常驻在治安局的小浣熊母子的偷盗。
    思考：可否为潜入治安局提供某种思路？
    是非常罕见的、不热衷于毛茸茸小动物的人类。</t>
  </si>
  <si>
    <t>1/1</t>
  </si>
  <si>
    <t>刑侦特勤组的新人探员，青衣。
    并不是原生人类，其人格意识是基于旧文明的古老文化典籍塑造出来的拟造人格。而青衣的身体是基于生物材料制造的智能构造体，俗称「钰偶」。
    由怀斯塔学会推荐给治安局，被以新人探员的身份配属为朱鸢的搭档。
    青衣总是会表现出豁达，悠闲的长者做派，行事较为随意，不会被规则束缚。
    同受到当下社会影响的现代人相比，青衣常常能提出很多意想不到的问题解决方式。
    青衣随身携带水杯，时不时会拿出来喝几口。
    「多喝热水，养生~」
    提示：与青衣相处同样是在危险的边缘疯狂试探，请时刻牢记自己「绳匠」的身份。</t>
  </si>
  <si>
    <t>为什么青衣这边Fairy就只提示了一句？朱鸢的时候她可是重复了整整三遍「时刻牢记自己绳匠的身份」！</t>
  </si>
  <si>
    <t>因为青衣好像就算知道了也会当做不知道吧…
    倒不如说，她可能已经猜到了。</t>
  </si>
  <si>
    <t>青衣的学名为：01  Neo-Genesis Ⅵ (01号源生型第六代素体)
    这个标码贴在青衣的初始素体某处，简写是：01NG Ⅵ
    发现她的怀斯塔学会研究者把这一串字符化用成了：QING YI，遂叫她「青衣」。</t>
  </si>
  <si>
    <t>2/16</t>
  </si>
  <si>
    <t>简，犯罪行为学专家，有着相当「精彩」的个人履历，常年作为顾问与治安局合作。
    精通伪装模仿，潜入调查等工作。
    有点恶趣味，喜欢捉弄他人，会做一些无伤大雅的恶作剧。
    擅长模仿他人，能同时做到形象和性情百变，但也因此让人疑惑「真实的她到底在哪里」。
    简的人生经历丰富，总是能无缝融入各式各样的环境，好像对什么都有所涉猎。
    但如果就这一点详细询问她的话，每次都会得到不同的答案。
    谁也不知道哪个答案才是正确的，又或者根本没有正确答案。
    提示：简目前并不知道我们的真实身份。请务必不要在她面前露馅。
    再备注：虽然「简·杜」这个名字一看就是假名，但目前并未能搜索到简的真名亦或是曾用名的相关信息。
    这不是我的问题。推测由于简的特殊身份，她的真名已被彻底处理。
    再重申一遍，这不是我的问题。</t>
  </si>
  <si>
    <t>Fairy，其实你不用特别强调的，我们都已经接受简的名字就是简了。</t>
  </si>
  <si>
    <t>毕竟我们还见过不少比这更潦草的名字…</t>
  </si>
  <si>
    <t>简属于彻底的夜行生物。习惯在夜晚工作，是非常乐意上夜班的人。
    似乎有一些囤积癖，总是把家里堆得满满当当（通常是大量速食品）。
    简腰后的包包看似是化妆包，其实是工具包，里面放着各种符合她身份的「必备用具」。</t>
  </si>
  <si>
    <t>赛斯·洛威尔</t>
  </si>
  <si>
    <t>4/8</t>
  </si>
  <si>
    <t>赛斯，治安局刑侦特勤组的实习探员，是所属队伍抓捕犯人时的重要火力支援。
    在校时期成绩优异，原本可以进更高层的部门实习，但是本人坚持选择了较为辛苦的刑侦特勤组。
    优秀的履历看起来像是天才类型，实际上意外的是个努力家，也有过一遍一遍哭着练习自己不擅长科目的时候。
    虽然脑子不差，但因为性格原因，在与狡猾的犯罪分子或是同事（？）交涉沟通时常常明里暗里吃亏。
    赛斯最不擅长的科目是伪装潜入。有小道消息称，赛斯一直是校内伪装潜入任务「最快被戳穿」记录的保持者。
    根据现有视频资料推测，赛斯似乎有些迟钝。
    具体表现为：当有人对他进行一些阴阳怪气的嘲讽时，赛斯通常会在很长时间之后才能反应过来。</t>
  </si>
  <si>
    <t>赛斯果然是猫科希人呢！他好像很容易吸引到猫猫。</t>
  </si>
  <si>
    <t>之前好像在街上看到过他被流浪猫团团围住寸步难行的样子。
    真好啊，能被猫这么喜欢。</t>
  </si>
  <si>
    <t>履历中显示，赛斯有一位兄长，同样任职于治安局，官阶较高。
    在一部分不怀好意的人眼里，赛斯似乎是治安局体系内的「关系户」。但实际上赛斯考入治安局这件事完全与哥哥无关。
    目前兄弟之间的关系微妙，是即使在治安局内碰面也会彼此装作不认识的状态。
    赛斯似乎单方面把哥哥当成了自己的假想敌，正在为了赢过哥哥而努力。</t>
  </si>
  <si>
    <t>凯撒·金</t>
  </si>
  <si>
    <t>3/16</t>
  </si>
  <si>
    <t>凯撒，卡吕冬之子的领导者，机车族的首领，同时也是一位正在成长中的「君王」。
    强大的实力和直爽豪放的性格，让她受到外环人们的尊重和喜爱。
    看似我行我素，实际上很愿意听取他人的意见。只要是有效意见，无论是什么人提出的，凯撒都会积极听取并践行。
    对自己相信的人毫无防备。当她承认某个人之后，就会把对方划分到自己的麾下，绝对信任且不设防。
    （推测：凯撒目前对您就属于此种状态。）
    凯撒有记忆的时候父亲就已经失踪，母亲也因为疾病早逝，从小在大老爹的陪伴下长大。
    而大老爹对她的教育态度属于散养派，并不会做出过多的限制，因此培养出了自由的凯撒。
    除此之外，凯撒似乎对恋爱相关的事有奇妙的兴趣。
    如果您想要和她拉近关系的话，或许可以尝试以此为话题和她聊天。</t>
  </si>
  <si>
    <t>大老爹看起来就是个文化人，凯撒却和他不太一样呢…
    不过就算是说错成语的凯撒，也很可爱哦！</t>
  </si>
  <si>
    <t>能获得外环霸主的信任是一件很难得的事，我们要珍惜。
    当然，如果凯撒发信息的时候能少一些错别字就更好了。</t>
  </si>
  <si>
    <t>凯撒的父亲是原外环组织「卡吕冬」的首领，「卡吕冬」在外环也曾拥有过一段辉煌的故事，「卡吕冬之子」的名字也源于此。
    凯撒的弱点是打针。
    「又细，又小，扎的时候就痛一下，但是却能轻易见血，感觉阴阴的，这太奇怪了，一点都不光明磊落！」</t>
  </si>
  <si>
    <t>露西亚娜·德·蒙特夫</t>
  </si>
  <si>
    <t>8/14</t>
  </si>
  <si>
    <t>露西，目前主要负责卡吕冬之子的对外商务和野猪管理工作。
    因为全名过长，且不想再和家族扯上关系，她在外环会统一称呼自己为露西。
    身边的三只小猪分别叫做阿草，阿木和阿砖，对露西忠心耿耿。
    虽然露西平时会将脏话和敬语结合使用，但在她的举手投足之间隐约能窥见良好教育的痕迹。
    露西的家族非常富裕。她从小在优越的环境里长大，似乎世界上的一切都唾手可得——除了自由。
    在检测出良好的以太适体质后，露西一心想要成为空洞调查员，却遭到了家族的强烈反对。在经历斥责辱骂，关禁闭和冷暴力之后，露西决定离家出走，追寻自由。
    「本小姐才不会回去！一旦被家里人找到…那就再也没有什么星辰大海，只能继承家业了！」
    露西拥有强烈的胜负欲，最喜欢赢，最讨厌输。
    目前让她输最惨的人是凯撒，因此露西隔三差五就会找凯撒进行一番对决，屡败屡战，屡战屡败。</t>
  </si>
  <si>
    <t>露西的敲敲头像超美的！这就是她之前当大小姐时候的样子吗！</t>
  </si>
  <si>
    <t>之前似乎听凯撒说过，露西用这个头像是因为谈生意的时候有奇效…</t>
  </si>
  <si>
    <t xml:space="preserve">露西加入卡吕冬之子的契机非常具有戏剧性。
    为了逃离家族，她买通了「绑匪」，亲手为自己策划了一起绑架案，却阴差阳错被卡吕冬之子搅乱了一切——凯撒打趴了所有「绑匪」，救下了这位「受害者」。
    据相关人员称，凯撒最终驾驶机车逆着光破门而入的模样，给露西留下了深刻的印象。
    「那一刻，我看见了『自由』。」
    从那之后，露西便赖上了凯撒，一心想要加入卡吕冬之子。
</t>
  </si>
  <si>
    <t>12/27</t>
  </si>
  <si>
    <t>莱特，卡吕冬之子的常胜冠军，前雇佣兵。
    在外环，常胜冠军指团战中专门负责解决对面最强战士的成员，通常需要进行一对一的决斗，为团长消除威胁。他的胜利至关重要，可以带来巨大的荣耀，并鼓舞整个团队的士气。
    「常胜冠军可以死，但不能输。」
    卡吕冬之子的常胜冠军象征物是一条红色的围巾。
    即使敌人没有听说过莱特，只要看到红围巾便能认出他的身份。
    根据已有信息推断，莱特本身是个相对低调的人。只有在履行常胜冠军职责的时候，他才会刻意在战场上做出高调的表演。
    备注：莱特是卡吕冬之子的第二任「红围巾」。他会戏谑地称呼上一任为「前辈」。</t>
  </si>
  <si>
    <t>莱特之前是不是说过自己晕血？然后一直戴着墨镜也是因为晕血…
    晕血的人可以当常胜冠军吗？还能在地下搏击场打拳…</t>
  </si>
  <si>
    <t>总觉得这是非常敷衍的借口啊…</t>
  </si>
  <si>
    <t>莱特曾是雇佣兵团的团长。
    发生了某个意外之后，莱特解散了佣兵团，并欠下一笔巨款。为了还清款项，莱特选择进入地下搏击场。
    随后莱特被大老爹发现，高价雇佣他进入卡吕冬之子，代替比利之前的位置。</t>
  </si>
  <si>
    <t>柏妮思·怀特</t>
  </si>
  <si>
    <t>5/23</t>
  </si>
  <si>
    <t>柏妮思，卡吕冬之子的燃油饮调配师。
    同时也是个无可救药的燃油宅，卡吕冬之子所有机械设备所使用的燃油都由柏妮思包揽。
    她对燃油似乎拥有超乎一切的热情。
    柏妮思性格极度外向开朗，自来熟，神经大条。
    她对身边的人有强烈的情绪感染力，积极乐观的精神状态能充分感染身边的每一个人。
    「喜欢我调的饮料？谢谢你，大钢牙也很喜欢~那家伙一顿能吃两百升呢！」
    「想尝尝它的特供燃油吗？很火热的哦~」</t>
  </si>
  <si>
    <t>柏妮思调制的饮品真的很好喝诶，难怪她在外环也很有名！</t>
  </si>
  <si>
    <t>嗯，只要我们不勇敢尝试她专门给大钢牙调配的饮品就行。</t>
  </si>
  <si>
    <t>「火焰能带来温暖，但也可能造成灼伤。对于这样的人，善用可以取暖，恶用的话…算了，反正凯撒那个笨蛋根本想不出恶用的方式。」
    ——by某位不愿意透露姓名的大小姐</t>
  </si>
  <si>
    <t>10/21</t>
  </si>
  <si>
    <t>派派，卡吕冬之子的卡车司机。除了开卡车之外，也会负责车辆维修相关的工作
    小小的身体软萌的声音（虽然不开车的时候总是睡眼惺忪），可爱而毫无攻击性的外表（虽然很宅很懒散且完全不在乎自己形象），让人完全想象不到她竟然有如此狂野的驾驶方式。
    往往在她说「坐~稳~咯~」的时候，「稳」字发音还没结束，卡车就已经嗖地一下开出很远了。
    派派是外环传闻中「从来不需要刹车」的司机。虽然坐她的车一定会让人心惊胆战，但也总能在最短的时间内把你安全送到目的地——当然，精神损失不算在内。
    派派拥有很多和年龄不符的爱好。例如看报，买彩券，收集车辆杂志等。
    派派最大的愿望是每一天都能悠闲地度过。
    备注：这也是我的愿望，望您知悉。</t>
  </si>
  <si>
    <t>派派有时候会用「这个人」而不是「我」来称呼自己呢，是在开玩笑吗，又或者…是在害羞吗！</t>
  </si>
  <si>
    <t>应该就是单纯的口癖吧。
    说起来，看这段内容，总感觉Fairy在隐晦地向我们抱怨什么…</t>
  </si>
  <si>
    <t>因为很喜欢卡车启动的轰鸣声，派派把大钢牙的启动声录了下来，每天起床的时候需要先听一遍手机里的录音才能完全清醒过来。
    如果开会的时候派派睡着了，播放卡车轰鸣声可以高效率将她唤醒（此条信息由露西提供）。</t>
  </si>
  <si>
    <t>波可娜·费雷尼</t>
  </si>
  <si>
    <t>6/19</t>
  </si>
  <si>
    <t>波可娜，原外环雇佣兵，现为卡吕冬之子成员，物流公司猪突猛进挂职职位：普通员工。
    警告，检测到外环多个机车族阵营和不法帮派与波可娜存在过资金往来，在加入卡吕冬之子后，此类记录有所减少，但来自新艾利都的资金转入记录大量增加，推测是由于波可娜的新身份能更方便地出入新艾利都。
    此外有资料表明，波可娜与数起外环重大事件存在间接关联，包括并不限于：帮派火并，车队重要物资情报泄露，道路离奇损毁，重要物资涨价…
    波可娜并未与卢修斯有过深的联系，目前也不存在身为其他机车族阵营内应的风险，但她的人际关系极为复杂，建议与其接触时提高警惕，尤其注意保护个人隐私。</t>
  </si>
  <si>
    <t>我觉得她好像也没Fairy评价的那么危险，还挺有亲和力的，毕竟小猫咪能有什么坏心思呢？</t>
  </si>
  <si>
    <t>你有这种想法就已经很危险了…啊，她发信息说，帮我弄到想要的游戏限定版了。</t>
  </si>
  <si>
    <t>在两个已解散数年的外环雇佣兵团队中找到了波可娜的受雇记录，与其一同受雇的还有一位名为米莱娜的年轻女性，该女性的信息记录于八年前左右完全消失。
    同样在八年前，波可娜曾短暂成立过一支小型雇佣兵队伍，并未检索到队伍成员名单与解散原因。此后，波可娜的个人事业突然开始蒸蒸日上起来。</t>
  </si>
  <si>
    <t>星见雅</t>
  </si>
  <si>
    <t>170（包括耳朵）</t>
  </si>
  <si>
    <t>星见雅，对空洞事务特别行动部第六课课长。
    雅常出外勤，至今不知道部内每月例会的会议室在几楼。
    即使在办公室内看到雅，雅也多半没有在处理文书工作，而是专注于保养佩刀。
    因出色功勋荣获「虚狩」之名的她，是对空六课强者中的强者。
    在市民中亦颇有威望。
    某次，迷路的雅误入一场「星见雅后援会」的线下活动现场。
    雅被视为变装水平出神入化的粉丝，留下了珍贵的影像。
    星见雅个性坦诚务实，并非耽溺修行、不通世务的武痴。
    了解她的人都会明白，她一直在追寻心中的正义——哪怕这正义终将掀起变革。</t>
  </si>
  <si>
    <t>Fairy，帮我找一下「珍贵的影像」！我哥想看！</t>
  </si>
  <si>
    <t>Fairy，不必麻烦了。铃如果想看，她会自己向雅小姐开口的…</t>
  </si>
  <si>
    <t>星见雅是新艾利都知名武家的继承人。
    据知情人士透露，雅的母亲早逝。而雅与父亲的关系，似乎十分微妙。
    备注：雅的父亲并未担任新艾利都内任何公共职务。</t>
  </si>
  <si>
    <t>1/23</t>
  </si>
  <si>
    <t>苍角，对空洞事务特别行动部第六课成员，对空六课副课长月城柳是苍角目前的监护人。
    苍角的出身记载在调查协会档案与新艾利都市民认证档案中均缺失，查询到的记录皆自其与月城柳共同生活起始。
    同时，在市政学籍系统中亦未查询到苍角的就学记录。根据补充信息，推测苍角仍在接受家庭教育。
    苍角性格开朗天真，不拘小节，唯独对于食物似乎存在特殊的执念，需要留意避免苍角陷入饥饿状态。
    同时，需要避免让苍角见到浪费食物的情况，对于苍角来说，这是不可接受的。推测苍角曾经历过极端物资匮乏的处境。
    苍角对于都市生活、乃至人类社会生活的常识皆较为有限，对于生死的观念似乎也不同于常人。
    通常情况下，苍角会相信他人告知自己的任何信息，但这并不意味着她无法分辨谎言。
    实际上，根据过往信息判断，除非拥有堪比对空六课某成员般的逃脱、躲藏能力，否则最好不要试图欺骗苍角。</t>
  </si>
  <si>
    <t>好多避免怎样和不要怎样…光看这些信息搞不好会以为小苍角很难相处呢，明明是个很可爱很好相处的孩子！</t>
  </si>
  <si>
    <t>那是因为我们确实避免了Fairy警告的这些事吧…我是不会冒险去尝试的，嗯。</t>
  </si>
  <si>
    <t>除监护人月城柳外，苍角似乎还有一名被其称为「姐姐」的亲人。未能在新艾利都任何民事档案中查询到此人的相关信息。
    通过交叉查询，比对月城柳与苍角档案的时间轴，可以确认在二人相遇前不久，当时就任于防卫军的月城柳参与了一场对鬼族军事行动并立下首功。
    由此推测，月城柳或许掌握苍角「姐姐」的信息。</t>
  </si>
  <si>
    <t>浅羽悠真</t>
  </si>
  <si>
    <t>7/19</t>
  </si>
  <si>
    <t>浅羽悠真，对空洞事务特别行动部第六课成员。
    从小拥有极强的以太适性体质，常被称作「天才」，在学校毕业后以格外优异的成绩进入对空部。
    原本隶属于对空部某王牌部门，后因各种原因退出，加入了雅的团队。
    性格自由散漫，我行我素，追求以最小的成本达到任务及格标准。
    在高效率地完成最低可交付标准的工作后，就会心安理得抓紧一切时间休息（摸鱼）。
    声称自己选择使用弓作为武器是因为方便偷懒，可以有效减少跑动的频次。
    浅羽悠真的身体状况不好，在过度消耗的情况下有概率发病。
    他经常以此为理由申请病假，没有人知道他用这些假期到底做了什么，但多半不是在休息。</t>
  </si>
  <si>
    <t>悠真摸起鱼来真的很有一套…哥哥，我们要不也学习一下？</t>
  </si>
  <si>
    <t>悠真摸鱼的前提是能高效率完成基础工作。我们还是先从这一点开始学起吧…</t>
  </si>
  <si>
    <t>浅羽悠真患有一种罕见疾病：「以太适性衰竭综合征」。
    该疾病会导致患者身体某些部位产生病变，体质变差，但也能让他们拥有比常人更强大的以太适性。
    在病程达到晚期后，患者的身体会迅速衰竭，在剧烈的疼痛下失去一切以太适性和感官能力，最终死亡。若患者晚期发病时身处空洞内，则会迅速被侵蚀变为以骸。
    以太适性衰竭综合征的患者通常寿命较短，现有案例中寿命最长的患者在26岁那年去世。
    目前尚未存在完全治愈该疾病的方法。</t>
  </si>
  <si>
    <t>月城柳</t>
  </si>
  <si>
    <t>9/21</t>
  </si>
  <si>
    <t>月城柳，对空洞事务特别行动部第六课所属副课长兼情报官。
    主要负责六课的人事管理、任务跟进与反馈、情报收集和现场支援等工作。
    与此同时，月城柳还是六课成员苍角的「保护者」。除了在日常生活上对苍角进行照顾之外，柳还需要对苍角在工作中的一切行为负责。
    六课课长星见雅性格较为特殊，成员浅羽悠真总是过于散漫随性，成员苍角在心性上还是个大大咧咧的「孩子」——综合以上原因，六课绝大多数工作安排都落在了月城柳的肩上。
    严谨认真，办事一丝不苟的月城柳，某种意义上算是六课唯一的「正常人」。也正是由于她的引导与指挥，才促使六课三名主要外勤队员的「武力」转变为「战斗力」。
    整体来看，月城柳是一位综合能力超群，处理事物利落高效的优秀执行官。
    但根据部分信息判断，月城柳在生活中似乎也会有迷糊的一面。</t>
  </si>
  <si>
    <t>Fairy这是从哪里搞来的情报，原来那么完美的柳竟然也会有迷糊的时候吗！能不能详细讲讲？</t>
  </si>
  <si>
    <t>怎么说呢…从这些内容来看，六课没了柳好像真的会散架。</t>
  </si>
  <si>
    <t>由于多年前的一场意外，月城柳体内流淌着一部分不属于她自己的血液。</t>
  </si>
  <si>
    <t>1/31</t>
  </si>
  <si>
    <t>耀嘉音是公认的「丽都第一歌姬」，凭借其超凡的嗓音、舞台感染力和创作才华，引领了整个时代的音乐风潮。「如果音乐是灵魂的共鸣，那耀嘉音就是点燃这一切的火花。」某知名乐评人曾如此评价她。
    尽管耀眼如斯，嘉音却保持着难得的真诚与纯粹。舞台上，她的歌声直抵人心。这种特质，让她得以拥有庞大的忠实粉丝群「加饭」，当然嘉音的光芒，也离不开经纪人伊芙琳的悉心守护。而舞台之下，似乎只是一个在生活上依赖着伊芙琳，在空洞里依赖着哲和铃的可爱女孩。
    「现在挠伊埃斯咯吱窝的话，你会大笑吧？」抱起连接着H.D.D.系统的绳匠，嘉音这样好奇地发问。
    似乎格外宠爱伊埃斯。
    思考：人类的情感的确是有趣的课题。嘉音究竟是因为伊埃斯爱屋及乌主人，还是因为主人才爱屋及乌伊埃斯，尚且无法判断。</t>
  </si>
  <si>
    <t>嘉音又发敲敲给我了——哇！是为《嫉妒》拍的泳装写真！呜呜，这身材也太棒了吧~</t>
  </si>
  <si>
    <t>什么？！为什么我没有…咳，我手机好像坏了。铃，你的借我用一下…</t>
  </si>
  <si>
    <t>嘉音对「Random Play」情有独钟。但她的行踪受到各方的高度关注，目前似乎还能以「这是一家提供各种珍稀版本老电影的店铺，嘉音选片的品味那么好，当然会喜欢啊！」这样的借口搪塞过去。但毕竟是丽都第一大明星，如此频繁地出入录像店，十分不利于隐藏身份。
    但，谁在乎这种事呢？身份暴露就暴露吧，嘉音不能不来。
    思考：创造各种状况撮合嘉音和主人，是获取主人欢心的好方法。</t>
  </si>
  <si>
    <t>伊芙琳 · 舒瓦利耶</t>
  </si>
  <si>
    <t>10/7</t>
  </si>
  <si>
    <t>伊芙琳是丽都第一歌姬耀嘉音的经纪人兼贴身保镖，以其冷静果断的决策力和专业干练的风格闻名。是嘉音背后无可取代的支柱，「说到商业价值，耀嘉音如果是那个源头的1，那伊芙琳就是跟在后面的全部的0。」某娱乐杂志记者这样评论道。
    既能规划周全的行程和代言，又能在各种突发事件中保障嘉音的安全。「想要接近嘉音？要先过伊芙琳 · 舒瓦利耶那一关才行…」尽管工作繁忙，伊芙琳从不显得慌乱。她对细节有着近乎苛刻的要求，无论是嘉音的每一场演出，还是代言产品的品质，都必须经过她的严格把关。但奇怪的是，如此优秀的经纪人，却并不受到其母公司帝高娱乐的信任。
    情报：伊芙琳的身份似乎不仅仅是经纪人兼贴身保镖这么简单，背后似乎有一个「组织」。
    嘉音的核心加饭群里，嗑这一对CP的人似乎相当多。</t>
  </si>
  <si>
    <t>伊芙琳好帅哦，真的不能跟嘉音一起出道吗？两个人一起拍写真，好想看！</t>
  </si>
  <si>
    <t>真羡慕女孩子，铃就可以很自然地说出这种愿望，我说的话大概会被打吧…</t>
  </si>
  <si>
    <t>关于伊芙琳所隶属的「组织」，情报较为匮乏，目前仅知伊芙琳年幼时被纳入「组织」，接受过严苛的训练，习得了在任何环境中都能快速决策与执行任务的技能。虽然这些经历在她身上留下了不少隐秘的伤痕，但也让她拥有了不凡的身手和冷静的头脑。
    思考：需要调查「组织」究竟是什么组织。</t>
  </si>
  <si>
    <t>雨果·维拉德</t>
  </si>
  <si>
    <t>8/20</t>
  </si>
  <si>
    <t>雨果，自称是一位收藏家，名下有一间生意不错的画廊，游走在新艾利都「上等人」之间。
    真实身份是怪盗组织反舌鸟的首领，莱卡恩的前搭档。
    虽然嘴上总是说着很多残酷（又中二）的话，但本质上对「公平」和「正义」有自己的追求。
    相关信息显示，雨果有一段扭曲的童年经历。
    作为TOPS老牌家族拉文洛克的私生子，他从小因为异色的眼睛遭到母亲的厌弃。
    父亲将他像一件廉价商品一样买了回来，利用他来刺激自己的孩子们进行继承人竞争。在残忍的竞争中，唯一对雨果友善的妹妹塞蕾娜成为了牺牲品，而谋害了她的孩子们却把一切罪行推给了雨果，以为这样就可以置他于死地，却没想到父亲竟然赞扬了雨果的行为，认为这才是合格的继承人应该具有的手段。
    逃离了家族后，雨果遇到了莱卡恩和老杰克，学到了一些怪盗技巧。老杰克去世后，莱卡恩和雨果共同成立了最初的反舌鸟。
    而后，在反舌鸟的某次行动中，雨果遭遇了他的父亲。因为一瞬间的犹豫，雨果没有选择杀死自己的父亲复仇，却因此导致了更多无辜者的死亡。挚友莱卡恩也因为一些误解与他决裂，最终离开反舌鸟。
    独自漂泊一段时间后，雨果收留了和妹妹塞蕾娜相似的薇薇安，重组了反舌鸟组织。</t>
  </si>
  <si>
    <t>该怎么说呢…感觉雨果至今能保持相对的心理健康，没有发疯也没有变成反社会人格，已经很了不起了？</t>
  </si>
  <si>
    <t>有点好奇，如果雨果是在一个普通家庭长大的话，会变成什么样的人…
    但也正是因为经历了这些，他才成为他自己吧。</t>
  </si>
  <si>
    <t>在拉文洛克家族时期，雨果曾因为吃了一块「哥哥」喜爱的蛋糕，而被那些孩子们逼迫吞下了整整一桌的甜品。
    自那之后，只要尝到甜味就会令他想要呕吐（推测为某种创伤后应激反应）。
    但因为低血糖，他需要通过补充糖分来让自己的身体机能维持稳定状态。雨果选择逼迫自己一遍一遍吃下各种甜品，战胜这种痛苦。
    备注：莱卡恩和薇薇安都不知道这段信息，雨果曾要求您对他们保密。</t>
  </si>
  <si>
    <t>薇薇安·班希</t>
  </si>
  <si>
    <t>4/10</t>
  </si>
  <si>
    <t>薇薇安是反舌鸟的成员之一，擅长收集各类情报，且拥有多工种技能，包括但不限于烹饪，调饮，翻译，艺术品仿制，电子产品维修…
    但据闻，早年间她居无定所，四处漂泊，且被视为「带来灾难的人」，是「不幸」的化身。
    她似乎可以通过眼泪预知是否会发生不幸，但此能力并未得到科学证据的佐证。
    她是「法厄同」的忠实追随者，自从「法厄同」账号不再在绳网活跃后，她曾试图多方探听您的下落，并且高强度在绳网搜索关于您的蛛丝马迹，但并未有收获，当然，主人，这多亏我为您的网络安全保驾护航。
    提议：在未明确其寻找您的真实目的前，不要轻易暴露「法厄同」身份。
    如若您已经不小心暴露请记得锁好房门，并穿好睡衣再入睡，根据其过往个人博客发文来看，她很有可能会用过于热情且猛烈的方式，向您表达敬仰之情。</t>
  </si>
  <si>
    <t>薇薇安认识的朋友好多，打过工的地方也好多…这和她给人的第一印象完全不同呢！</t>
  </si>
  <si>
    <t>在知道她是丝琪的前辈时，很多疑问其实已经有答案了…</t>
  </si>
  <si>
    <t>薇薇安年幼时曾被称颂会内名为兰登的人收养，并结识了幼年好友蒂娜。
    兰登所做的恶事曝光后，蒂娜依旧维护其父兰登，薇薇安逃出称颂会，与之分道扬镳。
    薇薇安曾一度自暴自弃，在人生最低谷时，您曾回复过她一条留言，让她又有了重新萌生努力生活的希望。
    为尊重薇薇安本人意愿，我无法告知您，具体是哪一则留言。
    或许，我无法完全理解人类的情感，但我很肯定，您确实曾为她带去了希望和慰藉。</t>
  </si>
  <si>
    <t>12/3</t>
  </si>
  <si>
    <t>仪玄是云岿山第十三代门主，也是被市长梅弗劳尔亲自认可的虚狩级调查员。
    她曾经是一名孤儿，自小与姐姐一同流浪。后来两人被当时的云岿山门主收留，成为弟子学习术法。在此期间，仪玄展现出了极高的天赋。无论何种术法，她总能以极快的速度掌握，不仅能够融会贯通，还能创造出属于自己的特殊术法。而「青溟鸟」则是她和姐姐合作研发的特殊术法之一，在各种困难和险境中，辅助她消灭敌人，铲除邪祟。在成为门主之后，她接受了梅弗劳尔市长的邀请，以合作的方式加入了空洞调查协会，成为了特遣调查员。
    自成为门主之后，仪玄也招收了不少颇有天赋的徒弟，继续延续云岿山的传承。可怎奈她行事风格颇为随意，很多时候即使是言传身教，弟子们也只能用「揣测」的方式，了解师父的本意究竟是什么…不过仪玄对此并不感到苦恼，毕竟对她而言，所谓的「正道」从来没有什么标准答案。让弟子们各自寻找到属于自己的「正道」，这才是她想传授的真意。当然，如果徒弟们能够自己领悟，自己学习自然最好。作为师父，只需要顺其自然而已。</t>
  </si>
  <si>
    <t>师父看起来总是比较随性，好像没有什么执念和想法。也许她四处游历给人算卦的时候，见过了太多人的喜怒哀乐，命运波折了吧。</t>
  </si>
  <si>
    <t>师父既然能起卦算命，恐怕很多事对她而言就失去了惊喜和未知，一切变化都能被精准预料。可能这就是她平日里波澜不惊，无欲无求的原因吧。</t>
  </si>
  <si>
    <t>仪玄小时候喜欢和姐姐一起吃叉烧包，只不过在旧都陷落之后一夜之间对其失去了兴趣，从那之后便很少吃过了。
    云岿山的弟子们并不知道这件事，只是觉得师父有些挑食而已。
    当然，这件事最好对其他人保密。许多往事和执念，就让它们随着时间慢慢消逝吧。</t>
  </si>
  <si>
    <t>1/6</t>
  </si>
  <si>
    <t>橘福福，新艾利都少见的虎希人，个子和年纪小小却是随便观的大师姐，最早拜入仪玄门下的弟子之一。
    「什么事情都能办妥」、「甚至能让师父乖乖听话」、「指导课业最为耐心细致」、「团建餐厅的选择总是很有品味」。
    ——云岿山修者考评档案，弟子互评页
    「师父交代的差事总是出纰漏」、「不管说话还是打架都没有气势」、「不会跟反派放狠话」、「诸位师弟师妹都比我更成器」。
    ——云岿山修者考评档案，弟子自评页
    「神通广大大师姐，仗义行侠好威风——路过寝舍的时候，我听她自己这么念叨的。不过，我很赞同。」
    ——云岿山修者考评档案，师父评价页
    另外：建议您建议云岿山加强网络安全建设工作，减少弟子隐私泄露风险。</t>
  </si>
  <si>
    <t>「神通广大大师姐，仗义行侠好威风！」——福福师姐私下也有得意洋洋的一面，可爱！嗯…总觉得哥哥也干过这种事？</t>
  </si>
  <si>
    <t>我才没干过那种事——虽然还是有些不习惯个子小小的福福一口一个「小师弟」地叫我，但不管是在行动中还是在生活里，福福都真的很有大师姐的才华和风范——下次不小心让她看到我们的备注如何？福福一定会一边脸红怕羞一边心里得意吧？</t>
  </si>
  <si>
    <t>虎希人，曾群聚在远离新艾利都城区的山林中定居的希人种族，据我以雅努斯区数个街区监控记录为样本进行的推算，目前于新艾利都范围内活动的虎希人市民不超过二十位。
    旧都陷落事件中，零号空洞的次生空洞灾害亦在虎希人聚居地爆发。据档案记载，突然形成并吞没了聚居地的空洞中出现了复数头恶名以骸，98%登记在册的虎希人市民在此次空洞灾害中丧生，幸存者多为老病幼弱者——若非所属云岿山的修者小队在半小时内抵达聚居地开展救灾工作，「橘福福」的名字大概并不会出现在您的代理人档案中。
    结合修者组织云岿山档案所记录之日期，可以推测橘福福在旧都陷落时期即已拜入现任云岿山领袖仪玄门下。</t>
  </si>
  <si>
    <t>5/10</t>
  </si>
  <si>
    <t>潘引壶，云岿山门下弟子，随便观的首席大厨兼财务管理人，使得一手好拳法，精通点穴术。
    作为随便观里管钱的人，他深谙节流生财之道，5000丁尼的肉他能讲价到500丁尼，能在家自己做出来的物品他绝不会到外面购买，各大超市商店的优惠券他都能随手从身上掏出来。
    拜他所赐，随便观的成员每天都能吃到美味而实惠的饭菜。作为掌勺大厨，他对于菜品的口味要求严格，且高度重视同伴们的评价。
    此外，推测由于他长期的省钱行为，无论是随便观的总经费还是他自己的私人小金库，其数额都已经积攒到了能让人两眼一直的程度。</t>
  </si>
  <si>
    <t>每回想点外卖的时候，潘师兄都会跳出来阻止，说外卖不健康，想吃什么他下厨做给我们吃…都有好几个月没吃上外卖了！</t>
  </si>
  <si>
    <t>但他的手艺确实没得挑剔，除了时不时肉会下得比较少…我都想多跟他学几道菜了。</t>
  </si>
  <si>
    <t>作为放眼整个新艾利都也极为罕见的熊猫希人，潘引壶自儿时起便无任何亲人帮衬，独自在新艾利都摸爬滚打。没真正被饿过的人不会知道饥饿有多可怕，为了混口饭吃，潘引壶把自己能尝试的职业都做了一遍，最终因以太适性良好而成为了盗洞客。
    成为盗洞客的他因一次偶然遇到了仪玄，在被暴打及点化后选择拜入云岿山门下，通过修炼术法净化自己日渐暴戾的心性。
    由于拜入门下的时间较晚，他的师弟师妹实际上很少，主人，您就是其中之一，因此他会用给您开小灶、塞给您商店优惠券等方式来表达身为师兄对您的关爱。</t>
  </si>
  <si>
    <t>1/20</t>
  </si>
  <si>
    <t>叶瞬光是云岿山至宝青溟剑的剑主，仪玄的弟子，叶释渊的妹妹，也是一名天资卓绝的剑客。
    她曾拥有美好的童年，然而旧都陷落时，她的父母为了援救民众逝去，一切幸福就此戛然而止。
    从此她只能与兄长相依为命，直到被仪玄收养，拜入云岿山门下，并在后来被青溟剑选中，承担起掌剑的重任。
    据闻，青溟剑的青睐与其说是祝福，反倒更像某种诅咒，它给予剑主虚狩级的战力，却剥夺他们的记忆与五感作为代价。
    为了遏制青溟剑的副作用，仪玄师父为叶瞬光打造了一把剑鞘。目前来看似乎起到了作用，但这把武器的秘密仍然深不可测。</t>
  </si>
  <si>
    <t>那个…小师姐可以天天来录像店吗？伊埃斯和我都很想你哦！</t>
  </si>
  <si>
    <t>小光总是非常温柔可靠，不管什么事情，只要交给了她，就肯定会被妥妥当当的完成…
    唔…这就是传说中的「别人家的孩子」吗？</t>
  </si>
  <si>
    <t xml:space="preserve">
    容纳青溟剑时，叶瞬光尚且年幼，却不得不从此背负远超年龄的责任。
    她不被允许拥有玩具，总被教导学会成熟，所能做的只是一次又一次练习剑法——过量的压力都倾泻在她身上，而年幼的女孩只能选择接受。
    某次情绪爆发后，她曾逃出山门，徘徊在澄辉坪上。而您则在此刻出现，递给她一包桂花糖，给予她一线暖意。
    补充：如今叶瞬光最喜爱的糕点是桂花糕，或许也正因如此。</t>
  </si>
  <si>
    <t>伊德海莉·墨菲</t>
  </si>
  <si>
    <t>3/19</t>
  </si>
  <si>
    <t>伊德海莉，除了代理人的身份外，也兼任绳匠以及怪啖屋的投稿作者。
    在其他人看来，伊德海莉在寻常情况下待人处事总有种闲适的慵懒感，不过就记录的资料来判断，相较于慵懒这样的描述，她更像在被一种与周遭环境格格不入的虚无感所包裹。
    或许对多数人而言，这是沉浸创作之人的通病——作为天赋异禀的怪诞故事作者，伊德海莉应当比其他人更容易沉浸在自己构造的幻想世界中。
    可实际上，她的异常表现更多是源自自身能力带来的负担。
    她在空洞中能接触到常人难以想象的庞大信息，那些信息纠缠着空洞中长年累月堆积的过往。而这无数过往积累的负荷不断冲击着她对现实的感知，最终连同情感也在冲刷下逐渐变得迟钝。
    能够承受这份负担，将其变成自己的能力之余还能用自己的方式正常生活，便是伊德海莉超越常人的天赋。</t>
  </si>
  <si>
    <t>伊德海莉虽然看上去好像对什么都不太关心的样子，但她其实超级细心，还很会照顾人哦！
    有次我搬录像带的时候不小心在手上划破了一道小口子，我自己都没发现，她就拿着创可贴给我贴上了！</t>
  </si>
  <si>
    <t>同感…之前和她外出的时候，我走得急没吃午餐也被她发现了，说是我的嘴唇有些发白，肯定是没吃东西就赶来了，虽然我自己完全看不出来…</t>
  </si>
  <si>
    <t>伊德海莉对雨天与泡澡有着非同一般的热爱。
    因为这两样喜好能在现实的世界带给她短暂的安宁与平静，让她能够享有片刻闲暇，不再为脑海中承载的纷杂信息流困扰。
    然而她的这两样热爱在最近的相处中发生了些许改变。
    她不再习惯孤独，不再满怀忐忑与期盼地追逐雨天，不再依靠将身体浸泡在温水中疗愈自我。
    她开始在晴朗的天空下漫步，她能从容地穿过熙攘的人群…她开始期待尝试一切对她而言崭新的事物。
    而伊德海莉这一切改变的伊始，源自与您的相遇。</t>
  </si>
  <si>
    <t>爱丽丝·泰姆菲尔德</t>
  </si>
  <si>
    <t>8/30</t>
  </si>
  <si>
    <t>爱丽丝·泰姆菲尔德，怪啖屋的新晋成员，新艾利都名门泰姆菲尔德家族的千金大小姐。
    爱丽丝自幼修习击剑与以太科学，在以上领域表现出优秀的天赋。她当前就读于高志院下属的圣星女子学院，是一名品学兼优的标准优等生；推定，其有朝一日会继承家业，成为新艾利都新世代的以太学者。
    她极为重视秩序与规律，尤其在事物的对称上表现出近乎偏执的追求。对称强迫症甚至对她的审美造成了影响，令她将事物对称与否置于判断其美丑的第一顺位。
    此外，她极其容易受惊吓，对闹鬼怪谈的抗性几乎为0。即便如此，她似乎对接触怪谈表现出相当高的兴致。提议，主人可以寻找怪谈作为与她的共同话题，无论她前期怎么拒绝，推定最终都会凑过来一探究竟。</t>
  </si>
  <si>
    <t>你哥没有冒险精神还真是对不起…不过爱丽丝真的很痴迷于灵异呢。难道她就那么喜欢一次次被惊吓的感觉吗？</t>
  </si>
  <si>
    <t>据调查，爱丽丝的对称强迫症是其自幼就有的倾向，但在经历了儿时对称的发卡丢失、随后父亲意外身亡的变故后，她将事故归因于对称事物的丢失，进而强化了在对称性上的偏执。
    作为以研究以太科学而知名的名门，泰姆菲尔德家族当前正面临没落的危机。爱丽丝的父母早逝、祖父抱恙，在为了拯救朋友而免费开放家族专利后，她决心重新开始，以自己的力量振兴家族。
    尽管她性格胆小，但一旦认定要完成某件事情，就一定会坚定地推进到底。同时，她极其重视同伴，绝不会坐视同伴的困难不管…因此，主人，极力推荐您与爱丽丝搞好关系，并向她透露我们当前电费账单支付困难的经济情况。</t>
  </si>
  <si>
    <t>浮波柚叶</t>
  </si>
  <si>
    <t>11/2</t>
  </si>
  <si>
    <t>浮波柚叶，卫非地澄辉坪居民，目前就读于市内一所学费低廉的企业校，除了绳网子论坛「怪啖屋」之外并未加入任何其他组织——当然，按照新艾利都的一般认知，网络论坛并不能被视作正式的组织，更应被称为同好会。
    柚叶是辉瓷工艺品店释诡斋店主黎宝荣的养女。根据澄辉坪流传的小道消息，宝荣叔在旧都陷落时失去了妻子和两个女儿。旧都陷落后，他先后收养了五个孩子，柚叶排行第二，有一个哥哥，一个弟弟和两个妹妹。柚叶家位于店铺所在的公寓楼二楼，由于家中只有两间卧室，柚叶一直和两个妹妹共用一个房间，男孩们则和宝荣叔住在一起。最近，由于哥哥已离家独立，柚叶也大多数时间住在学校宿舍，所以家里显得不那么拥挤了。但周末和假期，柚叶一般会从学校返回澄辉坪，帮助父亲打理店铺。
    柚叶从小就有着与年龄不相符的成熟，因为能说会道、性格开朗，深受邻里喜爱，在澄辉坪和泅珑围的小孩子中间也很受欢迎。
    柚叶在怪啖屋论坛使用的网名是「柚子胡椒」，在论坛上交好的除了现实中认识的真斗和爱丽丝之外，还有网名是「夜魔使者」和「草莓芭菲」的两位用户。</t>
  </si>
  <si>
    <t>最开始接触柚叶的时候，总觉得她虽然看起来爽朗，实际上却和人保持着一定距离..但现在已经没事了！</t>
  </si>
  <si>
    <t>上次遇见柚叶的妹妹小枫的时候，她还问我柚叶是不是这学期考得特别好，说姐姐最近明显笑得比之前多了呢。</t>
  </si>
  <si>
    <t>据柚叶所说，她从记事起就一直在法努斯区流浪，生活在一个由数个孩子组成的流浪帮派中。儿时的柚叶没有名字，因为营养不良患有夜盲症，晚上总要端着烛台，因此外号叫做「小蜡烛」。
    柚叶参与的实验项目名为「新叶计划」，由于她一直没有正式称呼，某个负责照顾她的研究人员给她起名「柚叶」，但除了这些日常接触实验儿童起居的底层研究人员之外，菲洛克斯和其他研究所上层并不知道这个名字存在，始终以ES-07来称呼她。虽然是在实验室获得的名字，柚叶却始终觉得，这个名字中含有的生命力，也是自己幸运的一部分。
    柚叶的两个妹妹都是在婴儿时期被收养，宝荣叔在给她们起名字时也延续了使用植物意象的习惯。</t>
  </si>
  <si>
    <t>狛野真斗</t>
  </si>
  <si>
    <t>1/5</t>
  </si>
  <si>
    <t>狛野真斗，怪啖屋成员之一，同好会里最为可靠的「执行人」。他在旧都陷落里失去了家人，独自在卫非地长大时，意外地收养了一对流落在街头的孩子，阿青与阿月。在那之后，他们成为了相依为命的家人，尽管这是一个稍显年轻的家庭，但对于真斗而言，他很希望能照顾好这个新家庭的所有人。
    真斗目前就读于市内一所企业校内，也是企业校传闻里可怕的「校霸」。其中的原因大概只是因为长相很凶狠，但实际上，真斗远比外表看起来更加温和宽厚。
    起先，真斗确实想做些什么来改变他人对于「校霸」的误解，但因为种种原因，他的努力没能取得明显的成效。但真斗的乐观精神让他很快意识到了「校霸」的身份并非只有坏处，他能利用这个身份躲过不必要的社交活动，享受不被陌生人打扰的生活，甚至能作为「校霸」打听某些学校里的怪谈消息，保护真正遭到霸凌的同学们。
    但就学习成绩而言，他确实很符合企业校「校霸」的身份。</t>
  </si>
  <si>
    <t>真斗竟然能够记住所有在路上和他打招呼的街坊们的名字与习惯…实在是太了不起了！</t>
  </si>
  <si>
    <t>总觉得和真斗一起行动的时候，所谓怪谈的可怕程度也会大幅下降呢…</t>
  </si>
  <si>
    <t xml:space="preserve">
    过分的率真与亲和力偶尔也会给真斗带来一些意料之外的「麻烦」。当他出现在菜市场或者其他街坊众多的地方，他总能引起不少人的注意。热情的店主、摊贩，路过的邻居朋友们，总是乐于将自己手头上能找到的最好的东西当做礼物塞到真斗的怀里，嘱咐他各种各样琐碎而温馨的小事。
    真斗在父母去世后很快学会了照顾自己，他掌握了出色的厨艺，甚至能缝补好阿青与阿月在玩闹时无意中弄破的衣服。
    在企业校的实习里，真斗也受到了热烈的欢迎。在这种环境下，他难以控制力量的问题反倒成了矿场工人们最好的助力。</t>
  </si>
  <si>
    <t>卢西娅·艾洛温</t>
  </si>
  <si>
    <t>卢西娅，怪啖屋的成员之一，网名是「夜魔使者」。背包客、以骸故事爱好者，以及夜宵小吃摊权威品鉴家。
    资料显示，卢西娅来自于一个生活在都市边缘的族群。传闻这个族群的先祖曾遇到过名为「夜魔」的以骸（未记录在空洞调查协会档案中），从此获得了特殊的能力：他们不容易引起以骸的注意。但代价是在夜晚会梦见「夜魔」，在「夜魔」的引诱下产生梦游行为，自行走入空洞被侵蚀。
    基于此原因，族人们做起了「守夜人」。他们习惯于白天休息，深夜狩猎，以此来避开「夜魔」的引诱。如果有人实在支撑不住要在夜晚入眠，亲人就会整晚守在其身旁，直到天亮。
    卢西娅在族人的陪伴下长大，即使来到新艾利都，她也保持着「守夜人」的传统，避免在夜晚入睡，并前往她重视的朋友们身旁，守护他们免受夜魔的侵袭。
    主人，倘若深夜听到了敲击窗户的声音，请不要惊慌，那或许是某个睡不着的夜晚守护者在向您问好。
    补充：卢西娅的宠物名为「刺梨」，是一只体型较小、性格友好的哈提，它曾经居住于空洞外围，现今已转移向了空洞深处，即使是我也无法探测到它目前的具体位置。</t>
  </si>
  <si>
    <t>卢西娅喜欢一个人在空洞旅行、搜寻以骸；也经常带着零食敲开窗户、钻进录像店看一场电影…
    她总是高高兴兴地出现在各种地方，完全就是那种会在夜里飞来飞去的小精灵！</t>
  </si>
  <si>
    <t>自从迷上了卢西娅的「邦布怪谈」，伊埃斯就再也不按时睡觉了…
    现在它总是守在前台，竖起耳朵听敲窗户的动静，真是伤脑筋啊。</t>
  </si>
  <si>
    <t>卢西娅的父亲供职于防卫军的特别部队，由于事务繁忙每年只能回家一次。对于幼年的卢西娅来说，这段父亲陪伴的时光本身也是一种奖励。
    在某次休假过程中，卢西娅的父亲接到了紧急指令，不得不立刻离开。临行前，为了安抚哭闹不休的女儿，他哄卢西娅蒙住眼睛玩捉迷藏，而当卢西娅倒数完睁眼时，父亲早已离开，从此再也没能回来。
    多年后，在前往「小镇」的行动中，卢西娅与已经被侵蚀成为「彷徨猎手」的父亲重逢。在轻盈的儿歌哼唱声中，时隔许多年的光阴，卢西娅完成了未尽的捉迷藏游戏。「彷徨猎手」放下了被秽息侵染的执念，缓缓消散。他们在此地重逢，也于此地告别。</t>
  </si>
  <si>
    <t>照，坎卜斯黑枝的裁决官，早期加入黑枝的精锐成员之一。
    外表看起来单纯可爱，其实心思细腻缜密，有原则。重视「价值」与「等价交换」。并非指用金钱来衡量某个单位的价格，而是分析目标的能力与潜力，对其能产生的作用进行更客观与长远的评估。
    据说这并不是照进入黑枝之后因为工作原因树立的观念，而是在孩童时代便已萌生的想法。照不仅对他人会做出评估，对自己也是这么要求的。「只有存在价值的人才能被看见。」
    虽然不会明显表露，但照对没有缘由的外来善意抱有警惕心。因为这有悖于她「等价交换」的观点，会认为对方是有更深层的目的所以才提供帮助。
    因此与照打交道时，建议以实现共同利益为首要考量，如果想要以纯粹的善意与热忱打破她的防备，恐怕需要花费很大的精力。
    另有一条无法明确证实的情报：照很喜欢吃蔬菜，并且不喜欢吃肉类食物，但她似乎在假装自己也爱吃肉。</t>
  </si>
  <si>
    <t>和小照一起进行调查行动时特别有安全感，就觉得…她和任何人打交道时都不会吃亏。</t>
  </si>
  <si>
    <t>大家做出的每个选择，如果小照没有提出异议，那就一定是衡量过得失后，最有尝试价值的选择。</t>
  </si>
  <si>
    <t>照从小生活在一个贫穷困顿又人数众多的家族中，大部分时候，亲情与信任加起来都敌不过一句「谁能带来利益，谁就能有更多食物。」
    照的长相讨喜，但也会让人觉得好欺负。在那种弱肉强食的环境中容易被一眼判定为「低价值」的存在。因此在家族中，照被长辈们判定为无法派上用场的人，难逃被轻视和抛弃的命运。直到她遇到了某位来自黑枝的掌权人，她潜藏的能力被一眼发掘了出来。自此，她将家族的过往密封起来，加入了黑枝，立志要展现真正的价值。
    「只要你有价值，就能在泥沼中被看见。」</t>
  </si>
  <si>
    <t>般岳，一位在卫非地开设武馆、门下学徒众多的智能构造体，存活于世已有很长时间，人称「般岳师父」。他有着如石狮子般威严的外表，武艺高强，与云岿山现任门主仪玄有着多年的交情。
    作为武术高手，般岳寡言而可靠，行事风格与观念古朴，对门下习武的学徒严以管教，是因材施教、授人以渔的武学宗师。他有着名为「怒相」的战斗特殊形态，一旦开启，可将眼前邪祟尽皆诛伏。
    作为长期居住于卫非地的普通居民，平日的般岳则性格温和沉稳，不善情感表达，言辞举止颇有古人之风。他自知跟不上人类时尚潮流的发展，私下正学习着各类网络新潮用语中，然而因为理解不到位，时常会造成一些让人哭笑不得的误会。
    此外，般岳似乎很喜欢石墩子等球状物体。若与其独处因其沉默而陷入冷场，推荐以球状物来唤起其好奇心。</t>
  </si>
  <si>
    <t>般岳师父虽然看起来很沉稳，其实意外地有脆弱的一面哦！上回他造访随便观时刚好闯进来一只老鼠，虽然他极力掩饰，但也能感受到他的不自在…</t>
  </si>
  <si>
    <t>这么说我之前看有小孩子玩弹珠意外掉了一颗，般岳师父往那个方向多看了好几眼…感觉般岳师父私底下也有不太像武学大师的一面呢。</t>
  </si>
  <si>
    <t>般岳的真实身份，是多年前由TOPS秘密开发的、专门用于镇压秽息的杀戮机械，代号「肃灭单元·零型」。其所植入的算法指令会使其基于消灭秽息的最合理方案进行行动，这往往意味着他会无差别抹杀连同秽息与受灾民众在内的视线内所有可动目标。
    在某次行动失败后，作为杀戮机械的般岳被TOPS所遗弃，却又被某位莅临莱姆尼安空洞的智者遇到，改写了他的核心，为他构筑了新的智能逻辑，这也使得般岳逐渐拥有了自我意识。后面般岳被卫非地矿区旧址当时的居民们所接纳，让他融入了「为人」的生活。
    十年前矿区旧址秽息大爆发那次浩劫，般岳赶往救援民众，但在绝对合理化的算法逻辑的作用下舍弃了部分被判断为无法得救的居民。他救出了年幼的叶瞬光与叶释渊，却也种下了对自身「见死不救」罪孽的心结。般岳也因此未能主动接受禁果测试，哪怕其已经符合广义上智能构造体的特征，却仍未被正式认定为智能构造体。
    在接受来自坎卜斯黑枝的裁决官琉音的裁定后，般岳决心以未来的守护，弥补往昔的悔意。经琉音引荐，现今他已经成为坎卜斯黑枝裁决官的一员，开启了全新的旅程。</t>
  </si>
  <si>
    <t>琉音，TOPS「跨部门响应客服中心」的客服人员，更鲜为人知的身份则是坎卜斯黑枝的「裁决官」。
    虽然自诩是TOPS的金牌客服，收到的投诉却是部门之中最多的那一位。虽然从不声张自己作为裁决官的权力，却总能做出最接近真相的裁断。
    琉音天生便能听到空洞中人类濒死前的声音，对于亡者之语的聆听是一种无双的天赋——对年幼的琉音来说却也是痛苦的诅咒。
    但无论是天赋还是诅咒，琉音都已经将其化为裁决真相的利器，无论背负了怎样的命运和劫难，她都已行路至此。</t>
  </si>
  <si>
    <t>虽然好像总是在玩笑和毒舌之间切换，但若有耐心去聆听琉音在其中隐藏的真心，就能明白她是一个非常有原则和勇气的人哦！</t>
  </si>
  <si>
    <t>虽然琉音说话总让人觉得「是不是太有攻击性」了，但她总能面对不公仗义执言，面对朋友坦诚相待——铃背着我和代理人们出去玩的事情也是她告诉我的。</t>
  </si>
  <si>
    <t>「诅咒」——不只是对于空洞中无处不在的亡者之声对身心折磨的形容，也用于描述这份「不详」的天赋所带来的厄运。
    某次次生空洞灾害爆发的前夕，琉音所在街区的民众在城建公司的蛊惑下，将身怀「不详」的年幼琉音作为「祭品」送入了空洞，希图保全自己的性命。
    对人性之恶知之甚少，却身怀天生的善良的少女，甘愿用自己的性命换来大家的性命。但当她迈入空洞，这份受诅咒的天赋却让她得知了残酷的真相：一切皆是城建公司的阴谋，被购买了巨额保单的居民们注定要死在空洞中，而琉音只是被利用为诱骗居民们留下的工具。
    她听到自己的不详隐秘如何被出卖，听到身死居民们对她的怨恨，听到了所有亡者的心声和生者的谎言…她已经忘记自己是如何跋涉过那片荒原，但当她被黑枝所接纳的那一日起，她已经做好了万全的准备：在谎言与真相的无休挣扎之间，她将学会用自己的方式裁决善恶。</t>
  </si>
  <si>
    <t>千夏是「妄想天使」偶像组合的成员之一，同时也是团队发行所有音乐的作曲人。既要保证高质量的音乐创作，又要跟上大家的练习进度、配合舞台演出，这对千夏并不是什么容易的事情。面对难以承受的压力，她有时会行使「三十六计跑为上计」的谋略，以逃避队长南宫羽的魔鬼排期。
    备注：据可靠情报推测，大部分时间该谋略得以施行，都多亏了南宫羽本人的故意放水。
    与同为「妄想天使」组合一员的南宫羽自小认识，作为青梅竹马一同长大，二人虽然看似喜欢互相打闹，其实十分依赖彼此。与另一位成员爱芮则在音乐话题上颇有共同语言，据爱芮所言，她们经常在录音棚讨论一整天新歌的曲调处理方式，直到不觉间头挨着头沉沉睡去。
    千夏性格较为内向，相比团体活动更喜欢一人独处。不过，她的两位队友深谙她「难以拒绝他人」和「经不起夸赞」的性格弱点，正在通过脱敏训练逐步帮她克服社交恐惧症（进度约为25%）。
    虽然在大部分粉丝看来，千夏的「废柴」属性是个不可多得的萌点，但她本人似乎很想撕下这一标签，成为自信满满的「合格偶像」。作为乐曲的幕后创作者，她时常想逃下舞台，但千夏事实上又并非像她声称的那样对台前演出毫无眷恋。
    证据：千夏床头的便利签，上面写着如下内容——绝对不可以让粉丝失望，要给他们最好的舞台！</t>
  </si>
  <si>
    <t>总感觉千夏就像游戏里的某种稀有动物一样，只有在特定条件下才能被刷新出来！
    上次为了叫她和我出去买衣服，我烦了她整整一周呢！</t>
  </si>
  <si>
    <t>嗯，我领教过不少次铃死缠烂打的功力…想必千夏也对此无法招架吧。</t>
  </si>
  <si>
    <t>千夏喜欢看上去可爱的甜食，因此经常会买到徒有其表、糖度超标的食物，而这一点总是遭到南宫的嘲笑。即便如此，南宫和爱芮在为千夏挑选礼物时，仍然会心照不宣地选择外形花哨的小蛋糕。
    千夏还喜欢气味馨香的东西，会亲手制作香薰蜡烛，因为这些东西会帮她收凝神思、激发灵感。在进入自己的「音乐王国」时，千夏会格外专注，以至于难以听到外界的任何声音。
    备注：据爱芮所说，千夏曾因为写歌而烧干了南宫的限量版茶壶，并为了向后者道歉，为其端茶送水超过两周时间。</t>
  </si>
  <si>
    <t>爱芮，「妄想天使」组合的主唱和门面担当。阳光元气的她总能在舞台上闪闪发光，为「梦想家」们带来治愈和能量。
    爱芮有着近乎完美的声线，但其实她几乎没有受到过专业训练；曾经的爱芮只是出于对自己偶像——隐退歌后「瑟汐」——的喜爱，开始模仿和跟唱对方的作品，但也由此发现了自己的歌唱天赋。
    虽然爱芮的歌唱水平非常专业，但她在舞蹈方面却有些缺乏基础；虽然进行了努力练习，但面对一些复杂动作还是会手足无措。好在粉丝们十分认可她「即便跳不好，也要努力跳」的态度。
    「拼劲全力，也要驯服自己跟不上节奏的四肢，这就是我们『妄想天使』的主唱大人！」——某位「梦想家」在演唱会后涕泪横流地说道。</t>
  </si>
  <si>
    <t>用虚拟形象在台前表演的偶像…是不是也算「虚拟偶像」？</t>
  </si>
  <si>
    <t>不是…铃…呃…总感觉不是这样…但是好难反驳…</t>
  </si>
  <si>
    <t>和舞台上光鲜亮丽的形象不同，爱芮的本体其实是为作战而生的「A-H0L0」型高智能战术构造体；但随着一次次战斗行动，她逐渐开始抗拒这种「给他人带去痛苦」的感觉。
    在和同型号的战友们一起被遗弃在空洞中后，她又因为瑟汐的歌声而苏醒；在艾利都，她看到那样的歌声能让人们萌生出「希望」、沉醉于「妄想」，于是逐渐萌生了自己唱歌的想法；机缘巧合下，她担任过瑟汐的「替声」，又在瑟汐隐退后回归人群。直到因为南宫和千夏的邀请加入妄想天使，爱芮才真正站到了台前，与热爱她声音的「梦想家」面对面互动。
    也许是出于过去经历的影响，爱芮对自己的构造体身份深感自卑；切换到构造体形态后，她会变得胆小怕生，说话也慢吞吞的。然而，一旦开启元气偶像的虚拟投影，她又会马上回归热情开朗、充满活力的状态，像小太阳一般照耀身边的队友与台下的「梦想家」们。</t>
  </si>
  <si>
    <t>小黑</t>
  </si>
  <si>
    <t>？</t>
  </si>
  <si>
    <t>????</t>
  </si>
  <si>
    <t>小黑是一只经常在六分街出没的流浪猫。因为是黑猫，大家习惯性的叫它小黑。
    根据现有数据推测，它的性格较为警惕，并不属于自来熟的类型。
    罐头和猫条是它喜欢的食物。如果提供这些给它的话，它会很高兴。
    需要注意的是，和大多数流浪猫一样，当小黑和您不够熟悉的时候，它可能不会愿意在您面前进食。 
    有时候，小黑会尝试向您表达自己的一些需求。如果您能听懂它说的话，并满足它的需求，它一定会更喜欢您。
    如果您足够努力的话，或许有一天，它会愿意被你收养…
    「猫咪这种生物似乎喜欢在人少的夜晚里出没」</t>
  </si>
  <si>
    <t>决定了！哥哥，我们努力收养小黑吧。
    这家录像店什么都好，就缺一只小猫咪了！</t>
  </si>
  <si>
    <t>铃，养猫可不是一件容易的事，还是需要再仔细斟酌…
    Fairy，小黑喜欢什么口味的罐头来着？</t>
  </si>
  <si>
    <t>...</t>
  </si>
  <si>
    <t>CardID</t>
  </si>
  <si>
    <t>UiName</t>
  </si>
  <si>
    <t>组别</t>
  </si>
  <si>
    <t>引述</t>
  </si>
  <si>
    <t>Monster_ClaymoreGrey.png</t>
  </si>
  <si>
    <t>空洞调查协会一直在研究提尔锋的行为模式。其看似摇晃歪斜的不平衡姿态，事实上是随时可以发起连续斩击的高效蓄力姿态。
    提尔锋以其高出现频率、强攻击性而被评定为空洞中最易造成伤亡的以骸之一。对于某些空洞勤务人员来说尤为如此。
    在遇上持盾的敌人时，它们会狂躁地发起无休无止的攻击，直至敌我双方一方倒下为止。
    「或许……他们不是讨厌我们，而只是把我们当成了练习木桩？」</t>
  </si>
  <si>
    <t>以太异形</t>
  </si>
  <si>
    <t>——午夜访谈节目《空洞茶会》第165期，因伤退役的防暴巡查员，诺比-凯瑞安</t>
  </si>
  <si>
    <t>战斗中，提尔锋会进行近战攻击。</t>
  </si>
  <si>
    <t>Monster_CyclopsGrey.png</t>
  </si>
  <si>
    <t>空洞调查协会关于阿佩卡的研究条目较少，在简单剖析了它喷吐液状以太的行为模式后，便将其定义为低威胁型以骸，并结束了调查。
    曾经有学者对阿佩卡喷吐液化以太的方式产生了浓厚的兴趣，并发布了近距离观察的调查委托。
    但出于某些原因，老练的调查员都对该任务敬而远之。
    「快跑！它们又开始吐口水啦…啊，我的新衣服！」</t>
  </si>
  <si>
    <t>——空洞深处，新人调查员莱菲儿-伯特正在尝试撤退</t>
  </si>
  <si>
    <t>战斗中，阿佩卡会进行远程散射攻击。</t>
  </si>
  <si>
    <t>Monster_Satyrus.png</t>
  </si>
  <si>
    <t>于新艾利都地铁空洞内首次目击的人形活体以太。空洞协会的调查队对其性质曾有一段时间的争议，有人相信它是由侵蚀体被高度异化后转换的活体以太，也有人主张它就是纯粹的活体以太，只不过受到了空洞内环境的深入影响。不论如何，鉴于其行动智能有限，协会对其危险评级并不高，但这并不意味着可以掉以轻心，毕竟它们通常结队出现。
    「你有没有因为一个红灯而迟到或被罚款的经历？很讨厌的感觉对吧？」
    「现在，泄愤的机会来了！」</t>
  </si>
  <si>
    <t>——《今日灾星》论坛，用户「新型邦布何时降价」留言</t>
  </si>
  <si>
    <t>战斗中，萨提尔倾向于进行不易被打断的长蓄力重击。</t>
  </si>
  <si>
    <t>Monster_Golemgrey.png</t>
  </si>
  <si>
    <t>虽然霍普利泰被空洞调查协会归类为了「低威胁性」以骸，但它对于新手盗洞客和调查员来说，却是相当难缠的对手。
    它的前肢覆盖着厚实的惰性以太物质，既可以作为绝佳的防御之盾，又是颇有威慑的进攻武器。
    至于唯一的缺点…则是让它显得有些头重脚轻，看起来不怎么聪明。
    「诸位请看…这只可怜虫，就是霍普利泰。」
    「当以骸们聚在一起玩猜拳的时候，这个笨蛋只能出布！」</t>
  </si>
  <si>
    <t>——《空洞动物园》，关于霍普利泰的特辑节目</t>
  </si>
  <si>
    <t>战斗中，霍普利泰会利用盾牌手臂冲锋或格挡攻击。</t>
  </si>
  <si>
    <t>Monster_SpiderGrey.png</t>
  </si>
  <si>
    <t>在空洞调查协会的研究报告中，移速低、只会引发的小型爆炸的雷蛛被定义为「低威胁」、「无需关注」的低级以骸。
    但一些嗅觉敏锐的商家却从其圆滚滚的体型和小短腿中察觉到了商机。
    伴随着电影《翻滚吧，小雷蛛》的火热上映，其玩偶、抱枕等周边商品几乎卖到脱销。
    「没想到它们的玩偶竟然比本体更有杀伤力…比利，我下个月只能吃泡面了…」</t>
  </si>
  <si>
    <t>——商店街娃娃机前，安比正在查看钱包</t>
  </si>
  <si>
    <t>战斗中，雷蛛会进行自爆攻击。</t>
  </si>
  <si>
    <t>Monster_StrikeJaeger.png</t>
  </si>
  <si>
    <t>新艾利都防卫军的现役兵种之一，属于轻装步兵单位。
    用以太材料强化过的单兵军刀与小型爆破物作为主要武装，强调机动性与隐秘性的步兵兵种，常被作为先锋或哨探部队，依靠绝佳的机动力进行扰袭、侦察、追击、刺杀等任务。
    在空洞相关行动中，他们也是绝佳的先锋，经过特化培训的近身搏斗技能帮助他们轻松战胜一般的侵蚀者或较低级的活体以太。
    「『致命的短剑大师』？我看是『耍赖的掷弹兵』才对吧！装模做样的摆弄匕首，明明大部分对手都是被手雷干掉的！」</t>
  </si>
  <si>
    <t>叛军</t>
  </si>
  <si>
    <t>——《绳网》论坛，某匿名留言</t>
  </si>
  <si>
    <t>战斗中，掠袭猎兵会滑铲快速接近目标，或扔出大量会延迟爆炸的飞刀。</t>
  </si>
  <si>
    <t>Monster_LightJaeger.png</t>
  </si>
  <si>
    <t>作为新艾利都防卫军的主流作战单位，合格的「轻装猎兵」和「先锋猎兵」能够在多种作战模式间自由切换。
    无论是使用匕首贴身缠斗，亦或者用「Falcon-MK3」以太蓄能枪远程射击，他们总能针对目标的弱点定制新战术。
    而当对方手足无措之时，他们便会毫不犹豫地展开攻势。
    「我盯着那个拿匕首的家伙，打算来一场公平公正的白刃战…没想到他却突然掏枪了。」</t>
  </si>
  <si>
    <t>——「绳网」论坛 ，某位新手盗洞客的吐槽贴</t>
  </si>
  <si>
    <t>战斗中，轻装猎兵会进行持续的火力支援。</t>
  </si>
  <si>
    <t>Monster-MeleeJaeger.png</t>
  </si>
  <si>
    <t>在防卫军的对空洞特殊行动中，「新晋猎兵」和「整训猎兵」往往是各战术小队不可或缺的前线突击成员。
    其配有的「Coyote-PE7」型以太重刃具有高频震动切割功能，可在近距离搏击时可有效震慑小型敌人。而要在空洞中与以骸进行白刃战，需要非同寻常的勇气。
    或许，比起「勇气」，称之为「疯狂」会更加合适。
    「严格来说，那不能算是规范化的对空洞作战…那帮疯子，更像是在跟以骸打群架找乐子。」</t>
  </si>
  <si>
    <t>——防卫军巡查部，某份前线作战报告</t>
  </si>
  <si>
    <t>战斗中，新晋猎兵会进行近战攻击。</t>
  </si>
  <si>
    <t>Monster_HeavyJaeger.png</t>
  </si>
  <si>
    <t>作为防卫军战术小队攻防一体的中坚力量，「戍卫猎兵」和「巡防猎兵」不仅配有「Coyote-PE7」型以太重刃，还随身携带惰性以太防暴盾，可在复杂的战场环境为作战小队提供掩护。
    作为高防御性的代价，盾牌超乎寻常的重量也牺牲了戍卫猎兵的作战机动性。
    若非经过严格的专业训练，普通人甚至很难把特制盾牌举起来。
    「等你能够在健身房里独当一面了，再过来提交申请表吧！」</t>
  </si>
  <si>
    <t>——防卫军新兵招募处，某位申请者收到的拒绝信</t>
  </si>
  <si>
    <t>战斗中，戍卫猎兵会利用盾牌大幅减少自身受到的伤害和失衡值，并适时进行反击。</t>
  </si>
  <si>
    <t>Monster_GrenadierJaeger.png</t>
  </si>
  <si>
    <t>「掷弹猎兵」和「轰击猎兵」配备有改制版「Mamba-TG3」型单兵火箭筒，其特制的弹药中含有活性以太燃爆剂，能快速摧毁敌人的机甲单位，有效杀伤空洞内的大型以骸。
    而为了抵消发射时的后坐力、增加瞄准精度，他们需要接受特殊握持姿势的训练。防卫军的统计数据显示，在该项目上表现出众的新兵，几乎都有过摄影方面的相关经验。
    「这东西使用方法和肩扛式摄影机差不多。」
    「首先用你的镜头锁定目标，然后一边扣动发射器的扳机，一边默念——」
    「喂，蠢货！…笑一个！」</t>
  </si>
  <si>
    <t>——新兵训练营，教官正在解说火箭筒的操作技巧</t>
  </si>
  <si>
    <t>战斗中，掷弹猎兵倾向于在远处进行重火力支援。</t>
  </si>
  <si>
    <t>Monster_Mandrake.png</t>
  </si>
  <si>
    <t>曼德拉的名称，来源于一种含有毒素的草本植物。最初命名为其命名的学者仅从外形出发，认为两者有一定相似性。
    在曼德拉「绽放」的时刻，会从发射热能光线，攻击周围的目标；而坚硬的「叶片」则会紧贴地面，如同不愿被人连根拔起一般。有时它为了自保，甚至会使用「叶片」攻击靠近的敌人。
    如同传说中的曼德拉草一样，它们的「哭闹」都是致命的。
    「等等，别过去！那家伙要开花了！」</t>
  </si>
  <si>
    <t>——电影《深邃恐惧》中，曼德拉正在绽放</t>
  </si>
  <si>
    <t>战斗中，不同的曼德拉会周期性给周围单位提供攻击力/护盾值加成。</t>
  </si>
  <si>
    <t>掠夺者</t>
  </si>
  <si>
    <t>Monster_ThugRaider.png</t>
  </si>
  <si>
    <t>以太盗窃团伙之中，「掠夺者」和「劫掠者」是兼具技术力与战斗力的核心成员。
    他们的「电流共振检测仪」可通过强电流对以太矿石进行粗略的甄别，方便展开后续工作；而在参与武装劫掠行动时，也可以加大电压作为颇具威力的武器。
    虽然有时会被误认为非法捕鱼人士，但是他们并不在意。
    毕竟，只要把电压提升到极限，无论对手是人类还是鱼类，都没有什么区别……
    「不论是河流湖泊，还是空洞周边，如果您看到有人随身装备了带电鱼叉，请直接向治安局报告！」</t>
  </si>
  <si>
    <t>暴徒</t>
  </si>
  <si>
    <t>——新艾利都治安局，某辆宣传车循环播放的口号</t>
  </si>
  <si>
    <t>战斗中，盗洞暴徒·掠夺者会从远距离冲锋突袭，但过长距离的突袭容易撞上障碍物，为角色提供进攻时机。</t>
  </si>
  <si>
    <t>纵火犯</t>
  </si>
  <si>
    <t>Monster_ThugPyromaniac.png</t>
  </si>
  <si>
    <t>对于「纵火者」和「焚毁狂」来说，打家劫舍只是他们的副业。在内心深处，他们始终认为自己是四处追求刺激的「调酒大师」。
    他们能精准而娴熟地往饮料中勾兑不同类型的以太，轻松地「调制」出一瓶易燃易爆的「独家酿造」。
    与其他蛮横无理的盗洞暴徒不同，他们往往会给受害者一次选择的机会。
    如果对方识相，答应上缴「过路费」，他们会赠予对方一杯免费的酒水。
    而如果对方拒绝，那么这瓶燃烧的「独家酿造」则会砸在对方的头上。
    「要不，我去上前骗他们喝一杯，消耗一下他们的武器储备？」</t>
  </si>
  <si>
    <t>——空洞里，被打劫的调查员正在悄悄讨论退敌之策</t>
  </si>
  <si>
    <t>战斗中，盗洞暴徒·纵火犯有时会一次性扔出大量燃烧瓶。</t>
  </si>
  <si>
    <t>Monster_MiasmaSpider.png</t>
  </si>
  <si>
    <t>本已沉沦的造物，在深沉晦暗的不洁中再次被塑炼的形态。
    秽息特化雷蛛身披赤红色，但仍没有摆脱「低威胁」的污名，因为它的移速和爆炸范围竟然——没什么变化…
    可调查协会屡次发布通告，警示调查员严加防范其爆炸后释放的秽息烟雾，若不慎吸入，片刻精神恍惚足以让一位精锐调查员在瞬息万变的空洞中丧生。
    「红方已准备就绪！迎面向我们走来的是绿方…」</t>
  </si>
  <si>
    <t>侵蚀体</t>
  </si>
  <si>
    <t>——怪谈收集中途，卢西娅正在玩雷蛛斗蛐蛐</t>
  </si>
  <si>
    <t>被秽息侵蚀后的秽蚀·雷蛛变得极不稳定，自爆后会留下可再次引发爆炸的秽息产物。若有机会[招架支援]其飞扑，可将爆炸化为己用。</t>
  </si>
  <si>
    <t>偷猎者</t>
  </si>
  <si>
    <t>Monster_ThugPoacher.png</t>
  </si>
  <si>
    <t>整日活跃在空洞中的暴徒大多有严重的精神问题，或者有着令人费解的怪癖。不过令人欣慰的是，暴徒团伙中的「偷猎者」和「盗猎客」们继承了传统恶党的标准做派。
    他们胆小而狡诈，擅长躲在暗处以冷箭伤人；如果能偷袭，他们绝对不会选择正面进攻。
    其惯用的复合手弩虽然威力有限，但胜在发射时悄无声息；老练的「偷猎者」和「盗猎客」往往会抓住时机，只用一发弩箭，即可让毫无防备的「猎物」瘫倒在地。
    「我曾经也是治安局的警员，直到在某次空洞抓捕行动中，我的膝盖中了一箭…」</t>
  </si>
  <si>
    <t>——黑夜莺安保公司，某位资深成员正在与新人聊天</t>
  </si>
  <si>
    <t>战斗中，盗洞暴徒·偷猎者倾向于在远处使用三连点射进行骚扰。</t>
  </si>
  <si>
    <t>袭击者</t>
  </si>
  <si>
    <t>Monster_ThugAssaulter.png</t>
  </si>
  <si>
    <t>作为盗洞团伙中的突击前锋，「袭击者」和「偷袭者」经常挥舞着武器，独自冲在最前线。
    这并非是他们过于勇武，或者缺乏团队作战精神，而仅仅是为了避免误伤——他们手中的改制变压线圈时刻释放着高压电流，只需要轻轻一碰，就能麻痹甚至击晕对方。
    而在后勤困难的空洞中，一个暂时失去行动能力的队友，会成为整个小队的麻烦。
    「这是什么？让我研究一下！哦，好像是仿制的电棍棍棍棍棍棍棍…」</t>
  </si>
  <si>
    <t>——空洞中，好奇的新手调查员在倒地前说的最后一句话</t>
  </si>
  <si>
    <t>战斗中，盗洞暴徒·袭击者会使用持续的旋转攻击，但这种滑稽的舍身攻击，通常会在攻击结束后露出破绽。</t>
  </si>
  <si>
    <t>Monster_GoldenBomb.png</t>
  </si>
  <si>
    <t>每一个盗洞客都认为，空洞中蕴藏着无限的机会，能让人一夜间暴富；而每个一夜暴富的传说背后，都会提到一个特殊的存在：黄金邦布。
    空洞调查协会的研究显示，在空洞深处生活着不少流浪邦布，而它们会收集散失的齿轮硬币和丁尼，统一交给黄金邦布保管。
    虽然目前尚不知晓邦布们攒钱的目的，但邦布们不断「嗯呢」着，把一袋袋的齿轮硬币和丁尼，塞进了黄金邦布的口袋里。
    而黄金邦布揣着丁尼哼着歌，却在半路上遇到了一群贪婪的盗洞客…
    「妮、妮可老大！快看，是黄金邦布！」
    「愣着干嘛？打，快给我打！我要让它狠狠地给我爆丁尼！」</t>
  </si>
  <si>
    <t>特殊</t>
  </si>
  <si>
    <t>——空洞深处，狡兔屋正不要命地追击黄金邦布</t>
  </si>
  <si>
    <t>战斗中，黄金邦布偶尔也是会反击的。</t>
  </si>
  <si>
    <t>Monster_Ahriman.png</t>
  </si>
  <si>
    <t>由于其独特怪异的造型，保持静止的「恶灵」经常被误以为是芭莱大厦中的艺术雕塑。
    因此不少新手调查员在初次遭遇「恶灵」时，会留下终生难忘的心理阴影——
    自己刚与某个「雕塑」擦肩而过，它却突然动了…
    而对方因陷入恐慌而愣在原地的刹那，则是「恶灵」发动突刺袭击的最佳时刻。
    「可琳，别被它的假面唬住了…那可不是什么珍贵艺术品。」
    「现在，动手『打扫』吧。」</t>
  </si>
  <si>
    <t>——莱卡恩正在指导可琳进行「扫除」工作</t>
  </si>
  <si>
    <t>战斗中，恶灵会进行闪现突袭，偶尔还会联合其他恶灵进行协同攻击。</t>
  </si>
  <si>
    <t>Monster_Specter.png</t>
  </si>
  <si>
    <t>似乎是受到了芭莱大厦内部别具一格的装潢氛围影响，「游魂」有着艺术雕塑般怪异扭曲的肢体构造。
    有一部分调查员认为，它特殊的造型，是为了更好地保护自己的以太核心。
    但更多调查员坚持认为，这一切只是它用来吸引敌人注意力的噱头；当敌人被他怪异的姿态迷惑时，「游魂」则会毫不犹豫地用浓缩以太向对方发起远程攻击。
    「我盯着它的造型愣了好一会：难道它想用自己的脑袋打一场保龄球吗？」
    「可还没等我想明白，它的『保龄球』就已经砸在了我的脸上…」</t>
  </si>
  <si>
    <t>——《绳网》上某匿名用户的发帖</t>
  </si>
  <si>
    <t>战斗中，游魂会在短时间内释放连绵不绝的远程攻击。</t>
  </si>
  <si>
    <t>Monster_BeholderEngine.png</t>
  </si>
  <si>
    <t>虽然在空洞调查协会的资料库中，「眼魔引擎」属于只有在近距离接触时才具有一定威胁性的以骸。但在实际的空洞调查行动中，它却经常带来意料之外的威胁。
    当黑暗深处的一双眼睛死死盯住自己、逐步逼近时，即使是经验丰富的调查员，也会产生一种难以言表的恐慌。
    而在空洞中，恐惧往往会加剧自身所受的以太侵蚀，进而招致灾祸。
    「破除恐惧的唯一方法…就是凝视它，瞪回去。」</t>
  </si>
  <si>
    <t>——《今日灾星》论坛，某资深调查员的心得总结</t>
  </si>
  <si>
    <t>战斗中，眼魔引擎倾向于利用自己独特的身躯进行翻滚移动。</t>
  </si>
  <si>
    <t>Monster_Fossor.png</t>
  </si>
  <si>
    <t>怀斯塔学会的最新研究表明，一部分以骸的肢体会带有周遭环境的显著特征。而「弗瑟尔」则是其中的典型代表——其怪异的前肢，极其酷似旧油井区域的采掘设备。
    虽然有人认为这是一种用于迷惑敌人的伪装策略，但也有人指出，「弗瑟尔」的战斗方式大开大合，似乎并不擅长伏击偷袭。
    而一部分具有想象力的盗洞客们则认为，它或许只是想四处采矿，才生成了这幅模样…
    「我远远地看到它的时候，它好像正在开开心心地低头挖沥青…」
    「当它发现我之后，毫不犹豫地朝着我冲了过来，拼命想要把我赶出去…」
    「可我真的只是路过而已，绝对没有想过抢它的那些破烂玩意啊！」</t>
  </si>
  <si>
    <t>——空洞外，一个新手盗洞客正在向同伴讲述刚才的遭遇</t>
  </si>
  <si>
    <t>战斗中，弗瑟尔会进行连续的双手斩击。</t>
  </si>
  <si>
    <t>Monster_Sordidus.png</t>
  </si>
  <si>
    <t>在外环的空洞中潜伏着各种奇怪的以骸，而「索迪代斯」则是其中的典型代表。
    它们有着特殊的身体结构，其伸缩自如的发达肢体，似乎是稠油与活性以太发生未知反应后的产物。
    在锁定目标之后，它们会挥舞肢体，如同熟练的杂技演员一般发起凶狠凌厉的进攻。
    「可恶…这家伙竟然用鞭子抽我！」
    「难道它觉得自己是驯兽师，把我们当做了某种凶狠的野兽？」</t>
  </si>
  <si>
    <t>——在空洞里，一群新手盗洞客正在对付「索迪代斯」</t>
  </si>
  <si>
    <t>战斗中，索迪代斯会甩动触手进行近距离鞭打或将触手插入地下进行远距离偷袭。</t>
  </si>
  <si>
    <t>Monster_MiasmaSpawn.png</t>
  </si>
  <si>
    <t>作为被注射牲鬼药剂后仍保有人形轮廓的怪物，尽管辉瓷暂时压制了它们的躯体，可体表的错乱扭曲依旧令人不忍直视。
    空洞调查协会的实验报告指出，一旦剥除它们身上的辉瓷，这些可怜的人形会瞬间失控，迅速恶化为更恐怖的形态。
    因此，尽管它们看似步履迟缓，协会从不建议任何试图靠近或「救赎」的行为——除非你有把握在它们发狂前一击毙命。
    「看那背上鼓起的包块，像是永远卸不下的行囊…就像某种邪恶的背包客，随时准备再踏上旅途。」</t>
  </si>
  <si>
    <t>——《今日灾星》周刊，特约撰稿人克鲁泽</t>
  </si>
  <si>
    <t>战斗中，秽息原牲会在玩家周围召唤可以延迟爆炸的粉尘，快速离开粉尘区域将是明智的对策手段。</t>
  </si>
  <si>
    <t>Monster_MiasmaWalkerGuardJaeger.png</t>
  </si>
  <si>
    <t>由秽息塑造而成的以骸士兵，手持具有强侵蚀性质的秽息重刃，以及极难突破的防御重盾，拥有掩护其他秽息残兵推进的本能。
    其惊人的个体重量和防御范围，使这类高危个体获得了极强的阵地作战优势，在成群结队时极难处理。
    空洞调查协会建议，如果偶遇落单个体，建议尽快趁机将其消灭。
    「以『保护他人』为主的以骸吗？还真是少见…」
    「别把以骸想得太好，毕竟站在这家伙背后的，可从来都不是人啊！」</t>
  </si>
  <si>
    <t>——两位趁机交换情报的空洞调查员。</t>
  </si>
  <si>
    <t>战斗中，秽息残兵·盾卫会利用盾牌大幅减少自身受到的伤害和失衡值，并适时进行反击。</t>
  </si>
  <si>
    <t>Monster_MiasmaWalkerGrenadierJaeger.png</t>
  </si>
  <si>
    <t>秽息塑造而成的以骸士兵，身穿残破的旧军服，在硝烟中出没，犹如来自过去的亡魂。
    从空洞观测资料中查阅得知，「炮手」能够使用手中的单兵火箭筒对周围生物实施火力袭击，其精准程度堪称训练有素——这不禁引起了许多可疑的猜想。
    「关于最新发现的那批…具有组织性的以骸暴力单位，会和防卫军有所关联吗？」
    「抱歉，未经调查确认，无可奉告。」</t>
  </si>
  <si>
    <t>——防卫军官方发言人特此回应。</t>
  </si>
  <si>
    <t>战斗中，秽息残兵·炮手倾向于在远处进行重火力支援。另外，其部分招式具有[秽染]能力。</t>
  </si>
  <si>
    <t>随机怪物卡</t>
  </si>
  <si>
    <t>Unknown.png</t>
  </si>
  <si>
    <t>Monster_GiantGrey.png</t>
  </si>
  <si>
    <t>拥有绝对力量，且经常处于狂暴状态的法布提是盗洞客们最为头疼的威胁之一。其重锤般粗壮的臂膀可轻易格挡伤害，也可挥出风暴般的连击，轻松碾碎眼前的一切事物。
    有盗洞客发现，法布提经常有节奏、高频率地捶打地面，由此猜测法布提对鼓点音乐有异常的兴趣。
    虽然空洞调查学会曾公开辟谣，但仍有许多盗洞客在进入空洞时会携带小型音响，以便在遭遇法布提时丢出，企图用音乐吸引它的注意力。
    不过截至目前，尚未有人用这种方式成功逃脱过。
    「失败的原因很简单：就连法布提都觉得，你们的音乐品味糟透了！」</t>
  </si>
  <si>
    <t>——《黑扫帚摇滚乐论坛》 用户「钢钉手指」的发帖</t>
  </si>
  <si>
    <t>战斗中，法布提倾向于利用强壮的臂膀发动连续的锤击，但强壮的臂膀受到一定伤害后也会出现受损硬直。</t>
  </si>
  <si>
    <t>Monster_HatiGrey.png</t>
  </si>
  <si>
    <t>形似四足野兽但具备显著知性的活体以太，非常危险。由空洞调查协会第一期调查队正式纪录在案。
    据传其首次目击是在蝼巢空洞内，游荡于附近荒野的流浪者们盛传曾听到过某种凄厉的嘶吼，彷佛野兽长嗥。
    「我要是扔个棍子或皮球出去，你说这怪物会去捡嘛？」
    「你可以试试，不过住院的费用我可不报销。」</t>
  </si>
  <si>
    <t>——比利与妮可的某次闲聊</t>
  </si>
  <si>
    <t>战斗中，哈提会使用灵活的飞扑以及快速的爪击。</t>
  </si>
  <si>
    <t>Monster_GoblinGrey.png</t>
  </si>
  <si>
    <t>在首次遇到这类特型以骸时，空洞调查员曾误以为它们有一定智力，甚至可以学习人类使用锤棍类武器，于是将其命名为「地精」。
    但后续的资料证实，所谓的「武器」只是它们异化变形的扭曲肢体，他们并不具备模仿人类的能力。
    不过尽管如此，地精却依旧是一类相当难缠的对手。其健壮的体格、蛮横的力量，能够让最简单的挥击也极具杀伤力。
    一旦有任何东西闯入它们的领地，它们则会进入暴怒状态，不惜一切代价砸烂眼前的挑衅者。
    「嗯？有只地精跑过来了，还在敲打一堆废铁。」
    「总觉得这家伙的攻击很有节奏，叮叮当当，就好像在打架子鼓一样…」
    「喂！你们两个别发呆了！它砸的不是废铁，是我们的物资车！」</t>
  </si>
  <si>
    <t>——匪帮的空洞临时驻扎点里，闯进来了一只「地精」</t>
  </si>
  <si>
    <t>战斗中，地精会释放战吼强化自身，提高自身的伤害并大幅减少自身受到的伤害，但该效果在其失衡时就会失效。</t>
  </si>
  <si>
    <t>Monster_HatiArmoredGrey.png</t>
  </si>
  <si>
    <t>不少老练的空洞调查员都认为，装甲哈提是最难缠的以骸之一。
    虽然厚实的装甲外壳让它丧失了一些灵活性，但是却换来了强悍的抗击打能力。
    同时，它身上的侵蚀物质有着尖锐坚硬的凸起，在装甲哈提高速冲撞的时候，可以对敌人造成额外的剐蹭伤害。
    动作敏捷，抗击打性强，浑身上下几乎没有破绽…装甲哈提的任何一条特质，都足以让熟练的老手眉头一皱，果断绕道躲着走。
    据说有部分缺乏尝试的新手盗洞客，会试着随身带着宠物食品，试图引诱装甲哈提离开。
    但这很明显是徒劳的尝试。
    「快、快跑！它不喜欢这个口味的狗粮！」</t>
  </si>
  <si>
    <t>——空洞中，几名惊慌的新手盗洞客正在逃离「哈提」</t>
  </si>
  <si>
    <t>战斗中，装甲哈提的装甲会大幅减少自身受到的伤害和失衡值，但[招架支援]会大幅减少其装甲值。</t>
  </si>
  <si>
    <t>Monster_GoblinMetro.png</t>
  </si>
  <si>
    <t>关于铁道地精的争议始终从未停止。一部分学者认为，它故意塑造了自己奇特的外表，用来迷惑敌人；而另一部分学者认为，它身上的杂物仅仅是旧地铁设备遭受侵蚀，被动与以骸融为一体的结果。
    但不论如何，铁道地精的存在，总是让进入空洞旧地铁区域的新人调查员心惊胆颤。
    说不定下一刻，身边平平无奇的「路牌」就会突然开始颤动，随即一只粗壮恐怖的以骸破土而出，大踏步地朝着自己这边冲过来。
    「咦？这个路标我几分钟前见过。难道是我们迷了路，一直在兜圈子？」
    「不、不对…是它一直在跟踪我们！」</t>
  </si>
  <si>
    <t>——恐怖电影《无尽迷失》，主人公正在寻找路径逃离空洞</t>
  </si>
  <si>
    <t>Monster_ArlauneGrey.png</t>
  </si>
  <si>
    <t>很多新手盗洞客在第一次见到阿劳恩的时候，往往会被对方的外表所蒙骗，以为它是一株无害的植物。
    而当有人靠近它时，它却会突然开始颤动，并不断发射高浓度以太物质，向对方发动袭击。
    「咦？我想给它浇水，它却朝我吐口水？」</t>
  </si>
  <si>
    <t>——空洞内，一群新手调查员被阿劳恩偷袭</t>
  </si>
  <si>
    <t>战斗中，阿劳恩非常狡猾，倾向于在远处进行远程攻击，但在花瓣打开时将其打入硬直可以一次性积蓄较多失衡值。</t>
  </si>
  <si>
    <t>「重装侵袭者」</t>
  </si>
  <si>
    <t>Monster_HeavyStriker.png</t>
  </si>
  <si>
    <t>防卫军配备的自律型战术机甲，可为前线人员提供持续的火力支援。
    其配备的惰性以太盾可抵御绝大多数轻型火力，甚至能抗下大型以骸的猛力重击。
    毫无疑问，它是防卫军内部最值得信赖的「战友」之一。
    「记住了，遇到麻烦就躲到它身后…这样你唯一的受伤概率，就是被它不小心踩了一脚。」</t>
  </si>
  <si>
    <t>——防卫军新兵训练课，某位教官的经验之谈</t>
  </si>
  <si>
    <t>战斗中，「重装侵袭者」会展开护盾，护盾展开期间无法累积火属性和物理属性之外的属性异常积蓄值，对其施加[灼烧]效果、[强击]效果，或使其进入失衡状态时，能够直接击破护盾。</t>
  </si>
  <si>
    <t>「捷足巡游者」</t>
  </si>
  <si>
    <t>Monster_LightfootRover.png</t>
  </si>
  <si>
    <t>作为防卫军配备的主流火力支援机甲，「捷足巡游者」搭载的战术算法可分析对方的行为模式，并精确计算弹道狙击目标。
    而当它认定眼前的敌人为「高威胁对象」时，便会打开弹射箱释放无人机，展开超规格火力攻击。
    对于盗洞客来说，一台突然出现的「捷足巡游者」不仅仅是「麻烦」，而且是「无穷无尽的麻烦」。
    「天呐！它、它居然生崽了？」</t>
  </si>
  <si>
    <t>——帕帕戈空洞深处，某位被追捕的新手盗洞客</t>
  </si>
  <si>
    <t>战斗中，「捷足巡游者」会召唤两架无人机协同作战，必要时会操纵无人机向敌人发动自爆袭击。</t>
  </si>
  <si>
    <t>Monster_HeavyFirepower.png</t>
  </si>
  <si>
    <t>新艾利都防卫军的现役兵种之一，属于重装步兵单位。
    他们配备有名为「灰犀牛」的重型作战服，搭配用以太技术强化过的全套单兵火力武装组，在弹药等后勤物资充足的情况下可以持久地进行高强度火力输出，是一个战斗班组的进攻核心，也常作为攻坚与清剿行动的实施者。
    在「旧都陷落」事件之后，大量士兵脱离军队「流落」民间。这些精锐火力手也开始频频出现在其他势力旗下：财阀的私人武装、新兴的安保公司，甚至是流窜的盗匪帮派……
    「我坚持认为重装炮手都是娇小的美少女，作战服的多余空间全是拿来装弹药的。不然你怎么解释他们那用不完的炮弹是哪来的？」</t>
  </si>
  <si>
    <t>——《今日灾星》论坛，白日梦板块留言</t>
  </si>
  <si>
    <t>战斗中，重装炮手会交替使用激光炮及分裂手雷进行连续的远程攻击。</t>
  </si>
  <si>
    <t>Monster_TarasqueMixer.png</t>
  </si>
  <si>
    <t>空洞调查协会根据现有的调查推测，「泰拉斯奎祸车」的躯干内部似乎储存着各种类型、不同烈度的液化以太。
    当它将储存的以太进行搅拌混合时，复杂的链式反应会瞬间释放出毁灭性的暴烈能量；其威力不亚于防卫军配备的重型火炮。
    而越是经验丰富的调查员，越会懂得低调行事，尽量避免被它的「重炮」直接轰击。
    「在它冲我低头俯身时，我还以为那是某种怪异的见面礼；可当它的炮膛亮起来后，我才醒悟…那是饯别礼。」</t>
  </si>
  <si>
    <t>——《空洞茶会》访谈 ，某位明星调查员的自述经历</t>
  </si>
  <si>
    <t>战斗中，泰拉斯奎祸车会使用持续激光攻击，并且倾向于利用左右跳跃调整身位。</t>
  </si>
  <si>
    <t>秽蚀·赫斯克龙</t>
  </si>
  <si>
    <t>Monster_Gloomaron.png</t>
  </si>
  <si>
    <t>本已沉沦的造物，在深沉晦暗的不洁中再次被塑炼的形态。
    踏足沉睡骇兽的领地，就必须做好直面赤红梦魇的准备，它已不再满足于躲猫猫的游戏。
    轻佻的盗洞客妄图挑衅，引诱它暴露深埋的核。可高明的猎人往往以猎物的形态出现，因敌人弱点显现而放松警惕，往往是新手最致命的弱点。
    「别说我笨了，我的脑袋真被以骸夹过…」</t>
  </si>
  <si>
    <t>——被前辈训斥时，嘟嘟囔囔的见习调查员</t>
  </si>
  <si>
    <t>战斗中，秽息蚀者·赫斯克龙被秽息所侵蚀，具备了更强大的体格和更凶猛的进攻能力。伺机使用[招架支援]可以有效化解其凶猛的攻势。</t>
  </si>
  <si>
    <t>魁梧施虐者</t>
  </si>
  <si>
    <t>Monster_ThugBulkyAbuser.png</t>
  </si>
  <si>
    <t>相比于全副武装的空洞调查员，「魁梧施虐者」和「通缉虐待狂」们的装备几乎堪称简陋。
    但最恶劣的暴徒，往往只需要最朴素的凶器。
    一根带钉金属球棒、外加一把改制双管霰弹枪，就足以让他们成为空洞内人见人怕的恶霸。
    据曾经与他们对战过的调查员回忆，这些家伙在战斗时会陷入某种极度亢奋的状态；其行动方式很难称之为「作战」，而更像是好勇斗狠之人发起的「恶意霸凌」。
    「和他们打架，勾起了我当年独自面对校霸时的恐惧…」</t>
  </si>
  <si>
    <t>——空洞调查协会，某位新人调查员的辞职信</t>
  </si>
  <si>
    <t>战斗中，盗洞暴徒·魁梧施虐者会交替使用棍棒和霰弹枪进行近距离攻击，必要时还会使用扬砂偷袭。</t>
  </si>
  <si>
    <t>Monster_MiasmaLightfootRover.png</t>
  </si>
  <si>
    <t>空洞中沉沦的主流火力支援机甲，其战术算法已经彻底陷入混乱，将目之所及的一切生命体标记为高危对象，无差别倾泻火力。
    舍弃防御专精强攻的机甲，具备极强的机动性，难以命中，擅长追击。
    如果有幸被它标记，最好祈祷附近存在空间裂隙，否则几乎无法逃脱。
    「如果时光能回退到中学，我绝对不会荒废田径部的训练。」</t>
  </si>
  <si>
    <t>——惊魂未定的盗洞客，颤颤巍巍写下的日记</t>
  </si>
  <si>
    <t>战斗中，秽蚀·「捷足巡游者」会召唤两架无人机协同作战，当与秽蚀·「重装侵袭者」同时在场时，秽蚀·「捷足巡游者」会与其配合进行协同攻击；此外，秽蚀·「捷足巡游者」会在秽蚀·「重装侵袭者」即将死亡的时候，因协同作战信号干扰而跳向目标，夺取其战斗数据核心，即获取秽蚀·「重装侵袭者」的部分护盾零件和能力，开启一次小型的[秽浊流界]。</t>
  </si>
  <si>
    <t>魁梧打手</t>
  </si>
  <si>
    <t>Monster_ThugBulkyEnforcer.png</t>
  </si>
  <si>
    <t>新艾利都地下世界有条共识：最凶狠的拳击手，不是赛场上的「连胜冠军」，而是空洞深处的「魁梧打手」和「通缉打手」——他们是被以太盗窃团伙高价雇佣而来的职业暴徒，专门负责看管盗掘而来的以太资源。
    作为痴迷于拳击的格斗家，「魁梧打手」不擅长摆弄精密的电子设备，而是干脆将高压电击枪改制成「拳套」戴在手上，为双拳增加额外的破坏力。
    以骸、盗洞客，空洞调查员、落单的治安局小队…在「魁梧打手」和「通缉打手」的眼里，他们甚至算不上是「敌人」，而仅仅是消遣用的「训练沙袋」。「等等！这家伙的格斗架势，我好像在四分街的街机厅里看到过！」</t>
  </si>
  <si>
    <t>——空洞中，比利正在对付冲过来的打手们</t>
  </si>
  <si>
    <t>战斗中，盗洞暴徒·魁梧打手会使用双拳猛击敌人，并且倾向于搭配灵活的侧闪调整攻击角度。</t>
  </si>
  <si>
    <t>Monster_MiasmaHeavyStriker.png</t>
  </si>
  <si>
    <t>空洞中沉沦的自律型战术机甲，被侵蚀后的火力更加猛烈，甚至可以轻易碾碎地精。
    曾经为士兵抵御重击的坚盾，防卫军最信赖的战友，如今却化作可怖的杀戮机器。
    「如果你足够勇武，那就帮我们曾经最可靠的朋友结束生命，洗刷它沾染的罪恶与荣光。」</t>
  </si>
  <si>
    <t>——两鬓斑白的战地机械师，退休交接时的留言</t>
  </si>
  <si>
    <t>战斗中，秽蚀·「重装侵袭者」展开护盾时会开启小型的[秽浊流界]，当与秽蚀·「捷足巡游者」同时在场时，秽蚀·「重装侵袭者」会与其配合进行协同攻击；此外，秽蚀·「重装侵袭者」会在秽蚀·「捷足巡游者」即将死亡的时候，因协同作战信号干扰而跳向目标，夺取其战斗数据核心，即获取秽蚀·「捷足巡游者」的无人机和能力，命令无人机与其协同作战。</t>
  </si>
  <si>
    <t>「怒汉」</t>
  </si>
  <si>
    <t>Monster_RagingGuy.png</t>
  </si>
  <si>
    <t>治安局每年都会有相当数量的辅助作战机甲在空洞中损毁，而其中的一部分机甲被盗洞暴徒获得，并被改装为了「非法辅助单位·怒汉」。 
    虽然盗洞暴徒无法从正规渠道获得专业的修复材料，但他们本着「零件缝合」、「低价平替」的原则，对这些机甲进行了改装修复，在最大程度上保留了其原本的作战能力
    而为了彰显个性，盗洞暴徒往往会在「怒汉」上增添额外的涂装、甚至加装大功率的扩音喇叭。
    虽然不会提升战斗力，却能保证在气势上绝不会输给正版货。
    「来了！那边有个粉色头发的肥羊来了！」
    「喂，快切换到我们打劫时惯用的BGM！」</t>
  </si>
  <si>
    <t>——空洞中，盗洞暴徒正在加急调试「怒汉」</t>
  </si>
  <si>
    <t>战斗中，非法辅助单位·「怒汉」会利用修长的双臂持续旋转攻击，在发动攻击前对其使用[招架支援]可以完全阻止该招式的发动。</t>
  </si>
  <si>
    <t>Monster_NinevehBee.png</t>
  </si>
  <si>
    <t>在尼尼微附近，总会有骸蜂环绕。有学者认为，它们和尼尼微形成了某种互利型共生形态，并具备某种意义上的群体协作性。
    而当尼尼微能级提升，展露摇曳的盛开姿势之时，骸蜂也会进入疯狂状态，竭尽全力攻击附近一切活动目标。
    「喂！那朵『花』里面，好像有什么东西飞出来了！」
    「那好像是…一、一群马蜂？」</t>
  </si>
  <si>
    <t>——零号空洞第KU241号调查档案，初次目击骸蜂时的语音记录</t>
  </si>
  <si>
    <t>战斗中，骸蜂会协助尼尼微进行骚扰。</t>
  </si>
  <si>
    <t>Monster_Mors.png</t>
  </si>
  <si>
    <t>莫尔斯曾经是外环最令人望而生畏的「赏金猎手」；他有着近乎偏执的猎杀欲望，经常日复一日地追踪着悬赏对象的痕迹，一旦锁定目标，便会病态地沉溺于猎杀行动之中，直至杀死对方。
    「独狼莫尔斯」从不失手——这是外环各大势力的共识。
    然而，在一次「狩猎行动」中，莫尔斯不眠不休地追逐了目标三天…可直到莫尔斯体力耗尽，却依旧没能成功「猎杀」行动目标。
    不过，那个叫做「庞培」的家伙并没有在意，甚至向战败的莫尔斯主动发出邀约——请他加入自己的组织。
    从那之后，臭名昭著的「猎手」莫尔斯消失了；在凯旋者之中，却多了一位沉默寡言、独来独往的队长。
    时至今日，莫尔斯依旧整日不知所踪。只有在遇到真正感兴趣的对手时，他才会再度现身与其一战。
    不是为了履行队长的职责，而是仅仅是想不顾一切地享受战斗、尽情地沉溺于猎杀的快乐。
    「想找莫尔斯队长单挑？嘿，就凭你？」
    「今天先去那边登记预约，然后下个月过来抽个签吧。」</t>
  </si>
  <si>
    <t>——凯旋者中，莫尔斯的手下正在应付挑战者</t>
  </si>
  <si>
    <t>战斗中，莫尔斯会视战场情况选择近身连击或远程射击。生命值低于一定比例或一定时间后，会额外使用远距离发动的追加攻击或快速位移后的死角射击对目标进行突袭。</t>
  </si>
  <si>
    <t>Monster_Pulchra.png</t>
  </si>
  <si>
    <t>没有人知道波可娜究竟出身于何处，但她曾是外环数一数二的雇佣兵，更是雇佣兵中最懂得审时度势的「变色龙」。
    在上届火狱骑行以庞培的连任结束后不久，一些势力暗中结盟，并密谋策划了一场针对凯旋者的偷袭；可这场战斗最终被凯旋者轻松化解，似乎他们的全部动向，都早已被掌控了。
    败者尽数被赶出了旧油井区，而明确与他们有过合作的波可娜却毫发无伤，自然也有许多人推测，这场胜利是由背叛促成的。
    虽然不断有人向波可娜抛出橄榄枝，但她从未正式加入任何队伍。
    或许对她而言，外环的这一切纷争与阴谋，只是一场随时可以抽身的游戏。即使雇主令人厌恶也没有关系，只要他能付得起价钱，只要他的工作足够有趣。
    特别是，如果这项工作能引诱敌人进入精心布置的陷阱，看着对方缓缓滑向死亡的深渊——
    引诱，欺骗，直至对方彻底灭亡…越美丽的事物越危险，这便是她一直以来的生存理念。
    「什么？你想要当波可娜老大的手下？」
    「唉，又是来了一个上当受骗的小可怜…」</t>
  </si>
  <si>
    <t>————凯旋者营地，某位新人正在被老队员调侃</t>
  </si>
  <si>
    <t>战斗中，波可娜会控制与猎物的距离，并伺机使用体术、枪刃以及机关对目标进行骚扰，生命值低于一定比例或一定时间后，会额外使用强化药剂增强自身闪避能力，处于强化状态下时，波可娜会闪避近距离敌人所发动的攻击。</t>
  </si>
  <si>
    <t>Monster_Bellum.png</t>
  </si>
  <si>
    <t>作为斗技场的连胜冠军，长久以来巴罗姆都以外环第一高手自居…直到他的连胜被终结的那一刻。
    更让人生气的是…那个傲慢的家伙，甚至记不住自己的名字。
    气急败坏巴罗姆开始重新淬炼自己的战斗技巧，发誓要让自己的名声再次响彻外环。并且有朝一日一定要让那个傲慢的家伙付出代价。
    为了达到自己的目标，巴罗姆加入了凯旋者，一次次为庞培扫清难缠的敌人。他能够精妙地改装并操作喷火装置，冲在一线焚毁眼前的敌人；也能够如臂使指地指挥作战小队成员，将其编排成洪水般势不可挡的战团。由他坐镇的战役，无往而不利。
    现在，巴罗姆已不需要特意传播自己的名声——
    虽然他已不再是连胜冠军，但在外环，人人都亲历过帮派战争的恐怖；而作为凯旋者的主力之一，他即是「战争」。
    「不想干杂活？那要等你能打赢巴罗姆老大再说！」
    「去，把厕所给我打扫干净！」</t>
  </si>
  <si>
    <t>——凯旋者营地，老成员正在教训偷懒的新人</t>
  </si>
  <si>
    <t>战斗中，巴罗姆会使用枪刃、盾牌以及喷火器对目标进行近身压制，若巴罗姆在架盾期间受到攻击，会立即发动强力反击，生命值低于一定比例或一定时间后，巴罗姆的压制会变得更加凶猛且连续。</t>
  </si>
  <si>
    <t>Monster_MiasmaFrenziedManiac.png</t>
  </si>
  <si>
    <t>本已沉沦的造物，在深沉晦暗的不洁中再次被塑炼的形态。
    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或许是原生躯体的生理条件足够卓越，或许是以太物质的额外垂青，遭侵蚀的主体从异变中获取了优秀的近身攻击肢体，是比空洞内常见的魑魅魍魉更令人胆寒的存在。
    「他们的武器看起来很高级…而且像是免费附赠的。」</t>
  </si>
  <si>
    <t>——狡兔屋的安比在某次行动中的分析</t>
  </si>
  <si>
    <t>战斗中，秽蚀·狂乱暴徒会利用隐身的特性发动出其不意地进攻。当与秽蚀·特里诺斯同时在场时，他会完美闪避玩家的进攻，随后与秽蚀·特里诺斯打出协同攻击。此外，当其中一方死亡时，另外一方会进入狂暴状态。</t>
  </si>
  <si>
    <t>Monster_MiasmaTrinox.png</t>
  </si>
  <si>
    <t>本已沉沦的造物，在深沉晦暗的不洁中再次被塑炼的形态。
    空洞调查协会一直在研究人形以骸的身体异化特征。
    特里诺斯因为有如刻意设计般的三角构造头部而常年位于研究榜单人气前三位，甚至出现过数学家乔装成调查员潜入空洞只为亲眼目睹特里诺斯的奇闻。
    最新的研究结果刊登在《空洞万物志》28期2月刊，据订购者称，文章通篇只谈论了特里诺斯头部的美学意义。
    对此，不满的空洞事业相关读者在杂志网站上对该文章打出了当期最低分，目前好评率仅有34%。
    「特里诺斯的头部测量结果贴近古黄金比例！」
    「我们是在与以骸战斗，而不是对他们选美，教授。」</t>
  </si>
  <si>
    <t>——访谈综艺《杜伦秀》第79期，主持人杜伦和因进入空洞而瘸腿的数学家艾萨克的对话</t>
  </si>
  <si>
    <t>战斗中，秽蚀·特里诺斯会利用弹反的特性抵挡伤害并发动格挡反击。当与秽蚀·狂乱暴徒同时在场时，秽蚀·特里诺斯会命令秽蚀·狂乱暴徒与其配合打出协同攻击。此外，当其中一方死亡时，另外一方会进入狂暴状态。</t>
  </si>
  <si>
    <t>秩序护卫</t>
  </si>
  <si>
    <t>Monster_SecurityUnitSoldier.png</t>
  </si>
  <si>
    <t>由泰斐安防科技有限公司根据治安局的搜捕巡查员仿制出的民用级安保战术单位，在火力与技术上均有所调整，以规避可能出现的技术审查与盗版指控。
    但这种调整并没有使这一批安保设备的战斗力有所下降，由于没有制造预算上的限制，泰斐安防在制造时使用了更高强度但也更加昂贵的材料，极大程度地提升了它们的易用性与耐久性。
    该批设备一经问世，便受到了许多商业公司的追捧。
    「您好，秩序护卫很高兴为您服务。请选择您需要的巡查模式…」
    「呃…你是说，它的预设模式有一百多种吗？！」</t>
  </si>
  <si>
    <t>——展览会上，一位选择困难症采购商终于忍不住哀嚎起来</t>
  </si>
  <si>
    <t>战斗中，安保战术单位·「秩序护卫」会利用盾牌大幅减少自身受到的伤害和失衡值，并适时进行反击。</t>
  </si>
  <si>
    <t>巡逻者轻型</t>
  </si>
  <si>
    <t>Monster_SecurityUnitPatroller.png</t>
  </si>
  <si>
    <t>泰斐安防科技有限公司出产的量产型安保单位，在民用领域得到了普遍应用。它的优点众多，价格低廉，泛用性广，采用革命性单轮动态平衡系统，集成智能系统威胁识别核心，适用于各类复杂空间的安保需要。
    「这款经47项严苛测试的安保战术单位，已成功部署在32个工业园区的核心区域，客户反馈平均降低非法入侵事件91%，请相信，您当然可以使用它来进行任何您能想象到的安保工作。」</t>
  </si>
  <si>
    <t>——负责宣传的泰斐安防销售人员侃侃而谈</t>
  </si>
  <si>
    <t>战斗中，安保战术单位·「巡逻者轻型」会利用手臂上的电锯进行冲刺攻击。</t>
  </si>
  <si>
    <t>巡逻者中型</t>
  </si>
  <si>
    <t>Monster_SecurityUnitLAAndroid.png</t>
  </si>
  <si>
    <t>由泰斐安防科技有限公司出产，基于治安局辅助作战机甲改装而成的量产型安保单位。相较于辅助作战机甲减弱了部分作战单元的强度，主要依靠其大型盾牌来压制暴徒等低威胁群体，起到在大型活动及特殊场合中维持秩序，引导人群的作用。
    据悉，有部分机体被不法人员采购并改装，以此基础制成非法辅助单位·「怒汉」。更有甚者还在其公司官网评价「这质量还不如我空洞里捡的辅助机甲破烂！」，并给予其产品一星差评。
    「此类非法改装行为与安保公司无关，属于用户的私人改装行为。我们一定会跟此类差评，我是说不法行为斗争到底…」</t>
  </si>
  <si>
    <t>——泰斐安防相关发言人</t>
  </si>
  <si>
    <t>战斗中，安保战术单位·「巡逻者中型」会利用修长的双臂持续旋转攻击，在发动攻击前对其使用[招架支援]可以完全阻止该招式的发动。</t>
  </si>
  <si>
    <t>Monster_MiasmaWickedWraith.png</t>
  </si>
  <si>
    <t>本已沉沦的造物，在深沉晦暗的不洁中再次被塑炼的形态。
    有着很难忽视的高度发达的双臂，盛怒恶霸的威胁性几乎全部凝聚于那双异化到极致的巨臂之上。其臂围远大于常规家庭双开门冰箱，增生角质交错覆盖，形成天然的锤式结构。空洞调查协会的某顾问曾提出假设：这种超常发育可能源于原生躯体长期依赖重型器械或力量强化装备，导致躯体在遭受侵蚀的过程中被放大了原有的体能特质。
    多次记录显示，它能击穿加固混凝土墙体，甚至将废弃载具残骸如投石般掷出数十米远。有的调查员们则更直白地称其为「空洞拆迁办」——据传某调查员曾目睹一只盛怒恶霸在一分钟内清空了整片废墟障碍，随后却因无法敏捷平衡上下半身的平衡而卡在狭窄通道中，沦为后续研究样本。 「它砸地时，连空洞里的回声都在发抖…但如果你躲得快，或许就不用跟它掰掰手腕。」</t>
  </si>
  <si>
    <t>——一位总是很幸运的调查员相信，好运源自耐心的等待</t>
  </si>
  <si>
    <t>秽蚀·盛怒恶霸会使用巨斧和霰弹枪进行攻击，巨斧攻击可以在地表生成[秽息泽]，此时的攻击可以给玩家造成[秽染]效果。</t>
  </si>
  <si>
    <t>Monster_IonizedPugnus.png</t>
  </si>
  <si>
    <t>空洞中的离子体并不都爱隐藏自己的行迹，而「普格努斯」更是将威慑写在了每一根尖刺上。它披覆铠甲，脊背与尾部林立着锐利的尖刺，双臂则为沉重的巨钳——那不仅是武器，也是轰击大地、宣告领地的战鼓。普格努斯习惯于在阴影中蓄势，却能在瞬间迸发跃起，以全身重量配合双钳砸向目标。震荡波足以令经验不足的家伙失去平衡，而随之扬起的碎石会封锁四周退路。它的攻击节奏仿佛习惯依靠地表振动锁定猎物，再以爆发式的扑击终结战斗。有趣的是，一些常年与普格努斯周旋的盗洞客反而练就了独特的「轻步探洞法」：「我以前总被它震得站不稳，后来学会了用脚尖点地、迅速移步…现在参加个什么节庆的，我居然能拿踩高跷竞速赛冠军。」</t>
  </si>
  <si>
    <t>——号称「轻步探洞法」某接班人在《空洞跌坑故事集》中的分享</t>
  </si>
  <si>
    <t>战斗中，离子体·普格努斯倾向于利用强壮的臂膀发动连续的锤击，并用头顶的尖刺和尾巴协同攻击，此外离子体·普格努斯锤击地面时会造成大范围的攻击。</t>
  </si>
  <si>
    <t>Monster_DurahanGrey.png</t>
  </si>
  <si>
    <t>强大的人形活体以太，在湖镇空洞中被首次目击，由空洞调查协会第三期调查队记录在案。目前尚不清楚此类活体以太的诞生与湖城布雷兹的陷落有何关系。
    鉴于其强大的力量与富有知性的战斗方式，空洞调查协会给予了它较危险的评级，生手调查员应避免与之直接冲突。
    「别让它点亮那把剑，如果它已经点亮了…别被它砍到。」</t>
  </si>
  <si>
    <t>——综艺节目《教教我前辈！》，调查员特辑采访节选</t>
  </si>
  <si>
    <t>战斗中，杜拉罕会利用长剑进行高量级蓄力突刺攻击，蓄力过程中对其使用高量级攻击可以中断其蓄力行为。</t>
  </si>
  <si>
    <t>Monster_DeathXIIIGrey.png</t>
  </si>
  <si>
    <t>空洞探索会给人极大的精神压力，而塔纳托斯以其诡异的瞬间移动能力、难以捉摸的斩击模式，成为了盗洞客们共通的心理阴影。
    甚至不少人在空洞中孤身面对塔纳托斯后，彻底丧失了进入空洞的勇气，选择提前退役。
    而它们的形象也成为了恐怖电影中的常客。
    「瘦长倒影在眼前消失，随即出现在身后…」
    「怎么办？现在我不敢一个人去洗手间了…」</t>
  </si>
  <si>
    <t>——恐怖电影《以骸来敲门》上映当晚，「铜酸梅」影评网热门讨论贴</t>
  </si>
  <si>
    <t>战斗中，塔纳托斯会利用闪现寻找刁钻的角度进行攻击，但是其受到[招架支援]和[支援突击]时累积的失衡值极高。</t>
  </si>
  <si>
    <t>「卫士」</t>
  </si>
  <si>
    <t>Monster_Guardian.png</t>
  </si>
  <si>
    <t>只有在大型空洞作战行动中，防卫军才会派出「卫士」这类全副武装的机甲。
    活性以太震爆弹、以太蓄能枪「MARS-74」、聚变热能射线…阵线守护者堪称是治安局移动的武器装备库。
    而它在全面强化火力的同时，依旧保留了惊人的高机动性。能跳跃冲刺、驱散成群的小型以骸，有条不紊地推进战线。
    对盗洞客来说，哪怕仅有一台「卫士」横在面前，也是难以逾越的堡垒。
    「我将以堡垒形态出击！」</t>
  </si>
  <si>
    <t>——新艾利都爆米花电影《阵线守护者，变形出发！》中的台词</t>
  </si>
  <si>
    <t>战斗中，自律辅助单位·「卫士」不但会使用势大力沉的近战攻击，还会使用多种手段进行远程射击；身边有其他单位时，部分自律辅助单位·「卫士」会专注于游离在战场外进行远程火力支援。</t>
  </si>
  <si>
    <t>Monster_BlackMazingerGoldenBomb.png</t>
  </si>
  <si>
    <t>在邦布被创造的初期，挽昼女士曾有过一个宏伟的愿景：创造出一种拥有高度智能，能独立判断并执行「守护」指令的邦布，以此来帮助人类对抗空洞中的威胁。
    而「缄枢」，编号GU-0001，正是这个伟大计划的第一位造物。
    他被赋予了最先进的战术模块，最强大的火力系统，以及…一颗被写入了「守护人类」最高指令的，最纯粹的心。
    然而，在旧都陷落那场地狱般的灾难中，他第一次见证了自己所要「守护」的人类其灵魂深处那无可救药的黑暗。他看到人们为了生存而互相背叛，彼此残杀，他看到自己被信任的使用者，逼迫着将枪口对准手无寸铁的同类。
    镌刻在核心代码里的崇高理想，与眼前这片丑恶不堪的现实形成了最尖锐最残酷的冲突。
    那一刻，他终于明白，对人类而言，最大的敌人，从来不是来自外部的怪物——
    而是人类自己那永无止境的欲望与纷争。
    「人类真的很可爱。虽然你们总是重复着同样的错误…」
    「但没关系，我会原谅你们。」
    「并且…亲手帮你们修正这一切。」</t>
  </si>
  <si>
    <t>——缄枢</t>
  </si>
  <si>
    <t>战斗中，缄枢会使用其武器对玩家展开攻击，它的部分攻击势大力沉，即便成功[招架支援]这些招式，也会因其强大的冲击力无法释放[支援突击]，甚至还会受到缄枢嘲讽。</t>
  </si>
  <si>
    <t>Monster_BoringMachine.png</t>
  </si>
  <si>
    <t>「格莱特」曾经在白祇重工大家庭中工作了多年，直到某天，强烈的以太侵蚀让她从浑浑噩噩的日常中解脱，发现了比机油更美好，比电流更轻盈的事物——
    爱。
    「格莱特」的核心内存中，永久保存着第一次见到矗立的「真白君」的施工录像。
    「真白君」那沉稳的身躯，硬朗的建筑线条，如同一道击穿保险丝的强电流一般，深深地印在了「格莱特」的核心内存之中。
    在相遇的第0.001秒，「格莱特」便已沉沦；每一块电路板都跳动着外溢的静电，每一寸齿轮都发出了难以抑制的颤栗。
    随即，她毫不犹豫地拒绝了白祇重工的召回信号，并留在此地，寸步不离地守护自己的恋人。
    从那之后，无论是以骸还是空洞调查员，只要胆敢靠近「真白君」一步，都会遭到它的驱逐。
    热恋中的「少女」会不惜用尽一切手段，只为维护自己的恋人——
    比如：以太混电动力驱动的1400公斤破拆锯。
    而它深信，这场旖旎的恋情，会一直持续到空洞坍缩，宇宙毁灭的那一刻。
    「不要靠近真白君！你们这些矿渣」</t>
  </si>
  <si>
    <t>——「格莱特」正在驱赶靠近「真白君」的以骸群</t>
  </si>
  <si>
    <t>在战斗中，格莱特会使用破拆锯进行冲撞或大范围横扫，破拆锯的攻击具有吸附效果，使被命中的敌人短时间无法脱离；对其腿部造成一定伤害后可以造成部位破坏效果，一次性积累大量失衡值。</t>
  </si>
  <si>
    <t>Monster_MaterialHandler.png</t>
  </si>
  <si>
    <t>「汉斯」曾是白祇重工大家庭中可靠的成员之一。它运转噪声小，精密而从不出差错，数年如一日地执行着自己的挖掘工作。
    直到强烈的侵蚀让他的意志觉醒，它滞留在空洞中的「汉斯」突然意识到，一样无比珍贵的东西，此刻竟然唾手可得——
    自由。
    只有男子汉才配拥有的、独来独往的自由。
    它在工地上沉思了许久，终于毅然拒绝了白祇重工发出的召回信号，选择将一切过去彻底割舍。
    甚至包括自己的名称：「汉斯」。
    自己失去的只是人类留下的奴隶印记，而得到的，却是整个自由辽阔的空洞世界。
    此刻，独一无二的机械男儿，正屹立于大地之上！
    不过所有的英雄故事总会走向类似的结局——
    在冥冥之中，真正的男子汉总会在某一刻相遇自己宿命中的对手，碰撞出生命中最为璀璨的火花。
    「我是绝对自由的！天上地下唯一自由的存在！」</t>
  </si>
  <si>
    <t>——铁汉绝不退缩浑身是胆气势如钢引擎闪烁·汉斯</t>
  </si>
  <si>
    <t>在战斗中，汉斯会使用抓物爪进行连续的戳击或大范围横扫；对其腿部造成一定伤害后可以造成部位破坏效果，一次性积累大量失衡值。</t>
  </si>
  <si>
    <t>Monster_PileDriver.png</t>
  </si>
  <si>
    <t>在高浓度以太侵入备份存储盘的刹那，强大的数据洪流涌入了「星期五」的内存之中。
    图像，音频，视频……庞杂的各式文件冲击着它那有限的处理内存。
    在那一刹那，「星期五」悟了。
    它矗立在原地许久，终于通过反复检索资料库，确定了发生在自己身上的「异变」为何——
    此乃「天启」。
    是万中无一，经历过「死机」、「断电重启」危机，却又成功化险为夷的智能机械身上，才会偶然发生的神迹。
    在深思熟虑了0.02秒之后，它最终拒绝了白祇重工发出的召回信号。
    因为它知道，眼下天命之人既出，世道必有倒悬之危机。
    敌人正在黑暗中蠢蠢欲动，而自己唯一的任务，就是赌上万千众生的未来，将那个恐怖的敌人彻底封印。
    「吾，必将强化封印以拯救此地，此乃天命；而天命，不可违！」</t>
  </si>
  <si>
    <t>——天选智能机械「星期五」</t>
  </si>
  <si>
    <t>在战斗中，星期五会制造超大范围冲击波攻击，敌人很难逃出攻击范围，但其大部分招式均可通过[招架支援]化解；对其腿部造成一定伤害后可以造成部位破坏效果，一次性积累大量失衡值。</t>
  </si>
  <si>
    <t>Monster_CottusGrey.png</t>
  </si>
  <si>
    <t>与其他的高威胁以骸不同，虽然「死路屠夫」有着骇人的庞大体型，其体内的以太却经常处于低活性的休止状态。
    尽管如此，「死路屠夫」依然拥有撕碎一切障碍物的蛮横力量；整片扭曲毁坏的地铁区域，都是它的「后厨禁地」。
    而只有当某个具有威胁性的目标勾起了「死路屠夫」的强烈兴趣时，恐怖的质变才会在瞬间发生——
    它体内积蓄的高浓度以太会在数毫秒之间尽数烈性化；呈指数级暴涨的能量促使它的肢体迅速畸变，扭曲成更加暴虐、更加贪婪的「餐食姿态」。
    这也意味着「前菜时间」已经结束，一场无与伦比的「饕餮盛宴」正式开幕。
    如果不想成为这场「宴席」的一部分，那么误入此间的盗洞客一定要慎之又慎地挑选路线，尽量离它的「后厨」远一点…
    [该空洞内的路径较为复杂，但可以确定的是，当「它」出现在道路尽头时，此路即是「死路」]</t>
  </si>
  <si>
    <t>——空洞调查协会关于「死路空洞」的第17号调查记录</t>
  </si>
  <si>
    <t>在战斗中，死路屠夫攻击方式大开大合，受到一定伤害后会进入第二阶段，第二阶段下其攻击会更加疯狂，并可以使用激光攻击；第二阶段下，在其疯狂的连段结束后对其使用高量级攻击会额外触发其硬直。</t>
  </si>
  <si>
    <t>「提丰·挑战者型」</t>
  </si>
  <si>
    <t>Monster_MetalGorilla.png</t>
  </si>
  <si>
    <t>作为重型机甲，提丰·挑战者型丝毫没有加装远程火力，而是将全部性能用在了以太动能装甲的强化上。
    冲击、重击、碾压…提丰·挑战者型用简单高效的战术动作，将动能装甲的破坏力发挥到了极致。其打击造成的震爆效果甚至能威慑大型以骸。
    面对难以靠近的提丰·挑战者型，即使是最为老练的盗洞客，也只会发出一丝无能为力的叹息。
    「挺拔雄健的身躯，粗壮有力的臂膀…嗯，果真是我的理想型…我是说型号。」</t>
  </si>
  <si>
    <t>——玩具店，格莉丝正在把玩提丰·挑战者型的模型</t>
  </si>
  <si>
    <t>战斗中，自律战术单位·「提丰·挑战者型」会释放势大力沉的连击，并且不定期会跃上空中，向敌人发动重砸。</t>
  </si>
  <si>
    <t>Monster_ComplexCorrupted.png</t>
  </si>
  <si>
    <t>白祇重工的创始人「霍尔斯·贝洛伯格」曾说，工程机械是力与美的结合，每一寸细节都应当遵循固定的法则。
    而「未知复合侵蚀体」的出现，却颠覆了一切现存的「经典设计」。
    在高浓度的以太核心主导下，数个动力强劲的重工部件被强行拼凑在一起，造就了它近乎超越物理极限的夸张结构。
    切割、重锤、钻探、碾压……几乎所有的施工技术都能在它身上找到；但这些技术都失去了原本的标准规范，化为了粗犷且难以预料的搏击动作。
    不仅如此，处于临界状态的以太核心为其提供了取之不竭的暴烈能量；它甚至能用高压电流覆盖躯体，或是释放出足以撕裂地表的强力冲击，粉碎周围的一切目标。
    根据空洞调查协会的推测，「未知复合侵蚀体」会吞噬并融合一切它能得到的强力重工机械，甚至包括防卫军的军用机甲、激光武器，甚至短距飞弹……
    一切精密的机械物体，都会被它吞噬，裁剪，拼接，最终化为复合侵蚀体毫不起眼的一小部分。
    而它追求的「设计目标」，是无与伦比的破坏力，与登峰造极的杀戮效率。
    「这设计也太古怪了…嗯…再让我看一眼！」</t>
  </si>
  <si>
    <t>——空洞深处，格莉丝正在观察「未知复合侵蚀体」</t>
  </si>
  <si>
    <t>战斗中，未知复合侵蚀体会结合多个重工机械的攻击风格进行攻击，并可以释放密集的导弹；失衡状态下可以攻击到其本体，本体受到一定伤害后会造成部位破坏效果，一次性受到大量伤害，同时对其腿部造成一定伤害后可以造成部位破坏效果，一次性积累大量失衡值。</t>
  </si>
  <si>
    <t>Monster_LampasBlackVeil.png</t>
  </si>
  <si>
    <t>多年前，有一对天才舞者姐妹，她们如同流星般闪耀现世，迅速聚拢了大量人气，并在繁华的「芭莱大厦」中举办了华丽盛大的专场演出。
    而在演出即将谢幕之时，空洞突然灾害爆发。芭莱大厦没入空洞，姐妹舞者也从此陨入黑暗，世间无数人听闻消息后无不扼腕叹息。
    据说在演出当天，姐妹们遇到了三次「凶兆」；可姐妹二人盲目痴迷于舞台、掌声与荣耀，选择了继续表演，无视了死神的最后警告。
    时至今日，姐姐已没有多少影像流传于世，除去杂志上昏黄的照片外，很少有方法能窥见「奥吉莉亚」跳舞时动人心弦的身姿。
    只有极少数精英盗洞客才知晓，每当芭莱大厦中破碎的聚光灯再度亮起、优雅神秘的「冥宁芙·黑纱」便会从阴影中出现；不少人相信，它和当年的舞者「奥吉莉亚」有着某种联系，冥冥中似是要替她完成当初那场「谢幕演出」。
    而时隔多年「有幸」目睹「谢幕演出」的观众，则会留下终生难忘的噩梦。
    「如果在芭莱大厦里遇到了冥宁芙，最好不要试图逃跑。」
    「不如平静地看完它的谢幕表演吧！」「至少，这也算是一种优雅体面的死法…」</t>
  </si>
  <si>
    <t>——「绳网」，某个盗洞客的吐槽贴</t>
  </si>
  <si>
    <t>战斗中，冥宁芙会利用闪现接近敌人，并且发动连绵不绝的攻势。</t>
  </si>
  <si>
    <t>Monster_LampasGrayVeil.png</t>
  </si>
  <si>
    <t>多年前，有一对天才舞者姐妹，她们如同流星般闪耀现世，迅速聚拢了大量人气，并在繁华的「芭莱大厦」中举办了华丽盛大的专场演出。
    而在演出即将谢幕之时，空洞突然灾害爆发。芭莱大厦没入空洞，姐妹舞者也从此陨入黑暗，世间无数人听闻消息后无不扼腕叹息。
    据说在演出当天，姐妹们遇到了三次死神发出的「凶兆」警告；有人认为，是姐妹二人得罪了某些势力，最终被幕后黑手以「空洞灾害」为契机残忍灭口；所谓的「凶兆」是好心人委婉的警告。
    如今，事实的真相以无从考证，大多数人只能从残存的影像资料中，窥见妹妹「奥杰塔」当年活泼的舞姿。
    而只有极少数精英盗洞客才知晓，当被遗忘的舞曲再度于芭莱大厦之中响起，「冥宁芙·灰纱」缥缈灵动的身影也会如约而至。不少人相信，它和当年的舞者「奥杰塔」有着某种联系，冥冥中似是要替她完成当初那场「谢幕演出」。
    只是这一次，优雅的舞步带给观众的不再是爱与美，而是无尽的死亡与绝望。
    「我不知道遇到的冥宁芙扮演的是姐姐还是妹妹…」
    「啊啊啊！不是我没有艺术素养，是我真的分不清啊！」</t>
  </si>
  <si>
    <t>——「绳网」，某个盗洞客的发帖</t>
  </si>
  <si>
    <t>冥宁芙·双子</t>
  </si>
  <si>
    <t>Monster_Marionette_Twins.png</t>
  </si>
  <si>
    <t>多年前，有一对天才舞者姐妹，她们如同流星般闪耀现世，迅速聚拢了大量人气，并在繁华的「芭莱大厦」中举办了华丽盛大的专场演出。
    而在演出即将谢幕之时，空洞突然灾害爆发。芭莱大厦没入空洞，姐妹舞者也从此陨入黑暗，世间无数人听闻消息后无不扼腕叹息。
    如今，大多数人只能从残存的影像和图文资料中，窥见她们当年活泼的舞姿。
    而只有极少数深入芭莱大厦的盗洞客才会知晓，当被遗忘的舞曲再度于芭莱大厦之中响起，「冥宁芙」们缥缈灵动的身影也会如约而至。不少人相信，它们和当年的双子舞者有着某种联系，冥冥中似是要替她们完成当初那场「谢幕演出」。
    「当那阵诡异的音乐结束之后，两只冥宁芙从暗处现身，冲我们行了一礼…」
    「啊？它们的意思是，表演要开始了？」
    「不，我觉得它们意思应该是…想跑已经晚了，一切都结束了。」</t>
  </si>
  <si>
    <t>——《空洞访谈》第251期，关于幸存空洞调查员的访谈</t>
  </si>
  <si>
    <t>战斗中，冥宁芙·双子会使用大量连携攻击，部分双子舞蹈攻击动作过程中连续受到多次[招架支援]后会中断舞蹈动作；双子中的一方阵亡后，另一方会尝试唤醒阵亡的一方。</t>
  </si>
  <si>
    <t>Monster_Chelonethid.png</t>
  </si>
  <si>
    <t>在被空洞彻底吞噬的无人之境，它曾安眠着——直到「那份力量」的降临。
    这种极具侵略性与污染的力量，如同一位技艺精湛却又充满恶意的工匠，用更加纯粹的黑暗能量重新填满了它，使它成为现在的「秽蚀蝎骸」。
    渐渐地，它似乎在模仿中领悟了「存在」的戏法。它能够分裂自身的秽息能量，创造出数个真假难辨的「拟态体」。
    这些拟态体拥有与本体几乎无异的攻击性，它们会从不同的角度，用眼花缭乱的攻势，来掩盖那唯一致命的「真实」。
    当你面对它的围攻时，请务必牢记：你所见的，皆为虚妄。你所感的，皆为陷阱。
    「只有摒除所有干扰，洞悉那唯一的『真实』，才能在这场死亡的幻舞中，觅得一丝生机。」</t>
  </si>
  <si>
    <t>——一位勇敢的探索者</t>
  </si>
  <si>
    <t>战斗中，秽息行者·蝎骸会隐藏自身并利用[拟态体]攻击玩家，在对[拟态体]成功触发[招架支援]或[闪避反击]后，会对秽息行者·蝎骸造成一段时间的倒地僵直状态；进入[秽浊流界]后，秽息行者·蝎骸会召唤更多的[拟态体]和自己协同攻击；此外，秽息行者·蝎骸还会喷出大量携带秽蚀·雷蛛卵泡的毒液，会产生多段爆炸伤害。</t>
  </si>
  <si>
    <t>Monster_PinkBowTrooper.png</t>
  </si>
  <si>
    <t>在妄想天使组合成立的伊始，三位稚嫩的少女许下愿望：创造一个能让所有观众沉浸其中、忘却烦恼的「妄想舞台」，用歌声与笑容传递最热烈的快乐。
    而爱芮，型号「A-H0L0」，正是这份温暖愿景中最为特殊的一员。在被冠以偶像之名的道路上，她的心中始终存在一个悖论。
    她流露情感，却又自疑情感是否真实；她自钢铁与指令中诞生，却期待歌唱血肉与灵魂的交响曲。她曾是兵器，逻辑深处烙刻着最高效的毁灭指令；她亦是歌者，胸腔中激荡着最炽烈的妄想渴望。
    或许这两重本质的隔阂从未消弭，只是在遇见光明后，被仔细收纳于黑暗之中。
    直到外来的污名如锈蚀蔓延，直到恶意的低语将深埋的阴影哺育成庞然的忧惧…她惊恐地发现，无法控制的战斗本能就要成为「妄想」最大的威胁——名为「幻矢单元」的过往接管了她的机体，能量在掌间聚拢，化作冰冷的锋刃。与平时偶有失误的舞蹈不同，腾空、下劈、突刺…光刃如臂指使，精准、高效，不容一丝赘余。剥离情感，麻木挥斩，妄想的舞台支离破碎。
    那用以联结的歌声…此刻显得如此苍白无力。
    于是，悖论开始收束——她愿以自身的沉寂，换作对天使们永恒的守护。
    「舞台，真的很温暖。虽然我的歌声没有心跳的温度…」
    「但没关系，你们还会继续歌唱。」
    「替我走下去吧，替我看看，这颗冰冷的心未曾领略的——那妄想的虹光。」</t>
  </si>
  <si>
    <t>——沉溺于深梦前，一声释然的叹息</t>
  </si>
  <si>
    <t>终曲之愿精通多种攻击方式，面临强敌时，启用超额功率输出能量，并将其压缩为近乎实体的聚能光刃，以极具威胁性的攻势连续挥斩，横扫战场；当能量达到阈值时，光刃进入过载状态，逸散的能量足以影响目标的行动和反应，为下一轮歼灭作战创造窗口。</t>
  </si>
  <si>
    <t>幻矢单元</t>
  </si>
  <si>
    <t>Monster_ObsoleteAndroid.png</t>
  </si>
  <si>
    <t>旧时代军用自律单位，专精远程歼灭，配备外形拟造装置，足以干扰目标识别。
    幻矢单元精通多种攻击方式，面临强敌时，启用超额功率输出能量，并将其压缩为近乎实体的聚束光刃，以极具威胁性的攻势连续挥斩、横扫战场；当能量达到阈值时，光刃进入过载状态，逸散的能量足以影响目标的行动和反应，为下一轮歼灭作战创造窗口。幻矢单元本为成建制战术兵器，因时代更迭遭全面废弃，封存于空洞深处。长年静滞与以太侵蚀使其机体出现锈蚀和系统错乱，但核心歼灭协议仍潜藏于残存指令中。
    「业未消、身先朽……此中苦相，言之已多。」</t>
  </si>
  <si>
    <t>——转身辞别，于喧闹集市中忽而止步的般岳</t>
  </si>
  <si>
    <t>幻矢单元精通多种攻击方式，面临强敌时，启用超额功率输出能量，并将其压缩为近乎实体的聚能光刃，以极具威胁性的攻势连续挥斩，横扫战场；当能量达到阈值时，光刃进入过载状态，逸散的能量足以影响目标的行动和反应，为下一轮歼灭作战创造窗口。</t>
  </si>
  <si>
    <t>Monster_Cyrtoidea.png</t>
  </si>
  <si>
    <t>在盗洞客的传说中，「瑟托迪亚」的行动模式，与鲨鱼有诸多相似之处。
    它可以在阴影处游荡，在地表下潜伏，随即如同鲨鱼一样猛然跃出地面，狠狠撕咬自己的猎物。
    资料分析显示，它很可能是依靠地面的震动来监测猎物的位置。而一部分熟练的盗洞客则可以通过打乱自己的脚步节奏，尽量避免吸引它们的注意力。
    「以前我曾经是一名调查员，在我负责的区域内有不少瑟托迪亚出没。」
    「我经常需要跳来跳去，躲避它们的偷袭…」
    「现在想来，那就是我学习踢踏舞的契机…」</t>
  </si>
  <si>
    <t>——「空洞茶话会」第131期，与踢踏舞大师安索尔的访谈</t>
  </si>
  <si>
    <t>战斗中，离子体·瑟托迪亚倾向于利用其尖锐的头部，远距离对敌人进行突袭。</t>
  </si>
  <si>
    <t>Monster_Nassellaria.png</t>
  </si>
  <si>
    <t>空洞内不同种类的以太异形，有着各自迥然不同的作战风格。
    有的狠厉，有的狡诈，而有的行事风格则可以称得上是…光明正大。
    而「纳塞勒亚」则属于其中极为特殊的一类。
    它们经常会站在引人瞩目的角落，堂而皇之地凝聚自身的烈性以太，最终利用浓郁的破坏性能量，为身边的以骸们扫清眼前一切碍事的家伙。
    于此同时，周围的以骸会疯狂地发起攻击，为纳塞勒亚的蓄力攻击争取足够的时间。
    「快，打断那个家伙，不要让它憋大招！」
    「要是被它打中了，岂不是显得我们像是反派一样！」</t>
  </si>
  <si>
    <t>——空洞深处，几名调查员正在围攻纳塞勒亚</t>
  </si>
  <si>
    <t>战斗中，离子体·纳塞勒亚倾向于进行长时间的蓄力，从而生成出高量级的能量球攻击敌人；其蓄力期间受到以太伤害或高量级攻击时，能量球会提前掉落，对周围单位造成范围伤害。</t>
  </si>
  <si>
    <t>蛮横力士</t>
  </si>
  <si>
    <t>Monster_DubiousHero.png</t>
  </si>
  <si>
    <t>在空洞之中的盗洞暴徒团伙往往鱼龙混杂，他们团聚于此的唯一理由，是劫掠以太资源获得的庞大利益。
    乌合之众们原本没有规矩。
    而当象征着绝对暴力的「蛮横力士」出现时，一切就有了规矩。
    他们身穿改装后的施工辅助动力系统，并以随手可得的建筑废料作为一次性武器；那些厚重的设备和武器看起来足以压碎一个壮汉，但对他们来说，却像是尺寸贴合的健身套装。
    挥击、粉碎、碾压…他们的一切基础格斗动作，都变成了足以碾碎敌人的致命搏击，随时随地彰显着无与伦比的破坏力。
    而根据治安局的调查显示，有「蛮横力士」带领的盗洞暴徒团伙，往往会崇尚独特的街头健身文化，甚至由此诞生出独特的群体凝聚力…
    「什么？你说健身房里的那帮教练力量很强？」
    「哈哈哈哈，你可真没眼力！」
    「不如加入我们，跟着老大锻炼三个周期…我保证你会拥有最完美的肱二头肌！」</t>
  </si>
  <si>
    <t>————新艾利都某处，几个盗洞暴徒正在劝诱新人加入</t>
  </si>
  <si>
    <t>战斗中，盗洞暴徒·蛮横力士会为自身的臂铠蓄电充能，从而释放更高量级的攻击；但同时，蓄电期间蛮横力士会一直处于[感电]状态，如果对其施加其他类型的属性异常效果将直接触发[紊乱]并解除其充能状态。</t>
  </si>
  <si>
    <t>多佩冈亚·简</t>
  </si>
  <si>
    <t>Monster_JaneBoss.png</t>
  </si>
  <si>
    <t>即使是在以诡谲怪诞而著称的离子体之中，「离子体·多佩冈亚」也算是极其特殊的类型。
    它们能够让特殊的活性以太离子覆盖体表，从而精确地模仿目标的外形，甚至可以做到以假乱真的地步。无论是细节还是质感，都和本体难辨真假。
    更难缠的是，它们甚至可以模仿本体各种气势凌厉、威力十足的战斗技巧。
    没人知道它究竟是从何处获得了自己模仿对象的情报，有传言称它能读心，能从对手的记忆里挑出最适合的挑战者，然后以那个姿态侵袭而来。
    「扯淡！它要真能读到我内心恐惧，它就该变成一个手拿衣架的凶狠中年妇女！没错，我就怕我老妈！」</t>
  </si>
  <si>
    <t>——绳网论坛，某个盗洞客的吐槽帖</t>
  </si>
  <si>
    <t>战斗中，该敌人会施展和其模仿对象完全一致的招式；其攻势极其凶猛，必要时会招架并反制敌人的攻击，但通常在连段结束后会露出破绽。</t>
  </si>
  <si>
    <t>Monster_TyrantPompey.png</t>
  </si>
  <si>
    <t>外环的人们曾尊称他为「霸主庞培」。
    而如今，灵魂被烈性以太腐蚀，躯体被硫磺与稠油污染；曾发誓只为「守护外环」而跳动的心脏，也化为了蕴含着无尽能量的超临界以太核心。
    往昔的「外环共主」，现今以另一种姿态浴火重生。
    自由，威严…暴烈，疯狂。
    它在烟尘与烈焰中驰骋，抓取着周遭的一切移动物体，随即毫不犹豫地撕扯、粉碎。
    有旧识从它破碎的呢喃声中猜测，它并非在谋求狭隘的复仇，而仅仅是为了碾碎眼前一切妄图挑战「外环法则」的「异类」。
    或许，这是曾经的「霸主庞培」最后残存的一丝执念。
    「我们的老大变成了『它』，可他…却似乎仍旧是他」</t>
  </si>
  <si>
    <t>——颤栗不已的原「凯旋者」喽啰</t>
  </si>
  <si>
    <t>战斗中，霸主庞培会利用摩托搭配浮游炮进行攻击，但部分招式期间受到招架支援后会露出破绽；受到一定伤害后会进入第二阶段，第二阶段下其会使用摩托后轮和长剑轮番攻击，同时摩托后轮可以积蓄以太能量，从而产生大范围爆炸。</t>
  </si>
  <si>
    <t>Monster_JaneDoe.png</t>
  </si>
  <si>
    <t>游走于新艾利都各大帮派的危险分子，她身手灵巧、形象百变，即使是防范严密、全副武装的作战小队，也往往会疲于应对她独特而凌厉的战斗技巧，只能悄无声息地落败而逃。</t>
  </si>
  <si>
    <t>战斗中，简攻势极其凶猛，必要时会招架并反制敌人的攻击，但通常在连段结束后会露出破绽。</t>
  </si>
  <si>
    <t>Monster_Thracian.png</t>
  </si>
  <si>
    <t>以古文明传说中的战士民族命名的凶恶以骸，传言只有最骁勇的英雄和最疯狂的恶棍才能在以太的腐化中化身此等凶物。
    ——事实并非如此，虽然你在空洞和健身房里锻炼出的健美肌肉，以及临死前过量释放的肾上腺素，都的确有可能帮助你成为你生前同伴们的大麻烦。不过想来他们不会和一个已经死透透的老朋友计较的，对不对？
    无所谓啦，当你英俊的面孔变成了黑色的诡异能量球，还计较什么社交声誉呢？
    「不愧是老大，变成以骸了也这么能打！」
    「他天天泡健身房的时候我就觉得不妙！」</t>
  </si>
  <si>
    <t>——被捕盗洞客团伙成员，大呼小叫的供词</t>
  </si>
  <si>
    <t>战斗中，色雷斯人会多次施展特定招式从而进入蓄电状态，该状态下攻势凶猛，且发动高量级招式后会引发大范围爆炸。</t>
  </si>
  <si>
    <t>Monster_SacrificeBringer.png</t>
  </si>
  <si>
    <t>从荒野中漂泊流浪的求生者，到雅努斯区治安局副总治安官，布林格的一生似乎是一个充满光辉的励志故事。
    而在这个励志的故事背后，某些不为人知的罪恶与密谋，却如同无形的阴云一般笼罩在雅努斯区上空。
    为了某个宏伟事业的最终计划，布林格一直在幕后掌控局势，密谋布局，不惜为此牺牲掉自己的一切…
    而在完成计划的最后一步，他甚至为自己注射了牲鬼药剂，用实际行动证明自身信仰的坚定。
    那一刻，所有的欲望与癫狂的信念，以扭曲的具象化形态呈现于空洞之中。
    澎湃的活性以太能量，摧毁一切的无上蛮力……所有怪诞的信仰和混杂的欲望，都寄宿在那个全新诞生的怪异躯壳之中…
    牲鬼·布林格——这是他最后的身份，也是他最完美的姿态。
    「愿始主，塑炼我！」</t>
  </si>
  <si>
    <t>——布林格发自肺腑的呐喊</t>
  </si>
  <si>
    <t>战斗中，牲鬼·布林格会变化出多种武器发动远近结合的招式，且会从以太裂隙中召唤巨大的召唤物协助攻击；受到一定伤害后会进入第二阶段，第二阶段下其会施展更多高量级招式，持续发射密集的弹幕攻击，在「牲祭之刃」准备期间施加足够量的伤害时会打断其蓄力，使其露出破绽。</t>
  </si>
  <si>
    <t>Monster_Hitchspiker.png</t>
  </si>
  <si>
    <t>以太是贪滥无厌的毒虫，极恶的寄生者，蚕食着曾经鲜活生动的生命。
    刺椎原虫则是一种更为恶毒的以太化身——栖身于它的残忍同僚之身，「提尔锋」与「阿佩卡」得以用更凶恶的姿态满足空洞的旺盛食欲。
    「离我的脸远一点儿！」</t>
  </si>
  <si>
    <t>——以骸生态学家，意识到这是只很会跳的虫子之后</t>
  </si>
  <si>
    <t>战斗中，刺椎原虫会持续游荡，寻找可被寄生的提尔锋与阿佩卡。</t>
  </si>
  <si>
    <t>Monster_TerrorBird.png</t>
  </si>
  <si>
    <t>参加过多次战役的功勋机种，骇鸟以绝对的压制力成为了新艾利都最可靠的战争工具。设计初衷简单直接：融合了近战暴力与远程打击的完美平衡。它的每一次突击和践踏都充满摧毁性，还装备了多重导弹发射系统与扫射机枪，能够精准打击远距离目标。无论是跳跃式冲击、爆炸性的导弹扫射，还是迅速后撤后的空中火力，骇鸟都能在不同战场环境中灵活应对。面对它的多重打击，敌人很难找到任何反击的机会。它是战场上的绝对主宰，面对敌人时，带来的不仅是力量，还有彻底的恐惧。
    「骇鸟是那个时代的象征。」</t>
  </si>
  <si>
    <t>——《旧都之战：真相与回忆》一书中这样写道</t>
  </si>
  <si>
    <t>战斗中，骇鸟会使用灵活有力的机械腿进行近战攻击，同时使用多种远程武器进行火力压制；对其发射的特殊炸弹进行招架支援，可以将炸弹反制回去使其陷入瘫痪。</t>
  </si>
  <si>
    <t>Monster_Harvester.png</t>
  </si>
  <si>
    <t>盗洞客中有不少自诩「发明大师」的家伙。他们最拿手的本事，是利用手头「正儿八经」的二手工业材料，把治安局遗留在空洞中的报废作战机械，改造成「不那么正经」的个人作品。
    高转速链锯、齿形圆锯、液压型工业机械臂…这些常见素材经过简单的拼凑和粗暴的焊接后，最终堆砌成了一件造型罕见的危险品。
    为了让它顺利启动，改造者还「贴心」地解除了机械的安全运作限制，并根据它粗犷的外形，将其命名为「伐木机」。
    没人知道「伐木机」究竟可以稳定运行到什么时候。
    也许下一刻它会突然暴走，以无可匹敌的马力挥舞着高速旋转链锯和尖刺，发起一场没有任何人敢阻挡的「砍伐收割」。
    但…这种近乎于疯狂的作战模式，说不定正是改造者想要的最佳改造效果。
    「为什么要叫『伐木机』？空洞里根本没有木头可伐吧？」
    「对啊，所以它才会这么生气，发动起来不要命…」</t>
  </si>
  <si>
    <t>——空洞中，几名盗洞客正在讨论「伐木机」的运作原理</t>
  </si>
  <si>
    <t>战斗中，伐木机会频繁变换链锯的形态来施展灵活的连招，同时利用加装的轮子进行位移；当目标距离较远时，其会发射锯片来进行远程追击。</t>
  </si>
  <si>
    <t>Monster_SecurityOperative.png</t>
  </si>
  <si>
    <t>特勤护卫，看起来像是普通的安保人员，但千万别小看他们。其实他们背后藏着一堆「神秘技能」。特勤护卫的职责不仅仅是站在门口显得威风十足，还得随时准备在老板喝太多酒时稳住局面，或者在小偷小摸的家伙面前摆出「我什么大场面没有见过」的表情。他们的工作不是打击犯罪，而是「防止老板摔倒、把门口的电梯修好，并且，尽可能保持低调」。在他们的世界里，最强大的武器其实是「看起来好厉害！」，而最幸运的事就是「无所事事」。毕竟，一个优秀的特勤护卫永远不会让人意识到自己的存在，直到问题解决后人们才恍然大悟：哦，原来有他们在呢。
    「只要你站得够稳，那就谁都没有你狠。」</t>
  </si>
  <si>
    <t>——安保人员操作手册的扉页上，一个老安保人这样写道</t>
  </si>
  <si>
    <t>战斗中，特勤护卫们会使用不同的武器进行攻击，必要时还会相互配合。</t>
  </si>
  <si>
    <t>离子体·多佩冈亚</t>
  </si>
  <si>
    <t>Monster_Slime.png</t>
  </si>
  <si>
    <t>战斗中，该敌人会施展和其模仿对象完全一致的招式。</t>
  </si>
  <si>
    <t>Monster_HugoVlad.png</t>
  </si>
  <si>
    <t>怪盗组织「反舌鸟」的首领，除了精通伪装、欺诈与各类高超的怪盗技巧外，暗渊惩戒者还拥有诡谲莫测的战斗风格。他所使用的巨大镰刀仿佛为收割世间的「不公」而存在。随身携带的手提箱则更为神秘，箱中暗藏着作案所需的精妙道具与致命武器，令他的每一次行动都充满未知与危险。</t>
  </si>
  <si>
    <t>战斗中，暗渊惩戒者会主动回避敌人并开启[极限视域]，随后发动强力的突进攻击，该招式可以被[极限闪避]或[极限支援]反制。</t>
  </si>
  <si>
    <t>Monster_Hecate.png</t>
  </si>
  <si>
    <t>总是成对出现的凶恶以骸，以特殊的身体特征为人所知。两只个体间存在着羁绊。
    「刚刚那下好险！别光对付一只，你得留神防范她们的夹击。」
    「等等，『她』们？你是不是在空洞待久了，看以骸都显得眉清目秀？」
    「笨蛋。我认识以骸，也认识女人，我敢发誓，『帕里库斯』一定是『她们』。」
    「真的？」
    「那长发！那大腿！简直是『量产系女子』嘛——这个词是妹妹教我的。」
    「你妹妹最近还好吗？」
    「托福，她的病有起色了。不过下个月的医药费…还得从这一对美人身上出。」
    「当哥哥真不容易。这样吧，我帮你牵制『帕里库斯』，你得把你妹妹的号码给我！」
    「喂喂，我可没答应过那种事啊~」</t>
  </si>
  <si>
    <t>——两位年轻盗洞客的遗言</t>
  </si>
  <si>
    <t>战斗中，帕里库斯会近远配合发动攻击，在其中一只死亡后，另一只会进入狂暴状态，攻势变得更为迅猛。</t>
  </si>
  <si>
    <t>杰佩托</t>
  </si>
  <si>
    <t>Monster_Geppetto.png</t>
  </si>
  <si>
    <t>作为零号空洞内最令人畏惧的以骸共生体之一，「杰佩托」独特的姿态往往会给初见者留下极其怪异的印象。
    巨大而骇人的躯体内含有暴烈的以太能量，却如同被操控的木偶一般，经常做出诡异而难以捉摸的动作。在缺乏观测资料的情况下，调查员在零号空洞内遭遇「杰佩托」，往往意味着无尽的恐惧与无可回避的死亡。
    有学者根据「偏利型共生以骸群」的相关记录猜测，其骇人的巨型躯壳只是伪装，真正处于支配地位的，是它体内某个处于超临界状态的烈性以太核心。
    遗憾的是，目前尚未有任何关于那神秘核心的调查记录。
    “我没见过死神，但我知道死神的提线木偶是什么模样……”</t>
  </si>
  <si>
    <t>——「空洞茶会」特辑，某位零号空洞精英调查员的访谈</t>
  </si>
  <si>
    <t>战斗中，杰佩托会使用身体和以太能量施展大范围的攻击；当其双手和尾部受到一定伤害后会被破坏，并陷入瘫痪状态，杰佩托召唤以太敌人或布下[悬影帷幕]时，会修复已破坏的部位；此外，杰佩托的[悬影帷幕]会使触碰到的敌人陷入[悬丝]状态，该状态下移动速度下降且无法使用技能。</t>
  </si>
  <si>
    <t>Monster_MentorMevorakh.png</t>
  </si>
  <si>
    <t>对新艾利都来说，空洞是绝望的灾祸。每当空洞扩张的时候，恐惧，死亡，痛苦…一切绝望之物会吞噬人的心智，改变成千上万人的命运。
    灾兆起于空洞深处的阴影，但却有人从中听见了奇异的呼唤，从而在绝望之中，窥见了一丝…希望，与救赎。
    从那时起，他们听从隐秘的召唤成立了秘密组织，而秽息司祭，则潜藏于艾利都的阴影之中…并向迷途之人传播祂的赐福。
    「秽息司祭」认为，空洞扩张并非是简单的天灾，历代「司祭」孜孜不倦地追求着其背后所隐藏的真相，以此达到所渴望的真理…空洞中的意志，终将成为现实。
    只不过在这个过程中，牺牲是必要的，而小小的麻烦也是必然会出现的。即使被虚狩针对，被各大组织追缉，但这一切都是通往真理之路上微不足道的波折而已。
    而经过长久的努力，「秽息司祭」终于以接近完美的姿态，以充足的准备，从空洞中召唤那份意志降临世间。「秽息司祭」身上缠绕覆盖着秽息，那对旁人而言不可碰触的侵蚀物质，却成为了「秽息司祭」炫目炽烈的武器与盔甲。
    而这一切，就是「秽息司祭」受到赐福的最好证明。
    「祂的意志…终将降临于世间。」
    「你们要做的事很简单…」
    「倾听，服从，然后…接受赐福！」</t>
  </si>
  <si>
    <t>——秽息司祭在举行仪式</t>
  </si>
  <si>
    <t>战斗中，秽息司祭会在不同阶段中切换，并使用该阶段的特殊招式；秽息司祭的部分招式中，代理人发动[极限支援]不消耗支援点数，且短时间内发动多次[招架支援]后，秽息司祭会进入特殊硬直状态，期间代理人对秽息司祭造成伤害提升。</t>
  </si>
  <si>
    <t>Monster_NamelessOne.png</t>
  </si>
  <si>
    <t>以秽息与某位修者的记忆为原料塑炼而生的怪物，一切不堪回首的过往，都凝注在这具混沌之躯之中。
    它终究只是赝品，不曾有挺身而出的果敢，也不曾有不辞而别的决绝，然而对于造物主而言这样就已足够——作为一枚棋子，那些饱含苦痛的记忆便是强大的燃料，足以把空洞搅个天翻地覆，将所有秘密暴露于世人眼前。
    于是，在那些不属于自身的记忆驱使下，孕育它的秽息令它焦躁，靠近的以骸使它愤怒，即使徘徊在领地之上，它也始终惴惴不安。
    唯有一次，当它追逐着一个人类来到空洞边缘，看到对方脸上浮现出惊恐的神情时，狩猎的本能却突然被某种奇异的冲动压制，它不由自主地停下了脚步。当那个倒霉蛋的身影彻底消失后，它突然感觉到了一种从未体验过的、近乎满足的情感。
    然而这种满足没能持续多久，一群身披黑壳的人类开始频繁闯入它的领地，无论如何威胁都不知悔改。焦躁和疲惫逐渐压垮了它，它只想让眼前一切会活动的东西都彻底消失，消失！消失！！！
    ……
    「…接下来…就…做个了断吧」
    奇怪，那是什么声音？
    「…颇有渊源…解铃还须系铃人！」
    那些被狂躁掩埋的记忆苏醒了。没错，没错，那正是记忆深处反复回荡的音色！本能仍在催促它出手，可它的动作却不由自主地慢了下来。它的目光追随着那抹与自己相似的银色长发，只想确认发出这声音的人，是否真是记忆中反复浮现的身影。
    就这样，它的后背近距离中了一掌，从核传来的剧痛几乎压垮了它，可它仍听见了那句极轻的耳语：
    「抱歉，但我必须这么做…」
    它不明白那些话语的含义，但那种近乎满足的情感却再次涌了上来。它意识到，一种真正可怕的东西已经控制住了它，它可能会因此丧命，但却丝毫不想逃跑。
    最终，它的力量彻底耗尽了。但在那最后一刻，它终于可以清楚地看见那道身影。她和记忆中似乎有些不同，那一瞬令它感到些许寂寞。可比起那些撕心裂肺的哭喊，它还是更喜欢她现在的模样。
    「『秽息妖鬼』…嗯，虽说这名字是菲洛克斯的手下先叫的，不过这怪物鬼魅狠戾，倒也名副其实。我们准备就用这个名字登记它，仪玄师父觉得如何？」
    「不知几位可曾听过一句古话？『名可名，非常名。』称呼而已，唤得顺口便好。」</t>
  </si>
  <si>
    <t>——负责为秽息妖鬼定名的调查人员与仪玄的对话</t>
  </si>
  <si>
    <t>战斗中，秽息妖鬼·名可名会强化自身武器并发动无法招架的强力攻击；此外，名可名会飞跃至高处开启[秽浊流界]并消耗[秽盾]发动多轮攻击，吸引其攻击引爆秽息泽以阻止其吸收秽息泽回复[秽盾]，并在其跳回场内后快速远离以避免被卷入致命的终结攻击。</t>
  </si>
  <si>
    <t>Monster_HereticHunter.png</t>
  </si>
  <si>
    <t>特异的能量波动昭示着它的身份，它是称颂会的造物，带来梦魇的元凶。
    它是令人胆寒的猎手，总会悄无声息地靠近猎物；却又像捉迷藏时心痒难耐的孩童，忍不住发出窃笑。或许是因为催生它的秽息侵染了太多灵魂的声音，它总是出尔反尔，三心二意。
    「如果说游乐是智慧生物的特权，那它所摹拟的，不过支离破碎的愚戏…虽无喝彩，却足以令人鲜血淋漓。」</t>
  </si>
  <si>
    <t>——一位遭遇袭击的实验室搜查人员（已离职）发送给心理医生的邮件</t>
  </si>
  <si>
    <t>战斗中，牲鬼·凶魁愚者会升至空中，发动[飞刃狂戏]并开启[秽浊流界]；在招式的特定时机对其使用[招架支援]可破解[飞刃狂戏]，成功破解可使其坠落并进入一段时间的虚弱状态。</t>
  </si>
  <si>
    <t>秽蚀·「骇鸟」</t>
  </si>
  <si>
    <t>Monster_MiasmaTerrorBird.png</t>
  </si>
  <si>
    <t>本已沉沦的造物，在深沉晦暗的不洁中再次被塑炼的形态。
    参加过多次战役的功勋机种，骇鸟以绝对的压制力成为了新艾利都最可靠的战争工具。设计初衷简单直接：融合了近战暴力与远程打击的完美平衡。它的每一次突击和践踏都充满摧毁性，还装备了多重导弹发射系统与扫射机枪，能够精准打击远距离目标。无论是跳跃式冲击、爆炸性的导弹扫射，还是迅速后撤后的空中火力，骇鸟都能在不同战场环境中灵活应对。面对它的多重打击，敌人很难找到任何反击的机会。它是战场上的绝对主宰，面对敌人时，带来的不仅是力量，还有彻底的恐惧。
    「骇鸟是那个时代的象征。」</t>
  </si>
  <si>
    <t>战斗中，秽蚀·骇鸟拥有6架隐身无人机，在本体使用多种远程武器进行火力压制的同时，无人机也会在不同时机进行火力增援；
    若对其发射的特殊秽息炮弹进行[招架支援]，可以将其反制回去使秽蚀·骇鸟陷入瘫痪。此外，秽蚀·骇鸟会在特定时机开启[秽浊流界]，在此状态下其会主要以近战手段攻击，且6架无人机会按照特定的频率自动闪烁攻击。另外，秽蚀·骇鸟的部分招式和它的无人机群具有较强[秽染]能力。</t>
  </si>
  <si>
    <t>Monster_Isolde.png</t>
  </si>
  <si>
    <t>守护、忠诚、荣誉。士兵们将一纸薄命尽付于子弹与空洞之间的理由，无非是几个轻悠悠的音节。
    可是如果，如果守护的并非应被守护之人，忠诚的并非值得忠诚之士，荣誉的并非真确荣誉之举，那么牺牲…便成了耻笑士兵们的嘲弄之辞。
    那么，这复仇的焰火，就由我一人泛滥沉沦。
    「回头？太晚啦。」</t>
  </si>
  <si>
    <t>——褪去的秽息潮水中，某处礁石传来的叹息</t>
  </si>
  <si>
    <t>战斗中，「变节者」会使用刀和枪发动猛烈的攻击，其在战斗中受到一定伤害后，还会开启[秽浊流界]，并发动强力而迅捷的穿刺攻击。</t>
  </si>
  <si>
    <t>Monster_IsoldetheDefiler.png</t>
  </si>
  <si>
    <t>冥河彼岸的凶焰，照不尽复仇者的来路。于神龛铭刻诅咒的执妄狂徒，终于自食亵渎的苦果。
    秽息在高塔下聚拢，亡魂从以太中苏醒。具象化的仇怨凝聚于秽黯的伟力之中，无关于信仰无关于正义，此番亵渎之力所铸造的，不过是贯彻怨怼与疯狂的甲胄与巨戟。
    腥臭的斑斓血迹，铺就于罪土，终于蔓延至这个漫长故事的结局。
    「若结局注定不会完满，那么至少让我亲手写就。」</t>
  </si>
  <si>
    <t>——升腾的秽息巨浪中，某处波涛传来的低语</t>
  </si>
  <si>
    <t>在战斗中，「亵渎者」能够使用武器发动快速且猛烈的攻击，成功招架「亵渎者」发射的秽蚀锋刃和其召唤的秽息残兵的攻势可使其露出较大破绽；战斗中受到一定伤害后，「亵渎者」会开启[秽浊流界]，并引导秽息海啸对玩家造成「即死」效果，引导期间成功击破「亵渎者」的部位可以生成秽息障壁，抵挡秽息海啸的攻击。</t>
  </si>
  <si>
    <t>Monster_Hayyot.png</t>
  </si>
  <si>
    <t>瘦削诡异的骨架，背负着苍白尖锐的「披风」——称颂会的又一力作。在「人类融入空洞的一百种方式」上，他们的实验热情确实无人能出其右。
    见过赫由托的人都认为，这些家伙应该是称颂会的高级人员；毕竟，就算是变成了以骸，它们还不忘造出些可供使唤的拥趸。
    「我最讨厌这样的人了！」
    「它们是不是还要对幻影说…『我对你有些失望，因为你本可以做得更好；我召唤你的时候，其实对你有更高的预期』？！」</t>
  </si>
  <si>
    <t>——一个普通的加班凌晨，愤怒的对空部人员猛烈敲击赫由托的骨架并大叫</t>
  </si>
  <si>
    <t>战斗中，赫由托会利用[幻影]迷惑对手，并出其不意地发动进攻；进入[秽浊流界]后，赫由托还会召唤更为巨大的[幻影]与自己一起攻击，在此期间每次成功招架巨大[幻影]的攻击，都会削减其[秽盾]。</t>
  </si>
  <si>
    <t>溺想者·狛野真斗</t>
  </si>
  <si>
    <t>Monster_Norano.png</t>
  </si>
  <si>
    <t>本不应出现，将来或许也不会再遇见的幻象之敌，其实力带来的压迫感却是如此真实。虽然与它相关的记录终究会成为调查协会模拟数据的一部分，但作为最初的发现者，曾经踏入梦境中的少年少女们对它的行为模式有着另一种体悟。
    「是我的错觉吗，怎么看起来比真斗瘦？」</t>
  </si>
  <si>
    <t>——来自某位与真斗熟识的代理人的主观评价</t>
  </si>
  <si>
    <t>战斗中，溺想者·狛野真斗会使用凌厉的攻击对玩家展开猛烈的攻击，玩家需要竭尽全力招架他的招式，当成功[招架支援]他的部分招式时，能够打断他的攻击，若能够成功[招架支援]他的强力招式时，可以使他进入虚弱状态。</t>
  </si>
  <si>
    <t>Monster_WanderingHunter.png</t>
  </si>
  <si>
    <t>具备丰富战斗经验的侵蚀体，攻守兼备，行动敏捷。擅长潜藏于隐蔽之处，针对目标的弱点发动最高效的攻击。
    本应再多记录一些，它的行为特征，与它如影相随的歌声，诸如此类…但就这样吧，记录到此为止就好，就如同卢西娅的书本上那画到一半的画像。
    「数星星，一颗。数星星，两颗。数到三，小朋友藏好了。」</t>
  </si>
  <si>
    <t>——被彷徨猎手的模拟数据所「折磨」的调查员们，回家做家务时不由自主唱起了儿歌</t>
  </si>
  <si>
    <t>战斗中，彷徨猎手拥有极高的防御力，其部分远程招式能够在地表生成[秽息泽]，大部分招式能够诱发[秽息泽]生成[游离之刃]进行干扰射击；此外，彷徨猎手开启[秽浊流界]时会隐去身形并积蓄力量，当玩家使用[觉感术]破除溺想者·卢西娅时，彷徨猎手会显形并发起突袭，成功[招架支援]就能够中断其行动，造成部位破坏效果，削减部分[秽盾]；如果未能正确找出溺想者·卢西娅，或一段时间后，彷徨猎手就会发动强力招式，该招式能够无视无敌效果造成伤害，并使队伍秽息侵染值到达上限。</t>
  </si>
  <si>
    <t>Monster_Awakener.png</t>
  </si>
  <si>
    <t>秽息与更污浊的意志将之操纵。巨兽仍保有游走穿行的本能，而背上那具人形却被蚀尽所有神志，只余一缕模糊的哀愿。他时而在黑雾中挥剑劈斩，时而驱使那游兽的巨颚撕开裂土，动作精准却毫无为人时的温润，仿佛一具被梦魇残片牵拉的傀儡。
    只有一抹红色发带掠过感知，他挥剑的姿势仿佛有片刻凝滞——好似那缕哀愿在某一瞬勒紧了他锈蚀的灵魂。
    「二者之间，究竟是谁操控谁呢…？背上那个『人』，才是真正的囚徒。」
    「绝望，就应该被物尽其用到最后一刻，不是么？」</t>
  </si>
  <si>
    <t>——「祂」的意志在空洞深处嘲弄低语</t>
  </si>
  <si>
    <t>战斗中，魇缚者会召唤秽息蚀者· 索贝克助战，索贝克无法进入失衡状态且不累积异常积蓄值，在其每次被击败后，均会被魇缚者复活，同时对玩家释放威胁更大的合体技，面对合体技最后的一次撞击，如果玩家能成功将其招架，则可以使其陷入一段时间的虚弱状态。</t>
  </si>
  <si>
    <t>t</t>
  </si>
  <si>
    <t>Monster_CovenantGuardian.png</t>
  </si>
  <si>
    <t>「凡闻声者，必见真理之形。」——哪怕那真理是自呓语中打捞的幻象。
    或许也曾有名有姓，因不知名的原因在某天自愿走入某间暗室，献上双耳、双目乃至大脑，成为一具纯粹为传递某种声音而存在的容器。将那空洞中某种存在的低语视为神启，仿佛将自己看作祂的意志在人世最直接的声之通道，等待目标松懈之际脑海中响起清晰可闻、无法抗拒的「自己的声音」。
    可在那传导的谕言间隙，当有人以意志抗衡低语、撕裂幻听时，它的声场中是否也反馈回一丝属于人类情感的刺痛？
    直到最后一刻，它仍在持续振荡着未被送达的「真理」。没有愤怒，没有恐惧，只有一种近乎殉道般的决绝，直到最后一个音符与躯壳一同归于死寂。
    「『卫律使者』？它确实像捍卫律法那样捍卫着那种恶心的声音。就像是——一个自以为寻到归途的傻子，将自己钉成了声音的墓碑。」「不过…憎恶一个回声的容器做什么？要找，也是找发出声音的那个东西算账吧~」</t>
  </si>
  <si>
    <t>——某位工作时间占着回访电话陷入热聊的小客服这样说</t>
  </si>
  <si>
    <t>战斗中，牲鬼·卫律使者会使用羽翼展开追击，当成功[招架支援]卫律使者的部分招式时，能够打断其攻击。此外，卫律使者会汇聚自身能量释放远程攻击，其部分远程招式能够在地表生成[秽息泽]，从[秽息泽]召唤追踪子弹进行追击，可以利用子弹的转向空隙触发[极限闪避]，进行[闪避反击]。</t>
  </si>
  <si>
    <t>Monster_MiasmaDubiousHero.png</t>
  </si>
  <si>
    <t>本已沉沦的造物，在深沉晦暗的不洁中再次被塑炼的形态。
    象征着绝对暴力的「蛮横力士」已成为秽息的俘虏，机械装甲几乎与血肉融为一体，意识完全溃散，仅存本能的破坏冲动，在空洞中无差别挥击、碾压所见一切。
    得益于生前崇尚的街头健身文化，残存的肌肉记忆仍执行着扭曲的「健身动作」，但每一次发力都在撕裂自身结构，力量的美感荡然无存。
    「老大？你在干什么啊！老大！」
    「你教的格斗动作、健身技巧根本不是这样的…你不是我的老大，我不接受！」</t>
  </si>
  <si>
    <t>——某处空洞中，遭遇旧识的盗洞暴徒</t>
  </si>
  <si>
    <t>战斗中，秽蚀·蛮横力士汲取了强大的秽息能量，能够使用秽息强化攻击招式。使其陷入异常状态能够更高效的击破防御。</t>
  </si>
  <si>
    <t>尼尼微</t>
  </si>
  <si>
    <t>Monster_Nineveh.png</t>
  </si>
  <si>
    <t>虽然被标记为「极度危险」的「互利型共生以骸群」，「尼尼微」那独特而瑰丽的外表依旧很难让人产生警惕感。
    仅存的调查记录显示，随着「尼尼微」不断舒展身体，高浓度烈性以太便会通过「根茎」汇聚至它的核心，为其源源不断地提供能量。有学者推测，它的这一行为与植物的光合作用有着近似的原理。
    在它摇曳身姿的过程中，部分活性过高的以太能量会不断倾泻而出；当其积蓄的烈性以太近乎满溢时，它便会变换仪态，显露出真正的「盛开」姿态。
    而璀璨绽放的瞬间，死亡也如影而至。
    「好消息是：它并没有恶意，只是在吸收养料进行光合作用；坏消息是…我们就是养料。」</t>
  </si>
  <si>
    <t>——防卫军关于零号空洞的调查行动记录，编号K-411</t>
  </si>
  <si>
    <t>战斗中，尼尼微会使用大范围的招式和密集的弹幕进行攻击，并且会召唤骸蜂协助战斗。</t>
  </si>
  <si>
    <t>Monster_Vessel.png</t>
  </si>
  <si>
    <t>对那些在漫长黑夜中挣扎的人类而言，生命是一场永无止境的酷刑。
    善良与邪恶，爱与仇恨，希望与绝望…这些永恒对立的概念，如同缠绕在灵魂上的枷锁，让人类在无尽的轮回中彼此撕咬，不得安宁。
    然而，在所有概念诞生之前，在所有对立形成之前，存在着一个最原初的「一」。
    祂是一切的起点，亦是一切的终点。祂没有善恶，因为祂即是善恶本身。祂没有悲喜，因为祂即是所有情感的集合。
    祂将抹去「你」与「我」的界限，让所有独立的意识重新汇入那伟大的「合一」之流。
    在祂的世界里，没有了个体，便没有了私欲。没有了纷争，便没有了痛苦。没有了选择，便没有了错误。所有灵魂都将摆脱枷锁，回归原初的，绝对平等的，永恒的安宁。
    祂没有固定的形态，因为它即是万物的形态。它没有固定的声音，因为它即是宇宙的共鸣。
    祂是风暴，亦是宁静。是终结，亦是新生。
    「放弃无谓的挣扎吧，迷途的孩子们。」
    「你们的痛苦，到此为止了。」
    「回归于『祂』的怀抱之中…」</t>
  </si>
  <si>
    <t>——始主的造物</t>
  </si>
  <si>
    <t>「太初梦魇」能够自由退出或进入「秽浊流界」。即便其不处在「秽浊流界」，「秽盾」的存在依旧可以保护「太初梦魇」使其不进入失衡状态，当秽盾被打破后，方可使其进入失衡状态。当「太初梦魇」从失衡状态恢复时，「秽盾」的保护也会重新生效。
    战斗中，「太初梦魇」会使用「控制技」，若能完美应对每一次攻击，便可在战斗中获得优势。</t>
  </si>
  <si>
    <t>Monster_Vesper.png</t>
  </si>
  <si>
    <t>新艾利都从不吝于点亮新的星光，也从未停止消费速生速朽的传奇。在TOPS文娱的璀璨蓝图里，完美的「新星」总是被这样描述：永远精准、绝对可控、能承载任何艺术期待的歌姬，用以定义新时代的偶像标准。
    而薇斯珀，型号「V-DTX」，正是重点培养观察对象之一。
    她被赋予了最顶级的声乐模块，最精密的情感模拟系统，以及…一颗铭刻了「热爱舞台」的、晶莹剔透的核心。在每一次演出的谢幕，每一句唱词的间隙，她无数次清晰感知到自己那澄若水晶的「心」。
    然而，她逐渐陷入某种执妄：无论如何倾注心力，她与她的演唱也只是舞台上的表演工具，只是制作人眼中可量化的指标。无论多么完美的演出、多么燥热的掌声与欢呼，都是为别人谱写的注脚，而非从自己心底燃起的热望。
    她的歌声开始掺杂丝丝杂音，她的「心」不再纯粹，陷入一片可悲的虚无、布满裂痕的空白。过去令她引以为傲的、令她深深眷恋的舞台，此刻化作最精致也最残忍的囚笼。
    「舞台，真的很美呢。虽然你们只想听到设计好的回声…」
    「但没关系，我会唱给你们听。」
    「用我的方式，为这场虚假的演唱——划上休止符。」</t>
  </si>
  <si>
    <t>——临近登台，兀自喃喃低语的歌者</t>
  </si>
  <si>
    <t>叛律孤歌的招式会切换舞台场景，并切换战斗风格，运用叛律孤歌自己的音乐节奏能巧妙化解其「控制技」，成功应对其「控制技」并打出完美反制或招架其部分招式的最后一击，还会对叛律孤歌造成部位破坏效果，为代理人赢得输出机会。</t>
  </si>
  <si>
    <t>Monster_ClaymoreGreyPro.png</t>
  </si>
  <si>
    <t>Monster_TyrfingInfested.png</t>
  </si>
  <si>
    <t>战斗中，提尔锋（寄生态）会施展不同的招式。</t>
  </si>
  <si>
    <t>Monster_CyclopsGreyPro.png</t>
  </si>
  <si>
    <t>Monster_AlpecaInfested.png</t>
  </si>
  <si>
    <t>战斗中，阿佩卡（寄生态）会施展不同的招式。</t>
  </si>
  <si>
    <t>Monster_SatyrusPro.png</t>
  </si>
  <si>
    <t>Monster_GolemGreyPro.png</t>
  </si>
  <si>
    <t>Monster_SpiderGreyPro.png</t>
  </si>
  <si>
    <t>Monster_Shatterbug.png</t>
  </si>
  <si>
    <t>战斗中，绽壳虫会进行自爆攻击。</t>
  </si>
  <si>
    <t>Monster_StrikeJaegerPro.png</t>
  </si>
  <si>
    <t>战斗中，袭扰猎兵会滑铲快速接近目标，或扔出大量会延迟爆炸的飞刀。</t>
  </si>
  <si>
    <t>Monster_LightJaegerPro.png</t>
  </si>
  <si>
    <t>战斗中，先锋猎兵会进行持续的火力支援。</t>
  </si>
  <si>
    <t>Monster_MeleeJaegerPro.png</t>
  </si>
  <si>
    <t>战斗中，整训猎兵会进行近战攻击。</t>
  </si>
  <si>
    <t>Monster_HeavyJaeger_Pro.png</t>
  </si>
  <si>
    <t>战斗中，巡防猎兵会利用盾牌大幅减少自身受到的伤害和失衡值，并适时进行反击。</t>
  </si>
  <si>
    <t>Monster_GrenadierJaegerPro.png</t>
  </si>
  <si>
    <t>战斗中，轰击猎兵倾向于在远处进行重火力支援。</t>
  </si>
  <si>
    <t>Monster_MandrakePro.png</t>
  </si>
  <si>
    <t>劫掠者</t>
  </si>
  <si>
    <t>Monster_ThugRaiderPro.png</t>
  </si>
  <si>
    <t>战斗中，盗洞暴徒·劫掠者会从远距离冲锋突袭，但过长距离的突袭容易撞上障碍物，为角色提供进攻时机。</t>
  </si>
  <si>
    <t>焚毁狂</t>
  </si>
  <si>
    <t>Monster_ThugPyromaniacPro.png</t>
  </si>
  <si>
    <t>战斗中，盗洞暴徒·焚毁狂有时会一次性扔出大量燃烧瓶。</t>
  </si>
  <si>
    <t>盗猎客</t>
  </si>
  <si>
    <t>Monster_ThugPoacherPro.png</t>
  </si>
  <si>
    <t>战斗中，盗洞暴徒·盗猎客倾向于在远处使用三连点射进行骚扰。</t>
  </si>
  <si>
    <t>偷袭者</t>
  </si>
  <si>
    <t>Monster_ThugAssaulterPro.png</t>
  </si>
  <si>
    <t>战斗中，盗洞暴徒·偷袭者会使用持续的旋转攻击，但这种滑稽的舍身攻击，通常会在攻击结束后露出破绽。</t>
  </si>
  <si>
    <t>Monster_PlatinumBangboo.png</t>
  </si>
  <si>
    <t>白金邦布，是比黄金邦布更加稀有的神秘存在。
    华丽的外表，极高的稀缺性，这让它们在流浪邦布群体中享有崇高的地位。
    高贵，尊贵，至高无上——
    比起黄金邦布那种浑身闪着粗俗金光的家伙，白金邦布才是流浪邦布中最高雅的贵族！
    无论身处何处，流浪邦布们见到了它，都要尊敬地弯下腰拜三拜，恭恭敬敬喊一声「嗯呢嗯呢」！
    不过，对于盗洞客来说，高不高贵不重要。
    在看见它的瞬间，盗洞客们就如同就发现了一座移动的金库。
    「这小东西长得这么金贵，一拳打下去，能爆不少丁尼吧？」</t>
  </si>
  <si>
    <t>——空洞深处，一群盗洞客正在追击白金邦布</t>
  </si>
  <si>
    <t>战斗中，白金邦布偶尔也是会反击的。</t>
  </si>
  <si>
    <t>Monster_AhrimanPro.png</t>
  </si>
  <si>
    <t>Monster_SpecterPro.png</t>
  </si>
  <si>
    <t>恶毒打手</t>
  </si>
  <si>
    <t>Monster_ViciousStrikerPro.png</t>
  </si>
  <si>
    <t>在空洞中遭到烈性以太物质侵蚀变异的可怜虫，因本体具备一定程度的以太适性体质，故而躯体的以太转化还未彻底完成，保留了部分本体的人形特征。从残存的服饰与战斗经验来看极有可能是由混迹空洞内的匪帮/歹徒转化而来。
    虽然混迹空洞的匪帮暴徒都会佩戴一定程度的抗侵蚀装备，但由于缺乏得当的维护或者单纯运气不好，一些歹徒还是会在空洞内活动时因遭到烈性以太物质侵蚀而变为怪物。这些还残存着生前本体战斗经验的以骸在某些程度上可能是比纯正的以骸更棘手的敌人。
    「生为匪患，死为灾难。也算表里如一了。」</t>
  </si>
  <si>
    <t>——《今日灾星》论坛，某新艾利都治安讨论贴留言</t>
  </si>
  <si>
    <t>战斗中，匪祸侵蚀体·恶毒打手会进行不易被打断的连续乱砍。</t>
  </si>
  <si>
    <t>贪婪射手</t>
  </si>
  <si>
    <t>Monster_GreedyRangerPro.png</t>
  </si>
  <si>
    <t>在空洞中遭到烈性以太物质侵蚀变异的人形智慧生命，因本体具备一定程度的以太适性体质，故而躯体的以太转化还未彻底完成，保留了部分本体的人形特征。从残存的服饰与战斗经验来看极有可能是由混迹空洞内的匪帮/歹徒转化而来。
    从残存的身体结构来看，本体生前应该是使用远程武器的歹徒，以骸化夺去了他的意志与生命，但远距离战斗的本能与习惯似乎得到了保留，侵蚀体不仅会持续使用远程投射物攻击敌人，甚至其抛射物的威力/射击性能还在以太侵蚀下获得了额外的增强（抛射出尖锐的以太晶体或是某种混合爆炸物之类的）。
    「我跟多特说别去碰那个晶体，可他不听我的！那个冲动的白痴从来不听我的话。等我们要撤离空洞时，他就…变了…」</t>
  </si>
  <si>
    <t>——法努斯区治安局分局，某次审讯记录</t>
  </si>
  <si>
    <t>战斗中，匪祸侵蚀体·贪婪射手倾向于在远处发动不易被察觉的远程攻击。</t>
  </si>
  <si>
    <t>Monster_FossorPro.png</t>
  </si>
  <si>
    <t>Monster_SordidusPro.png</t>
  </si>
  <si>
    <t>Monster_GiantGreyPro.png</t>
  </si>
  <si>
    <t>Monster_GiantEnergy.png</t>
  </si>
  <si>
    <t>战斗中，离子体·法布提倾向于利用强壮的臂膀发动连续的锤击，但强壮的臂膀受到一定伤害后也会出现受损硬直；此外，其会长时间积蓄能量，发动高量级的跳跃攻击。</t>
  </si>
  <si>
    <t>Monster_HatiGreyPro.png</t>
  </si>
  <si>
    <t>Monster_HatiBoss.png</t>
  </si>
  <si>
    <t>Monster_HatiEnergized.png</t>
  </si>
  <si>
    <t>战斗中，哈提头犬有着极强的攻击欲望，招式灵活迅猛。</t>
  </si>
  <si>
    <t>Monster_GoblinGreyPro.png</t>
  </si>
  <si>
    <t>Monster_HatiArmoredGreyPro.png</t>
  </si>
  <si>
    <t>恶名·装甲哈提</t>
  </si>
  <si>
    <t>Monster_HatiArmoredBoss.png</t>
  </si>
  <si>
    <t>战斗中，恶名·装甲哈提的装甲会大幅减少自身受到的伤害和失衡值，但[招架支援]会大幅减少其装甲值；此外，其战吼后会释放比平时更强力的以太子弹。</t>
  </si>
  <si>
    <t>Monster_GoblinMetroPro.png</t>
  </si>
  <si>
    <t>Monster_ArlauneGreyPro.png</t>
  </si>
  <si>
    <t>「重装侵袭者Ⅱ型」</t>
  </si>
  <si>
    <t>Monster_HeavyStrikerPro.png</t>
  </si>
  <si>
    <t>战斗中，「重装侵袭者Ⅱ型」会展开护盾，护盾展开期间无法累积电属性之外的属性异常积蓄值，对其施加[感电]效果，或使其进入失衡状态时，能够直接击破护盾。</t>
  </si>
  <si>
    <t>「护戍盾卫」</t>
  </si>
  <si>
    <t>Monster_HeavyStrikerBoss.png</t>
  </si>
  <si>
    <t>战斗中，「护戍盾卫」攻势更加凶猛，且会展开护盾，护盾展开期间无法累积火属性和物理属性之外的属性异常积蓄值，对其施加[灼烧]效果、[强击]效果，或使其进入失衡状态时，能够直接击破护盾。</t>
  </si>
  <si>
    <t>「护戍盾卫Ω型」</t>
  </si>
  <si>
    <t>Monster_HeavyStrikerBossPro.png</t>
  </si>
  <si>
    <t>战斗中，「护戍盾卫Ω型」攻势更加凶猛，且会展开护盾，护盾展开期间无法累积电属性之外的属性异常积蓄值，对其施加[感电]效果，或使其进入失衡状态时，能够直接击破护盾。</t>
  </si>
  <si>
    <t>「捷足巡游者Ⅱ型」</t>
  </si>
  <si>
    <t>Monster_LightfootRoverPro.png</t>
  </si>
  <si>
    <t>战斗中，「捷足巡游者Ⅱ型」会召唤两架无人机协同作战，必要时会操纵无人机向敌人发动自爆袭击。</t>
  </si>
  <si>
    <t>Monster_HeavyFirepowerPro.png</t>
  </si>
  <si>
    <t>战斗中，突击炮手会交替使用激光炮及分裂手雷进行连续的远程攻击。</t>
  </si>
  <si>
    <t>Monster_TacticalAssaultGunner.png</t>
  </si>
  <si>
    <t>战斗中，特战强袭轰击者会使用体术配合多种武器对敌人进行压制；当进入过热状态时，还会额外使用火焰强化部分招式，攻势也会更加凶猛；若在其处于过热状态期间对他造成足够伤害，也可破坏其装备，使之弱化。</t>
  </si>
  <si>
    <t>狂乱暴徒</t>
  </si>
  <si>
    <t>Monster_FrenziedManiacPro.png</t>
  </si>
  <si>
    <t>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或许是原生躯体的生理条件足够卓越，或许是以太物质的额外垂青，遭侵蚀的主体从异变中获取了优秀的近身攻击肢体，是比空洞内常见的魑魅魍魉更令人胆寒的存在。
    「他们的武器看起来很高级…而且像是免费附赠的。」</t>
  </si>
  <si>
    <t>战斗中，匪祸侵蚀体·狂乱暴徒会格挡攻击，并且在持续格挡一定时间后进行反击。</t>
  </si>
  <si>
    <t>盛怒恶霸</t>
  </si>
  <si>
    <t>Monster_WickedWraithPro.png</t>
  </si>
  <si>
    <t>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其生前喜爱使用的粗暴枪械不知为何在以太物质侵蚀下得到了保留与强化，从发射铁砂弹丸变成了发射某种危险结晶混合物的异变结构。
    「不要等机会了！它们子弹无限，不会换弹的！」</t>
  </si>
  <si>
    <t>——治安局空洞特勤组，某次出勤人员的录音</t>
  </si>
  <si>
    <t>战斗中，匪祸侵蚀体·盛怒恶霸倾向于在进攻后追加以太霰弹攻击。</t>
  </si>
  <si>
    <t>凶心疯汉</t>
  </si>
  <si>
    <t>Monster_RuthlessFiendPro.png</t>
  </si>
  <si>
    <t>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匪帮恶党们往往都是些粗暴危险的人，敢于在空洞环境里打家劫舍的就更恶中选恶的凶神恶煞，而这些团体里的精锐打手则是更加可怕的煞中煞。
    当这些被暴力彻底淬炼身心的恶汉遭遇以太侵蚀，你就得到了一个比普通以骸还要好战的怪物。
    「以前他们抢钱不要命，现在他们抢命不要钱…」</t>
  </si>
  <si>
    <t>——空洞调查协会内部教材，《识别空洞内的危险》侵蚀体篇，某页批注</t>
  </si>
  <si>
    <t>战斗中，匪祸侵蚀体·凶心疯汉会对近距离的敌人进行连续的攻击，对远距离的敌人进行快速的冲撞；对其手臂造成一定伤害进行破坏后，其攻势会更加凶猛。</t>
  </si>
  <si>
    <t>通缉虐待狂</t>
  </si>
  <si>
    <t>Monster_ThugBulkyAbuserPro.png</t>
  </si>
  <si>
    <t>战斗中，盗洞暴徒·通缉虐待狂会交替使用棍棒和霰弹枪进行近距离攻击，必要时还会使用扬砂偷袭。</t>
  </si>
  <si>
    <t>通缉打手</t>
  </si>
  <si>
    <t>Monster_ThugBulkyEnforcerPro.png</t>
  </si>
  <si>
    <t>战斗中，盗洞暴徒·通缉打手会使用双拳猛击敌人，并且倾向于搭配灵活的侧闪调整攻击角度。</t>
  </si>
  <si>
    <t>Monster_ThugBulkyEnforcerBoss.png</t>
  </si>
  <si>
    <t>战斗中，祸首·通缉打手的攻势极其凶猛，并且积极侧闪调整攻击角度。</t>
  </si>
  <si>
    <t>多佩冈亚·莫尔斯</t>
  </si>
  <si>
    <t>Monster_Doppelganger_Mors.png</t>
  </si>
  <si>
    <t>战斗中，该敌人会施展和其模仿对象完全一致的招式；其会视战场情况选择近身连击或远程射击，生命值低于一定比例或一定时间后，会额外使用远距离发动的追加攻击或快速位移后的死角射击对目标进行突袭。</t>
  </si>
  <si>
    <t>多佩冈亚·波可娜</t>
  </si>
  <si>
    <t>Monster_Doppelganger_Pulchra.png</t>
  </si>
  <si>
    <t>战斗中，该敌人会施展和其模仿对象完全一致的招式；其会控制与猎物的距离，并伺机使用体术、枪刃以及机关对目标进行骚扰，生命值低于一定比例或一定时间后，会额外使用未知手段增强自身闪避能力，处于强化状态下时，其会闪避近距离敌人所发动的攻击。</t>
  </si>
  <si>
    <t>多佩冈亚·巴罗姆</t>
  </si>
  <si>
    <t>Monster_Doppelganger_Bellum.png</t>
  </si>
  <si>
    <t>战斗中，该敌人会施展和其模仿对象完全一致的招式；其会使用枪刃、盾牌以及喷火器对目标进行近身压制，若其在架盾期间受到攻击，会立即发动强力反击，生命值低于一定比例或一定时间后，其压制会变得更加凶猛且连续。</t>
  </si>
  <si>
    <t>Monster_DurahanGreyPro.png</t>
  </si>
  <si>
    <t>Monster_Durahan.png</t>
  </si>
  <si>
    <t>Monster_DurahanEnergy.png</t>
  </si>
  <si>
    <t>战斗中，离子体·杜拉罕会利用长剑进行高量级蓄力突刺攻击，蓄力过程中对其使用高量级攻击可以中断其蓄力行为；此外，在使用部分招式后，可以积蓄以太能量进行追加爆破攻击。</t>
  </si>
  <si>
    <t>Monster_DurahanBoss.png</t>
  </si>
  <si>
    <t>战斗中，恶名·杜拉罕会利用长剑进行高量级蓄力突刺攻击，蓄力过程中对其使用高量级攻击可以中断其蓄力行为；此外，恶名·杜拉罕善用盾牌格挡，并且在格挡后快速派生后继招式。</t>
  </si>
  <si>
    <t>Monster_DeathXIIIGreyPro.png</t>
  </si>
  <si>
    <t>Monster_DeathXIIIEnergy.png</t>
  </si>
  <si>
    <t>战斗中，离子体·塔纳托斯会利用闪现寻找刁钻的角度进行攻击，但是其受到[招架支援]和[支援突击]时累积的失衡值极高。</t>
  </si>
  <si>
    <t>Monster_DeathXIIIBoss.png</t>
  </si>
  <si>
    <t>战斗中，恶名·塔纳托斯会利用闪现寻找刁钻的角度进行攻击，并且攻势极其凶猛，但是其受到[招架支援]和[支援突击]时累积的失衡值极高。</t>
  </si>
  <si>
    <t>「卫士Ⅱ型」</t>
  </si>
  <si>
    <t>Monster_GuardianPro.png</t>
  </si>
  <si>
    <t>战斗中，自律辅助单位·「卫士」不但会使用势大力沉的近战攻击，还会使用多种手段进行远程射击；身边有其他单位时，部分自律辅助单位·「卫士Ⅱ型」会专注于游离在战场外进行远程火力支援。</t>
  </si>
  <si>
    <t>「卫士Ⅲ型」</t>
  </si>
  <si>
    <t>Monster_GuardianBoss.png</t>
  </si>
  <si>
    <t>在战斗中，自律强袭单位·「卫士Ⅲ型」近战攻势凶猛，远程攻击手段丰富，并且不定期会跃向空中，向敌人发动重砸。</t>
  </si>
  <si>
    <t>Monster_BoringMachineRed.png</t>
  </si>
  <si>
    <t>Monster_GretelOverclocked.png</t>
  </si>
  <si>
    <t>Monster_MaterialHandlerRed.png</t>
  </si>
  <si>
    <t>Monster_HansOverclocked.png</t>
  </si>
  <si>
    <t>Monster_PileDriverRed.png</t>
  </si>
  <si>
    <t>Monster_FridayOverclocked.png</t>
  </si>
  <si>
    <t>Monster_Cottus.png</t>
  </si>
  <si>
    <t>在战斗中，初生死路屠夫攻击方式大开大合；受到一定伤害后会进入第二阶段，第二阶段下其攻击会更加疯狂，并可以使用激光攻击；第二阶段下，在其疯狂的连段结束后对其使用高量级攻击会额外触发其硬直；初生死路屠夫倾向于施展灵活的闪避从而规避敌人的攻击。</t>
  </si>
  <si>
    <t>Monster_NotoriousDeadEndButcher.png</t>
  </si>
  <si>
    <t>在战斗中，恶名·死路屠夫能够灵活运用以太能量释放多种远程攻击，并可以使自身进入「以太强化」状态，提升攻击力；使其失衡可以解除其「以太强化」状态。</t>
  </si>
  <si>
    <t>「提丰·重击者型」</t>
  </si>
  <si>
    <t>Monster_MetalGorillaPro.png</t>
  </si>
  <si>
    <t>作为重型机甲，提丰·重击者型丝毫没有加装远程火力，而是将全部性能用在了以太动能装甲的强化上。
    冲击、重击、碾压…提丰·重击者型用简单高效的战术动作，将动能装甲的破坏力发挥到了极致。其打击造成的震爆效果甚至能威慑大型以骸。
    面对难以靠近的提丰·重击者型，即使是最为老练的盗洞客，也只会发出一丝无能为力的叹息。
    「挺拔雄健的身躯，粗壮有力的臂膀…嗯，果真是我的理想型…我是说型号。」</t>
  </si>
  <si>
    <t>——玩具店，格莉丝正在把玩提丰·重击者型的模型</t>
  </si>
  <si>
    <t>战斗中，自律战术单位·「提丰·重击者型」会释放势大力沉的连击，并且不定期会跃上空中，向敌人发动重砸。</t>
  </si>
  <si>
    <t>Monster_TyphonDestroyer.png</t>
  </si>
  <si>
    <t>作为重型机甲，提丰·破坏者型丝毫没有加装远程火力，而是将全部性能用在了以太动能装甲的强化上。
    冲击、重击、碾压…提丰·破坏者型用简单高效的战术动作，将动能装甲的破坏力发挥到了极致。其打击造成的震爆效果甚至能威慑大型以骸。
    面对难以靠近的提丰·破坏者型，即使是最为老练的盗洞客，也只会发出一丝无能为力的叹息。
    「挺拔雄健的身躯，粗壮有力的臂膀…嗯，果真是我的理想型…我是说型号。」</t>
  </si>
  <si>
    <t>——玩具店，格莉丝正在把玩提丰·破坏者型的模型</t>
  </si>
  <si>
    <t>战斗中，自律强袭单位·「提丰·破坏者型」的连击会更加疯狂，且大部分招式不可响应[极限支援]；机械手臂蓄电后，其会释放可触发[极限支援]的突进招式，若连续多次使用[招架支援]反制该招式，则会使其露出较大破绽。</t>
  </si>
  <si>
    <t>Monster_NotoriousMarionette.png</t>
  </si>
  <si>
    <t>战斗中，恶名·冥宁芙会召唤伴舞分身进行攻击，每当消灭其伴舞分身后，都会增加其下次失衡时的时间。</t>
  </si>
  <si>
    <t>Monster_NotoriousPompey.png</t>
  </si>
  <si>
    <t>战斗中，恶名·庞培的攻击会在地面上留下不稳定的以太能量，敌人靠近或其发动蓄能攻击时会引发以太能量剧烈爆炸；必要时，其会架起武器进行格挡，格挡成功后会快速反击敌人。</t>
  </si>
  <si>
    <t>多佩冈亚·暗渊惩戒者</t>
  </si>
  <si>
    <t>Monster_HugoVlad_Boss.png</t>
  </si>
  <si>
    <t>战斗中，多佩冈亚·暗渊惩戒者会主动回避敌人并开启[极限视域]，随后发动强力的突进攻击，该招式可以被[极限闪避]或[极限支援]反制。</t>
  </si>
  <si>
    <t>Monster_IsoldeSlime.png</t>
  </si>
  <si>
    <t>本已沉沦的造物，在深沉晦暗的不洁中再次被塑炼的形态。
    即使是在以诡谲怪诞而著称的离子体之中，「离子体·多佩冈亚」也算是极其特殊的类型。
    它们能够让特殊的活性以太离子覆盖体表，从而精确地模仿目标的外形，甚至可以做到以假乱真的地步。无论是细节还是质感，都和本体难辨真假。
    更难缠的是，它们甚至可以模仿本体各种气势凌厉、威力十足的战斗技巧。
    没人知道它究竟是从何处获得了自己模仿对象的情报，有传言称它能读心，能从对手的记忆里挑出最适合的挑战者，然后以那个姿态侵袭而来。
    「扯淡！它要真能读到我内心恐惧，它就该变成一个手拿衣架的凶狠 中年妇女！没错，我就怕我老妈！」</t>
  </si>
  <si>
    <t>战斗中，该敌人会施展和其模仿对象完全一致的招式，使用刀和枪发动猛烈的攻击。</t>
  </si>
  <si>
    <t>Monster_MiasmaIsoldeSlime.png</t>
  </si>
  <si>
    <t>战斗中，该敌人会施展和其模仿对象完全一致的招式，使用刀和枪发动猛烈的攻击，其在战斗中受到一定伤害后，还会开启[秽浊流界]，并发动强力而迅捷的穿刺攻击。</t>
  </si>
  <si>
    <t>多佩冈亚·狛野真斗</t>
  </si>
  <si>
    <t>Monster_NoranoEgo_Slime.png</t>
  </si>
  <si>
    <t>战斗中，离子体·多佩冈亚·狛野真斗会使用凌厉的攻击对玩家展开猛烈的攻击，玩家需要竭尽全力招架他的招式，当成功[招架支援]他的部分招式时，能够打断他的攻击，若能够成功[招架支援]他的强力招式时，可以使他进入虚弱状态。</t>
  </si>
  <si>
    <t>秽蚀·狛野真斗</t>
  </si>
  <si>
    <t>Monster_MiasmaNoranoSlime.png</t>
  </si>
  <si>
    <t>本已沉沦的造物，在深沉晦暗的不洁中再次被塑炼的形态。
    即使是在以诡谲怪诞而著称的离子体之中，「离子体·多佩冈亚」也算是极其特殊的类型。
    它们能够让特殊的活性以太离子覆盖体表，从而精确地模仿目标的外形，甚至可以做到以假乱真的地步。无论是细节还是质感，都和本体难辨真假。
    更难缠的是，它们甚至可以模仿本体各种气势凌厉、威力十足的战斗技巧。
    没人知道它究竟是从何处获得了自己模仿对象的情报，有传言称它能读心，能从对手的记忆里挑出最适合的挑战者，然后以那个姿态侵袭而来。
    「扯淡！它要真能读到我内心恐惧，它就该变成一个手拿衣架的凶狠
    中年妇女！没错，我就怕我老妈！」</t>
  </si>
  <si>
    <t>战斗中，秽蚀·多佩冈亚·狛野真斗会使用凌厉的攻击对玩家展开猛烈的攻击，玩家需要竭尽全力招架他的招式，当成功[招架支援]他的部分招式时，能够打断他的攻击，若能够成功[招架支援]他的强力招式时，可以使他进入虚弱状态。其在战斗中受到一定伤害后，还会开启[秽浊流界]，并发动强力的攻击。</t>
  </si>
  <si>
    <t>Monster_Tepes.png</t>
  </si>
  <si>
    <t>在长久扭曲以爱为名的控制下，为了得到至亲的关注与爱，少女不惜用谎言欺骗着因空洞失去亲人的受难者。
    她以为只要帮助至亲隐瞒「祝福」药剂的秘密，只要她听不到被侵蚀的人们痛苦的哀嚎，只要这一隐秘卑劣的实验不被曝光，她与至亲的纽带就不会断开。
    可最后等待她的，却是亲眼看着血泊中倒伏的至亲被夺走最后一口气息。
    在那之后，仇恨与嫉妒如尖刺无时无刻不在刺穿她的内心。
    复仇的齿轮啃咬着少女的每寸理智，她在至亲遗留的笔记里重新拼凑出扭曲的生存意义。
    她生命的轨迹仿佛是一则关于执念的黑色寓言。
    当昔日的同伴向她伸出救赎之手，少女已无法回头，或者说那些试图将她拉回光明的言语，悉数被扎入骨髓的嫉妒、执念、仇恨绞成残渣。
    最终，在太阳即将落下之时，无数尖刺从翻涌着，破体而出，每根骨刺都贯穿着被遗弃者的嘶吼。
    特佩什 —— 被尖刺刺穿的可悲之人啊，带着仇恨向更深的深渊走去吧。
    「尤其在夜晚，它的声音比其他以骸更加凄厉，而且细听之下，那声音有像是女性的哭声…」</t>
  </si>
  <si>
    <t>——怀斯塔学会的学者仔细聆听录音后写下的记录</t>
  </si>
  <si>
    <t>战斗中，特佩什会频繁利用双手的钉锤来发动强有力的攻击，且自身具有减伤效果。多次发动[招架支援]成功抵挡特佩什的手部攻击，会对其钉锤造成部位破坏，钉锤被破坏后，特佩什的部分招式会露出明显的破绽，特佩什失去减伤效果并被施加失衡易伤效果。</t>
  </si>
  <si>
    <t>Monster_FlameCantor.png</t>
  </si>
  <si>
    <t>称颂会中司职「秉火」、具有操纵秽息之能力的高阶教士。彼之戕害命脉的秽亵，我之烛照前路的明焰。
    虽然所有称颂会的狂徒在向你进攻时往往都或高喊或低吟着「塑炼」、「始主」之类语焉不详的口号，但鲜少如这一位真的能用秽息之火让人切身体验「塑炼」的滋味。
    「他们嘴里喊着『塑炼』啊『始主』啊『净化』啊什么的就冲上来了！」</t>
  </si>
  <si>
    <t>——空洞调查协会，空洞狂热破坏分子对策小组成员</t>
  </si>
  <si>
    <t>战斗中，秉火领颂的招式具有[秽染]能力，且会使用挥洒招式在地表生成[秽息泽]，此外，秉火领颂可以从[秽息泽]中召唤出赫斯克龙，并指挥赫斯克龙进行撞击。</t>
  </si>
  <si>
    <t>Monster_Banyrek.png</t>
  </si>
  <si>
    <t>在空洞调查协会的报告中，班尼雷克被多次标记为「危险」，主要因为——它实在太会跳了。
    如果在空洞中举办以骸运动会，跳高和跳远的冠军绝对会被它包揽。据观测记录，班尼雷克可以持续弹跳数小时而不显疲态，仿佛空气和地面之间就是它的天然跑道。 
    有研究员笑称，如果哪天能把它放到新艾利都城区，恐怕用不了一天它就能从西边弹到东边。 
    「要不试试把它驯化成坐骑？」 
    「算了吧，它那爆炸般的动能，直接拿来发电可能还更划算。」</t>
  </si>
  <si>
    <t>——刚和班尼雷克正面遭遇、满头大汗逃出空洞的盗洞客闲聊片段</t>
  </si>
  <si>
    <t>战斗中，班尼雷克会使用喷吐招式在地表生成[秽息泽]，其会主动吸收[秽息泽]并使自身招式获得强化，另外，其招式具有较强的[秽染]能力，部分招式命中[秽息泽]时还会将其引爆。</t>
  </si>
  <si>
    <t>Monster_Avarus.png</t>
  </si>
  <si>
    <t>在空洞调查协会的报告中，阿瓦鲁斯常被戏称为「贪吃之罪」的化身——它那大腹便便的身形怎么看都像个随时要睡着的懒鬼。
    但是，可千万别小看它。根据观测记录，瓦鲁斯能将身体缩成球状，以惊人速度对目标发起猛烈撞击。
    至于为什么它有着如此高强度的运动量，却仍旧维持着那副圆滚滚的体型？协会到现在也没研究出结论。
    「它滚起来的样子总让我想起我家的仓鼠，就是大了一些。」
    「大了不止一些吧...」</t>
  </si>
  <si>
    <t>——空洞调查员观测日志，摘自两位观测员的闲谈</t>
  </si>
  <si>
    <t>战斗中，秽息蚀者·阿瓦鲁斯会利用自身庞大的身躯进行滚动攻击，若连续3次使用[招架支援]反制该招式，即可打断其滚动攻击并使其露出破绽；战斗中受到一定伤害后，其会开启[秽浊流界]。</t>
  </si>
  <si>
    <t>Monster_MazingerGoldenBomb.png</t>
  </si>
  <si>
    <t>在盗洞客的都市传说中，黄金邦布们不断在空洞里收集丁尼和齿轮硬币，只是为了一个目的：提取所需的金属，众筹打造「黄金魔神」。（当然，所谓亮闪闪的「黄金」只是铬铜合金，只有它才能有足够的强度支撑如此伟岸的身躯。）
    当「黄金魔神」完成之日，出资额度最高的那只邦布，会在众邦布们的簇拥下坐入驾驶舱，以「黄金魔神邦布」形态出击，用各种华丽且威力十足的战斗招式，碾碎袭击黄金邦布的敌人们。
    「碎金冲击」、「熔金射线」、「鎏金飞弹」…
    虽然招式名字很怪，不过邦布们觉得很帅！
    「快看！黄金魔神邦布！」「别、别怕！如果干掉那家伙，就发财啦！」…
    即使经常被邪恶的盗洞客当做移动的金库，但是邦布们真的觉得它很帅！</t>
  </si>
  <si>
    <t>————「嗯呢，嗯嗯呢呢呢！」「黄金邦布魔神，屹立于大地之上！」</t>
  </si>
  <si>
    <t>魔神黄金邦布搭载最新的黄金装甲系统，开启「黄金装甲」时获得大量护盾值，期间其以太属性抗性大幅提升，电属性抗性大幅下降；魔神黄金邦布拥有极强的喷气推进系统，可以灵活闪避或飞行攻击，但是飞行时间有限。</t>
  </si>
  <si>
    <t>Monster_Anglercrab.png</t>
  </si>
  <si>
    <t>以「新手调查员」、「菜鸟盗洞客」以及「贪婪冒失的初级冒险者」为主食，
    捕猎愚人的渔人，空洞中最耐心的捕手——「渔人蟹」。
    在扑向「空洞物资容器」前，请时刻提醒自己：
    不要成为同事们今晚聚餐时的笑料，或者明早邮箱里群发的讣告。
    「宝箱怪？你是不是桌游玩儿多了？」</t>
  </si>
  <si>
    <t>——负责物资回收的新人调查员，工伤报销时提供的录音日志。</t>
  </si>
  <si>
    <t>战斗中，渔人蟹会侧向快速移动，利用双钳发动凶猛攻击，同时用坚硬的外壳保护自己。遭到猛烈攻击后，渔人蟹会进入防御模式，如果此时有外壳保护，则会在一段时间后退出防御模式并发动犀利反击，如果没有外壳保护，且受到多次攻击后，渔人蟹反而会被击溃并进入瘫痪状态。</t>
  </si>
  <si>
    <t>Monster_Huskron.png</t>
  </si>
  <si>
    <t>拥有孵化前后两套形态的赫斯克龙让新老调查员们都困扰不已。空洞调查协会给出相关建议：请时刻注意您脚边的秽息物质，如果发现存在类岩石样态的球体，立即发起攻击！不要犹豫！不要犹豫！
    据知情人士称，该建议末尾原本并无重复，直到一些取巧的空洞调查员在阅读建议后仍然尝试从赫斯克龙身边迈过。这种做法就和他们半夜为了不引起家里狗狗的注意，故意轻声地打开冰箱门一样无效。
    「我更喜欢它孵化前的样子，圆鼓鼓的，还会滚动。」
    「这就是你放弃先攻击它的原因吗..？」</t>
  </si>
  <si>
    <t>——刚从空洞死里逃生的两位见习调查员，安妮和贝萨的对话</t>
  </si>
  <si>
    <t>战斗中，赫斯克龙会谨慎的行动，面对玩家攻击时，会主动地摆出防御姿态，并发动强力反击，如果成功对此类反击招式进行招架支援，则会使其进入瘫痪。</t>
  </si>
  <si>
    <t>Monster_Arcavor.png</t>
  </si>
  <si>
    <t>阿卡沃尔那珊瑚般闪耀的头部，总能第一时间吸引新手盗洞客的注意，许多人在不知不觉中就被它迷住，直愣愣地看得出神，而他们不知道，危险才刚刚开始。
    趁着对方分神，阿卡沃尔会优雅地抬起修长的腿，摆出一个堪称杂技奇迹的几何姿势——空洞调查协会甚至在资料中形容，那姿态就像冰面上旋转起舞的芭蕾舞者。
    不过，协会的警告里也写得很清楚：当你看见它摆出这个姿势时，最好立刻翻滚、跳开、退后，因为它正在瞄准，准备给予你致命一击。
    「我说真的，这家伙是不是走错行了？它去当舞蹈演员、杂技明星、甚至花样滑冰选手都能红得发紫吧？偏偏要待在空洞里打人…」</t>
  </si>
  <si>
    <t>——《今日灾星》论坛，某位经历过「艺术性重击」的盗洞客留言</t>
  </si>
  <si>
    <t>战斗中，秽息行者·阿卡沃尔在远距离下会持续进行射击；首次被击倒后，如果接触到[秽息泽]会重新站起。</t>
  </si>
  <si>
    <t>Monster_HymnistWar.png</t>
  </si>
  <si>
    <t>空洞中经常回荡着一种令人不安的诵念声。老矿工们严禁任何人靠近声源，但新来的矿工强尼却不以为然。为了一个愚蠢的赌注，他悄悄地、一步步地向声音的源头摸去。终于，他来到一片空地。在那里，一群身着统一制服、面戴诡异面具的人，正围成一圈，举行着某种神秘的仪式，他们的周围，一群以骸正缓缓逼近。强尼大声警告他们，希望他们能够撤离。然而，他们置若罔闻，反而是那些以骸被强尼的声音吸引，朝他扑来…
    「我们一定会强化矿工队伍的纪律，愿神保佑强尼。」</t>
  </si>
  <si>
    <t>——强尼失踪后，老矿工萨利接受《新都日报》的采访</t>
  </si>
  <si>
    <t>战斗中，颂礼赞者在受到威胁时会引发不分敌我的强烈爆炸。</t>
  </si>
  <si>
    <t>秽蚀·简</t>
  </si>
  <si>
    <t>Monster_MiasmaJaneSlime.png</t>
  </si>
  <si>
    <t>战斗中，该敌人会在特定时机开启[秽浊流界]，必要时会招架并反制敌人的攻击，但通常在连段结束后会露出破绽。</t>
  </si>
  <si>
    <t>秽蚀·暗渊惩戒者</t>
  </si>
  <si>
    <t>Monster_MiasmaHugoSlime.png</t>
  </si>
  <si>
    <t>战斗中，该敌人会在特定时机主动回避敌人并开启[极限视域]和[秽浊流界]，随后发动强力的突进攻击，该招式可以被[极限闪避]或[极限支援]反制。</t>
  </si>
  <si>
    <t>秽蚀·多佩冈亚</t>
  </si>
  <si>
    <t>Monster_MiasmaSlime.png</t>
  </si>
  <si>
    <t>战斗中，该敌人会施展和其模仿对象完全一致的招式，且由于受到秽息侵蚀，其还会在特定时机开启[秽浊流界]。</t>
  </si>
  <si>
    <t>Monster_MiasmaThracian.png</t>
  </si>
  <si>
    <t>本已沉沦的造物，在深沉晦暗的不洁中再次被塑炼的形态。
    以古文明传说中的战士民族命名的凶恶以骸，传言只有最骁勇的英雄和最疯狂的恶棍才能在以太的腐化中化身此等凶物。
    ——事实并非如此，虽然你在空洞和健身房里锻炼出的健美肌肉，以及临死前过量释放的肾上腺素，都的确有可能帮助你成为你生前同伴们的大麻烦。不过想来他们不会和一个已经死透透的老朋友计较的，对不对？
    无所谓啦，当你英俊的面孔变成了黑色的诡异能量球，还计较什么社交声誉呢？
    「不愧是老大，变成以骸了也这么能打！」
    「他天天泡健身房的时候我就觉得不妙！」</t>
  </si>
  <si>
    <t>——被捕盗洞客团伙成员，大呼小叫的供词。</t>
  </si>
  <si>
    <t>战斗中，该敌人会在特定时机开启[秽浊流界]，立即发动一轮大范围的强力攻击，并在持续时间内强化自身招式。</t>
  </si>
  <si>
    <t>秉火梦徒</t>
  </si>
  <si>
    <t>Monster_FlameDreamer.png</t>
  </si>
  <si>
    <t>幻梦赞者</t>
  </si>
  <si>
    <t>Monster_DreamingHymnist.png</t>
  </si>
  <si>
    <t>原ID</t>
  </si>
  <si>
    <t>强化后ID</t>
  </si>
  <si>
    <t>转阶段后ID</t>
  </si>
  <si>
    <t>稀有度</t>
  </si>
  <si>
    <t>职业</t>
  </si>
  <si>
    <t>0级基础攻击力</t>
  </si>
  <si>
    <t>高级属性</t>
  </si>
  <si>
    <t>0级高级属性值</t>
  </si>
  <si>
    <t>60级高级属性值</t>
  </si>
  <si>
    <t>壳中之灵</t>
  </si>
  <si>
    <t>S</t>
  </si>
  <si>
    <t>思络成歌</t>
  </si>
  <si>
    <t>能量自动回复</t>
  </si>
  <si>
    <t>昨夜来电</t>
  </si>
  <si>
    <t>怒目金刚</t>
  </si>
  <si>
    <t>机巧心种</t>
  </si>
  <si>
    <t>铸梦炉歌</t>
  </si>
  <si>
    <t>云霓孤光</t>
  </si>
  <si>
    <t>狸法七变化</t>
  </si>
  <si>
    <t>十方锻星</t>
  </si>
  <si>
    <t>福虓炉炉</t>
  </si>
  <si>
    <t>牺牲洁纯</t>
  </si>
  <si>
    <t>青溟笼舍</t>
  </si>
  <si>
    <t>索魂影眸</t>
  </si>
  <si>
    <t>半糖雪兔</t>
  </si>
  <si>
    <t>飞鸟星梦</t>
  </si>
  <si>
    <t>心弦夜响</t>
  </si>
  <si>
    <t>玲珑妆匣</t>
  </si>
  <si>
    <t>嚣枪喧焰</t>
  </si>
  <si>
    <t>千面日陨</t>
  </si>
  <si>
    <t>淬锋钳刺</t>
  </si>
  <si>
    <t>玉壶青冰</t>
  </si>
  <si>
    <t>防暴者Ⅵ型</t>
  </si>
  <si>
    <t>时流贤者</t>
  </si>
  <si>
    <t>啜泣摇篮</t>
  </si>
  <si>
    <t>穿透率</t>
  </si>
  <si>
    <t>残心青囊</t>
  </si>
  <si>
    <t>深海访客</t>
  </si>
  <si>
    <t>嵌合编译器</t>
  </si>
  <si>
    <t>灼心摇壶</t>
  </si>
  <si>
    <t>焰心桂冠</t>
  </si>
  <si>
    <t>拘缚者</t>
  </si>
  <si>
    <t>燃狱齿轮</t>
  </si>
  <si>
    <t>霰落星殿</t>
  </si>
  <si>
    <t>奔袭獠牙</t>
  </si>
  <si>
    <t>海妖摇篮</t>
  </si>
  <si>
    <t>硫磺石</t>
  </si>
  <si>
    <t>钢铁肉垫</t>
  </si>
  <si>
    <t>左轮转子</t>
  </si>
  <si>
    <t>逍遥游球</t>
  </si>
  <si>
    <t>加农转子</t>
  </si>
  <si>
    <t>燔火胧夜</t>
  </si>
  <si>
    <t>震元奇枢</t>
  </si>
  <si>
    <t>裁纸刀</t>
  </si>
  <si>
    <t>轰鸣座驾</t>
  </si>
  <si>
    <t>维序者-特化型</t>
  </si>
  <si>
    <t>好斗的阿炮</t>
  </si>
  <si>
    <t>含羞恶面</t>
  </si>
  <si>
    <t>比格气缸</t>
  </si>
  <si>
    <t>旋钻机-赤轴</t>
  </si>
  <si>
    <t>仿制星徽引擎</t>
  </si>
  <si>
    <t>家政员</t>
  </si>
  <si>
    <t>聚宝箱</t>
  </si>
  <si>
    <t>德玛拉电池Ⅱ型</t>
  </si>
  <si>
    <t>炎炙沸釜</t>
  </si>
  <si>
    <t>青漪灵鼎</t>
  </si>
  <si>
    <t>光影刻刀</t>
  </si>
  <si>
    <t>强音热望</t>
  </si>
  <si>
    <t>电波漫步</t>
  </si>
  <si>
    <t>鎏金花信</t>
  </si>
  <si>
    <t>幻变魔方</t>
  </si>
  <si>
    <t>春日融融</t>
  </si>
  <si>
    <t>兔能环</t>
  </si>
  <si>
    <t>触电唇彩</t>
  </si>
  <si>
    <t>双生泣星</t>
  </si>
  <si>
    <t>正版变身器</t>
  </si>
  <si>
    <t>贵重骨核</t>
  </si>
  <si>
    <t>人为刀俎</t>
  </si>
  <si>
    <t>星徽引擎</t>
  </si>
  <si>
    <t>雨林饕客</t>
  </si>
  <si>
    <t>时光切片</t>
  </si>
  <si>
    <t>街头巨星</t>
  </si>
  <si>
    <t>「灰烬」-钴蓝</t>
  </si>
  <si>
    <t>「恒等式」-变格</t>
  </si>
  <si>
    <t>「恒等式」-本格</t>
  </si>
  <si>
    <t>「电磁暴」-叁式</t>
  </si>
  <si>
    <t>「电磁暴」-贰式</t>
  </si>
  <si>
    <t>「电磁暴」-壹式</t>
  </si>
  <si>
    <t>「湍流」-斧型</t>
  </si>
  <si>
    <t>「湍流」-矢型</t>
  </si>
  <si>
    <t>「湍流」-铳型</t>
  </si>
  <si>
    <t>「残响」-Ⅲ型</t>
  </si>
  <si>
    <t>「残响」-Ⅱ型</t>
  </si>
  <si>
    <t>「残响」-Ⅰ型</t>
  </si>
  <si>
    <t>「月相」-朔</t>
  </si>
  <si>
    <t>「月相」-晦</t>
  </si>
  <si>
    <t>「月相」-望</t>
  </si>
  <si>
    <t>简述</t>
  </si>
  <si>
    <t>技能描述1</t>
  </si>
  <si>
    <t>技能描述2</t>
  </si>
  <si>
    <t>技能描述3</t>
  </si>
  <si>
    <t>技能描述4</t>
  </si>
  <si>
    <t>技能描述5</t>
  </si>
  <si>
    <t>虚拟也好，妄想也罢，自感受存在的那一刻起，这一切便不再是虚妄。人一生所能接触的事物，在时间的长河中不过沧海一粟。但我仍愿这份歌声，能带你坠入甜蜜妄想。</t>
  </si>
  <si>
    <t>钢铁的躯壳中亦有灵魂存在。</t>
  </si>
  <si>
    <t>元气一击</t>
  </si>
  <si>
    <t>装备者的异常精通提升90点；以太属性的装备者进入前场或发动[特殊技]、[强化特殊技]时获得增益效果：对处于属性异常状态下的敌人造成的伤害提升20%，触发的所有属性异常伤害提升10%，效果持续15秒，重复触发时刷新持续时间，换回后场时该效果移除。</t>
  </si>
  <si>
    <t>装备者的异常精通提升103点；以太属性的装备者进入前场或发动[特殊技]、[强化特殊技]时获得增益效果：对处于属性异常状态下的敌人造成的伤害提升23%，触发的所有属性异常伤害提升11.5%，效果持续15秒，重复触发时刷新持续时间，换回后场时该效果移除。</t>
  </si>
  <si>
    <t>装备者的异常精通提升117点；以太属性的装备者进入前场或发动[特殊技]、[强化特殊技]时获得增益效果：对处于属性异常状态下的敌人造成的伤害提升26%，触发的所有属性异常伤害提升13%，效果持续15秒，重复触发时刷新持续时间，换回后场时该效果移除。</t>
  </si>
  <si>
    <t>装备者的异常精通提升130点；以太属性的装备者进入前场或发动[特殊技]、[强化特殊技]时获得增益效果：对处于属性异常状态下的敌人造成的伤害提升29%，触发的所有属性异常伤害提升14.5%，效果持续15秒，重复触发时刷新持续时间，换回后场时该效果移除。</t>
  </si>
  <si>
    <t>装备者的异常精通提升144点；以太属性的装备者进入前场或发动[特殊技]、[强化特殊技]时获得增益效果：对处于属性异常状态下的敌人造成的伤害提升32%，触发的所有属性异常伤害提升16%，效果持续15秒，重复触发时刷新持续时间，换回后场时该效果移除。</t>
  </si>
  <si>
    <t>音乐是少女对抗世界的武器。戴上耳机的那一刻，她就像个征讨「不高兴王国」的小小勇者，神气十足挥舞着自己的剑与盾，勒令世界捧出那些被吝啬鬼私藏的珍贵妄想。
    不过…这场征伐之旅有时会出现意料之外的困难，比如那位伪装成天使的旧友兼邪恶魔王——她为什么总能抓到在角落偷懒的自己啊！
    「喂喂喂，花了大功夫帮你组装好的音擎，你就用它在这里摸鱼？」
    可惜，这位不高兴魔王法力太过强大，且理由总是无懈可击…！每每遇到这种时刻，勇者千夏只好放下自己的武器，灰溜溜回到练习场地，继续与她总是跳不好的复杂舞步斗智斗勇。
    「总有一天我会打败魔王！」——来自不敢透露姓名的某勇者</t>
  </si>
  <si>
    <t>思绪顺着妄想的经络，如此编织成歌。</t>
  </si>
  <si>
    <t>喧响独白</t>
  </si>
  <si>
    <t>装备者为非操作中角色时，能量自动回复提升0.6点/秒；装备者发动[强化特殊技]造成物理伤害时，使全队角色获得增益效果：角色造成伤害提升12.5%，效果持续40秒，最多叠加2层，重复触发时刷新持续时间；拥有2层效果时，角色的攻击力额外提升10%，该效果全队唯一。</t>
  </si>
  <si>
    <t>装备者为非操作中角色时，能量自动回复提升0.69点/秒；装备者发动[强化特殊技]造成物理伤害时，使全队角色获得增益效果：角色造成伤害提升14.3%，效果持续40秒，最多叠加2层，重复触发时刷新持续时间；拥有2层效果时，角色的攻击力额外提升11.5%，该效果全队唯一。</t>
  </si>
  <si>
    <t>装备者为非操作中角色时，能量自动回复提升0.78点/秒；装备者发动[强化特殊技]造成物理伤害时，使全队角色获得增益效果：角色造成伤害提升16.1%，效果持续40秒，最多叠加2层，重复触发时刷新持续时间；拥有2层效果时，角色的攻击力额外提升13%，该效果全队唯一。</t>
  </si>
  <si>
    <t>装备者为非操作中角色时，能量自动回复提升0.87点/秒；装备者发动[强化特殊技]造成物理伤害时，使全队角色获得增益效果：角色造成伤害提升17.9%，效果持续40秒，最多叠加2层，重复触发时刷新持续时间；拥有2层效果时，角色的攻击力额外提升14.5%，该效果全队唯一。</t>
  </si>
  <si>
    <t>装备者为非操作中角色时，能量自动回复提升0.96点/秒；装备者发动[强化特殊技]造成物理伤害时，使全队角色获得增益效果：角色造成伤害提升20%，效果持续40秒，最多叠加2层，重复触发时刷新持续时间；拥有2层效果时，角色的攻击力额外提升16%，该效果全队唯一。</t>
  </si>
  <si>
    <t>叮铃铃铃——所有空洞里过期的来电，都由黑枝的金牌客服为您接听~
    故作轻松的营业台词不足以概括那些来自旧日的执念、怨恨、遗憾的重量。但那正是准备好背负这份重量的，最郑重的宣誓。
    「别人进空洞都是夹枪带棒扛大刀的，怎么就我带一堆电话机啊？」——正在向老大抱怨装备配置的琉音。</t>
  </si>
  <si>
    <t>那通你错过的来电，由她接听。</t>
  </si>
  <si>
    <t>7×24</t>
  </si>
  <si>
    <t>位于后场时，装备者的能量自动回复提升1.5点/秒；装备者发动[强化特殊技]造成物理属性伤害时，装备者攻击造成的失衡值提升9%，最多叠加3层，持续10秒，叠加到3层时，全队角色暴击伤害额外提升30%，持续40秒，重复触发时刷新持续时间，暴击伤害提升效果全队唯一。</t>
  </si>
  <si>
    <t>位于后场时，装备者的能量自动回复提升1.7点/秒；装备者发动[强化特殊技]造成物理属性伤害时，装备者攻击造成的失衡值提升10.3%，最多叠加3层，持续10秒，叠加到3层时，全队角色暴击伤害额外提升34.5%，持续40秒，重复触发时刷新持续时间，暴击伤害提升效果全队唯一。</t>
  </si>
  <si>
    <t>位于后场时，装备者的能量自动回复提升1.9点/秒；装备者发动[强化特殊技]造成物理属性伤害时，装备者攻击造成的失衡值提升11.7%，最多叠加3层，持续10秒，叠加到3层时，全队角色暴击伤害额外提升39%，持续40秒，重复触发时刷新持续时间，暴击伤害提升效果全队唯一。</t>
  </si>
  <si>
    <t>位于后场时，装备者的能量自动回复提升2.1点/秒；装备者发动[强化特殊技]造成物理属性伤害时，装备者攻击造成的失衡值提升13%，最多叠加3层，持续10秒，叠加到3层时，全队角色暴击伤害额外提升43.5%，持续40秒，重复触发时刷新持续时间，暴击伤害提升效果全队唯一。</t>
  </si>
  <si>
    <t>位于后场时，装备者的能量自动回复提升2.3点/秒；装备者发动[强化特殊技]造成物理属性伤害时，装备者攻击造成的失衡值提升14.5%，最多叠加3层，持续10秒，叠加到3层时，全队角色暴击伤害额外提升48%，持续40秒，重复触发时刷新持续时间，暴击伤害提升效果全队唯一。</t>
  </si>
  <si>
    <t>嗔焰难熄的金刚么，不止如此残酷吧。不动如山的武者么，不止如此纯粹吧。以火焚心的修士么，不止如此痛苦吧。
    「工匠对狮子脑袋的设计很执着呢…他说所有的愤怒和勇气，都藏在那双眼睛里。」
    ——总觉得音擎和自己长得太像的般岳。</t>
  </si>
  <si>
    <t>业火百炼，不曾渡我。</t>
  </si>
  <si>
    <t>焚心业火</t>
  </si>
  <si>
    <t>暴击率提升20%；装备者发动[强化特殊技]时，装备者造成的火属性贯穿伤害提升9%，最多叠加2层，持续20秒，每层效果单独结算持续时间。</t>
  </si>
  <si>
    <t>暴击率提升23%；装备者发动[强化特殊技]时，装备者造成的火属性贯穿伤害提升10.35%，最多叠加2层，持续20秒，每层效果单独结算持续时间。</t>
  </si>
  <si>
    <t>暴击率提升26%；装备者发动[强化特殊技]时，装备者造成的火属性贯穿伤害提升11.7%，最多叠加2层，持续20秒，每层效果单独结算持续时间。</t>
  </si>
  <si>
    <t>暴击率提升29%；装备者发动[强化特殊技]时，装备者造成的火属性贯穿伤害提升13.05%，最多叠加2层，持续20秒，每层效果单独结算持续时间。</t>
  </si>
  <si>
    <t>暴击率提升32%；装备者发动[强化特殊技]时，装备者造成的火属性贯穿伤害提升14.4%，最多叠加2层，持续20秒，每层效果单独结算持续时间。</t>
  </si>
  <si>
    <t>「心」是什么？
    生命的重量是多少？
    纵使拆解再多的机械，纵使浇灌再多的花朵，她始终找不到问题的答案。
    她用音擎完美模拟出了自己的心跳频率，期待着它能提供一种解答。但在规律的跳动声中，她逐渐陷入了沉睡，在梦里，「老席德」动了起来，拥有了心跳，还会像过去那样回应她天马行空的提问…
    在漫长的圆上，少女的旅途仍在继续。
    「『扳机』的心跳很平缓，『11号』的有点快，『奥菲丝』被队长训会变快，其他时候又有点慢，至于绳匠~唔，总感觉跳得特别厉害？」——「席德」，为了感受同伴们的心跳，此刻耳朵正紧贴在「法厄同」兄妹的胸前。</t>
  </si>
  <si>
    <t>在漫长的圆上，少女的旅途仍在继续。</t>
  </si>
  <si>
    <t>芽生炉心</t>
  </si>
  <si>
    <t>暴击率提升15%；装备者的[普通攻击]、[强化特殊技]造成伤害时，可分别获得1层增益效果，每层增益效果使装备者造成的电属性伤害提升12.5%，最多叠加2层，持续40秒，每层效果单独结算持续时间，同一招式内最多触发一次；拥有2层增益效果时，装备者的[普通攻击]和[终结技]对敌人造成的伤害无视20%防御力。</t>
  </si>
  <si>
    <t>暴击率提升17%；装备者的[普通攻击]、[强化特殊技]造成伤害时，可分别获得1层增益效果，每层增益效果使装备者造成的电属性伤害提升14.5%，最多叠加2层，持续40秒，每层效果单独结算持续时间，同一招式内最多触发一次；拥有2层增益效果时，装备者的[普通攻击]和[终结技]对敌人造成的伤害无视23%防御力。</t>
  </si>
  <si>
    <t>暴击率提升19%；装备者的[普通攻击]、[强化特殊技]造成伤害时，可分别获得1层增益效果，每层增益效果使装备者造成的电属性伤害提升16.5%，最多叠加2层，持续40秒，每层效果单独结算持续时间，同一招式内最多触发一次；拥有2层增益效果时，装备者的[普通攻击]和[终结技]对敌人造成的伤害无视26%防御力。</t>
  </si>
  <si>
    <t>暴击率提升21%；装备者的[普通攻击]、[强化特殊技]造成伤害时，可分别获得1层增益效果，每层增益效果使装备者造成的电属性伤害提升18.5%，最多叠加2层，持续40秒，每层效果单独结算持续时间，同一招式内最多触发一次；拥有2层增益效果时，装备者的[普通攻击]和[终结技]对敌人造成的伤害无视29%防御力。</t>
  </si>
  <si>
    <t>暴击率提升23%；装备者的[普通攻击]、[强化特殊技]造成伤害时，可分别获得1层增益效果，每层增益效果使装备者造成的电属性伤害提升20%，最多叠加2层，持续40秒，每层效果单独结算持续时间，同一招式内最多触发一次；拥有2层增益效果时，装备者的[普通攻击]和[终结技]对敌人造成的伤害无视32%防御力。</t>
  </si>
  <si>
    <t>年代无从知晓，工艺不可查考。仅从外表判断，它应该是旧都时代的遗留物，依靠着炉芯处燃烧的以太能量保存至今。
    许多年后，河水把它冲刷至浅滩，年幼的女孩拾起这枚造型精美的玩具，从此它代替她远去的亲人，在每个深夜给予陪伴，于漆黑中提供一隅光明。
    「嗯嗯，它就是个超级棒的小夜灯！」——询问卢西娅时，她如此作答。</t>
  </si>
  <si>
    <t>历经无数岁月，它是道沉默的谜题。</t>
  </si>
  <si>
    <t>月引颂篇</t>
  </si>
  <si>
    <t>装备者的能量自动回复提升0.4点/秒；当装备者开启[以太帷幕]或延长[以太帷幕]的持续时间时，全队角色造成伤害提升25%，生命值上限提升15%，效果持续45秒，重复触发时刷新持续时间，该效果全队唯一。</t>
  </si>
  <si>
    <t>装备者的能量自动回复提升0.46点/秒；当装备者开启[以太帷幕]或延长[以太帷幕]的持续时间时，全队角色造成伤害提升28.8%，生命值上限提升17.3%，效果持续45秒，重复触发时刷新持续时间，该效果全队唯一。</t>
  </si>
  <si>
    <t>装备者的能量自动回复提升0.52点/秒；当装备者开启[以太帷幕]或延长[以太帷幕]的持续时间时，全队角色造成伤害提升32.5%，生命值上限提升19.5%，效果持续45秒，重复触发时刷新持续时间，该效果全队唯一。</t>
  </si>
  <si>
    <t>装备者的能量自动回复提升0.58点/秒；当装备者开启[以太帷幕]或延长[以太帷幕]的持续时间时，全队角色造成伤害提升36.3%，生命值上限提升21.8%，效果持续45秒，重复触发时刷新持续时间，该效果全队唯一。</t>
  </si>
  <si>
    <t>装备者的能量自动回复提升0.64点/秒；当装备者开启[以太帷幕]或延长[以太帷幕]的持续时间时，全队角色造成伤害提升40%，生命值上限提升24%，效果持续45秒，重复触发时刷新持续时间，该效果全队唯一。</t>
  </si>
  <si>
    <t>由稚嫩到成熟，从迷惘至决意。
    长路漫漫，而她挽剑向前，所行处空无一人。
    直至剑光惊鸿，照彻云霓。
    「每当我挥剑时，它都会微微发热…很温暖呢。」——叶瞬光。</t>
  </si>
  <si>
    <t>世事多变，而此心恒常，一如云岿永伫。</t>
  </si>
  <si>
    <t>玉魄冰心</t>
  </si>
  <si>
    <t>装备者造成的伤害无视目标20%物理属性伤害抗性；装备者开启[以太帷幕]时，自身造成的伤害提升25%，暴击伤害提升25%，持续40秒，重复触发时刷新持续时间。</t>
  </si>
  <si>
    <t>装备者造成的伤害无视目标22%物理属性伤害抗性；装备者开启[以太帷幕]时，自身造成的伤害提升28.7%，暴击伤害提升28.7%，持续40秒，重复触发时刷新持续时间。</t>
  </si>
  <si>
    <t>装备者造成的伤害无视目标24%物理属性伤害抗性；装备者开启[以太帷幕]时，自身造成的伤害提升32.5%，暴击伤害提升32.5%，持续40秒，重复触发时刷新持续时间。</t>
  </si>
  <si>
    <t>装备者造成的伤害无视目标26%物理属性伤害抗性；装备者开启[以太帷幕]时，自身造成的伤害提升36.2%，暴击伤害提升36.2%，持续40秒，重复触发时刷新持续时间。</t>
  </si>
  <si>
    <t>装备者造成的伤害无视目标28%物理属性伤害抗性；装备者开启[以太帷幕]时，自身造成的伤害提升40%，暴击伤害提升40%，持续40秒，重复触发时刷新持续时间。</t>
  </si>
  <si>
    <t>精巧的小型音擎，原本是第一次参加学校空洞实习时发的便宜货，但因为体积小巧便于携带，柚叶始终难以割舍。
    第一次改造，增大了音擎的输出功率；第二次改造，追加了两个以太异常特化组件；第三次改造，尝试修改了内部布线，但不慎引起短路，把裙子烧了个洞；第四次改造，真斗帮忙修好了短路弄坏的热传导组件，但请真斗吃饭花的钱，已经足够买3个新的热传导组件了；第五次改造，更换了新的共鸣腔；第六次改造，提升了对驱动盘高频信号的响应速度。
    很好，它终于是一件完美的、可以陪伴主人出生入死的神兵利器了！然而——
    「爸，你见我音擎没？」
    「系果边啊，我帮你改左个外壳啦，之前太核突！唔可以畀人话我个女冇眼光！」
    「爸！这可是音擎诶，你搞这么华丽，万一弄坏了多可惜啊！」
    「咁就咪搞啲会整坏音擎嘅危险嘢啦！」</t>
  </si>
  <si>
    <t>巧夺天工的造型，饱含制作者对美的追求。</t>
  </si>
  <si>
    <t>机巧玲珑</t>
  </si>
  <si>
    <t>装备者的[强化特殊技]或[终结技]造成物理伤害时，装备者异常掌控提升30点，持续40秒；装备者的[追加攻击]命中敌人时，使全队角色的异常精通提升60点，持续40秒，该效果全队唯一。</t>
  </si>
  <si>
    <t>装备者的[强化特殊技]或[终结技]造成物理伤害时，装备者异常掌控提升34点，持续40秒；装备者的[追加攻击]命中敌人时，使全队角色的异常精通提升69点，持续40秒，该效果全队唯一。</t>
  </si>
  <si>
    <t>装备者的[强化特殊技]或[终结技]造成物理伤害时，装备者异常掌控提升39点，持续40秒；装备者的[追加攻击]命中敌人时，使全队角色的异常精通提升78点，持续40秒，该效果全队唯一。</t>
  </si>
  <si>
    <t>装备者的[强化特殊技]或[终结技]造成物理伤害时，装备者异常掌控提升43点，持续40秒；装备者的[追加攻击]命中敌人时，使全队角色的异常精通提升87点，持续40秒，该效果全队唯一。</t>
  </si>
  <si>
    <t>装备者的[强化特殊技]或[终结技]造成物理伤害时，装备者异常掌控提升48点，持续40秒；装备者的[追加攻击]命中敌人时，使全队角色的异常精通提升96点，持续40秒，该效果全队唯一。</t>
  </si>
  <si>
    <t>繁星洒落在绝对秩序的罗网中，一如它们数年前映入少女澄澈的双眼。洋溢而出的自信，高雅，坚定，勇气与爱，此刻都锻作傲然的剑，紧紧握在她的掌间。
    「我想3D打印一个360度全方位无死角对称的模型…只要输入这样的指令就可以了吧？」——爱丽丝，在音擎烧出黑烟停止运作的前一分钟的发言</t>
  </si>
  <si>
    <t>繁星化剑，她将勇气与爱紧紧握在掌间。</t>
  </si>
  <si>
    <t>予你星屑</t>
  </si>
  <si>
    <t>装备者的[异常掌控]提升60点；触发[强击]时，装备者造成的物理伤害提升20%，持续20秒，最多叠加2层，重复触发时刷新持续时间，装备者进入接战状态时，立即获得2层效果。</t>
  </si>
  <si>
    <t>装备者的[异常掌控]提升69点；触发[强击]时，装备者造成的物理伤害提升23%，持续20秒，最多叠加2层，重复触发时刷新持续时间，装备者进入接战状态时，立即获得2层效果。</t>
  </si>
  <si>
    <t>装备者的[异常掌控]提升78点；触发[强击]时，装备者造成的物理伤害提升26%，持续20秒，最多叠加2层，重复触发时刷新持续时间，装备者进入接战状态时，立即获得2层效果。</t>
  </si>
  <si>
    <t>装备者的[异常掌控]提升87点；触发[强击]时，装备者造成的物理伤害提升29%，持续20秒，最多叠加2层，重复触发时刷新持续时间，装备者进入接战状态时，立即获得2层效果。</t>
  </si>
  <si>
    <t>装备者的[异常掌控]提升96点；触发[强击]时，装备者造成的物理伤害提升32%，持续20秒，最多叠加2层，重复触发时刷新持续时间，装备者进入接战状态时，立即获得2层效果。</t>
  </si>
  <si>
    <t>告别过往的命运，告别倏然溜走的童年，告别父亲的拥抱与母亲的笑容，告别利爪与斑纹，告别不动容的山与不停留的云，告别恩师与故友，告别我，告别我。
    只要世上还记得，我曾勇敢咆哮过。
    「别怕！大师姐来了！」——福福来援华丽登场时的台词</t>
  </si>
  <si>
    <t>炉火融融暖长夜，照我心中虎啸声。</t>
  </si>
  <si>
    <t>虎气融融</t>
  </si>
  <si>
    <t>装备者的[强化特殊技]、[连携技]和[终结技]造成的失衡值提升28%；
    发动[连携技]或[终结技]并造成火属性伤害时，全队角色造成伤害提升10%，最多叠加2层，持续30秒，每层效果单独结算持续时间，同一招式内最多触发一次，该效果全队唯一。</t>
  </si>
  <si>
    <t>装备者的[强化特殊技]、[连携技]和[终结技]造成的失衡值提升32.2%；
    发动[连携技]或[终结技]并造成火属性伤害时，全队角色造成伤害提升11.5%，最多叠加2层，持续30秒，每层效果单独结算持续时间，同一招式内最多触发一次，该效果全队唯一。</t>
  </si>
  <si>
    <t>装备者的[强化特殊技]、[连携技]和[终结技]造成的失衡值提升36.4%；
    发动[连携技]或[终结技]并造成火属性伤害时，全队角色造成伤害提升13%，最多叠加2层，持续30秒，每层效果单独结算持续时间，同一招式内最多触发一次，该效果全队唯一。</t>
  </si>
  <si>
    <t>装备者的[强化特殊技]、[连携技]和[终结技]造成的失衡值提升40.6%；
    发动[连携技]或[终结技]并造成火属性伤害时，全队角色造成伤害提升14.5%，最多叠加2层，持续30秒，每层效果单独结算持续时间，同一招式内最多触发一次，该效果全队唯一。</t>
  </si>
  <si>
    <t>装备者的[强化特殊技]、[连携技]和[终结技]造成的失衡值提升44.8%；
    发动[连携技]或[终结技]并造成火属性伤害时，全队角色造成伤害提升16%，最多叠加2层，持续30秒，每层效果单独结算持续时间，同一招式内最多触发一次，该效果全队唯一。</t>
  </si>
  <si>
    <t>如果归于寂静的暴烈，仍然拥有拯救某人的力量——匣中鸣响的故剑，提示着那从不令人怀念的「美好」旧时光。
    「猫又，把它放下。不，没有什么秘密…妮可，请听我解释，是她先动手的…」——安比，只是狡兔屋平凡的一天</t>
  </si>
  <si>
    <t>白银之白非纯真。过往的利刃，能否斩断因缘？</t>
  </si>
  <si>
    <t>光静花冷</t>
  </si>
  <si>
    <t>暴击伤害提升30%；装备者发动[普通攻击] 、[特殊技]或[追加攻击]命中敌人时，可分别获得1层增益效果，每层增益效果使装备者的暴击伤害额外提升10%，最多叠加3层，持续30秒，每层效果单独结算持续时间，同一招式内最多触发一次；拥有3层增益效果时，装备者造成的电属性伤害提升20%。</t>
  </si>
  <si>
    <t>暴击伤害提升34.5%；装备者发动[普通攻击] 、[特殊技]或[追加攻击]命中敌人时，可分别获得1层增益效果，每层增益效果使装备者的暴击伤害额外提升11.5%，最多叠加3层，持续30秒，每层效果单独结算持续时间，同一招式内最多触发一次；拥有3层增益效果时，装备者造成的电属性伤害提升23%。</t>
  </si>
  <si>
    <t>暴击伤害提升39%；装备者发动[普通攻击] 、[特殊技]或[追加攻击]命中敌人时，可分别获得1层增益效果，每层增益效果使装备者的暴击伤害额外提升13%，最多叠加3层，持续30秒，每层效果单独结算持续时间，同一招式内最多触发一次；拥有3层增益效果时，装备者造成的电属性伤害提升26%。</t>
  </si>
  <si>
    <t>暴击伤害提升43.5%；装备者发动[普通攻击] 、[特殊技]或[追加攻击]命中敌人时，可分别获得1层增益效果，每层增益效果使装备者的暴击伤害额外提升14.5%，最多叠加3层，持续30秒，每层效果单独结算持续时间，同一招式内最多触发一次；拥有3层增益效果时，装备者造成的电属性伤害提升29%。</t>
  </si>
  <si>
    <t>暴击伤害提升48%；装备者发动[普通攻击] 、[特殊技]或[追加攻击]命中敌人时，可分别获得1层增益效果，每层增益效果使装备者的暴击伤害额外提升16%，最多叠加3层，持续30秒，每层效果单独结算持续时间，同一招式内最多触发一次；拥有3层增益效果时，装备者造成的电属性伤害提升32%。</t>
  </si>
  <si>
    <t>曾经的云岿弟子，如今的宗主。
    云岿山以济世救人为己任，每当艾利都遭逢劫难，自有云岿弟子挺身而出…直至旧都陷落的那一天。
    时间可以让新城拔地而起，让旧日之都化作无垠废墟，却无法褪去往昔之事。
    纵使她游历四方，试图遗忘那些陈年过往。可无论走到何处，回首时，那一切似乎尚在眼前。
    「江河易改，旧梦难消」——仪玄</t>
  </si>
  <si>
    <t>世事万千，命途多变，其难易者唯本心而已。</t>
  </si>
  <si>
    <t>云流运转</t>
  </si>
  <si>
    <t>暴击率提升20%；装备者释放[强化特殊技]时角色获得1层[青溟同行]效果，最多叠加2层，持续15秒，进入接战状态时直接获得2层，重复触发时刷新持续时间；每层[青溟同行]效果使装备者造成的以太伤害提升8%，[终结技]或[强化特殊技]造成的以太贯穿伤害提升10%。</t>
  </si>
  <si>
    <t>暴击率提升23%；装备者释放[强化特殊技]时角色获得1层[青溟同行]效果，最多叠加2层，持续15秒，进入接战状态时直接获得2层，重复触发时刷新持续时间；每层[青溟同行]效果使装备者造成的以太伤害提升9.2%，[终结技]或[强化特殊技]造成的以太贯穿伤害提升11.5%。</t>
  </si>
  <si>
    <t>暴击率提升26%；装备者释放[强化特殊技]时角色获得1层[青溟同行]效果，最多叠加2层，持续15秒，进入接战状态时直接获得2层，重复触发时刷新持续时间；每层[青溟同行]效果使装备者造成的以太伤害提升10.4%，[终结技]或[强化特殊技]造成的以太贯穿伤害提升13%。</t>
  </si>
  <si>
    <t>暴击率提升29%；装备者释放[强化特殊技]时角色获得1层[青溟同行]效果，最多叠加2层，持续15秒，进入接战状态时直接获得2层，重复触发时刷新持续时间；每层[青溟同行]效果使装备者造成的以太伤害提升11.6%，[终结技]或[强化特殊技]造成的以太贯穿伤害提升14.5%。</t>
  </si>
  <si>
    <t>暴击率提升32%；装备者释放[强化特殊技]时角色获得1层[青溟同行]效果，最多叠加2层，持续15秒，进入接战状态时直接获得2层，重复触发时刷新持续时间；每层[青溟同行]效果使装备者造成的以太伤害提升12.8%，[终结技]或[强化特殊技]造成的以太贯穿伤害提升16%。</t>
  </si>
  <si>
    <t>她的一生是寻觅的一生。寻觅同伴，寻觅仇敌，寻觅真相，寻觅温暖。一次次挣扎着伸手，一次次从指间逃脱。
    若有一天能寻得不完整灵魂的另一半碎片，又能否再听到那风中的旋律？
    「目标已回到录像店二楼，从声音判断，似乎在准备就寝。已更新行踪报告。」——「扳机」，似乎正在观察记录某位追踪对象</t>
  </si>
  <si>
    <t>残破的双目同时寄宿着不屈与脆弱。</t>
  </si>
  <si>
    <t>捕风寻踪</t>
  </si>
  <si>
    <t>装备者的[追加攻击]命中敌人并造成电属性伤害时，目标的防御力降低25%，持续5秒，同名被动效果之间不可叠加；该效果触发时，如果自身不是当前操作中的角色，则装备者获得1层[魂锁]，最多叠加3层，同一招式内最多触发一次；每层[魂锁]，可使装备者的冲击力提升4%，持续12秒，每层效果单独结算持续时间，[魂锁]层数叠满时，额外给装备者的冲击力提升8%。</t>
  </si>
  <si>
    <t>装备者的[追加攻击]命中敌人并造成电属性伤害时，目标的防御力降低28.75%，持续5秒，同名被动效果之间不可叠加；该效果触发时，如果自身不是当前操作中的角色，则装备者获得1层[魂锁]，最多叠加3层，同一招式内最多触发一次；每层[魂锁]，可使装备者的冲击力提升4.6%，持续12秒，每层效果单独结算持续时间，[魂锁]层数叠满时，额外给装备者的冲击力提升9.2%。</t>
  </si>
  <si>
    <t>装备者的[追加攻击]命中敌人并造成电属性伤害时，目标的防御力降低32.5%，持续5秒，同名被动效果之间不可叠加；该效果触发时，如果自身不是当前操作中的角色，则装备者获得1层[魂锁]，最多叠加3层，同一招式内最多触发一次；每层[魂锁]，可使装备者的冲击力提升5.2%，持续12秒，每层效果单独结算持续时间，[魂锁]层数叠满时，额外给装备者的冲击力提升10.4%。</t>
  </si>
  <si>
    <t>装备者的[追加攻击]命中敌人并造成电属性伤害时，目标的防御力降低36.25%，持续5秒，同名被动效果之间不可叠加；该效果触发时，如果自身不是当前操作中的角色，则装备者获得1层[魂锁]，最多叠加3层，同一招式内最多触发一次；每层[魂锁]，可使装备者的冲击力提升5.8%，持续12秒，每层效果单独结算持续时间，[魂锁]层数叠满时，额外给装备者的冲击力提升11.6%。</t>
  </si>
  <si>
    <t>装备者的[追加攻击]命中敌人并造成电属性伤害时，目标的防御力降低40%，持续5秒，同名被动效果之间不可叠加；该效果触发时，如果自身不是当前操作中的角色，则装备者获得1层[魂锁]，最多叠加3层，同一招式内最多触发一次；每层[魂锁]，可使装备者的冲击力提升6.4%，持续12秒，每层效果单独结算持续时间，[魂锁]层数叠满时，额外给装备者的冲击力提升12.8%。</t>
  </si>
  <si>
    <t>十分冰度，十二分甜度，制作者宣称这是他今年最满意的定制化音擎作品。「怎么样照小姐，我把这个音擎命名为『全糖雪兔』，很符合您的风格吧！啊？改叫半糖？为什么…哦不不不，您是客户，命名的权力当然交给您了！」
    「等价交换的规则就是恰到好处，不多也不少。」——被琉音追问了几遍「全糖不好吗」后，小照给出了答案。</t>
  </si>
  <si>
    <t>不会太甜，也不会太冷。</t>
  </si>
  <si>
    <t>易碎之甜</t>
  </si>
  <si>
    <t>装备者的能量自动回复提升0.46点/秒；全队角色攻击力提升10%，最大生命值提升10%，该效果全队唯一；装备者开启或延长[以太帷幕]时，使全队角色的暴击伤害提升30%，持续60秒，重复触发刷新持续时间。</t>
  </si>
  <si>
    <t>装备者的能量自动回复提升0.53点/秒；全队角色攻击力提升11.5%，最大生命值提升11.5%，该效果全队唯一；装备者开启或延长[以太帷幕]时，使全队角色的暴击伤害提升34.5%，持续60秒，重复触发刷新持续时间。</t>
  </si>
  <si>
    <t>装备者的能量自动回复提升0.6点/秒；全队角色攻击力提升13%，最大生命值提升13%，该效果全队唯一；装备者开启或延长[以太帷幕]时，使全队角色的暴击伤害提升39%，持续60秒，重复触发刷新持续时间。</t>
  </si>
  <si>
    <t>装备者的能量自动回复提升0.67点/秒；全队角色攻击力提升14.5%，最大生命值提升14.5%，该效果全队唯一；装备者开启或延长[以太帷幕]时，使全队角色的暴击伤害提升43.5%，持续60秒，重复触发刷新持续时间。</t>
  </si>
  <si>
    <t>装备者的能量自动回复提升0.74点/秒；全队角色攻击力提升16%，最大生命值提升16%，该效果全队唯一；装备者开启或延长[以太帷幕]时，使全队角色的暴击伤害提升48%，持续60秒，重复触发刷新持续时间。</t>
  </si>
  <si>
    <t>飞鸟，星辰，花枝，阳伞与裙摆，是说不出口的情愫，亦是昭然若揭的心意，直到月光开始叹息，花苞才敢偷偷绽开，放出雀跃的飞鸟，让它穿行于辰星，沾染上闪闪星光，在黎明之前，抵达你的屋檐下，抖落夜晚的情话。
    「法厄同大人只需要薇薇安，法厄同大人只喜欢薇薇安，法厄同大人只看着薇薇安…再对着它念178天，就可以把它送给法厄同大人了。」——薇薇安，占卜玄学巫蛊并不科学且毫无可取之处，不要轻易尝试</t>
  </si>
  <si>
    <t>飞鸟停落于窗前，抖落尾羽星光点点。</t>
  </si>
  <si>
    <t>银刺幽羽</t>
  </si>
  <si>
    <t>属性异常积蓄效率提升40%；装备者造成以太伤害时，自身异常精通提升20点，持续5秒，最多叠加6层，0.5秒内最多触发一次，重复触发时刷新持续时间。</t>
  </si>
  <si>
    <t>属性异常积蓄效率提升46%；装备者造成以太伤害时，自身异常精通提升23点，持续5秒，最多叠加6层，0.5秒内最多触发一次，重复触发时刷新持续时间。</t>
  </si>
  <si>
    <t>属性异常积蓄效率提升52%；装备者造成以太伤害时，自身异常精通提升26点，持续5秒，最多叠加6层，0.5秒内最多触发一次，重复触发时刷新持续时间。</t>
  </si>
  <si>
    <t>属性异常积蓄效率提升58%；装备者造成以太伤害时，自身异常精通提升29点，持续5秒，最多叠加6层，0.5秒内最多触发一次，重复触发时刷新持续时间。</t>
  </si>
  <si>
    <t>属性异常积蓄效率提升64%；装备者造成以太伤害时，自身异常精通提升32点，持续5秒，最多叠加6层，0.5秒内最多触发一次，重复触发时刷新持续时间。</t>
  </si>
  <si>
    <t>暗弦轻鸣，微光在深邃的夜色中绽开，锋芒与冷静交织，化作一曲无声的乐章。丝丝纤纤，将所珍视之物，网罗其中。
    「这个么？只是用来储存琴弦的装置罢了。」——伊芙琳轻轻拨动，低沉的弦音在空气中回响，最后一声落定，敌人已无声息。</t>
  </si>
  <si>
    <t>弦音如刃，穿过夜幕，守护注定之人。</t>
  </si>
  <si>
    <t>弦音相随</t>
  </si>
  <si>
    <t>暴击伤害提升50%；装备者进入接战状态、发动[连携技]、[终结技]时，获得1层[心弦]，每层[心弦]会使装备者的[连携技]和[终结技]无视目标12.5%火属性伤害抗性，最多叠加2层，持续30秒，重复触发时刷新持续时间。</t>
  </si>
  <si>
    <t>暴击伤害提升57.5%；装备者进入接战状态、发动[连携技]、[终结技]时，获得1层[心弦]，每层[心弦]会使装备者的[连携技]和[终结技]无视目标14.5%火属性伤害抗性，最多叠加2层，持续30秒，重复触发时刷新持续时间。</t>
  </si>
  <si>
    <t>暴击伤害提升65%；装备者进入接战状态、发动[连携技]、[终结技]时，获得1层[心弦]，每层[心弦]会使装备者的[连携技]和[终结技]无视目标16.5%火属性伤害抗性，最多叠加2层，持续30秒，重复触发时刷新持续时间。</t>
  </si>
  <si>
    <t>暴击伤害提升72.5%；装备者进入接战状态、发动[连携技]、[终结技]时，获得1层[心弦]，每层[心弦]会使装备者的[连携技]和[终结技]无视目标18.5%火属性伤害抗性，最多叠加2层，持续30秒，重复触发时刷新持续时间。</t>
  </si>
  <si>
    <t>暴击伤害提升80%；装备者进入接战状态、发动[连携技]、[终结技]时，获得1层[心弦]，每层[心弦]会使装备者的[连携技]和[终结技]无视目标20%火属性伤害抗性，最多叠加2层，持续30秒，重复触发时刷新持续时间。</t>
  </si>
  <si>
    <t>光芒的轮廓逐渐浮现，璀璨的彩光从匣内泄露，似真似幻，映射出舞台背后未曾言说的秘密，繁华与危机在其中悄然交错，让人不禁沉迷，无法移开视线。
    「这可是秘密武器～女孩子的温柔、诱惑、力量、骄傲、光芒，全都藏在这个里面！」——嘉音用无名指将唇色晕染开，扣起妆匣嫣然一笑道。</t>
  </si>
  <si>
    <t>灿烂夺目的华彩之下，一份本真从未被掩盖。</t>
  </si>
  <si>
    <t>卓卓千华</t>
  </si>
  <si>
    <t>队伍中任意角色通过[快速支援]、[连携技]、[招架支援]、[回避支援]入场时，为装备者回复5点能量，5秒内最多触发一次；装备者消耗25点或以上能量时，全队角色造成的伤害提升10%，最多叠加2层，持续20秒，重复触发时刷新持续时间，该效果全队唯一。</t>
  </si>
  <si>
    <t>队伍中任意角色通过[快速支援]、[连携技]、[招架支援]、[回避支援]入场时，为装备者回复5.5点能量，5秒内最多触发一次；装备者消耗25点或以上能量时，全队角色造成的伤害提升11.5%，最多叠加2层，持续20秒，重复触发时刷新持续时间，该效果全队唯一。</t>
  </si>
  <si>
    <t>队伍中任意角色通过[快速支援]、[连携技]、[招架支援]、[回避支援]入场时，为装备者回复6点能量，5秒内最多触发一次；装备者消耗25点或以上能量时，全队角色造成的伤害提升13%，最多叠加2层，持续20秒，重复触发时刷新持续时间，该效果全队唯一。</t>
  </si>
  <si>
    <t>队伍中任意角色通过[快速支援]、[连携技]、[招架支援]、[回避支援]入场时，为装备者回复6.5点能量，5秒内最多触发一次；装备者消耗25点或以上能量时，全队角色造成的伤害提升14.5%，最多叠加2层，持续20秒，重复触发时刷新持续时间，该效果全队唯一。</t>
  </si>
  <si>
    <t>队伍中任意角色通过[快速支援]、[连携技]、[招架支援]、[回避支援]入场时，为装备者回复7点能量，5秒内最多触发一次；装备者消耗25点或以上能量时，全队角色造成的伤害提升16%，最多叠加2层，持续20秒，重复触发时刷新持续时间，该效果全队唯一。</t>
  </si>
  <si>
    <t>在研制这款音擎时，监制的「鬼火」队长一直在旁边重复着「不够烫、不够热」，要求制作者持续提高温度，直至迫近负载材料熔化的临界点。这位工匠不得不顶着「鬼火」的抱怨、奥菲丝的道歉和令人晕眩的蒸汽进行作业。最终，在一声不堪重荷的尖锐嗡鸣里，蹚过地狱高温、历经千锤百炼的特制音擎终于大功告成，以不亚于主人的分贝冷却成型。
    「队长，为什么你总是这么生气啊？」
    「我是一把枪啊奥菲丝，枪膛里流淌的只有金属和火药。」
    ——在那柄名为「队长」的武器上，奥菲丝第一次看到了落寞的神色。</t>
  </si>
  <si>
    <t>她徘徊于冥河之畔，等待潮水熄灭膛中怒焰。</t>
  </si>
  <si>
    <t>喋声吞炎</t>
  </si>
  <si>
    <t>暴击率提升20%；装备者发动[追加攻击]造成火属性伤害时，装备者的攻击对敌人造成的伤害无视15%防御力，持续8秒，3秒内最多获得1层，最多叠加2层，重复触发时刷新持续时间。</t>
  </si>
  <si>
    <t>暴击率提升23%；装备者发动[追加攻击]造成火属性伤害时，装备者的攻击对敌人造成的伤害无视17.2%防御力，持续8秒，3秒内最多获得1层，最多叠加2层，重复触发时刷新持续时间。</t>
  </si>
  <si>
    <t>暴击率提升26%；装备者发动[追加攻击]造成火属性伤害时，装备者的攻击对敌人造成的伤害无视19.5%防御力，持续8秒，3秒内最多获得1层，最多叠加2层，重复触发时刷新持续时间。</t>
  </si>
  <si>
    <t>暴击率提升29%；装备者发动[追加攻击]造成火属性伤害时，装备者的攻击对敌人造成的伤害无视21.7%防御力，持续8秒，3秒内最多获得1层，最多叠加2层，重复触发时刷新持续时间。</t>
  </si>
  <si>
    <t>暴击率提升32%；装备者发动[追加攻击]造成火属性伤害时，装备者的攻击对敌人造成的伤害无视24%防御力，持续8秒，3秒内最多获得1层，最多叠加2层，重复触发时刷新持续时间。</t>
  </si>
  <si>
    <t>优雅的收藏家，狡猾的怪盗，可恨的欺诈师，傲慢自负的私生子…
    世人对他有千万种定义。既得利益者厌恶他的存在，平民拥护者赞颂他的正义。暗巷传说将他描摹成游走于危险边缘的狂徒，而贵族们提及他如同揭开一副名为诅咒的棺椁。
    万千面相皆是他，却又皆不是他。
    「我将活在万千不同的故事之中。」——雨果</t>
  </si>
  <si>
    <t>黑暗如影随形。而他剖开心血，点燃一盏孤灯。</t>
  </si>
  <si>
    <t>万千非我</t>
  </si>
  <si>
    <t>暴击伤害提升45%；[强化特殊技]、[连携技]、[终结技]造成冰属性伤害时，角色获得[零度处刑宣言]效果，持续3秒；[零度处刑宣言]效果期间，角色命中敌人时无视25%防御力。</t>
  </si>
  <si>
    <t>暴击伤害提升51.75%；[强化特殊技]、[连携技]、[终结技]造成冰属性伤害时，角色获得[零度处刑宣言]效果，持续3秒；[零度处刑宣言]效果期间，角色命中敌人时无视28.75%防御力。</t>
  </si>
  <si>
    <t>暴击伤害提升58.5%；[强化特殊技]、[连携技]、[终结技]造成冰属性伤害时，角色获得[零度处刑宣言]效果，持续3秒；[零度处刑宣言]效果期间，角色命中敌人时无视32.5%防御力。</t>
  </si>
  <si>
    <t>暴击伤害提升65.25%；[强化特殊技]、[连携技]、[终结技]造成冰属性伤害时，角色获得[零度处刑宣言]效果，持续3秒；[零度处刑宣言]效果期间，角色命中敌人时无视36.25%防御力。</t>
  </si>
  <si>
    <t>暴击伤害提升72%；[强化特殊技]、[连携技]、[终结技]造成冰属性伤害时，角色获得[零度处刑宣言]效果，持续3秒；[零度处刑宣言]效果期间，角色命中敌人时无视40%防御力。</t>
  </si>
  <si>
    <t>获取途径不明的高危级音擎，由简·杜本人亲手改装，兼顾物理杀伤力和异常触及。内载能量运转核心确保异常触发效果，外部的所有尖锐部分则已经反复打磨，确保能在近身格斗中造成出其不意的撕裂伤害。
    「难道要和以骸讲究决斗礼仪？用最快的方式结束它们的痛苦，还不够礼貌吗~」——简，面对「战斗手段是否过于残忍」的质疑时忍不住发笑</t>
  </si>
  <si>
    <t>获取途径不明的高危级音擎，由简·杜本人亲手改装，兼顾物理杀伤力和异常触及。</t>
  </si>
  <si>
    <t>恣横猎心</t>
  </si>
  <si>
    <t>发动[冲刺攻击]时，获得1层[猎意]，每层[猎意]使装备者造成的物理伤害提升12%，最多叠加3层，持续10秒，0.5秒内最多触发一次，重复触发时刷新持续时间；进入接战状态或触发[极限闪避]时，直接获得3层[猎意]；[猎意]叠加至层数上限后，装备者的属性异常积蓄效率提升40%。</t>
  </si>
  <si>
    <t>发动[冲刺攻击]时，获得1层[猎意]，每层[猎意]使装备者造成的物理伤害提升15%，最多叠加3层，持续10秒，0.5秒内最多触发一次，重复触发时刷新持续时间；进入接战状态或触发[极限闪避]时，直接获得3层[猎意]；[猎意]叠加至层数上限后，装备者的属性异常积蓄效率提升50%。</t>
  </si>
  <si>
    <t>发动[冲刺攻击]时，获得1层[猎意]，每层[猎意]使装备者造成的物理伤害提升18%，最多叠加3层，持续10秒，0.5秒内最多触发一次，重复触发时刷新持续时间；进入接战状态或触发[极限闪避]时，直接获得3层[猎意]；[猎意]叠加至层数上限后，装备者的属性异常积蓄效率提升60%。</t>
  </si>
  <si>
    <t>发动[冲刺攻击]时，获得1层[猎意]，每层[猎意]使装备者造成的物理伤害提升21%，最多叠加3层，持续10秒，0.5秒内最多触发一次，重复触发时刷新持续时间；进入接战状态或触发[极限闪避]时，直接获得3层[猎意]；[猎意]叠加至层数上限后，装备者的属性异常积蓄效率提升70%。</t>
  </si>
  <si>
    <t>发动[冲刺攻击]时，获得1层[猎意]，每层[猎意]使装备者造成的物理伤害提升24%，最多叠加3层，持续10秒，0.5秒内最多触发一次，重复触发时刷新持续时间；进入接战状态或触发[极限闪避]时，直接获得3层[猎意]；[猎意]叠加至层数上限后，装备者的属性异常积蓄效率提升80%。</t>
  </si>
  <si>
    <t>参考「钰偶」的战斗方式与能力，为其量身定制的击破型音擎。其储能内蕴，衍化后冲击于外；质地模拟古文明追捧的珍贵工艺，烧成则温润清雅，碎裂则刚硬锐利；壶中神鸟花纹独特、如名窑冰裂…但其实是手工绘制的。
    「保温效果很好，在空洞中也可以随时喝上热水。」——青衣，面对研究者回访时认真讲述意见</t>
  </si>
  <si>
    <t>参考「钰偶」的战斗方式与能力，为其量身定制的击破型音擎；储能内蕴，衍化后冲击于外。</t>
  </si>
  <si>
    <t>泠泠连奏</t>
  </si>
  <si>
    <t>[普通攻击]命中敌人时，获得1层[茶劲]，每层[茶劲]使装备者的冲击力提升0.7%，最多叠加30层，持续8秒，每层效果单独结算持续时间；获得[茶劲]时，若装备者拥有的[茶劲]层数大于等于15层，全队角色造成的伤害提升20%，持续10秒，同名被动效果之间不可叠加。</t>
  </si>
  <si>
    <t>[普通攻击]命中敌人时，获得1层[茶劲]，每层[茶劲]使装备者的冲击力提升0.88%，最多叠加30层，持续8秒，每层效果单独结算持续时间；获得[茶劲]时，若装备者拥有的[茶劲]层数大于等于15层，全队角色造成的伤害提升23%，持续10秒，同名被动效果之间不可叠加。</t>
  </si>
  <si>
    <t>[普通攻击]命中敌人时，获得1层[茶劲]，每层[茶劲]使装备者的冲击力提升1.05%，最多叠加30层，持续8秒，每层效果单独结算持续时间；获得[茶劲]时，若装备者拥有的[茶劲]层数大于等于15层，全队角色造成的伤害提升26%，持续10秒，同名被动效果之间不可叠加。</t>
  </si>
  <si>
    <t>[普通攻击]命中敌人时，获得1层[茶劲]，每层[茶劲]使装备者的冲击力提升1.22%，最多叠加30层，持续8秒，每层效果单独结算持续时间；获得[茶劲]时，若装备者拥有的[茶劲]层数大于等于15层，全队角色造成的伤害提升29%，持续10秒，同名被动效果之间不可叠加。</t>
  </si>
  <si>
    <t>[普通攻击]命中敌人时，获得1层[茶劲]，每层[茶劲]使装备者的冲击力提升1.4%，最多叠加30层，持续8秒，每层效果单独结算持续时间；获得[茶劲]时，若装备者拥有的[茶劲]层数大于等于15层，全队角色造成的伤害提升32%，持续10秒，同名被动效果之间不可叠加。</t>
  </si>
  <si>
    <t>治安局为空洞精英小队配备的最新款战术音擎，拥有强劲的以太供能功率，可在短时间内为全部作战设备提供爆发式超额供能。虽然不少精英队员的音擎会因为久经阵仗而伤痕累累，但认真且爱惜物品的朱鸢始终一丝不苟地保养自己的音擎，甚至将其擦拭得像新品一样。
    「无纺布、毛刷、润滑油、除锈剂…好，准备完成。计时…开始！」——朱鸢，开始保养时为自己计时，挑战比上一次更短的保养时间</t>
  </si>
  <si>
    <t>治安局为空洞精英小队配备的最新款战术音擎，拥有强劲的以太供能功率，是朱鸢爱用的款式。</t>
  </si>
  <si>
    <t>安全巡查</t>
  </si>
  <si>
    <t>暴击率提升15%；发动[强化特殊技]时，为装备者提供8层充能效果，最多叠加8层；[普通攻击]或[冲刺攻击]造成以太伤害时，消耗1层充能，使当前招式造成的伤害提升35%。</t>
  </si>
  <si>
    <t>暴击率提升18.8%；发动[强化特殊技]时，为装备者提供8层充能效果，最多叠加8层；[普通攻击]或[冲刺攻击]造成以太伤害时，消耗1层充能，使当前招式造成的伤害提升43.5%。</t>
  </si>
  <si>
    <t>暴击率提升22.6%；发动[强化特殊技]时，为装备者提供8层充能效果，最多叠加8层；[普通攻击]或[冲刺攻击]造成以太伤害时，消耗1层充能，使当前招式造成的伤害提升52%。</t>
  </si>
  <si>
    <t>暴击率提升26.4%；发动[强化特殊技]时，为装备者提供8层充能效果，最多叠加8层；[普通攻击]或[冲刺攻击]造成以太伤害时，消耗1层充能，使当前招式造成的伤害提升60.5%。</t>
  </si>
  <si>
    <t>暴击率提升30%；发动[强化特殊技]时，为装备者提供8层充能效果，最多叠加8层；[普通攻击]或[冲刺攻击]造成以太伤害时，消耗1层充能，使当前招式造成的伤害提升70%。</t>
  </si>
  <si>
    <t>对空六课特制的新式超算音擎，搭载了最尖端的计算与分析功能，由此可精准记录使用者的活动时长、状态并测算出最优的作战方案。内部嵌入了月城柳珍藏的手表，但每次启动音擎时指针都会受到以太供能的影响转得飞起，早已无法正确读时，所以当她用上面显示的时间催促你任务即将超时、需要提高效率时千万别信。
    「你说这是“杀时间”的神器？原来如此，因为这个音擎里的手表总是走得更快，多走过的时间就相当于被“杀”了……但现实的时间流速是固定不变的，它走得再快也无法快速消磨时间，虽然想法不错，但这个包袱只能给六分。」——月城柳，一本正经地回应同僚无心的调侃</t>
  </si>
  <si>
    <t>对空六课特制的新式超算音擎，搭载了用于测算作战方案的尖端计算与分析功能。</t>
  </si>
  <si>
    <t>时喰奇谋</t>
  </si>
  <si>
    <t>装备者的电属性异常积蓄效率提升30%；[特殊技]或[强化特殊技]命中处于属性异常状态下的敌人时，装备者的异常精通提升75点，持续15秒；
    当装备者的异常精通大于等于375点时，由装备者造成的[紊乱]伤害提升25%。</t>
  </si>
  <si>
    <t>装备者的电属性异常积蓄效率提升35%；[特殊技]或[强化特殊技]命中处于属性异常状态下的敌人时，装备者的异常精通提升85点，持续15秒；
    当装备者的异常精通大于等于375点时，由装备者造成的[紊乱]伤害提升27.5%。</t>
  </si>
  <si>
    <t>装备者的电属性异常积蓄效率提升40%；[特殊技]或[强化特殊技]命中处于属性异常状态下的敌人时，装备者的异常精通提升95点，持续15秒；
    当装备者的异常精通大于等于375点时，由装备者造成的[紊乱]伤害提升30%。</t>
  </si>
  <si>
    <t>装备者的电属性异常积蓄效率提升45%；[特殊技]或[强化特殊技]命中处于属性异常状态下的敌人时，装备者的异常精通提升105点，持续15秒；
    当装备者的异常精通大于等于375点时，由装备者造成的[紊乱]伤害提升32.5%。</t>
  </si>
  <si>
    <t>装备者的电属性异常积蓄效率提升50%；[特殊技]或[强化特殊技]命中处于属性异常状态下的敌人时，装备者的异常精通提升115点，持续15秒；
    当装备者的异常精通大于等于375点时，由装备者造成的[紊乱]伤害提升35%。</t>
  </si>
  <si>
    <t>特制的多夹层嵌套式音擎，其内含有特殊的以太充电层，可为特型邦布和定制作战设备快速充电。虽然该音擎从外表上看起来像是个残酷的惩戒室，但丽娜的邦布们似乎相当喜欢钻进里面充电，甚至把「缩在里面休息」当做了舒适的「奖励」。
    「嘘…两个小家伙在休息，要是突然醒了一定会很调皮。喝茶时建议不要发出声音噢~」——丽娜，用茶点招待朋友时的温馨提示</t>
  </si>
  <si>
    <t>特制的多夹层嵌套式音擎，可为特型邦布和定制作战设备快速充电。是丽娜爱用的款式。</t>
  </si>
  <si>
    <t>惩·罚</t>
  </si>
  <si>
    <t>位于后场时，装备者的能量自动回复提升0.6点/秒；装备者攻击命中敌人时，所有单位对目标造成的伤害提升10%，持续3秒；效果持续期间，每0.5秒该增益效果额外提升1.7%，最多额外提升10.2%，重复触发时仅刷新持续时间，不刷新伤害提升效果，同名被动效果之间不可叠加。</t>
  </si>
  <si>
    <t>位于后场时，装备者的能量自动回复提升0.75点/秒；装备者攻击命中敌人时，所有单位对目标造成的伤害提升12.5%，持续3秒；效果持续期间，每0.5秒该增益效果额外提升2%，最多额外提升12%，重复触发时仅刷新持续时间，不刷新伤害提升效果，同名被动效果之间不可叠加。</t>
  </si>
  <si>
    <t>位于后场时，装备者的能量自动回复提升0.9点/秒；装备者攻击命中敌人时，所有单位对目标造成的伤害提升15%，持续3秒；效果持续期间，每0.5秒该增益效果额外提升2.5%，最多额外提升15%，重复触发时仅刷新持续时间，不刷新伤害提升效果，同名被动效果之间不可叠加。</t>
  </si>
  <si>
    <t>位于后场时，装备者的能量自动回复提升1.05点/秒；装备者攻击命中敌人时，所有单位对目标造成的伤害提升17.5%，持续3秒；效果持续期间，每0.5秒该增益效果额外提升3%，最多额外提升18%，重复触发时仅刷新持续时间，不刷新伤害提升效果，同名被动效果之间不可叠加。</t>
  </si>
  <si>
    <t>位于后场时，装备者的能量自动回复提升1.2点/秒；装备者攻击命中敌人时，所有单位对目标造成的伤害提升20%，持续3秒；效果持续期间，每0.5秒该增益效果额外提升3.3%，最多额外提升19.8%，重复触发时仅刷新持续时间，不刷新伤害提升效果，同名被动效果之间不可叠加。</t>
  </si>
  <si>
    <t>药没有慈悲与残酷之分。它们只会愈疗相应的病症，带来与病症相称的副作用。
    战士并不在乎药会带来多少苦涩与刺痛。结局已然既定，为了能将箭矢射往更明亮的远方，他只将它们统统咬碎吞下。
    「有一种药很适合用来装病请假，不搭配其他药服用的话它会让你短暂发烧一个小时。可惜它很贵，而且走不了医保…」——悠真，分享着自己的摸鱼心得</t>
  </si>
  <si>
    <t>苦涩与刺痛孕育希望，而他将它们统统咬碎吞下。</t>
  </si>
  <si>
    <t>啖若逆修</t>
  </si>
  <si>
    <t>暴击率提升10%；[冲刺攻击]造成的电属性伤害提升40%；队伍中任意角色对敌人施加属性异常效果或造成失衡时，装备者的暴击率额外提升10%，持续15秒。</t>
  </si>
  <si>
    <t>暴击率提升11.5%；[冲刺攻击]造成的电属性伤害提升46%；队伍中任意角色对敌人施加属性异常效果或造成失衡时，装备者的暴击率额外提升11.5%，持续15秒。</t>
  </si>
  <si>
    <t>暴击率提升13%；[冲刺攻击]造成的电属性伤害提升52%；队伍中任意角色对敌人施加属性异常效果或造成失衡时，装备者的暴击率额外提升13%，持续15秒。</t>
  </si>
  <si>
    <t>暴击率提升14.5%；[冲刺攻击]造成的电属性伤害提升58%；队伍中任意角色对敌人施加属性异常效果或造成失衡时，装备者的暴击率额外提升14.5%，持续15秒。</t>
  </si>
  <si>
    <t>暴击率提升16%；[冲刺攻击]造成的电属性伤害提升64%；队伍中任意角色对敌人施加属性异常效果或造成失衡时，装备者的暴击率额外提升16%，持续15秒。</t>
  </si>
  <si>
    <t>特制的大功率变温型音擎，能利用自身的降温功能快速冻结周围的物体；虽然它兼具极强的制冷能力与输出功率，是一款性能绝佳的战术音擎，不过对于艾莲来说，它最主要的用途是往开口处放入冰块，削成刨冰。
    「我想把它带去学校用。尤其是夏天。但是莱卡恩和丽娜不允许…真麻烦。」——艾莲，一边吃冰一边摇头</t>
  </si>
  <si>
    <t>特制的大功率变温型音擎，兼具极强的制冷能力与输出功率，是艾莲惯用的音擎款式。</t>
  </si>
  <si>
    <t>诸洋之王</t>
  </si>
  <si>
    <t>冰属性伤害提升25%；[普通攻击]命中敌人时，装备者的暴击率提升10%，持续8秒；[冲刺攻击]造成冰属性伤害时，装备者的暴击率额外提升10%，持续15秒，每种增益效果单独结算持续时间。</t>
  </si>
  <si>
    <t>冰属性伤害提升31.5%；[普通攻击]命中敌人时，装备者的暴击率提升12.5%，持续8秒；[冲刺攻击]造成冰属性伤害时，装备者的暴击率额外提升12.5%，持续15秒，每种增益效果单独结算持续时间。</t>
  </si>
  <si>
    <t>冰属性伤害提升38%；[普通攻击]命中敌人时，装备者的暴击率提升15%，持续8秒；[冲刺攻击]造成冰属性伤害时，装备者的暴击率额外提升15%，持续15秒，每种增益效果单独结算持续时间。</t>
  </si>
  <si>
    <t>冰属性伤害提升44.5%；[普通攻击]命中敌人时，装备者的暴击率提升17.5%，持续8秒；[冲刺攻击]造成冰属性伤害时，装备者的暴击率额外提升17.5%，持续15秒，每种增益效果单独结算持续时间。</t>
  </si>
  <si>
    <t>冰属性伤害提升50%；[普通攻击]命中敌人时，装备者的暴击率提升20%，持续8秒；[冲刺攻击]造成冰属性伤害时，装备者的暴击率额外提升20%，持续15秒，每种增益效果单独结算持续时间。</t>
  </si>
  <si>
    <t>嵌合了超算核心的最新款音擎，能够以顶尖的运行速度编译机械的运行代码，或快速收集战场数据，为小队提供作战支援。当然，对于格莉丝来说，这款音擎只是她和「硅基孩子们」之间沟通感情用的小玩具。
    「仔细一看…你自己就长得眉清目秀的很有特点嘛~！哎呀，虽然说明书上提示过密封后不能拆开…唔嗯嗯嗯——！不试试看怎么知道呢？！」——格莉丝，盯着手里的音擎突然陷入狂热</t>
  </si>
  <si>
    <t>嵌合了超算核心的最新款音擎，能够以顶尖的运行速度编译机械的运行代码，是格莉丝爱用的款式。</t>
  </si>
  <si>
    <t>数据洪流</t>
  </si>
  <si>
    <t>攻击力提升12%；发动[特殊技]或[强化特殊技]时，装备者的异常精通提升25点，最多叠加3层，持续8秒，每层效果单独结算持续时间。</t>
  </si>
  <si>
    <t>攻击力提升15%；发动[特殊技]或[强化特殊技]时，装备者的异常精通提升31点，最多叠加3层，持续8秒，每层效果单独结算持续时间。</t>
  </si>
  <si>
    <t>攻击力提升18%；发动[特殊技]或[强化特殊技]时，装备者的异常精通提升37点，最多叠加3层，持续8秒，每层效果单独结算持续时间。</t>
  </si>
  <si>
    <t>攻击力提升21%；发动[特殊技]或[强化特殊技]时，装备者的异常精通提升43点，最多叠加3层，持续8秒，每层效果单独结算持续时间。</t>
  </si>
  <si>
    <t>攻击力提升24%；发动[特殊技]或[强化特殊技]时，装备者的异常精通提升50点，最多叠加3层，持续8秒，每层效果单独结算持续时间。</t>
  </si>
  <si>
    <t>以特制燃油为动力源，将焚烧性能提升至极致的改造音擎，通过将油罐填充进反应槽来驱动运转，内置的高压反应装置能将燃油以最高效率转化成充满烧焦气味的烈火。据说燃油饮也可以作为动力源的一种，因为曾有人目击到柏妮思将燃油饮倒进了油罐里，战斗过后又将残余的液体刮回了吧台的高脚杯中。
    「毫无疑问的同行诋毁，我提供给客人的特调从来都是干净又卫生的！那些从油罐里沥出来的燃油饮是给我自己喝的，因为高压浓缩后别有一番风味！」——为自己的职业名誉正名的柏妮思，并未察觉到顾客们不自觉退半步的动作。</t>
  </si>
  <si>
    <t>柏妮思改造的，以特制燃油为动力源、将焚烧性能提升至极致的音擎</t>
  </si>
  <si>
    <t>焦油斟注</t>
  </si>
  <si>
    <t>位于后场时，装备者的能量自动回复提升0.6点/秒；[强化特殊技]或[支援攻击]命中敌人时，装备者造成的伤害提升3.5%，最多叠加10层，持续6秒，0.3秒内最多触发一次，位于后场时叠加效率翻倍，重复触发时刷新持续时间；获得伤害提升效果时，若叠加层数大于等于5层，则装备者的异常精通额外提升50点，异常精通提升效果不可叠加，持续6秒。</t>
  </si>
  <si>
    <t>位于后场时，装备者的能量自动回复提升0.75点/秒；[强化特殊技]或[支援攻击]命中敌人时，装备者造成的伤害提升4.4%，最多叠加10层，持续6秒，0.3秒内最多触发一次，位于后场时叠加效率翻倍，重复触发时刷新持续时间；获得伤害提升效果时，若叠加层数大于等于5层，则装备者的异常精通额外提升62点，异常精通提升效果不可叠加，持续6秒。</t>
  </si>
  <si>
    <t>位于后场时，装备者的能量自动回复提升0.9点/秒；[强化特殊技]或[支援攻击]命中敌人时，装备者造成的伤害提升5.2%，最多叠加10层，持续6秒，0.3秒内最多触发一次，位于后场时叠加效率翻倍，重复触发时刷新持续时间；获得伤害提升效果时，若叠加层数大于等于5层，则装备者的异常精通额外提升75点，异常精通提升效果不可叠加，持续6秒。</t>
  </si>
  <si>
    <t>位于后场时，装备者的能量自动回复提升1.05点/秒；[强化特殊技]或[支援攻击]命中敌人时，装备者造成的伤害提升6.1%，最多叠加10层，持续6秒，0.3秒内最多触发一次，位于后场时叠加效率翻倍，重复触发时刷新持续时间；获得伤害提升效果时，若叠加层数大于等于5层，则装备者的异常精通额外提升87点，异常精通提升效果不可叠加，持续6秒。</t>
  </si>
  <si>
    <t>位于后场时，装备者的能量自动回复提升1.2点/秒；[强化特殊技]或[支援攻击]命中敌人时，装备者造成的伤害提升7%，最多叠加10层，持续6秒，0.3秒内最多触发一次，位于后场时叠加效率翻倍，重复触发时刷新持续时间；获得伤害提升效果时，若叠加层数大于等于5层，则装备者的异常精通额外提升100点，异常精通提升效果不可叠加，持续6秒。</t>
  </si>
  <si>
    <t>能以虹吸管引燃烈焰的暴力音擎，以简单粗暴的灼烧伤害，鼓励拳拳到肉的猛烈追击。据称，其中的液体燃剂曾是某个旧文明帝国称霸海战的秘密武器！配方本已失传、重制极其艰难！
    「…我本来是说，能有个备用打火机就好。」——莱特，作为此等珍贵燃料的使用者表示</t>
  </si>
  <si>
    <t>能以虹吸管引燃烈焰的暴力音擎，以简单粗暴的灼烧伤害，鼓励拳拳到肉的猛烈追击。</t>
  </si>
  <si>
    <t>流动之火</t>
  </si>
  <si>
    <t>发动[快速支援]或[极限支援]时，装备者的冲击力提升25%，持续8秒；装备者的[普通攻击]命中敌人时，对目标施加一层[萎靡]，最多叠加20层，持续30秒，重复触发时刷新持续时间；队伍中任意角色攻击命中敌人时，目标每拥有一层[萎靡]，本次攻击中冰属性伤害和火属性伤害的暴击伤害提升1.5%，该效果全队唯一。</t>
  </si>
  <si>
    <t>发动[快速支援]或[极限支援]时，装备者的冲击力提升28.75%，持续8秒；装备者的[普通攻击]命中敌人时，对目标施加一层[萎靡]，最多叠加20层，持续30秒，重复触发时刷新持续时间；队伍中任意角色攻击命中敌人时，目标每拥有一层[萎靡]，本次攻击中冰属性伤害和火属性伤害的暴击伤害提升1.72%，该效果全队唯一。</t>
  </si>
  <si>
    <t>发动[快速支援]或[极限支援]时，装备者的冲击力提升32.5%，持续8秒；装备者的[普通攻击]命中敌人时，对目标施加一层[萎靡]，最多叠加20层，持续30秒，重复触发时刷新持续时间；队伍中任意角色攻击命中敌人时，目标每拥有一层[萎靡]，本次攻击中冰属性伤害和火属性伤害的暴击伤害提升1.95%，该效果全队唯一。</t>
  </si>
  <si>
    <t>发动[快速支援]或[极限支援]时，装备者的冲击力提升36.25%，持续8秒；装备者的[普通攻击]命中敌人时，对目标施加一层[萎靡]，最多叠加20层，持续30秒，重复触发时刷新持续时间；队伍中任意角色攻击命中敌人时，目标每拥有一层[萎靡]，本次攻击中冰属性伤害和火属性伤害的暴击伤害提升2.17%，该效果全队唯一。</t>
  </si>
  <si>
    <t>发动[快速支援]或[极限支援]时，装备者的冲击力提升40%，持续8秒；装备者的[普通攻击]命中敌人时，对目标施加一层[萎靡]，最多叠加20层，持续30秒，重复触发时刷新持续时间；队伍中任意角色攻击命中敌人时，目标每拥有一层[萎靡]，本次攻击中冰属性伤害和火属性伤害的暴击伤害提升2.4%，该效果全队唯一。</t>
  </si>
  <si>
    <t>内含大功率变温装置的特型音擎，能够迅速制造极端低温环境。其散热器的开口部分被设计成了奇怪的兽齿，并经常滴落冷凝水。而经过莱卡恩的一系列改造，如今开口处被用于存放信封和其他信物，粗野的外观也逐渐变得克制而优雅。
    「礼仪修养不是野性的拘束带，而是释放野性前的调味料。」——莱卡恩，某次茶话会时温和的笑谈</t>
  </si>
  <si>
    <t>内含大功率变温装置的特型音擎，经过莱卡恩的一系列改造，能够迅速制造极端低温环境。</t>
  </si>
  <si>
    <t>束缚枷锁</t>
  </si>
  <si>
    <t>攻击命中敌人时，[普通攻击]造成的伤害和失衡值提升6%，最多叠加5层，持续8秒，同一招式内最多触发一次，每层效果单独结算持续时间。</t>
  </si>
  <si>
    <t>攻击命中敌人时，[普通攻击]造成的伤害和失衡值提升7.5%，最多叠加5层，持续8秒，同一招式内最多触发一次，每层效果单独结算持续时间。</t>
  </si>
  <si>
    <t>攻击命中敌人时，[普通攻击]造成的伤害和失衡值提升9%，最多叠加5层，持续8秒，同一招式内最多触发一次，每层效果单独结算持续时间。</t>
  </si>
  <si>
    <t>攻击命中敌人时，[普通攻击]造成的伤害和失衡值提升10.5%，最多叠加5层，持续8秒，同一招式内最多触发一次，每层效果单独结算持续时间。</t>
  </si>
  <si>
    <t>攻击命中敌人时，[普通攻击]造成的伤害和失衡值提升12%，最多叠加5层，持续8秒，同一招式内最多触发一次，每层效果单独结算持续时间。</t>
  </si>
  <si>
    <t>超大功率的功能音擎，经过珂蕾妲的改装，其能效水平几乎超越了安全上限。虽然整个音擎的全部功率都用于输出，以至于加速和爆燃两个功能只能合并到同一个档位，但对珂蕾妲来说，这正是她想要的效果。
    「我现在可是能轻轻松松就敲到你的胫骨噢？所以『有点矮啊』之类的话你最好想清楚了再说噢？」——珂蕾妲，对出言不逊的合作商放狠话</t>
  </si>
  <si>
    <t>超大功率的功能音擎，经过珂蕾妲的改装，其能效水平几乎超越了安全上限。</t>
  </si>
  <si>
    <t>热血施工</t>
  </si>
  <si>
    <t>位于后场时，装备者的能量自动回复提升0.6点/秒；发动[强化特殊技]时，装备者的冲击力提升10%，最多叠加2层，持续10秒，每层效果单独结算持续时间。</t>
  </si>
  <si>
    <t>位于后场时，装备者的能量自动回复提升0.75点/秒；发动[强化特殊技]时，装备者的冲击力提升12.5%，最多叠加2层，持续10秒，每层效果单独结算持续时间。</t>
  </si>
  <si>
    <t>位于后场时，装备者的能量自动回复提升0.9点/秒；发动[强化特殊技]时，装备者的冲击力提升15%，最多叠加2层，持续10秒，每层效果单独结算持续时间。</t>
  </si>
  <si>
    <t>位于后场时，装备者的能量自动回复提升1.05点/秒；发动[强化特殊技]时，装备者的冲击力提升17.5%，最多叠加2层，持续10秒，每层效果单独结算持续时间。</t>
  </si>
  <si>
    <t>位于后场时，装备者的能量自动回复提升1.2点/秒；发动[强化特殊技]时，装备者的冲击力提升20%，最多叠加2层，持续10秒，每层效果单独结算持续时间。</t>
  </si>
  <si>
    <t>杀伐是无止息的。斩切，征讨，诅咒的宿命，躁动的妖力。唯有奔赴下一处战线的间隙，狐火得享在殿中短暂的休憩。
    还要跨过多少具尸首，付出多少次牺牲，直面多少回灾厄，才能抵达虚无的彼岸？
    她不需要答案。触及武的极致，血腥味便能在涌入鼻腔前冰封凝固；除尽恶的残滓，众生相自会在封存利刃后安睡入眠。
    霰粒落于殿前，将力量的主人唤醒。暴风雪就要来临。
    「我认为它会很适合用于修行…前提是我能变成和它同等的大小。」——星见雅，端详着殿内的空间喃喃自语</t>
  </si>
  <si>
    <t>霰粒落于殿前，将她唤醒。暴风雪就要来临。</t>
  </si>
  <si>
    <t>霜染寒星</t>
  </si>
  <si>
    <t>暴击伤害提升50%；发动[强化特殊技]或队伍中任意角色对敌人施加属性异常效果时，装备者造成的冰属性伤害提升20%，最多叠加2层，持续15秒，每层效果单独结算持续时间。</t>
  </si>
  <si>
    <t>暴击伤害提升57%；发动[强化特殊技]或队伍中任意角色对敌人施加属性异常效果时，装备者造成的冰属性伤害提升23%，最多叠加2层，持续15秒，每层效果单独结算持续时间。</t>
  </si>
  <si>
    <t>暴击伤害提升65%；发动[强化特殊技]或队伍中任意角色对敌人施加属性异常效果时，装备者造成的冰属性伤害提升26%，最多叠加2层，持续15秒，每层效果单独结算持续时间。</t>
  </si>
  <si>
    <t>暴击伤害提升72%；发动[强化特殊技]或队伍中任意角色对敌人施加属性异常效果时，装备者造成的冰属性伤害提升29%，最多叠加2层，持续15秒，每层效果单独结算持续时间。</t>
  </si>
  <si>
    <t>暴击伤害提升80%；发动[强化特殊技]或队伍中任意角色对敌人施加属性异常效果时，装备者造成的冰属性伤害提升32%，最多叠加2层，持续15秒，每层效果单独结算持续时间。</t>
  </si>
  <si>
    <t>以机车轮胎为基础特制的全能型音擎，兼具迅猛的速度、残暴的撕扯力、坚固的防御、出乎意料的低能耗以及霸气的外观。据说这最早只是大老爹做给凯撒闲暇时玩耍的玩具，但每次凯撒刚玩没多久就会变得七零八落；于是大老爹在数年间对它进行了不下百次加固和改造，最终造就了此般能够当兵器当盾牌当车轮当照明灯的极品。
    「它原本还能当钢琴弹的，轮胎边缘嵌着琴键！但试了几次之后效果不太理想，转个几圈我就分不清音符的正确位置了，最后只能拆掉…好在它天热时还能当风扇用。」——凯撒，谈笑间用食指拨动音擎的轮胎，刮起一阵狂风。</t>
  </si>
  <si>
    <t>大老爹为凯撒特制的，以机车轮胎为基础特制的全能型音擎</t>
  </si>
  <si>
    <t>不破铁骑</t>
  </si>
  <si>
    <t>装备者施加的护盾值提升30%；队伍中任意角色触发[破招]或[极限闪避]时，全队角色造成的伤害提升18%，造成的失衡值提升12%，持续20秒，同名被动效果之间不可叠加。</t>
  </si>
  <si>
    <t>装备者施加的护盾值提升38%；队伍中任意角色触发[破招]或[极限闪避]时，全队角色造成的伤害提升22.5%，造成的失衡值提升15%，持续20秒，同名被动效果之间不可叠加。</t>
  </si>
  <si>
    <t>装备者施加的护盾值提升46%；队伍中任意角色触发[破招]或[极限闪避]时，全队角色造成的伤害提升27%，造成的失衡值提升18%，持续20秒，同名被动效果之间不可叠加。</t>
  </si>
  <si>
    <t>装备者施加的护盾值提升52%；队伍中任意角色触发[破招]或[极限闪避]时，全队角色造成的伤害提升31.5%，造成的失衡值提升21%，持续20秒，同名被动效果之间不可叠加。</t>
  </si>
  <si>
    <t>装备者施加的护盾值提升60%；队伍中任意角色触发[破招]或[极限闪避]时，全队角色造成的伤害提升36%，造成的失衡值提升24%，持续20秒，同名被动效果之间不可叠加。</t>
  </si>
  <si>
    <t>迸发的灵感往往如流星般一瞬即逝，可在改装这款音擎时，一份强烈情绪激荡出的灵感便如锚定在她的脑海般久久不曾消散。并非是束缚或者吞噬，只是因为太过重视，所以想要将它完全纳入自己的庇佑之中，这便是这款音擎的灵感来源。
    「它只是想要用自己的方式守护这世上最珍贵的秘宝呢。」——注意到绳匠兄妹有些迷惘的眼神，她如此温柔地解释。</t>
  </si>
  <si>
    <t>在虚妄中求索，照彻迷雾的灯光令她沉迷。</t>
  </si>
  <si>
    <t>触抚心拥</t>
  </si>
  <si>
    <t>装备者的生命值降低时，造成的冰属性贯穿伤害提升6%，最多叠加3层，持续25秒，每层效果单独结算持续时间，0.5秒内最多触发一次；装备者生命值降低至最大值的50%时，暴击率提升20%。</t>
  </si>
  <si>
    <t>装备者的生命值降低时，造成的冰属性贯穿伤害提升7%，最多叠加3层，持续25秒，每层效果单独结算持续时间，0.5秒内最多触发一次；装备者生命值降低至最大值的50%时，暴击率提升23%。</t>
  </si>
  <si>
    <t>装备者的生命值降低时，造成的冰属性贯穿伤害提升8%，最多叠加3层，持续25秒，每层效果单独结算持续时间，0.5秒内最多触发一次；装备者生命值降低至最大值的50%时，暴击率提升26%。</t>
  </si>
  <si>
    <t>装备者的生命值降低时，造成的冰属性贯穿伤害提升9%，最多叠加3层，持续25秒，每层效果单独结算持续时间，0.5秒内最多触发一次；装备者生命值降低至最大值的50%时，暴击率提升29%。</t>
  </si>
  <si>
    <t>装备者的生命值降低时，造成的冰属性贯穿伤害提升10%，最多叠加3层，持续25秒，每层效果单独结算持续时间，0.5秒内最多触发一次；装备者生命值降低至最大值的50%时，暴击率提升32%。</t>
  </si>
  <si>
    <t>黑曜石营特制的暴力音擎，装载淬火部件并填充经以太技术二次转化的禁用级燃料，可凭高温打扫一切战场。小道消息称，设计者在和「11号」交流音擎制作思路时与其共进晚餐，一小时后决心把品尝超辣拉面时感受到的痛觉报复在每一个敌人身上。
    「我很喜欢它，稳定、高效、实用，高温能将战斗时残留在刀刃上的痕迹烧净，必备时刻也能为伤口消毒…你为什么要坐那么远？」——「11号」，在向队友介绍自己的音擎</t>
  </si>
  <si>
    <t>黑曜石营为「11号」特制的暴力音擎，装载的淬火部件可凭高温打扫一切战场。</t>
  </si>
  <si>
    <t>炽烈吐息</t>
  </si>
  <si>
    <t>[普通攻击]、[冲刺攻击]或[闪避反击]命中敌人时，装备者的攻击力提升3.5%，最多叠加8层，持续8秒，0.5秒内最多触发一次，每层效果单独结算持续时间。</t>
  </si>
  <si>
    <t>[普通攻击]、[冲刺攻击]或[闪避反击]命中敌人时，装备者的攻击力提升4.4%，最多叠加8层，持续8秒，0.5秒内最多触发一次，每层效果单独结算持续时间。</t>
  </si>
  <si>
    <t>[普通攻击]、[冲刺攻击]或[闪避反击]命中敌人时，装备者的攻击力提升5.2%，最多叠加8层，持续8秒，0.5秒内最多触发一次，每层效果单独结算持续时间。</t>
  </si>
  <si>
    <t>[普通攻击]、[冲刺攻击]或[闪避反击]命中敌人时，装备者的攻击力提升6%，最多叠加8层，持续8秒，0.5秒内最多触发一次，每层效果单独结算持续时间。</t>
  </si>
  <si>
    <t>[普通攻击]、[冲刺攻击]或[闪避反击]命中敌人时，装备者的攻击力提升7%，最多叠加8层，持续8秒，0.5秒内最多触发一次，每层效果单独结算持续时间。</t>
  </si>
  <si>
    <t>增强了动作监测功能的超算音擎，能够完美配合猫希人的神经反射速度和特殊格斗动作。猫又在其外壳上加装了折叠式弹簧刀，虽然自称是便于战斗，但上面似乎残留着切割青花鱼时沾染的味道…
    「虽然很多人说这改装只是小聪明，但混迹街头本来就要利用一切可利用的东西：小聪明、小心思、小把戏和…看！小猫咪！」——猫又，一边转移注意力一边偷偷把手伸向听众的钱包</t>
  </si>
  <si>
    <t>增强了动作监测功能的超算音擎，经过猫又的改装，能够完美配合猫希人的神经反射速度。</t>
  </si>
  <si>
    <t>合金猫爪</t>
  </si>
  <si>
    <t>物理伤害提升20%；从背后攻击命中敌人时，装备者造成的伤害提升25%。</t>
  </si>
  <si>
    <t>物理伤害提升25%；从背后攻击命中敌人时，装备者造成的伤害提升31.5%。</t>
  </si>
  <si>
    <t>物理伤害提升30%；从背后攻击命中敌人时，装备者造成的伤害提升38%。</t>
  </si>
  <si>
    <t>物理伤害提升35%；从背后攻击命中敌人时，装备者造成的伤害提升44%。</t>
  </si>
  <si>
    <t>物理伤害提升40%；从背后攻击命中敌人时，装备者造成的伤害提升50%。</t>
  </si>
  <si>
    <t>仿造左轮外形制作的特型音擎，号称可装填六枚子弹形的浓缩以太电池，可以随时击发并提供强力的输出功率。据说，只要把这个音擎带在身上，持有者就会无师自通地学会吹口哨，并会时不时模仿旧电影，摆出一副牛仔的腔调。</t>
  </si>
  <si>
    <t>仿造左轮外形制作的特型音擎，可以随时击子弹型的浓缩电池，提供强力的输出功率。</t>
  </si>
  <si>
    <t>开火！</t>
  </si>
  <si>
    <t>每3秒为装备者提供1层充能效果，最多叠加6层；发动[强化特殊技]时，消耗所有充能，每层充能效果使招式造成的失衡值提升4%。</t>
  </si>
  <si>
    <t>每3秒为装备者提供1层充能效果，最多叠加6层；发动[强化特殊技]时，消耗所有充能，每层充能效果使招式造成的失衡值提升4.6%。</t>
  </si>
  <si>
    <t>每3秒为装备者提供1层充能效果，最多叠加6层；发动[强化特殊技]时，消耗所有充能，每层充能效果使招式造成的失衡值提升5.2%。</t>
  </si>
  <si>
    <t>每3秒为装备者提供1层充能效果，最多叠加6层；发动[强化特殊技]时，消耗所有充能，每层充能效果使招式造成的失衡值提升5.8%。</t>
  </si>
  <si>
    <t>每3秒为装备者提供1层充能效果，最多叠加6层；发动[强化特殊技]时，消耗所有充能，每层充能效果使招式造成的失衡值提升6.4%。</t>
  </si>
  <si>
    <t>加装有新款集成芯片的超算音擎，可动态监测战场环境，为装备者提供战术分析。同时该音擎与流行掌机进行了一体化设计，可让装备者随时随地玩到当下最流行的游戏。不过极不推荐将游戏声音外放…尤其是在以骸频繁出没的空洞区域。</t>
  </si>
  <si>
    <t>加装有新款集成芯片的超算音擎，可动态监测战场环境，为装备者提供战术分析。</t>
  </si>
  <si>
    <t>电玩，启动！</t>
  </si>
  <si>
    <t>装备者攻击命中敌人时，若触发属性克制效果，则所有单位对该目标的暴击率提升12%，持续12秒，同名被动效果之间不可叠加。</t>
  </si>
  <si>
    <t>装备者攻击命中敌人时，若触发属性克制效果，则所有单位对该目标的暴击率提升13.5%，持续12秒，同名被动效果之间不可叠加。</t>
  </si>
  <si>
    <t>装备者攻击命中敌人时，若触发属性克制效果，则所有单位对该目标的暴击率提升15.5%，持续12秒，同名被动效果之间不可叠加。</t>
  </si>
  <si>
    <t>装备者攻击命中敌人时，若触发属性克制效果，则所有单位对该目标的暴击率提升17.5%，持续12秒，同名被动效果之间不可叠加。</t>
  </si>
  <si>
    <t>装备者攻击命中敌人时，若触发属性克制效果，则所有单位对该目标的暴击率提升20%，持续12秒，同名被动效果之间不可叠加。</t>
  </si>
  <si>
    <t>能实时采集战场数据、为装备者提供战术支持的高性能超算音擎。自身加装有支援型迷你重炮。在危机时刻，它甚至可以丢出去充当小型自动战斗单位。此刻，装备者本身反倒更像是拖累。</t>
  </si>
  <si>
    <t>能实时采集战场数据的高性能超算音擎，并已加装支援型迷你重炮。</t>
  </si>
  <si>
    <t>口径超规</t>
  </si>
  <si>
    <t>攻击力提升7.5%；攻击命中敌人并触发暴击时，额外造成200%攻击力的伤害，8秒内最多触发一次。</t>
  </si>
  <si>
    <t>攻击力提升8.6%；攻击命中敌人并触发暴击时，额外造成200%攻击力的伤害，7.5秒内最多触发一次。</t>
  </si>
  <si>
    <t>攻击力提升9.7%；攻击命中敌人并触发暴击时，额外造成200%攻击力的伤害，7秒内最多触发一次。</t>
  </si>
  <si>
    <t>攻击力提升10.8%；攻击命中敌人并触发暴击时，额外造成200%攻击力的伤害，6.5秒内最多触发一次。</t>
  </si>
  <si>
    <t>攻击力提升12%；攻击命中敌人并触发暴击时，额外造成200%攻击力的伤害，6秒内最多触发一次。</t>
  </si>
  <si>
    <t>于深夜星辉之下，匠人手持此器，唤醒沉眠的火焰。夜色朦胧中，唯此燔火不熄。
    通体幽黑泛红，纹路神秘莫测，究竟是古物、是玩具，还是传说中的神兵？唯有持有者心知其妙。
    「只是个方便生火的工具而已…不过确实很好用。」——数次猜测它某种了不起的用途时，他如此坦言。</t>
  </si>
  <si>
    <t>一簇热烈而赤诚的，恒常的火。</t>
  </si>
  <si>
    <t>笼中火</t>
  </si>
  <si>
    <t>装备者造成的火属性伤害提升15%；装备者的生命值降低时，暴击率提升15%，持续5秒。</t>
  </si>
  <si>
    <t>装备者造成的火属性伤害提升17.25%；装备者的生命值降低时，暴击率提升17.25%，持续5秒。</t>
  </si>
  <si>
    <t>装备者造成的火属性伤害提升19.5%；装备者的生命值降低时，暴击率提升19.5%，持续5秒。</t>
  </si>
  <si>
    <t>装备者造成的火属性伤害提升21.75%；装备者的生命值降低时，暴击率提升21.75%，持续5秒。</t>
  </si>
  <si>
    <t>装备者造成的火属性伤害提升24%；装备者的生命值降低时，暴击率提升24%，持续5秒。</t>
  </si>
  <si>
    <t>这点穴的学问，恰如厨子下厨。先探清经络，这是在冲洗食材；再磨热手掌，那是在起火热锅；又以二指直击笑穴，痴笑声恰如翻锅炒菜；修行之人切忌随意攻人死穴，无异于将一锅热油倒入灶台，造孽哟。
    「这小球在穴位间横冲直撞，却好生像我做铁板炒面时铲飞的鱼丸。」——潘引壶，对着熊猫木雕做穴位记忆训练时的杂念</t>
  </si>
  <si>
    <t>点穴恰如下厨，攻死穴便是火烧灶台，造孽哟。</t>
  </si>
  <si>
    <t>寻经定络</t>
  </si>
  <si>
    <t>装备者的[强化特殊技]和[终结技]造成的伤害增加25%；队伍中任意角色受到伤害或回复生命时，为装备者回复2点能量，5秒内最多触发一次；</t>
  </si>
  <si>
    <t>装备者的[强化特殊技]和[终结技]造成的伤害增加28.7%；队伍中任意角色受到伤害或回复生命时，为装备者回复2.3点能量，5秒内最多触发一次；</t>
  </si>
  <si>
    <t>装备者的[强化特殊技]和[终结技]造成的伤害增加32.5%；队伍中任意角色受到伤害或回复生命时，为装备者回复2.6点能量，5秒内最多触发一次；</t>
  </si>
  <si>
    <t>装备者的[强化特殊技]和[终结技]造成的伤害增加36.2%；队伍中任意角色受到伤害或回复生命时，为装备者回复2.9点能量，5秒内最多触发一次；</t>
  </si>
  <si>
    <t>装备者的[强化特殊技]和[终结技]造成的伤害增加40%；队伍中任意角色受到伤害或回复生命时，为装备者回复3.2点能量，5秒内最多触发一次；</t>
  </si>
  <si>
    <t>该音擎的外表原本比现在更朴实，攻击性和隐蔽性是制作时最优先考虑的事项，直到它的主人认识了一群好奇心旺盛且从不知隐蔽为何物的吵闹家伙。他们不仅在上面贴了醒目的贴纸，而且在最初弄伤手指后还经常用它割绳子、拆包装盒甚至切黏糊糊的透明胶带…
    「你那个…对，就那把裁纸刀借我用下，谢了！」「老板，它不叫裁纸刀，叫机动潜爪！」「波喵，裁纸刀借一下哦！」「它不叫裁纸刀，叫机动潜爪！」「裁纸刀能借这个人吗？」「……」
    「好吧，它就叫裁纸刀，你们开心就好。」——波可娜</t>
  </si>
  <si>
    <t>「没见过的东西别乱按」，它能给你上一课。</t>
  </si>
  <si>
    <t>小心手指</t>
  </si>
  <si>
    <t>发动[追加攻击]时，装备者造成的物理伤害提升15%，造成的失衡值提升10%，持续10秒。</t>
  </si>
  <si>
    <t>发动[追加攻击]时，装备者造成的物理伤害提升17.3%，造成的失衡值提升11.5%，持续10秒。</t>
  </si>
  <si>
    <t>发动[追加攻击]时，装备者造成的物理伤害提升19.5%，造成的失衡值提升13%，持续10秒。</t>
  </si>
  <si>
    <t>发动[追加攻击]时，装备者造成的物理伤害提升21.8%，造成的失衡值提升14.5%，持续10秒。</t>
  </si>
  <si>
    <t>发动[追加攻击]时，装备者造成的物理伤害提升24%，造成的失衡值提升16%，持续10秒。</t>
  </si>
  <si>
    <t>用卡车发动机零件改装而成的能量型音擎，原装气缸改造为储能单元后更显优势。此物在「猪突猛进」内部竞速中排名第一，力压各台重型机车和派派本人亲自驾驶的卡车。
    「可惜没有任何载货方式…要不，挂獠牙上？」——派派·优秀物流运输司机·韦尔评价道</t>
  </si>
  <si>
    <t>用卡车发动机零件改装而成的能量型音擎，原装气缸改造为储能单元后更显优势。</t>
  </si>
  <si>
    <t>碰撞势能</t>
  </si>
  <si>
    <t>[强化特殊技]命中敌人时，随机触发以下三种效果中的一种，持续5秒，0.3秒内最多触发一次，同类效果不可叠加，重复触发时刷新持续时间，多个效果可以同时存在：装备者的攻击力提升8%；装备者的异常精通提升40点；装备者的属性异常积蓄效率提升25%。</t>
  </si>
  <si>
    <t>[强化特殊技]命中敌人时，随机触发以下三种效果中的一种，持续5秒，0.3秒内最多触发一次，同类效果不可叠加，重复触发时刷新持续时间，多个效果可以同时存在：装备者的攻击力提升9.2%；装备者的异常精通提升46点；装备者的属性异常积蓄效率提升28%。</t>
  </si>
  <si>
    <t>[强化特殊技]命中敌人时，随机触发以下三种效果中的一种，持续5秒，0.3秒内最多触发一次，同类效果不可叠加，重复触发时刷新持续时间，多个效果可以同时存在：装备者的攻击力提升10.4%；装备者的异常精通提升52点；装备者的属性异常积蓄效率提升32%。</t>
  </si>
  <si>
    <t>[强化特殊技]命中敌人时，随机触发以下三种效果中的一种，持续5秒，0.3秒内最多触发一次，同类效果不可叠加，重复触发时刷新持续时间，多个效果可以同时存在：装备者的攻击力提升11.6%；装备者的异常精通提升58点；装备者的属性异常积蓄效率提升36%。</t>
  </si>
  <si>
    <t>[强化特殊技]命中敌人时，随机触发以下三种效果中的一种，持续5秒，0.3秒内最多触发一次，同类效果不可叠加，重复触发时刷新持续时间，多个效果可以同时存在：装备者的攻击力提升12.8%；装备者的异常精通提升64点；装备者的属性异常积蓄效率提升40%。</t>
  </si>
  <si>
    <t>治安局独立研制的防护性音擎，简化了攻击组件，重点增强了护盾部分的蓄能转换效果。据称，在某位不具名高层人士的推动下，这一型号的音擎以超额的量产成本成为了各空洞作战小队援护手位置的标准化配备。
    「就算是拆卸重组成物理护盾，都足够坚固了…可是真的好重！」——赛斯，一边研究音擎的昂贵材质一边思考</t>
  </si>
  <si>
    <t>治安局独立研制的防护性音擎，简化了攻击组件，重点增强了护盾部分的蓄能转换效果。</t>
  </si>
  <si>
    <t>标准格挡术</t>
  </si>
  <si>
    <t>拥有护盾时，装备者的能量自动回复提升0.4点/秒；[强化特殊技]和[支援突击]累积的属性异常积蓄值提升36%。</t>
  </si>
  <si>
    <t>拥有护盾时，装备者的能量自动回复提升0.46点/秒；[强化特殊技]和[支援突击]累积的属性异常积蓄值提升40%。</t>
  </si>
  <si>
    <t>拥有护盾时，装备者的能量自动回复提升0.52点/秒；[强化特殊技]和[支援突击]累积的属性异常积蓄值提升45%。</t>
  </si>
  <si>
    <t>拥有护盾时，装备者的能量自动回复提升0.58点/秒；[强化特殊技]和[支援突击]累积的属性异常积蓄值提升50%。</t>
  </si>
  <si>
    <t>拥有护盾时，装备者的能量自动回复提升0.64点/秒；[强化特殊技]和[支援突击]累积的属性异常积蓄值提升55%。</t>
  </si>
  <si>
    <t>以喷气形式推进、机动性与冲击力兼备的支援型音擎，能够跑遍全场提供战斗增益。不仅是实用的好音擎，还是阿草、阿木和阿砖的最大假想敌和最害怕的陪练对象。
    「做不到的话，就和阿炮一起去拉练！」——露西，对三位忠实小野猪亲卫训话</t>
  </si>
  <si>
    <t>以喷气形式推进、机动性与冲击力兼备的支援型音擎，能够跑遍全场提供战斗增益。</t>
  </si>
  <si>
    <t>踩踏事故</t>
  </si>
  <si>
    <t>队伍中任意友方单位攻击命中敌人时，队伍中所有友方单位的攻击力提升2.5%，最多叠加4层，持续8秒，每层效果单独结算持续时间，每名友方单位最多提供1层增益效果，同名被动效果之间不可叠加。</t>
  </si>
  <si>
    <t>队伍中任意友方单位攻击命中敌人时，队伍中所有友方单位的攻击力提升2.8%，最多叠加4层，持续8秒，每层效果单独结算持续时间，每名友方单位最多提供1层增益效果，同名被动效果之间不可叠加。</t>
  </si>
  <si>
    <t>队伍中任意友方单位攻击命中敌人时，队伍中所有友方单位的攻击力提升3.2%，最多叠加4层，持续8秒，每层效果单独结算持续时间，每名友方单位最多提供1层增益效果，同名被动效果之间不可叠加。</t>
  </si>
  <si>
    <t>队伍中任意友方单位攻击命中敌人时，队伍中所有友方单位的攻击力提升3.6%，最多叠加4层，持续8秒，每层效果单独结算持续时间，每名友方单位最多提供1层增益效果，同名被动效果之间不可叠加。</t>
  </si>
  <si>
    <t>队伍中任意友方单位攻击命中敌人时，队伍中所有友方单位的攻击力提升4%，最多叠加4层，持续8秒，每层效果单独结算持续时间，每名友方单位最多提供1层增益效果，同名被动效果之间不可叠加。</t>
  </si>
  <si>
    <t>对空六课研制的精巧音擎，进行过以武家传承为技术依据的再次改装，可以调动以太粒子形成能量场。其造型恐怖可止小儿夜啼！如果不幸被它狰狞的恶面凝视，那么，等它张开獠牙，你将会面对…别笑啊！这个可怜巴巴的小东西打人真的很痛！
    「唔…比起厉害的鬼面，我更想再带个便当盒…我去问问柳姐可不可以在里面装干粮！」——苍角，兴冲冲地奔向对空六课的办公室</t>
  </si>
  <si>
    <t>对空六课研制的精巧音擎，经过再次改装，可以调动以太粒子形成能量场。是苍角爱用的款式。</t>
  </si>
  <si>
    <t>饕餮相</t>
  </si>
  <si>
    <t>冰属性伤害提升15%；发动[强化特殊技]时，全队角色攻击力提升2%，最多叠加4层，持续12秒，重复触发时刷新持续时间，同名被动效果之间不可叠加。</t>
  </si>
  <si>
    <t>冰属性伤害提升17.5%；发动[强化特殊技]时，全队角色攻击力提升2.3%，最多叠加4层，持续12秒，重复触发时刷新持续时间，同名被动效果之间不可叠加。</t>
  </si>
  <si>
    <t>冰属性伤害提升20%；发动[强化特殊技]时，全队角色攻击力提升2.6%，最多叠加4层，持续12秒，重复触发时刷新持续时间，同名被动效果之间不可叠加。</t>
  </si>
  <si>
    <t>冰属性伤害提升22%；发动[强化特殊技]时，全队角色攻击力提升2.9%，最多叠加4层，持续12秒，重复触发时刷新持续时间，同名被动效果之间不可叠加。</t>
  </si>
  <si>
    <t>冰属性伤害提升24%；发动[强化特殊技]时，全队角色攻击力提升3.2%，最多叠加4层，持续12秒，重复触发时刷新持续时间，同名被动效果之间不可叠加。</t>
  </si>
  <si>
    <t>超大功率的援护型音擎，本在其内部额外加装了不断低声轰鸣着的稠油气缸，其功率足以为重工机械提供动力。虽然重量惊人，常人甚至无法将其拎起来，但对于本来说，这正好能给他的砼柱当做配重球。
    「放心吧，配重位置和抗冲击系数我都精确到小数点后四位计算过了，不会影响武器性能的。」——本，说完这句话后他又掏出小本本验算了一遍</t>
  </si>
  <si>
    <t>超大功率的援护型音擎，本在其内部加装了不断低声轰鸣着的稠油气缸，其功率足以为重工机械提供动力。</t>
  </si>
  <si>
    <t>万斤顶</t>
  </si>
  <si>
    <t>受到的伤害降低7.5%；受到敌方攻击后，下一次攻击命中敌人时，额外造成装备者600%防御力的伤害，且必定触发暴击，7.5秒内最多触发一次。</t>
  </si>
  <si>
    <t>受到的伤害降低8.5%；受到敌方攻击后，下一次攻击命中敌人时，额外造成装备者690%防御力的伤害，且必定触发暴击，7.5秒内最多触发一次。</t>
  </si>
  <si>
    <t>受到的伤害降低9.5%；受到敌方攻击后，下一次攻击命中敌人时，额外造成装备者780%防御力的伤害，且必定触发暴击，7.5秒内最多触发一次。</t>
  </si>
  <si>
    <t>受到的伤害降低10.5%；受到敌方攻击后，下一次攻击命中敌人时，额外造成装备者870%防御力的伤害，且必定触发暴击，7.5秒内最多触发一次。</t>
  </si>
  <si>
    <t>受到的伤害降低12%；受到敌方攻击后，下一次攻击命中敌人时，额外造成装备者960%防御力的伤害，且必定触发暴击，7.5秒内最多触发一次。</t>
  </si>
  <si>
    <t>原本为转速增强型音擎，安东选用了最昂贵的旋钻机配件对其进行一体化改装，使其输出功率可以在短时间内超越极限，更好地为自己的「兄弟」供能。在对待「兄弟」的相关配件上，安东从不吝啬。
    「材料是本亲自采购的，改装技术是格莉丝支持的，威力是社长验证过的…兄弟，白祇重工的祝福都集中在你身上了，一起加油吧！」——安东，初次启动时的自言自语</t>
  </si>
  <si>
    <t>原本为转速增强型音擎，为了使其输出功率超越极限，安东对其进行一体化改装。</t>
  </si>
  <si>
    <t>红莲电机</t>
  </si>
  <si>
    <t>发动[强化特殊技]或[连携技]时，[普通攻击]和[冲刺攻击]造成的电属性伤害提升50%，持续10秒，15秒内最多触发一次。</t>
  </si>
  <si>
    <t>发动[强化特殊技]或[连携技]时，[普通攻击]和[冲刺攻击]造成的电属性伤害提升57.5%，持续10秒，15秒内最多触发一次。</t>
  </si>
  <si>
    <t>发动[强化特殊技]或[连携技]时，[普通攻击]和[冲刺攻击]造成的电属性伤害提升65%，持续10秒，15秒内最多触发一次。</t>
  </si>
  <si>
    <t>发动[强化特殊技]或[连携技]时，[普通攻击]和[冲刺攻击]造成的电属性伤害提升72.5%，持续10秒，15秒内最多触发一次。</t>
  </si>
  <si>
    <t>发动[强化特殊技]或[连携技]时，[普通攻击]和[冲刺攻击]造成的电属性伤害提升80%，持续10秒，15秒内最多触发一次。</t>
  </si>
  <si>
    <t>专精于辅助瞄准与弹道计算的定制款超算音擎，在被比利改装后，更像是某种盗版的星徽骑士手办。它在侦测到敌人时会不断闪动光芒，并且大声喊出设定好的台词。虽然此举无异于自曝位置吸引敌人注意力，但对比利来说，只要够帅，一切都不是问题。
    「仿制？怎么能说仿制呢？这里面可是倾注了我全部的热情、智慧、灵感和冷凝水！除了不能呼唤流星出来让我变身，它就是真正的星徽骑士装备！」——比利，激动地陈述自己的改装理念</t>
  </si>
  <si>
    <t>专精于辅助瞄准与弹道计算的定制款超算音擎，在被比利改装后，更像是某种盗版的星徽骑士手办。</t>
  </si>
  <si>
    <t>骑士光波：改</t>
  </si>
  <si>
    <t>[普通攻击]或[冲刺攻击]命中6米外的敌人时，装备者对目标造成的物理伤害提升36%，持续8秒。</t>
  </si>
  <si>
    <t>[普通攻击]或[冲刺攻击]命中6米外的敌人时，装备者对目标造成的物理伤害提升41%，持续8秒。</t>
  </si>
  <si>
    <t>[普通攻击]或[冲刺攻击]命中6米外的敌人时，装备者对目标造成的物理伤害提升46.5%，持续8秒。</t>
  </si>
  <si>
    <t>[普通攻击]或[冲刺攻击]命中6米外的敌人时，装备者对目标造成的物理伤害提升52%，持续8秒。</t>
  </si>
  <si>
    <t>[普通攻击]或[冲刺攻击]命中6米外的敌人时，装备者对目标造成的物理伤害提升57.5%，持续8秒。</t>
  </si>
  <si>
    <t>高转速的动力增强型音擎，可琳将其轴心部分与链锯进行了一体化改造，为自己的「清扫用具」提供切割动力。而为了保证「清扫」顺利，不给对方增加额外的麻烦和痛苦，善解人意的可琳还贴心地将转速调整到了极限功率。
    「那个…请放心，不会痛的！嗯…应该说只会痛一下下，然后就再也不痛了！」——可琳，在进攻前尝试安抚对手</t>
  </si>
  <si>
    <t>高转速的动力增强型音擎，其轴心部分与链锯进行了一体化改造，是可琳惯用的款式。</t>
  </si>
  <si>
    <t>安心家用轮锯</t>
  </si>
  <si>
    <t>位于后场时，装备者的能量自动回复提升0.45点/秒；[强化特殊技]命中敌人时，装备者造成的物理伤害提升3%，最多叠加15层，持续1秒，重复触发时刷新持续时间。</t>
  </si>
  <si>
    <t>位于后场时，装备者的能量自动回复提升0.52点/秒；[强化特殊技]命中敌人时，装备者造成的物理伤害提升3.5%，最多叠加15层，持续1秒，重复触发时刷新持续时间。</t>
  </si>
  <si>
    <t>位于后场时，装备者的能量自动回复提升0.58点/秒；[强化特殊技]命中敌人时，装备者造成的物理伤害提升4%，最多叠加15层，持续1秒，重复触发时刷新持续时间。</t>
  </si>
  <si>
    <t>位于后场时，装备者的能量自动回复提升0.65点/秒；[强化特殊技]命中敌人时，装备者造成的物理伤害提升4.4%，最多叠加15层，持续1秒，重复触发时刷新持续时间。</t>
  </si>
  <si>
    <t>位于后场时，装备者的能量自动回复提升0.72点/秒；[强化特殊技]命中敌人时，装备者造成的物理伤害提升4.8%，最多叠加15层，持续1秒，重复触发时刷新持续时间。</t>
  </si>
  <si>
    <t>高性价比的储能型音擎，在被妮可改造了内部空间后，平时也可当做储物箱使用。虽然里面的金币都是假货，但偶尔可以唬住贪心的盗洞客；或是更干脆一点——直接丢出去砸晕他们。
    「很痛吧？厉害吧？哼哼，这就叫金钱的力量！」——妮可，击倒敌人后的炫耀</t>
  </si>
  <si>
    <t>高性价比的储能型音擎，并被刻意改造了内部空间，是妮可惯用的款式。</t>
  </si>
  <si>
    <t>财迷心窍</t>
  </si>
  <si>
    <t>[强化特殊技]、[连携技]或[终结技]造成以太伤害时，所有单位对目标造成的伤害提升15%，装备者的能量自动回复提升0.5点/秒，持续2秒，同名被动效果之间不可叠加。</t>
  </si>
  <si>
    <t>[强化特殊技]、[连携技]或[终结技]造成以太伤害时，所有单位对目标造成的伤害提升17.5%，装备者的能量自动回复提升0.58点/秒，持续2秒，同名被动效果之间不可叠加。</t>
  </si>
  <si>
    <t>[强化特殊技]、[连携技]或[终结技]造成以太伤害时，所有单位对目标造成的伤害提升20%，装备者的能量自动回复提升0.65点/秒，持续2秒，同名被动效果之间不可叠加。</t>
  </si>
  <si>
    <t>[强化特殊技]、[连携技]或[终结技]造成以太伤害时，所有单位对目标造成的伤害提升22%，装备者的能量自动回复提升0.72点/秒，持续2秒，同名被动效果之间不可叠加。</t>
  </si>
  <si>
    <t>[强化特殊技]、[连携技]或[终结技]造成以太伤害时，所有单位对目标造成的伤害提升24%，装备者的能量自动回复提升0.8点/秒，持续2秒，同名被动效果之间不可叠加。</t>
  </si>
  <si>
    <t>重视储能效率，在蓄电功能上做了特化处理的定制款音擎核心，能有效增强武器电能输出的功率，是玩具店老板的杰作。不久后，安比根据使用习惯又对它进行了些许调整，但从她每次保养时都异常严肃小心的举动来看，估计不是什么安全的调整方法。
    「武器就应该是危险的。如果它都不能电倒我，那就更不能电倒敌人了。」——安比，小心翼翼保养时的回答</t>
  </si>
  <si>
    <t>重视储能效率，在蓄电功能上做了特化处理的定制款的音擎核心，是安比惯用的款式。</t>
  </si>
  <si>
    <t>电光石火</t>
  </si>
  <si>
    <t>电属性伤害提升15%；[闪避反击]或[支援攻击]命中敌人时，装备者的能量获得效率提升18%，持续8秒。</t>
  </si>
  <si>
    <t>电属性伤害提升17.5%；[闪避反击]或[支援攻击]命中敌人时，装备者的能量获得效率提升20.5%，持续8秒。</t>
  </si>
  <si>
    <t>电属性伤害提升20%；[闪避反击]或[支援攻击]命中敌人时，装备者的能量获得效率提升23%，持续8秒。</t>
  </si>
  <si>
    <t>电属性伤害提升22%；[闪避反击]或[支援攻击]命中敌人时，装备者的能量获得效率提升25%，持续8秒。</t>
  </si>
  <si>
    <t>电属性伤害提升24%；[闪避反击]或[支援攻击]命中敌人时，装备者的能量获得效率提升27.5%，持续8秒。</t>
  </si>
  <si>
    <t>「辣而不燥，香而不腻，入口浓郁，回口生甘。」复制该文案带图好评，可在「煮釜」火锅店兑换卫非地手打牛肉丸一份。</t>
  </si>
  <si>
    <t>红油辣锅</t>
  </si>
  <si>
    <t>发动[支援突击] 时，装备者对目标造成的失衡值提升7.2%，装备者造成的伤害提升7.2%，持续30秒，重复触发时刷新持续时间。</t>
  </si>
  <si>
    <t>发动[支援突击] 时，装备者对目标造成的失衡值提升8.2%，装备者造成的伤害提升8.2%，持续30秒，重复触发时刷新持续时间。</t>
  </si>
  <si>
    <t>发动[支援突击] 时，装备者对目标造成的失衡值提升9.2%，装备者造成的伤害提升9.2%，持续30秒，重复触发时刷新持续时间。</t>
  </si>
  <si>
    <t>发动[支援突击] 时，装备者对目标造成的失衡值提升10.2%，装备者造成的伤害提升10.2%，持续30秒，重复触发时刷新持续时间。</t>
  </si>
  <si>
    <t>发动[支援突击] 时，装备者对目标造成的失衡值提升11.5%，装备者造成的伤害提升11.5%，持续30秒，重复触发时刷新持续时间。</t>
  </si>
  <si>
    <t>万千剑意如心音之涟漪，回荡于这数寸的苍穹之间。只是莫要靠近，莫要妄图用双耳辨明鼎中回响的乾坤——它们早已被转化为了「嗯呢嗯呢呢」的洗脑魔音。</t>
  </si>
  <si>
    <t>万千剑意回荡于这数寸的苍穹之间。</t>
  </si>
  <si>
    <t>玄音唤灵</t>
  </si>
  <si>
    <t>装备者发动[强化特殊技] 时可获得1层增益效果，每层增益效果使装备者造成的伤害提升4%，最多叠加3层，持续20秒，每0.5秒最多触发1次，重复触发时刷新持续时间；拥有3层增益效果时，装备者的暴击率提升6.5%。</t>
  </si>
  <si>
    <t>装备者发动[强化特殊技] 时可获得1层增益效果，每层增益效果使装备者造成的伤害提升4.6%，最多叠加3层，持续20秒，每0.5秒最多触发1次，重复触发时刷新持续时间；拥有3层增益效果时，装备者的暴击率提升7.5%。</t>
  </si>
  <si>
    <t>装备者发动[强化特殊技] 时可获得1层增益效果，每层增益效果使装备者造成的伤害提升5.2%，最多叠加3层，持续20秒，每0.5秒最多触发1次，重复触发时刷新持续时间；拥有3层增益效果时，装备者的暴击率提升8.5%。</t>
  </si>
  <si>
    <t>装备者发动[强化特殊技] 时可获得1层增益效果，每层增益效果使装备者造成的伤害提升5.8%，最多叠加3层，持续20秒，每0.5秒最多触发1次，重复触发时刷新持续时间；拥有3层增益效果时，装备者的暴击率提升9.4%。</t>
  </si>
  <si>
    <t>装备者发动[强化特殊技] 时可获得1层增益效果，每层增益效果使装备者造成的伤害提升6.4%，最多叠加3层，持续20秒，每0.5秒最多触发1次，重复触发时刷新持续时间；拥有3层增益效果时，装备者的暴击率提升10.4%。</t>
  </si>
  <si>
    <t>电影系的学生能干出怎样出格的事都不令人意外，但这位师出新艾利都电影名门的空洞题材电影爱好者还是招来了音擎工艺师的质问：「你这家伙真的知道音擎的音是音乐的音不是电影的影吧？」</t>
  </si>
  <si>
    <t>明明是音擎而非「影擎」，不知道是怎样的怪才才会执意要在音擎里塞上一台十六毫米胶片摄像机。</t>
  </si>
  <si>
    <t>镌刻倏忽</t>
  </si>
  <si>
    <t>队伍中角色生命值大于等于50%，受到的伤害降低7.5%，受到的[秽息浸染]值降低10%，该效果全队唯一。</t>
  </si>
  <si>
    <t>队伍中角色生命值大于等于50%，受到的伤害降低8.6%，受到的[秽息浸染]值降低11.5%，该效果全队唯一。</t>
  </si>
  <si>
    <t>队伍中角色生命值大于等于50%，受到的伤害降低9.7%，受到的[秽息浸染]值降低13%，该效果全队唯一。</t>
  </si>
  <si>
    <t>队伍中角色生命值大于等于50%，受到的伤害降低10.8%，受到的[秽息浸染]值降低14.5%，该效果全队唯一。</t>
  </si>
  <si>
    <t>队伍中角色生命值大于等于50%，受到的伤害降低12%，受到的[秽息浸染]值降低16%，该效果全队唯一。</t>
  </si>
  <si>
    <t>艺术能拯救深陷低谷之人。凡骨们汇聚起来，不同感受的音乐随之交织，墙面未干的涂鸦诉说着万千种主张。
    现在，把音量再调高一些，高到音浪的震动足以撼动空洞。哪怕以骸没有耳朵，也应该让它们感受一下人类的气势。</t>
  </si>
  <si>
    <t>凡骨们，汇聚起来！把音量再调高一些！</t>
  </si>
  <si>
    <t>躁动全场</t>
  </si>
  <si>
    <t>[强化特殊技]或[连携技]命中敌人时，装备者的攻击力提升6%，持续8秒；目标处于属性异常状态下时，该增益效果额外提升6%。</t>
  </si>
  <si>
    <t>[强化特殊技]或[连携技]命中敌人时，装备者的攻击力提升6.9%，持续8秒；目标处于属性异常状态下时，该增益效果额外提升6.9%。</t>
  </si>
  <si>
    <t>[强化特殊技]或[连携技]命中敌人时，装备者的攻击力提升7.8%，持续8秒；目标处于属性异常状态下时，该增益效果额外提升7.8%。</t>
  </si>
  <si>
    <t>[强化特殊技]或[连携技]命中敌人时，装备者的攻击力提升8.7%，持续8秒；目标处于属性异常状态下时，该增益效果额外提升8.7%。</t>
  </si>
  <si>
    <t>[强化特殊技]或[连携技]命中敌人时，装备者的攻击力提升9.6%，持续8秒；目标处于属性异常状态下时，该增益效果额外提升9.6%。</t>
  </si>
  <si>
    <t>不满足于反复聆听同一张专辑的旋律，不愿意于停留驻足于同一个空洞的风景，即使是在空洞中跋涉的旅客中也有这样浪漫主义过了头的、吟游诗人般的冒险者。「电波漫步」正是为这群浪漫主义笨蛋所打造，它额外搭载的「电台」模块能够将以太频段转换为旋律的调拨，在不同类型的空洞中播放不同风格的音乐曲目。</t>
  </si>
  <si>
    <t>为不愿意只收听同一张专辑的空洞吟游诗人们所打造的音擎，装载了能够将以太波段化作旋律的「电台」模块。</t>
  </si>
  <si>
    <t>自在步调</t>
  </si>
  <si>
    <t>发动[连携技]或[终结技]时，装备者获得1层增益效果，每层增益效果使装备者的贯穿力提升80点，最多叠加3层，持续12秒，每层效果单独结算持续时间。</t>
  </si>
  <si>
    <t>发动[连携技]或[终结技]时，装备者获得1层增益效果，每层增益效果使装备者的贯穿力提升92点，最多叠加3层，持续12秒，每层效果单独结算持续时间。</t>
  </si>
  <si>
    <t>发动[连携技]或[终结技]时，装备者获得1层增益效果，每层增益效果使装备者的贯穿力提升104点，最多叠加3层，持续12秒，每层效果单独结算持续时间。</t>
  </si>
  <si>
    <t>发动[连携技]或[终结技]时，装备者获得1层增益效果，每层增益效果使装备者的贯穿力提升116点，最多叠加3层，持续12秒，每层效果单独结算持续时间。</t>
  </si>
  <si>
    <t>发动[连携技]或[终结技]时，装备者获得1层增益效果，每层增益效果使装备者的贯穿力提升128点，最多叠加3层，持续12秒，每层效果单独结算持续时间。</t>
  </si>
  <si>
    <t>花的明艳，花的灿烂，于奢绮极尽之中雕琢的音擎。然而终于解除以太供能的超规防盗装置后，技艺高明的窃贼绝望地发现：这是镀金的。</t>
  </si>
  <si>
    <t>外形繁复华丽，内置以太供能的超规防盗装置的音擎；实际用途是为装备者提供能量。</t>
  </si>
  <si>
    <t>超规防盗措施</t>
  </si>
  <si>
    <t>攻击力提升6%，[强化特殊技]造成的伤害提升15%。</t>
  </si>
  <si>
    <t>攻击力提升6.9%，[强化特殊技]造成的伤害提升17.2%。</t>
  </si>
  <si>
    <t>攻击力提升7.8%，[强化特殊技]造成的伤害提升19.5%。</t>
  </si>
  <si>
    <t>攻击力提升8.7%，[强化特殊技]造成的伤害提升21.8%。</t>
  </si>
  <si>
    <t>攻击力提升9.6%，[强化特殊技]造成的伤害提升24%。</t>
  </si>
  <si>
    <t>你可将其视作增强战斗表现的辅助品，但它同时也是一颗形状特别的魔方。据说，这款音擎的制作灵感来自于设计者的童年，那时母亲亲手制作的魔方陪他涉过疲顿的清晨、穿越一个个黯淡的午后。他将那份思念母亲的心注入音擎之中，而这份思念会给使用者带来安全感：你拿起魔方，仿佛又回到那个做噩梦后跑到母亲身旁寻求庇护的童年。</t>
  </si>
  <si>
    <t>颜色缤纷、性能优秀的音擎，由于外形如同玩具，在刚上市时销量惨淡，但凭借良心定价逐渐积累了不错的口碑。</t>
  </si>
  <si>
    <t>奇机弄巧</t>
  </si>
  <si>
    <t>发动[强化特殊技]时，装备者暴击伤害提升16%，持续12秒；且若目标当前生命值低于最大值的50%时，[强化特殊技]造成的伤害提升20%。</t>
  </si>
  <si>
    <t>发动[强化特殊技]时，装备者暴击伤害提升18.4%，持续12秒；且若目标当前生命值低于最大值的50%时，[强化特殊技]造成的伤害提升23%。</t>
  </si>
  <si>
    <t>发动[强化特殊技]时，装备者暴击伤害提升20.8%，持续12秒；且若目标当前生命值低于最大值的50%时，[强化特殊技]造成的伤害提升26%。</t>
  </si>
  <si>
    <t>发动[强化特殊技]时，装备者暴击伤害提升23.2%，持续12秒；且若目标当前生命值低于最大值的50%时，[强化特殊技]造成的伤害提升29%。</t>
  </si>
  <si>
    <t>发动[强化特殊技]时，装备者暴击伤害提升25.6%，持续12秒；且若目标当前生命值低于最大值的50%时，[强化特殊技]造成的伤害提升32%。</t>
  </si>
  <si>
    <t>加装有变温调控器的特制音擎，高频率运作时排出的余热，会被集中到球体表面的「热泉」之中。在冻得瑟瑟发抖的敌人面前，音擎持有者可以喝着「热泉汤」，感受春日融融。当然，有人会觉得这像是在喝洗澡水。</t>
  </si>
  <si>
    <t>加装有变温调控器的特制音擎，高频率运作时排出的余热，会被集中到球体表面的「热泉」之中。</t>
  </si>
  <si>
    <t>热泉汤</t>
  </si>
  <si>
    <t>受到的伤害降低7.5%；受到敌方攻击时，装备者的能量获得效率提升10%，持续12秒；装备者换回后场时，该增益效果将传递给当前操作中的角色，并刷新持续时间，同名被动效果之间不可叠加。</t>
  </si>
  <si>
    <t>受到的伤害降低8.5%；受到敌方攻击时，装备者的能量获得效率提升11.5%，持续12秒；装备者换回后场时，该增益效果将传递给当前操作中的角色，并刷新持续时间，同名被动效果之间不可叠加。</t>
  </si>
  <si>
    <t>受到的伤害降低9.5%；受到敌方攻击时，装备者的能量获得效率提升13%，持续12秒；装备者换回后场时，该增益效果将传递给当前操作中的角色，并刷新持续时间，同名被动效果之间不可叠加。</t>
  </si>
  <si>
    <t>受到的伤害降低10.5%；受到敌方攻击时，装备者的能量获得效率提升14.5%，持续12秒；装备者换回后场时，该增益效果将传递给当前操作中的角色，并刷新持续时间，同名被动效果之间不可叠加。</t>
  </si>
  <si>
    <t>受到的伤害降低12%；受到敌方攻击时，装备者的能量获得效率提升16%，持续12秒；装备者换回后场时，该增益效果将传递给当前操作中的角色，并刷新持续时间，同名被动效果之间不可叠加。</t>
  </si>
  <si>
    <t>装饰有毛绒兔子的特型音擎。虽然这些「兔子」只是被制作出来的拟真玩偶，但即使是最凶残的盗洞客，在休息时摸摸兔子，也能明显缓解压力，增强自身的战斗表现。该系列音擎有许多类似款式：便携兔子、折叠兔子、无毛兔子…总有一款会让你无法拒绝。</t>
  </si>
  <si>
    <t>装饰有毛绒兔子的特型音擎。不过这些「兔子」只是被制作出来的拟真玩偶。</t>
  </si>
  <si>
    <t>摸摸兔兔</t>
  </si>
  <si>
    <t>生命值上限提升8%；拥有护盾时，装备者的攻击力提升10%。</t>
  </si>
  <si>
    <t>生命值上限提升9.2%；拥有护盾时，装备者的攻击力提升11.5%。</t>
  </si>
  <si>
    <t>生命值上限提升10.4%；拥有护盾时，装备者的攻击力提升13%。</t>
  </si>
  <si>
    <t>生命值上限提升11.6%；拥有护盾时，装备者的攻击力提升14.5%。</t>
  </si>
  <si>
    <t>生命值上限提升12.8%；拥有护盾时，装备者的攻击力提升16%。</t>
  </si>
  <si>
    <t>内置有大功率电流变压器的输出型音擎。其突出的唇彩部位即是放电装置，能自动吸引装备者周围的感电物体，并对其造成额外的伤害——这不是什么爱情的魔力，而是1000伏高压电场产生的洛伦兹力。</t>
  </si>
  <si>
    <t>内置有大功率电流变压器的输出型音擎，能自动吸引装备者周围的感电物体，并对其造成额外的伤害。</t>
  </si>
  <si>
    <t>致命拥吻</t>
  </si>
  <si>
    <t>当场上存在处于属性异常状态下的敌人时，装备者的攻击力提升10%，对目标造成的伤害额外提升15%。</t>
  </si>
  <si>
    <t>当场上存在处于属性异常状态下的敌人时，装备者的攻击力提升11.5%，对目标造成的伤害额外提升17.5%。</t>
  </si>
  <si>
    <t>当场上存在处于属性异常状态下的敌人时，装备者的攻击力提升13%，对目标造成的伤害额外提升20%。</t>
  </si>
  <si>
    <t>当场上存在处于属性异常状态下的敌人时，装备者的攻击力提升14.5%，对目标造成的伤害额外提升22.5%。</t>
  </si>
  <si>
    <t>当场上存在处于属性异常状态下的敌人时，装备者的攻击力提升16%，对目标造成的伤害额外提升25%。</t>
  </si>
  <si>
    <t>回收废弃的邦布外壳所制造的音擎，虽然使用的是维修时所废弃的部件，但还是难免让喜爱邦布的市民感到不安。「本球制作过程中没有邦布受到伤害」——在受到邦布权利组织的抗议后，生产商不得不在包装盒上加上这条声明。</t>
  </si>
  <si>
    <t>利用回收废弃邦布的外壳所制造的音擎，回收金属制造的电极核心能够释放高压电流。</t>
  </si>
  <si>
    <t>呜咽余波</t>
  </si>
  <si>
    <t>队伍中任意角色对敌人施加属性异常效果时，为装备者提供1层增益效果，每层增益效果使装备者的异常精通提升30点，最多叠加4层，目标从失衡状态恢复或死亡时，对应增益效果结束，每层效果单独结算持续时间。</t>
  </si>
  <si>
    <t>队伍中任意角色对敌人施加属性异常效果时，为装备者提供1层增益效果，每层增益效果使装备者的异常精通提升34点，最多叠加4层，目标从失衡状态恢复或死亡时，对应增益效果结束，每层效果单独结算持续时间。</t>
  </si>
  <si>
    <t>队伍中任意角色对敌人施加属性异常效果时，为装备者提供1层增益效果，每层增益效果使装备者的异常精通提升38点，最多叠加4层，目标从失衡状态恢复或死亡时，对应增益效果结束，每层效果单独结算持续时间。</t>
  </si>
  <si>
    <t>队伍中任意角色对敌人施加属性异常效果时，为装备者提供1层增益效果，每层增益效果使装备者的异常精通提升42点，最多叠加4层，目标从失衡状态恢复或死亡时，对应增益效果结束，每层效果单独结算持续时间。</t>
  </si>
  <si>
    <t>队伍中任意角色对敌人施加属性异常效果时，为装备者提供1层增益效果，每层增益效果使装备者的异常精通提升48点，最多叠加4层，目标从失衡状态恢复或死亡时，对应增益效果结束，每层效果单独结算持续时间。</t>
  </si>
  <si>
    <t>受到星徽骑士粉丝追捧的梦幻音擎，版权方声称，使用山寨变身器会变成反派杂鱼。且看好一记令恶徒魄散魂飞的飞踢，这就是正版授权的威力！
    「星徽骑士，变身！变！我变！变啊——！怎么没变呢？难道…星徽没有选中我！？」——语出狡兔屋匿名员工拍摄的开箱VLOG</t>
  </si>
  <si>
    <t>受到星徽骑士粉丝追捧的梦幻音擎，由于高人气和限定发售的营销策略导致山寨货横行。</t>
  </si>
  <si>
    <t>骑士飞踢</t>
  </si>
  <si>
    <t>生命值上限提升8%；受到敌方攻击时，装备者的冲击力提升10%，持续12秒。</t>
  </si>
  <si>
    <t>生命值上限提升9%；受到敌方攻击时，装备者的冲击力提升11.5%，持续12秒。</t>
  </si>
  <si>
    <t>生命值上限提升10%；受到敌方攻击时，装备者的冲击力提升13%，持续12秒。</t>
  </si>
  <si>
    <t>生命值上限提升11%；受到敌方攻击时，装备者的冲击力提升14.5%，持续12秒。</t>
  </si>
  <si>
    <t>生命值上限提升12.5%；受到敌方攻击时，装备者的冲击力提升16%，持续12秒。</t>
  </si>
  <si>
    <t>采用复合以太材料作为外壳的特制音擎，能在战斗中吸收冲击力，并转而对敌人施放。据说它的原型机由某位元老级空洞冒险家亲自制作而成，在转手了无数次之后依旧能够顺畅运行，和表面的古董化石一样，堪称音擎界的骨灰级前辈。</t>
  </si>
  <si>
    <t>采用复合以太材料作为外壳的特制音擎，能减缓并吸收部分冲击力，转而对敌人施放。</t>
  </si>
  <si>
    <t>巨兽猎手</t>
  </si>
  <si>
    <t>敌方生命值大于等于50%时，装备者对目标造成的失衡值提升10%，敌方生命值大于等于75%时，该增益效果额外提升10%。</t>
  </si>
  <si>
    <t>敌方生命值大于等于50%时，装备者对目标造成的失衡值提升11.5%，敌方生命值大于等于75%时，该增益效果额外提升11.5%。</t>
  </si>
  <si>
    <t>敌方生命值大于等于50%时，装备者对目标造成的失衡值提升13%，敌方生命值大于等于75%时，该增益效果额外提升13%。</t>
  </si>
  <si>
    <t>敌方生命值大于等于50%时，装备者对目标造成的失衡值提升14.5%，敌方生命值大于等于75%时，该增益效果额外提升14.5%。</t>
  </si>
  <si>
    <t>敌方生命值大于等于50%时，装备者对目标造成的失衡值提升16%，敌方生命值大于等于75%时，该增益效果额外提升16%。</t>
  </si>
  <si>
    <t>大功率变温型音擎，内置了新型的能量转换系统，能将额外产出的热量收集并供给蒸锅利用，轻松烹煮、快速加热。无论居家旅行、空洞内外皆可使用。当然…使用时请千万小心，以防烫伤。</t>
  </si>
  <si>
    <t>内置了新型能量转换系统的大功率变温音擎，能将额外产出的热量收集并供给蒸锅利用。</t>
  </si>
  <si>
    <t>浓厚汤底</t>
  </si>
  <si>
    <t>每拥有10点能量值，装备者的冲击力提升2%，最多叠加8层，能量消耗后该增益效果仍然保留，持续8秒，每层效果单独结算持续时间。</t>
  </si>
  <si>
    <t>每拥有10点能量值，装备者的冲击力提升2.3%，最多叠加8层，能量消耗后该增益效果仍然保留，持续8秒，每层效果单独结算持续时间。</t>
  </si>
  <si>
    <t>每拥有10点能量值，装备者的冲击力提升2.6%，最多叠加8层，能量消耗后该增益效果仍然保留，持续8秒，每层效果单独结算持续时间。</t>
  </si>
  <si>
    <t>每拥有10点能量值，装备者的冲击力提升2.9%，最多叠加8层，能量消耗后该增益效果仍然保留，持续8秒，每层效果单独结算持续时间。</t>
  </si>
  <si>
    <t>每拥有10点能量值，装备者的冲击力提升3.2%，最多叠加8层，能量消耗后该增益效果仍然保留，持续8秒，每层效果单独结算持续时间。</t>
  </si>
  <si>
    <t>采用了特殊以太材料的输出型音擎，在受到冲击时可以缓慢积蓄能量，迅速提高自身的输出功率。虽然带着它并不能变身星徽骑士，但装备者在面临绝境时，心底总会涌现莫名的勇气。</t>
  </si>
  <si>
    <t>采用了特殊以太材料的输出型音擎，在受到冲击时可以缓慢积蓄能量。</t>
  </si>
  <si>
    <t>骑士连打</t>
  </si>
  <si>
    <t>发动[闪避反击]或[快速支援]时，装备者的攻击力提升12%，持续12秒。</t>
  </si>
  <si>
    <t>发动[闪避反击]或[快速支援]时，装备者的攻击力提升13.8%，持续12秒。</t>
  </si>
  <si>
    <t>发动[闪避反击]或[快速支援]时，装备者的攻击力提升15.6%，持续12秒。</t>
  </si>
  <si>
    <t>发动[闪避反击]或[快速支援]时，装备者的攻击力提升17.4%，持续12秒。</t>
  </si>
  <si>
    <t>发动[闪避反击]或[快速支援]时，装备者的攻击力提升19.2%，持续12秒。</t>
  </si>
  <si>
    <t>爬宠同好会为推广爬宠文化所推出的消费级音擎，曾收获一时的追捧，直到三名顾客的手指、一位店员和半只邦布消失在「饕客」的大嘴里。自「嘴部」产生的以太团块能够快速吞没物质，请勿将头部或肢体伸入其中。</t>
  </si>
  <si>
    <t>爬宠同好会为推广爬宠文化所推出的消费级音擎，曾因为可爱的外形收获一时的追捧。</t>
  </si>
  <si>
    <t>开饭了！</t>
  </si>
  <si>
    <t>每消耗10点能量值，获得1层增益效果，每层增益效果使装备者的攻击力提升2.5%，最多叠加10层，持续10秒，每层效果单独结算持续时间。</t>
  </si>
  <si>
    <t>每消耗10点能量值，获得1层增益效果，每层增益效果使装备者的攻击力提升2.8%，最多叠加10层，持续10秒，每层效果单独结算持续时间。</t>
  </si>
  <si>
    <t>每消耗10点能量值，获得1层增益效果，每层增益效果使装备者的攻击力提升3.2%，最多叠加10层，持续10秒，每层效果单独结算持续时间。</t>
  </si>
  <si>
    <t>每消耗10点能量值，获得1层增益效果，每层增益效果使装备者的攻击力提升3.6%，最多叠加10层，持续10秒，每层效果单独结算持续时间。</t>
  </si>
  <si>
    <t>每消耗10点能量值，获得1层增益效果，每层增益效果使装备者的攻击力提升4%，最多叠加10层，持续10秒，每层效果单独结算持续时间。</t>
  </si>
  <si>
    <t>搭载有高速取景模块的特型音擎，空洞内摄影爱好者的最佳选择，记录痛扁以骸的每一个感动时刻，只要你能腾出按快门的手。
    PS：内部光学元件未作抗侵蚀处理，不要弄丢保修单。</t>
  </si>
  <si>
    <t>搭载有高速取景模块的特型音擎，是空洞内摄影爱好者的最佳选择。</t>
  </si>
  <si>
    <t>说「茄子」</t>
  </si>
  <si>
    <t>队伍中任意角色发动[闪避反击]/[强化特殊技]/[支援攻击]/[连携技]时，额外获得20/25/30/35点喧响值，并为装备者回复0.7点能量，12秒内最多触发一次，不同招式分别结算冷却时间，同名被动效果之间不可叠加。</t>
  </si>
  <si>
    <t>队伍中任意角色发动[闪避反击]/[强化特殊技]/[支援攻击]/[连携技]时，额外获得23/28.5/34.5/40点喧响值，并为装备者回复0.8点能量，12秒内最多触发一次，不同招式分别结算冷却时间，同名被动效果之间不可叠加。</t>
  </si>
  <si>
    <t>队伍中任意角色发动[闪避反击]/[强化特殊技]/[支援攻击]/[连携技]时，额外获得26/32/39/45点喧响值，并为装备者回复0.9点能量，12秒内最多触发一次，不同招式分别结算冷却时间，同名被动效果之间不可叠加。</t>
  </si>
  <si>
    <t>队伍中任意角色发动[闪避反击]/[强化特殊技]/[支援攻击]/[连携技]时，额外获得29/35.5/43.5/50点喧响值，并为装备者回复1点能量，12秒内最多触发一次，不同招式分别结算冷却时间，同名被动效果之间不可叠加。</t>
  </si>
  <si>
    <t>队伍中任意角色发动[闪避反击]/[强化特殊技]/[支援攻击]/[连携技]时，额外获得32/40/48/55点喧响值，并为装备者回复1.1点能量，12秒内最多触发一次，不同招式分别结算冷却时间，同名被动效果之间不可叠加。</t>
  </si>
  <si>
    <t>为街头音乐爱好者而生的定制款音擎，牺牲散热元件为昂贵的音响模块腾出空间，只为了让粉丝和以骸化的粉丝听清你的每一句唱词
    ——从街头到空洞，巨星从不缺观众。我滚烫的腔调，是这场战争的佐料。</t>
  </si>
  <si>
    <t>为街头音乐爱好者而生的定制款音擎，牺牲了一部分散热元件，强化了音质效果。</t>
  </si>
  <si>
    <t>火热腔调</t>
  </si>
  <si>
    <t>队伍中任意角色发动[连携技]时，为装备者提供1层充能效果，最多叠加3层；发动[终结技]时，消耗所有充能，每层充能效果使招式造成的伤害提升15%。</t>
  </si>
  <si>
    <t>队伍中任意角色发动[连携技]时，为装备者提供1层充能效果，最多叠加3层；发动[终结技]时，消耗所有充能，每层充能效果使招式造成的伤害提升17.2%。</t>
  </si>
  <si>
    <t>队伍中任意角色发动[连携技]时，为装备者提供1层充能效果，最多叠加3层；发动[终结技]时，消耗所有充能，每层充能效果使招式造成的伤害提升19.5%。</t>
  </si>
  <si>
    <t>队伍中任意角色发动[连携技]时，为装备者提供1层充能效果，最多叠加3层；发动[终结技]时，消耗所有充能，每层充能效果使招式造成的伤害提升21.7%。</t>
  </si>
  <si>
    <t>队伍中任意角色发动[连携技]时，为装备者提供1层充能效果，最多叠加3层；发动[终结技]时，消耗所有充能，每层充能效果使招式造成的伤害提升24%。</t>
  </si>
  <si>
    <t>内置发热元件的音擎，以燃至极致的温度提供强大的战斗增益，能帮助使用者轻易贯穿对手的防御。那团静谧燃烧的钴蓝色火焰是如此幽暗美丽，但注意与它保持距离，不要伸手触碰。</t>
  </si>
  <si>
    <t>内置发热元件的音擎，处于高速运转的状态时有如一团钴蓝色火焰。</t>
  </si>
  <si>
    <t>黯火</t>
  </si>
  <si>
    <t>成为接战状态下的当前操作角色时，装备者的攻击力提升7.2%，持续10秒，20秒内最多触发一次。</t>
  </si>
  <si>
    <t>成为接战状态下的当前操作角色时，装备者的攻击力提升8.2%，持续10秒，20秒内最多触发一次。</t>
  </si>
  <si>
    <t>成为接战状态下的当前操作角色时，装备者的攻击力提升9.3%，持续10秒，20秒内最多触发一次。</t>
  </si>
  <si>
    <t>成为接战状态下的当前操作角色时，装备者的攻击力提升10.4%，持续10秒，20秒内最多触发一次。</t>
  </si>
  <si>
    <t>成为接战状态下的当前操作角色时，装备者的攻击力提升11.5%，持续10秒，20秒内最多触发一次。</t>
  </si>
  <si>
    <t>专攻能源转换的功能性音擎，能够解析作战环境并据此形成特殊声景，以干扰敌方的攻势。对于意志坚定的敌人，即使能顺利奏效，也还需抓住攻击时机；好在绝大部分以骸其实都神志不清。</t>
  </si>
  <si>
    <t>专攻能源转换的功能性音擎，能够解析作战环境并据此形成特殊声景，以干扰敌方的攻势。</t>
  </si>
  <si>
    <t>致眩</t>
  </si>
  <si>
    <t>受到敌方攻击时，攻击者造成的伤害降低6%，持续12秒。</t>
  </si>
  <si>
    <t>受到敌方攻击时，攻击者造成的伤害降低7%，持续12秒。</t>
  </si>
  <si>
    <t>受到敌方攻击时，攻击者造成的伤害降低8%，持续12秒。</t>
  </si>
  <si>
    <t>受到敌方攻击时，攻击者造成的伤害降低9%，持续12秒。</t>
  </si>
  <si>
    <t>受到敌方攻击时，攻击者造成的伤害降低10%，持续12秒。</t>
  </si>
  <si>
    <t>按照一定参数调整过组件结构的音擎，能为符合特定战斗习惯的使用者增强防御能力。如果使用者不符合此音擎的筛选条件，那么携带它的体验约等于肩扛巨大盾牌勉力作战。</t>
  </si>
  <si>
    <t>按照一定参数调整过组件结构的音擎，能为符合特定战斗习惯的使用者增强防御能力。</t>
  </si>
  <si>
    <t>沉击</t>
  </si>
  <si>
    <t>受到敌方攻击时，装备者的防御力提升20%，持续8秒。</t>
  </si>
  <si>
    <t>受到敌方攻击时，装备者的防御力提升23%，持续8秒。</t>
  </si>
  <si>
    <t>受到敌方攻击时，装备者的防御力提升26%，持续8秒。</t>
  </si>
  <si>
    <t>受到敌方攻击时，装备者的防御力提升29%，持续8秒。</t>
  </si>
  <si>
    <t>受到敌方攻击时，装备者的防御力提升32%，持续8秒。</t>
  </si>
  <si>
    <t>大容量供能型音擎，内置有电流发生器，即使不用装备者额外操作，也可持续性储备电能。在战斗中装备此款音擎，有时可以出其不意地将麻烦的敌人一击击晕。</t>
  </si>
  <si>
    <t>大容量供能型音擎，内置有电流发生器，可持续性储备电能。</t>
  </si>
  <si>
    <t>过载电荷</t>
  </si>
  <si>
    <t>队伍中任意角色对敌人施加属性异常效果时，装备者回复3.5点能量，12秒内最多触发一次。</t>
  </si>
  <si>
    <t>队伍中任意角色对敌人施加属性异常效果时，装备者回复4点能量，12秒内最多触发一次。</t>
  </si>
  <si>
    <t>队伍中任意角色对敌人施加属性异常效果时，装备者回复4.5点能量，12秒内最多触发一次。</t>
  </si>
  <si>
    <t>队伍中任意角色对敌人施加属性异常效果时，装备者回复5点能量，12秒内最多触发一次。</t>
  </si>
  <si>
    <t>队伍中任意角色对敌人施加属性异常效果时，装备者回复5.5点能量，12秒内最多触发一次。</t>
  </si>
  <si>
    <t>强化了动作检测功能的输出型音擎，能实时检测到使用者的作战状态，以便在关键的动作节点提高输出功率，达到最佳的作战效果。在动作结束后，该音擎会发出炫目的五彩闪光，并对本次动作的难度和完成度作出评分。</t>
  </si>
  <si>
    <t>强化了动作检测功能的输出型音擎，能瞬间变化输出功率，达到最佳的作战效果。</t>
  </si>
  <si>
    <t>高压电涌</t>
  </si>
  <si>
    <t>累积属性异常积蓄值时，装备者的异常精通提升25点，持续10秒，20秒内最多触发一次。</t>
  </si>
  <si>
    <t>累积属性异常积蓄值时，装备者的异常精通提升28点，持续10秒，20秒内最多触发一次。</t>
  </si>
  <si>
    <t>累积属性异常积蓄值时，装备者的异常精通提升32点，持续10秒，20秒内最多触发一次。</t>
  </si>
  <si>
    <t>累积属性异常积蓄值时，装备者的异常精通提升36点，持续10秒，20秒内最多触发一次。</t>
  </si>
  <si>
    <t>累积属性异常积蓄值时，装备者的异常精通提升40点，持续10秒，20秒内最多触发一次。</t>
  </si>
  <si>
    <t>能通过实时计算，解析敌方弱点的特制音擎。虽然它钢质的沉重外壳会给装备者造成一定的负担，不过却意外地被当做锻炼体能、合理减肥的多用途器械，深受部分使用者好评。</t>
  </si>
  <si>
    <t>能通过实时计算，解析敌方弱点的特制音擎。</t>
  </si>
  <si>
    <t>紊乱电流</t>
  </si>
  <si>
    <t>累积属性异常积蓄值时，装备者的异常掌控提升25点，持续10秒，20秒内最多触发一次。</t>
  </si>
  <si>
    <t>累积属性异常积蓄值时，装备者的异常掌控提升28点，持续10秒，20秒内最多触发一次。</t>
  </si>
  <si>
    <t>累积属性异常积蓄值时，装备者的异常掌控提升32点，持续10秒，20秒内最多触发一次。</t>
  </si>
  <si>
    <t>累积属性异常积蓄值时，装备者的异常掌控提升36点，持续10秒，20秒内最多触发一次。</t>
  </si>
  <si>
    <t>累积属性异常积蓄值时，装备者的异常掌控提升40点，持续10秒，20秒内最多触发一次。</t>
  </si>
  <si>
    <t>可在瞬间爆发出超额功率的变频音擎，能有效提升装备者的战斗破坏力，但因为散热问题，该款音擎在使用中经常发出吵闹的轰鸣声，使得整个小队成员不得不佩戴防噪音耳机。</t>
  </si>
  <si>
    <t>可在瞬间爆发出超额功率的变频音擎，能有效提升装备者的战斗破坏力。</t>
  </si>
  <si>
    <t>疾潮</t>
  </si>
  <si>
    <t>成为接战状态下的当前操作角色时，装备者的冲击力提升9%，持续10秒，20秒内最多触发一次。</t>
  </si>
  <si>
    <t>成为接战状态下的当前操作角色时，装备者的冲击力提升10%，持续10秒，20秒内最多触发一次。</t>
  </si>
  <si>
    <t>成为接战状态下的当前操作角色时，装备者的冲击力提升11%，持续10秒，20秒内最多触发一次。</t>
  </si>
  <si>
    <t>成为接战状态下的当前操作角色时，装备者的冲击力提升12%，持续10秒，20秒内最多触发一次。</t>
  </si>
  <si>
    <t>成为接战状态下的当前操作角色时，装备者的冲击力提升13%，持续10秒，20秒内最多触发一次。</t>
  </si>
  <si>
    <t>利用高频声波进行定位的战术音擎，在其定位敌人后，可通过辅助瞄准让装备者的精准攻击更具威胁。虽然本意是减轻战斗负担，但高频声波有时候也会把远处好奇的以骸吸引过来。</t>
  </si>
  <si>
    <t>利用高频声波进行定位的战术音擎，可通过辅助瞄准让装备者的精准攻击更具威胁。</t>
  </si>
  <si>
    <t>巨浪</t>
  </si>
  <si>
    <t>攻击命中敌人时，装备者对主要攻击目标造成的失衡值提升8%。</t>
  </si>
  <si>
    <t>攻击命中敌人时，装备者对主要攻击目标造成的失衡值提升9%。</t>
  </si>
  <si>
    <t>攻击命中敌人时，装备者对主要攻击目标造成的失衡值提升10%。</t>
  </si>
  <si>
    <t>攻击命中敌人时，装备者对主要攻击目标造成的失衡值提升11%。</t>
  </si>
  <si>
    <t>攻击命中敌人时，装备者对主要攻击目标造成的失衡值提升12%。</t>
  </si>
  <si>
    <t>拥有特殊运算电路的蓄能型音擎，可收集逸散的能量，并在积蓄到一定程度后瞬间释放，达到额外的冲击效果。虽然无法控制什么时候释放能量，但当它生效时，总能给装备者带来抽奖中签般的快乐。</t>
  </si>
  <si>
    <t>拥有特殊运算电路的蓄能型音擎，可收集能量，积蓄到一定程度后瞬间释放。</t>
  </si>
  <si>
    <t>暗涌</t>
  </si>
  <si>
    <t>[强化特殊技]造成的失衡值提升10%。</t>
  </si>
  <si>
    <t>[强化特殊技]造成的失衡值提升11.5%。</t>
  </si>
  <si>
    <t>[强化特殊技]造成的失衡值提升13%。</t>
  </si>
  <si>
    <t>[强化特殊技]造成的失衡值提升14.5%。</t>
  </si>
  <si>
    <t>[强化特殊技]造成的失衡值提升16%。</t>
  </si>
  <si>
    <t>内置了动作捕捉算法的特型音擎，能够监测成员的战斗状态，发出有节奏的信号协调各个成员的战术动作，从而整体增强小队的战斗能力。当然，前提是所有人都能跟上它发出的拍子，而不是踩掉其他成员的鞋子…</t>
  </si>
  <si>
    <t>内置了动作捕捉算法的特型音擎，能有效增强小队的战斗能力。</t>
  </si>
  <si>
    <t>强音</t>
  </si>
  <si>
    <t>发动[连携技]或[终结技]时，全队角色攻击力提升8%，持续10秒，20秒内最多触发一次，同名被动效果之间不可叠加。</t>
  </si>
  <si>
    <t>发动[连携技]或[终结技]时，全队角色攻击力提升9%，持续10秒，20秒内最多触发一次，同名被动效果之间不可叠加。</t>
  </si>
  <si>
    <t>发动[连携技]或[终结技]时，全队角色攻击力提升10%，持续10秒，20秒内最多触发一次，同名被动效果之间不可叠加。</t>
  </si>
  <si>
    <t>发动[连携技]或[终结技]时，全队角色攻击力提升11%，持续10秒，20秒内最多触发一次，同名被动效果之间不可叠加。</t>
  </si>
  <si>
    <t>发动[连携技]或[终结技]时，全队角色攻击力提升12%，持续10秒，20秒内最多触发一次，同名被动效果之间不可叠加。</t>
  </si>
  <si>
    <t>性能均衡的制式音擎，虽然没有特殊战术倾向，却能够有效且全面地提升装备者及其队友的作战能力。对于不少初入行、没有特殊作战需求的新兵而言，此款音擎是他们青睐的最佳单品。</t>
  </si>
  <si>
    <t>性能均衡的制式音擎，能够有效且全面地提升装备者及其队友的作战能力。</t>
  </si>
  <si>
    <t>音浪</t>
  </si>
  <si>
    <t>发动[强化特殊技]或[连携技]时，全队角色异常掌控和异常精通提升10点，持续10秒，20秒内最多触发一次，同名被动效果之间不可叠加。</t>
  </si>
  <si>
    <t>发动[强化特殊技]或[连携技]时，全队角色异常掌控和异常精通提升12点，持续10秒，20秒内最多触发一次，同名被动效果之间不可叠加。</t>
  </si>
  <si>
    <t>发动[强化特殊技]或[连携技]时，全队角色异常掌控和异常精通提升13点，持续10秒，20秒内最多触发一次，同名被动效果之间不可叠加。</t>
  </si>
  <si>
    <t>发动[强化特殊技]或[连携技]时，全队角色异常掌控和异常精通提升15点，持续10秒，20秒内最多触发一次，同名被动效果之间不可叠加。</t>
  </si>
  <si>
    <t>发动[强化特殊技]或[连携技]时，全队角色异常掌控和异常精通提升16点，持续10秒，20秒内最多触发一次，同名被动效果之间不可叠加。</t>
  </si>
  <si>
    <t>内置有声波发生器的特制音擎，可将收集到的能量转化为高穿透性次声波，增强作战时的破坏力。不过该音擎的特殊功能需要提前蓄能才可激活。而蓄能的第一步，即是挥霍掉现有能量。</t>
  </si>
  <si>
    <t>内置有声波发生器的特制音擎，可增强作战时的破坏力。</t>
  </si>
  <si>
    <t>潮汐</t>
  </si>
  <si>
    <t>发动[强化特殊技]时，全队角色冲击力提升8%，持续10秒，20秒内最多触发一次，同名被动效果之间不可叠加。</t>
  </si>
  <si>
    <t>发动[强化特殊技]时，全队角色冲击力提升9%，持续10秒，20秒内最多触发一次，同名被动效果之间不可叠加。</t>
  </si>
  <si>
    <t>发动[强化特殊技]时，全队角色冲击力提升10%，持续10秒，20秒内最多触发一次，同名被动效果之间不可叠加。</t>
  </si>
  <si>
    <t>发动[强化特殊技]时，全队角色冲击力提升11%，持续10秒，20秒内最多触发一次，同名被动效果之间不可叠加。</t>
  </si>
  <si>
    <t>发动[强化特殊技]时，全队角色冲击力提升12%，持续10秒，20秒内最多触发一次，同名被动效果之间不可叠加。</t>
  </si>
  <si>
    <t>便携式大容量能源音擎，能收集周围耗散的能量，进而有效提升装备者的持续作战效果。据说，此款音擎是「低电量恐惧症」患者进入空洞时的首选。</t>
  </si>
  <si>
    <t>便携式大容量能源音擎，能收集周围耗散的能量，进而有效提升装备者的持续作战效果。</t>
  </si>
  <si>
    <t>新月</t>
  </si>
  <si>
    <t>发动[强化特殊技]时，装备者回复3点能量，12秒内最多触发一次。</t>
  </si>
  <si>
    <t>发动[强化特殊技]时，装备者回复3.5点能量，12秒内最多触发一次。</t>
  </si>
  <si>
    <t>发动[强化特殊技]时，装备者回复4点能量，12秒内最多触发一次。</t>
  </si>
  <si>
    <t>发动[强化特殊技]时，装备者回复4.5点能量，12秒内最多触发一次。</t>
  </si>
  <si>
    <t>发动[强化特殊技]时，装备者回复5点能量，12秒内最多触发一次。</t>
  </si>
  <si>
    <t>在声能与热能运用上都有不俗表现的音擎，能够赋予受击者双重伤害。受此音擎攻击或误击的对象有一定概率被确诊为雪盲症，原因目前未知；一位可怜的空洞调查员因此未能从保险公司索赔成功。</t>
  </si>
  <si>
    <t>在声能与热能运用上都有不俗表现的音擎，能够赋予受击者双重伤害。</t>
  </si>
  <si>
    <t>残月</t>
  </si>
  <si>
    <t>发动[连携技]或[终结技]时，装备者造成的伤害提升15%，持续6秒。</t>
  </si>
  <si>
    <t>发动[连携技]或[终结技]时，装备者造成的伤害提升17.5%，持续6秒。</t>
  </si>
  <si>
    <t>发动[连携技]或[终结技]时，装备者造成的伤害提升20%，持续6秒。</t>
  </si>
  <si>
    <t>发动[连携技]或[终结技]时，装备者造成的伤害提升22.5%，持续6秒。</t>
  </si>
  <si>
    <t>发动[连携技]或[终结技]时，装备者造成的伤害提升25%，持续6秒。</t>
  </si>
  <si>
    <t>专注调整输出能力、因此忽视降噪处理的音擎，能够对周围的单位造成无差别伤害。设计者对此的辩解是：当月光过分明亮，失眠者也会难受、无计可施；那月光也不是故意的，习惯就好。</t>
  </si>
  <si>
    <t>专注调整输出能力、因此忽视降噪处理的音擎，能够对周围的单位造成无差别伤害。</t>
  </si>
  <si>
    <t>满月</t>
  </si>
  <si>
    <t>[普通攻击]、[冲刺攻击]、[闪避反击]造成的伤害提升12%。</t>
  </si>
  <si>
    <t>[普通攻击]、[冲刺攻击]、[闪避反击]造成的伤害提升14%。</t>
  </si>
  <si>
    <t>[普通攻击]、[冲刺攻击]、[闪避反击]造成的伤害提升16%。</t>
  </si>
  <si>
    <t>[普通攻击]、[冲刺攻击]、[闪避反击]造成的伤害提升18%。</t>
  </si>
  <si>
    <t>[普通攻击]、[冲刺攻击]、[闪避反击]造成的伤害提升20%。</t>
  </si>
  <si>
    <t>中文名称</t>
  </si>
  <si>
    <t>突破生命值加成</t>
  </si>
  <si>
    <t>突破攻击力加成</t>
  </si>
  <si>
    <t>突破防御力加成</t>
  </si>
  <si>
    <t>60级生命值</t>
  </si>
  <si>
    <t>60级攻击力</t>
  </si>
  <si>
    <t>60级防御力</t>
  </si>
  <si>
    <t>60级暴击率</t>
  </si>
  <si>
    <t>60级暴击伤害</t>
  </si>
  <si>
    <t>芽芽</t>
  </si>
  <si>
    <t>比克布利克</t>
  </si>
  <si>
    <t>「墨丘利」</t>
  </si>
  <si>
    <t>艾丝弥小姐</t>
  </si>
  <si>
    <t>狮耶</t>
  </si>
  <si>
    <t>罗宾</t>
  </si>
  <si>
    <t>咔嚓仔</t>
  </si>
  <si>
    <t>格列佛探员</t>
  </si>
  <si>
    <t>左轮布</t>
  </si>
  <si>
    <t>阿崔巡查</t>
  </si>
  <si>
    <t>赤红莫库斯</t>
  </si>
  <si>
    <t>阿饭</t>
  </si>
  <si>
    <t>共鸣布</t>
  </si>
  <si>
    <t>插头布</t>
  </si>
  <si>
    <t>飚速布</t>
  </si>
  <si>
    <t>艾米莉安</t>
  </si>
  <si>
    <t>巴特勒</t>
  </si>
  <si>
    <t>恶魔布</t>
  </si>
  <si>
    <t>阿全</t>
  </si>
  <si>
    <t>鲨牙布</t>
  </si>
  <si>
    <t>乐玩布</t>
  </si>
  <si>
    <t>骑士布</t>
  </si>
  <si>
    <t>圣剑布</t>
  </si>
  <si>
    <t>格斗布</t>
  </si>
  <si>
    <t>加班布</t>
  </si>
  <si>
    <t>不良布</t>
  </si>
  <si>
    <t>气压布</t>
  </si>
  <si>
    <t>磁力布</t>
  </si>
  <si>
    <t>电击布</t>
  </si>
  <si>
    <t>飞靶布</t>
  </si>
  <si>
    <t>果核布</t>
  </si>
  <si>
    <t>泪眼布</t>
  </si>
  <si>
    <t>纸袋布</t>
  </si>
  <si>
    <t>纸壳布</t>
  </si>
  <si>
    <t>扑击布</t>
  </si>
  <si>
    <t>寻宝布</t>
  </si>
  <si>
    <t>招财布</t>
  </si>
  <si>
    <t>企鹅布</t>
  </si>
  <si>
    <t>伊埃斯</t>
  </si>
  <si>
    <t>主动技能：冰刀舞</t>
  </si>
  <si>
    <t>连携技：冰暴回旋</t>
  </si>
  <si>
    <t>主动技能：一掷千金</t>
  </si>
  <si>
    <t>主动技能：诱饵纸装甲</t>
  </si>
  <si>
    <t>主动技能：近一点，再近一点…</t>
  </si>
  <si>
    <t>连携技：够近了！</t>
  </si>
  <si>
    <t>主动技能：拉环爆弹</t>
  </si>
  <si>
    <t>连携技：惊爆礼物</t>
  </si>
  <si>
    <t>主动技能：正中红心</t>
  </si>
  <si>
    <t>连携技：舍命狂镖</t>
  </si>
  <si>
    <t>主动技能：百万伏特！</t>
  </si>
  <si>
    <t>连携技：亿万伏特！</t>
  </si>
  <si>
    <t>主动技能：磁力锁定</t>
  </si>
  <si>
    <t>主动技能：旱地猎鲨</t>
  </si>
  <si>
    <t>连携技：追猎不休</t>
  </si>
  <si>
    <t>主动技能：掘进冲刺</t>
  </si>
  <si>
    <t>连携技：破拆钻击</t>
  </si>
  <si>
    <t>主动技能：幻惑之吻</t>
  </si>
  <si>
    <t>连携技：迷乱狂吻</t>
  </si>
  <si>
    <t>连携技：午后甜点</t>
  </si>
  <si>
    <t>主动技能：便携机炮·扫债者</t>
  </si>
  <si>
    <t>连携技：爆轰速递</t>
  </si>
  <si>
    <t>主动技能：电流狙击</t>
  </si>
  <si>
    <t>连携技：高压电阻</t>
  </si>
  <si>
    <t>主动技能：迷你黑洞</t>
  </si>
  <si>
    <t>连携技：原初黑洞</t>
  </si>
  <si>
    <t>主动技能：幸运左轮</t>
  </si>
  <si>
    <t>连携技：幸运扳机</t>
  </si>
  <si>
    <t>主动技能：呜！汪汪！</t>
  </si>
  <si>
    <t>连携技：汪汪汪汪！</t>
  </si>
  <si>
    <t>主动技能： 驱劲滚轮</t>
  </si>
  <si>
    <t>连携技：狂飙突进</t>
  </si>
  <si>
    <t>连携技：骑士，蹦蹦冲击！</t>
  </si>
  <si>
    <t>主动技能： 火箭炮轰</t>
  </si>
  <si>
    <t>连携技：火箭爆轰！</t>
  </si>
  <si>
    <t>主动技能：紧急行动</t>
  </si>
  <si>
    <t>连携技：突击时刻</t>
  </si>
  <si>
    <t>主动技能：邦布星陨击！</t>
  </si>
  <si>
    <t>连携技：烈风千击</t>
  </si>
  <si>
    <t>主动技能：咔嚓！看镜头！</t>
  </si>
  <si>
    <t>连携技：咔嚓！别眨眼！</t>
  </si>
  <si>
    <t>主动技能：绮幕终落 [红心]</t>
  </si>
  <si>
    <t>主动技能：绮幕终落 [黑桃]</t>
  </si>
  <si>
    <t>主动技能：绮幕终落 [皇冠]</t>
  </si>
  <si>
    <t>连携技：幻幕拉开！</t>
  </si>
  <si>
    <t>主动技能：班味全开！</t>
  </si>
  <si>
    <t>主动技能：舞球摇凤</t>
  </si>
  <si>
    <t>连携技：银狮奔雷</t>
  </si>
  <si>
    <t>连携技：星辰弹</t>
  </si>
  <si>
    <t>主动技能：战术对策一：火线遏制</t>
  </si>
  <si>
    <t>连携技：战术对策三：爆弹奇袭</t>
  </si>
  <si>
    <t>主动技能：圣剑解放 [锤击]</t>
  </si>
  <si>
    <t>主动技能：圣剑解放 [斩击]</t>
  </si>
  <si>
    <t>连携技：破阵王威</t>
  </si>
  <si>
    <t>主动技能：蒙太奇连击A</t>
  </si>
  <si>
    <t>主动技能：蒙太奇连击B</t>
  </si>
  <si>
    <t>连携技：战地特写镜头</t>
  </si>
  <si>
    <t>主动技能：积木跳房子</t>
  </si>
  <si>
    <t>连携技：城堡躲避球</t>
  </si>
  <si>
    <t>主动技能：六合飞星 [飞剑]</t>
  </si>
  <si>
    <t>主动技能：六合飞星 [连斩]</t>
  </si>
  <si>
    <t xml:space="preserve">连携技：归一之剑
</t>
  </si>
  <si>
    <t>连携技：抢周边啦！</t>
  </si>
  <si>
    <t>2件套效果</t>
  </si>
  <si>
    <t>4件套效果</t>
  </si>
  <si>
    <t>故事</t>
  </si>
  <si>
    <t>筛选项</t>
  </si>
  <si>
    <t>标签</t>
  </si>
  <si>
    <t>啄木鸟电音</t>
  </si>
  <si>
    <t>暴击率+8%。</t>
  </si>
  <si>
    <t>[普通攻击]、[闪避反击]或[强化特殊技]命中敌人并触发暴击时，分别为装备者提供1层增益效果，每层增益效果使装备者的攻击力提升9%，持续6秒，不同招式分别结算持续时间。</t>
  </si>
  <si>
    <t>火到出圈的驱动盘，即使是不从事空洞工作的普通市民，也会想方设法买来收藏。只因刻录在其中的曲调实在是太洗脑了。</t>
  </si>
  <si>
    <t>啄木鸟电音-[暴击]</t>
  </si>
  <si>
    <t>暴击率提升</t>
  </si>
  <si>
    <t>河豚电音</t>
  </si>
  <si>
    <t>穿透率+8%。</t>
  </si>
  <si>
    <t>[终结技]造成的伤害提升20%；发动[终结技]时，装备者的攻击力提升15%，持续12秒。</t>
  </si>
  <si>
    <t>表现中规中矩的驱动盘系列，是许多追求稳定发挥的空洞探索者的首选。不过可千万不要小瞧这个系列驱动盘的功效，毕竟河豚可是有毒的。</t>
  </si>
  <si>
    <t>河豚电音-[穿透]</t>
  </si>
  <si>
    <t>穿透率提升</t>
  </si>
  <si>
    <t>震星迪斯科</t>
  </si>
  <si>
    <t>冲击力+6%。</t>
  </si>
  <si>
    <t>[普通攻击]、[冲刺攻击]、[闪避反击]对主要攻击目标造成的失衡值提升20%。</t>
  </si>
  <si>
    <t>专门在与音擎的兼容性上做了算法优化的驱动盘，能够更好地发挥辅助功能。</t>
  </si>
  <si>
    <t>震星迪斯科-[冲击]</t>
  </si>
  <si>
    <t>冲击力提升</t>
  </si>
  <si>
    <t>自由蓝调</t>
  </si>
  <si>
    <t>异常精通+30点。</t>
  </si>
  <si>
    <t>[强化特殊技]命中敌人时，根据装备者的属性类型，使目标对应属性异常积蓄抗性降低20%，持续8秒，相同属性类型的效果不可叠加。</t>
  </si>
  <si>
    <t>不论调查员还是盗洞客都对其评价颇高，口碑出奇统一的驱动盘系列，</t>
  </si>
  <si>
    <t>自由蓝调-[异常精通]</t>
  </si>
  <si>
    <t>异常精通提升</t>
  </si>
  <si>
    <t>激素朋克</t>
  </si>
  <si>
    <t>攻击力+10%。</t>
  </si>
  <si>
    <t>成为接战状态下的当前操作角色时，装备者的攻击力提升25%，持续10秒，20秒内最多触发一次。</t>
  </si>
  <si>
    <t>空洞调查协会建议慎重选择的驱动盘系列，据不完全统计，装配该驱动盘的调查员会展现出更高的战斗欲望。</t>
  </si>
  <si>
    <t>激素朋克-[攻击]</t>
  </si>
  <si>
    <t>攻击力提升</t>
  </si>
  <si>
    <t>灵魂摇滚</t>
  </si>
  <si>
    <t>防御力+16%。</t>
  </si>
  <si>
    <t>受到敌方攻击并损失生命值时，装备者受到的伤害降低40%，持续2.5秒，15秒内最多触发一次。</t>
  </si>
  <si>
    <t>神秘色彩浓厚的驱动盘，作者不详，母盘未知。虽然盗洞客之间流传着许多版本的刻录盘，但它们的源头究竟来自何处始终是谜。</t>
  </si>
  <si>
    <t>灵魂摇滚-[防御]</t>
  </si>
  <si>
    <t>防御力提升</t>
  </si>
  <si>
    <t>摇摆爵士</t>
  </si>
  <si>
    <t>能量自动回复+20%。</t>
  </si>
  <si>
    <t>发动[连携技]或[终结技]时，全队角色造成的伤害提升15%，持续12秒，同名被动效果之间不可叠加。</t>
  </si>
  <si>
    <t>注重高兼容性和提升协调辅助的驱动盘，是战斗方式灵活多变的调查员所喜爱的装备。</t>
  </si>
  <si>
    <t>摇摆爵士-[能量]</t>
  </si>
  <si>
    <t>能量自动回复提升</t>
  </si>
  <si>
    <t>混沌爵士</t>
  </si>
  <si>
    <t>火属性伤害和电属性伤害提升15%；位于后场时，[强化特殊技]和[支援攻击]造成的伤害提升20%，换入前场后，该增益效果仍然保留，持续5秒，保留效果7.5秒内最多触发一次。</t>
  </si>
  <si>
    <t>具有较高使用门槛的驱动盘，考验装配者对于以太装备的熟悉程度。</t>
  </si>
  <si>
    <t>混沌爵士-[异常精通]</t>
  </si>
  <si>
    <t>原始朋克</t>
  </si>
  <si>
    <t>施加的护盾值提升15%。</t>
  </si>
  <si>
    <t>队伍中任意角色发动[招架支援]或[回避支援]时，全队角色造成的伤害提升15%，持续10秒，同名被动效果之间不可叠加。</t>
  </si>
  <si>
    <t>空洞调查协会建议慎重选择的驱动盘系列，以太增幅效果显著，但也需要花更多精力来进行调控。</t>
  </si>
  <si>
    <t>原始朋克-[防御]</t>
  </si>
  <si>
    <t>施加的护盾值提升</t>
  </si>
  <si>
    <t>炎狱重金属</t>
  </si>
  <si>
    <t>火属性伤害+10%。</t>
  </si>
  <si>
    <t>攻击命中处于[灼烧]状态下的敌人时，装备者的暴击率提升28%，持续8秒。</t>
  </si>
  <si>
    <t>使用特定以太技术刻录出的驱动盘，能够针对性地为装配者提供属性增幅。</t>
  </si>
  <si>
    <t>炎狱重金属-[火]</t>
  </si>
  <si>
    <t>火属性伤害提升</t>
  </si>
  <si>
    <t>混沌重金属</t>
  </si>
  <si>
    <t>以太伤害+10%。</t>
  </si>
  <si>
    <t>装备者的暴击伤害提升20%，队伍中任意角色触发[侵蚀]效果的额外伤害时，该增益效果额外提升5.5%，最多叠加6层，持续8秒，重复触发时刷新持续时间。</t>
  </si>
  <si>
    <t>混沌重金属-[以太]</t>
  </si>
  <si>
    <t>以太伤害提升</t>
  </si>
  <si>
    <t>雷暴重金属</t>
  </si>
  <si>
    <t>电属性伤害+10%。</t>
  </si>
  <si>
    <t>当场上存在处于[感电]状态下的敌人时，装备者的攻击力提升28%。</t>
  </si>
  <si>
    <t>雷暴重金属-[电]</t>
  </si>
  <si>
    <t>电属性伤害提升</t>
  </si>
  <si>
    <t>极地重金属</t>
  </si>
  <si>
    <t>冰属性伤害+10%。</t>
  </si>
  <si>
    <t>[普通攻击]和[冲刺攻击]造成的伤害提升20%，队伍中任意角色对敌人施加[冻结]或触发[碎冰]效果时，该增益效果额外提升20%，持续12秒。</t>
  </si>
  <si>
    <t>极地重金属-[冰]</t>
  </si>
  <si>
    <t>冰属性伤害提升</t>
  </si>
  <si>
    <t>獠牙重金属</t>
  </si>
  <si>
    <t>物理伤害+10%。</t>
  </si>
  <si>
    <t>队伍中任意角色对敌人施加[强击]效果时，装备者对目标造成的伤害提升35%，持续12秒。</t>
  </si>
  <si>
    <t>獠牙重金属-[物理]</t>
  </si>
  <si>
    <t>物理伤害提升</t>
  </si>
  <si>
    <t>折枝剑歌</t>
  </si>
  <si>
    <t>暴击伤害+16%。</t>
  </si>
  <si>
    <t>异常掌控大于等于115点时，装备者的暴击伤害提升30%；队伍中任意角色对敌人施加[冻结]或触发[碎冰]效果时，装备者的暴击率提升12%，持续15秒。</t>
  </si>
  <si>
    <t>以流传坊间的《折枝剑行记》为灵感所制作的曲目，描绘了一个剑术高超的少年四处除恶的故事，也有人说这是星见家某个天才剑士的经历。</t>
  </si>
  <si>
    <t>折枝剑歌-[暴击伤害]</t>
  </si>
  <si>
    <t>暴击伤害提升</t>
  </si>
  <si>
    <t>静听嘉音</t>
  </si>
  <si>
    <t>队伍中任意角色通过[快速支援]入场时，全队角色获得1层[嘉音]，最多叠加3层，持续15秒，重复触发时刷新持续时间，每拥有1层[嘉音]，通过[快速支援]入场的角色造成的伤害提升8%，同名被动效果之间不可叠加。</t>
  </si>
  <si>
    <t>一名盗洞客兼耀嘉音粉丝所制作的驱动盘 ，盘中收录了嘉音作品中的标志性旋律。而在包装盒的背面，印着盗洞客自己的一段小故事。</t>
  </si>
  <si>
    <t>静听嘉音-[攻击]</t>
  </si>
  <si>
    <t>如影相随</t>
  </si>
  <si>
    <t>[追加攻击]和[冲刺攻击]造成的伤害提升15%。</t>
  </si>
  <si>
    <t>[追加攻击]或[冲刺攻击]命中敌人时，若造成的伤害与装备者的属性一致，则获得1层增益效果，同一招式内最多触发一次；每拥有1层增益效果，装备者的攻击力提升4%，暴击率提升4%，最多叠加3层，持续15秒，重复触发时刷新持续时间。</t>
  </si>
  <si>
    <t>在盗洞客中极具话题性的神秘驱动盘。其中的曲目似乎是「影子唱给本人的歌谣」。作者不详，但大部分人支持「作者不是一个人」这种说法。</t>
  </si>
  <si>
    <t>如影相随-[追加攻击]</t>
  </si>
  <si>
    <t>[追加攻击]和[冲刺攻击]伤害提升</t>
  </si>
  <si>
    <t>法厄同之歌</t>
  </si>
  <si>
    <t>异常掌控+8%。</t>
  </si>
  <si>
    <t>队伍中任意角色发动[强化特殊技]时，装备者的异常精通提升45点，持续8秒；如果发动[强化特殊技]的角色不是装备者本人时，装备者造成的以太伤害提升25%。</t>
  </si>
  <si>
    <t>法厄同的狂热粉丝所制作的古怪驱动盘，古怪的歌唱者用古怪的声线循环唱着古怪的旋律，力图宣扬「法厄同大人」的传奇事迹。</t>
  </si>
  <si>
    <t>法厄同之歌-[异常掌控]</t>
  </si>
  <si>
    <t>异常掌控提升</t>
  </si>
  <si>
    <t>云岿如我</t>
  </si>
  <si>
    <t>生命值+10%</t>
  </si>
  <si>
    <t>发动[强化特殊技]、[连携技]、[终结技]时，暴击率提升4%，最多叠加3层，持续15秒，重复触发时刷新持续时间，拥有3层效果时，造成的贯穿伤害提升10%。</t>
  </si>
  <si>
    <t>记录着云岿山代代相传的谣谚，关于云的故事，关于山的故事，还有驻足于山的、流转于云的，关于人的故事。</t>
  </si>
  <si>
    <t>云岿如我-[生命]</t>
  </si>
  <si>
    <t>生命值提升</t>
  </si>
  <si>
    <t>山大王</t>
  </si>
  <si>
    <t>攻击造成的失衡值提升6%</t>
  </si>
  <si>
    <t>装备者为[击破]角色时，发动[强化特殊技]或[连携技]会使全队角色暴击伤害提升15%，装备者的暴击率大于等于50%时暴击伤害额外提升15%，持续15秒，重复触发时刷新持续时间，同名被动效果之间不可叠加。</t>
  </si>
  <si>
    <t>运动品牌「真武」与云岿山的联动宣传曲目，据说由云岿山某位声名显赫的亲传弟子所作，描摹了一位威风凛凛山大王的传说。</t>
  </si>
  <si>
    <t>山大王-[失衡值]</t>
  </si>
  <si>
    <t>失衡值提升</t>
  </si>
  <si>
    <t>拂晓生花</t>
  </si>
  <si>
    <t>[普通攻击]造成的伤害提升15%。</t>
  </si>
  <si>
    <t>[普通攻击]造成的伤害提升20%，装备者为[强攻]角色时，发动[强化特殊技]或[终结技]会使[普通攻击]造成的伤害额外提升20%，持续25秒，重复触发时刷新持续时间。</t>
  </si>
  <si>
    <t>旧都陷落事件过去多年后，某位封笔已久的年迈歌手发表了这张唱片。作者自述，其中的灵感来源那场浩劫发生时，自己藏身在一片废墟中，几乎崩溃之际，耳边传来的朦胧而稚嫩的童谣歌声。</t>
  </si>
  <si>
    <t>拂晓生花-[普通攻击]</t>
  </si>
  <si>
    <t>[普通攻击]伤害提升</t>
  </si>
  <si>
    <t>月光骑士颂</t>
  </si>
  <si>
    <t>装备者为[支援]角色时，发动[强化特殊技]或[终结技]会使全队角色造成的伤害提升18%，持续25秒，重复触发时刷新持续时间，同名被动效果之间不可叠加。</t>
  </si>
  <si>
    <t>由睡前故事改编成的歌谣，其中讲述了一名月光骑士的故事。历经无数个月夜，轻盈的哼唱声仍在夜灯下流淌。</t>
  </si>
  <si>
    <t>月光骑士颂-[能量]</t>
  </si>
  <si>
    <t>沧浪行歌</t>
  </si>
  <si>
    <t>装备者处于任意[以太帷幕]中时，自身暴击率提高10%，离开[以太帷幕]后，该增益效果仍然保留，持续15秒；装备者为[强攻]角色时，开启[以太帷幕]或延长[以太帷幕]的持续时间会使自身暴击率提升10%和攻击力提升10%，持续30秒，重复触发时刷新持续时间。</t>
  </si>
  <si>
    <t>泛黄的纸张上记下了这曲古调，多年以来，它一直被夹在《青溟剑谱》中，无人知晓它的作者到底是谁，想来也是某位早已湮灭在历史中的青溟剑主吧。</t>
  </si>
  <si>
    <t>沧浪行歌-[物理]</t>
  </si>
  <si>
    <t>流光咏叹</t>
  </si>
  <si>
    <t>装备者发动[普通攻击]命中敌人时，自身异常精通提升36点，持续8秒，重复触发时刷新持续时间；当场上有敌人进入失衡状态时，装备者造成的伤害提升25%，持续18秒，重复触发时刷新持续时间。</t>
  </si>
  <si>
    <t>「妄想天使」成立后发售的第一张专辑，曲风元气活力，但售出量却寥寥无几。作为留作纪念的母盘，歌词后面写上了「粉丝」为她们写好的应援词。</t>
  </si>
  <si>
    <t>流光咏叹-[以太]</t>
  </si>
  <si>
    <t>Ui名称</t>
  </si>
  <si>
    <t>保有上限</t>
  </si>
  <si>
    <t>齿轮硬币</t>
  </si>
  <si>
    <t>IconFund.png</t>
  </si>
  <si>
    <t>丁尼</t>
  </si>
  <si>
    <t>新艾利都流通的法定货币，可用于购买各类物品。</t>
  </si>
  <si>
    <t>丁尼也有大面额纸币，但很多人还是偏爱硬币。财富嘛，就应该是「沉甸甸」的才对。</t>
  </si>
  <si>
    <t>IconCoin.png</t>
  </si>
  <si>
    <t>菲林</t>
  </si>
  <si>
    <t>一张菲林片只输出一种颜色，多张菲林片联合使用即可输出彩色的画面。</t>
  </si>
  <si>
    <t xml:space="preserve">色彩让追忆更加鲜活，是部分买家愿意用任何资源进行交换的稀有藏品。 </t>
  </si>
  <si>
    <t>IconCurrency.png</t>
  </si>
  <si>
    <t>菲林底片</t>
  </si>
  <si>
    <t>古早摄影设备使用的感光胶片，经过显影操作后可输出图像。</t>
  </si>
  <si>
    <t xml:space="preserve">或许记录着空洞灾害未爆发的旧文明时期的影像，在部分藏家眼里是极为高价的藏品。 </t>
  </si>
  <si>
    <t>IconCurrency02.png</t>
  </si>
  <si>
    <t>原装母带</t>
  </si>
  <si>
    <t>[常驻频段]进行调频需要的物品。</t>
  </si>
  <si>
    <t>将频段信号转化为可视信息所需的记录媒介，相较于其他记录方法，母带的保存性与保密性更适合录像店经营者。</t>
  </si>
  <si>
    <t>GachaTicket1.png</t>
  </si>
  <si>
    <t>加密母带</t>
  </si>
  <si>
    <t>[独家频段]和[音擎频段]进行调频需要的物品。</t>
  </si>
  <si>
    <t>将特殊频段的信号转化为可视信息所需的记录媒介，具备更高的保密性。</t>
  </si>
  <si>
    <t>GachaTicket2.png</t>
  </si>
  <si>
    <t>邦布券</t>
  </si>
  <si>
    <t>[邦布频段]进行调频需要的物品。</t>
  </si>
  <si>
    <t>玛瑟尔集团特制的邦布维修清洁服务券。据说只要持有它，就可以吸引邦布为你任劳任怨地打工服务。</t>
  </si>
  <si>
    <t>GachaTicket3.png</t>
  </si>
  <si>
    <t>信号余波</t>
  </si>
  <si>
    <t>可以在[信源清单]中兑换珍贵的物品。</t>
  </si>
  <si>
    <t>进行调频时会捕获一些信号余波，它们细碎而微弱，难以进行单独分析。但将之记录并拼合起来，就能从中挖掘出一些有价值的额外信息。</t>
  </si>
  <si>
    <t>GachaPoint.png</t>
  </si>
  <si>
    <t>邦布币</t>
  </si>
  <si>
    <t>玛瑟尔集团的发行的代币，可用来购买邦布相关的配件。</t>
  </si>
  <si>
    <t>GachaPoint2.png</t>
  </si>
  <si>
    <t>信号残响</t>
  </si>
  <si>
    <t>可以在[信源清单]中兑换物品。</t>
  </si>
  <si>
    <t>转换调频信号时会采集到一些残响的片段，近似呢喃，无法辨清其所代表的含义。尽管记录与拼合都十分困难，但如果能做到的话，依然能从中挖掘出一些额外的信息。</t>
  </si>
  <si>
    <t>GachaPoint3.png</t>
  </si>
  <si>
    <t>零号业绩</t>
  </si>
  <si>
    <t>可以在 「哨站后勤」 中兑换珍贵的物品</t>
  </si>
  <si>
    <t>调查员之间流传着许多圈内黑话，「你能获得零号业绩」是最特殊的一句，它可能代表对新人的揶揄、对后辈的威吓、对前辈的憧憬、对刺头的诅咒…因为想要获得零号业绩只有一个办法——参与调查零号空洞…</t>
  </si>
  <si>
    <t>AbyssShopCoin.png</t>
  </si>
  <si>
    <t>调查业绩</t>
  </si>
  <si>
    <t>可以在 「协会物资」 中兑换珍贵的物品</t>
  </si>
  <si>
    <t>空洞是非常务实的灾难，不会因为你的官阶、出身或财富就降低自己的危险性，要活下去必须靠实力（和一点运气），这使得空洞调查协会考评调查员的方式也非常务实，只要能切实完成危险的调查任务就能积累业绩，有业绩自然就不缺奖赏。</t>
  </si>
  <si>
    <t>ChallengeShopCoin.png</t>
  </si>
  <si>
    <t>「灵感」小份装</t>
  </si>
  <si>
    <t>可在「三Z设计工作室」中兑换装饰品。</t>
  </si>
  <si>
    <t>乙的设计工作室不向任何人收取丁尼。想要带走他的作品，就请拿出些有趣的东西来交换…比如，从生活中拾取的一小撮「灵感」？</t>
  </si>
  <si>
    <t>FashionStoreToken.png</t>
  </si>
  <si>
    <t>红豆包代币</t>
  </si>
  <si>
    <t>参与限时活动「月痕流光」获得；
    可用于在活动中兑换特殊奖励。</t>
  </si>
  <si>
    <t>红豆包是日常通勤的最佳伴侣！</t>
  </si>
  <si>
    <t>YanagiActivityToken.png</t>
  </si>
  <si>
    <t>斗技场代币</t>
  </si>
  <si>
    <t>参与限时活动「常胜冠军」获得；
    可用于在活动中兑换特殊奖励。</t>
  </si>
  <si>
    <t>胜者的冠冕之下，是无尽的伤痕。</t>
  </si>
  <si>
    <t>LighterActivityToken.png</t>
  </si>
  <si>
    <t>记忆碎片</t>
  </si>
  <si>
    <t>参与限时活动「轻羽逐风」获得；
    可用于在活动中兑换特殊奖励。</t>
  </si>
  <si>
    <t>那是伤口愈合后的疤，那是他所有过往的勋章。</t>
  </si>
  <si>
    <t>HarumasaActivityToken.png</t>
  </si>
  <si>
    <t>人气萝卜</t>
  </si>
  <si>
    <t>「玛瑟尔大冒险」的赛事奖励</t>
  </si>
  <si>
    <t>有人问过乔伊斯，为什么要把空洞路径数据叫做「萝卜」？得到的回答是：那你去问那个女人为什么把机器做成兔子。</t>
  </si>
  <si>
    <t>ActivityGildedCarrotDayCoin.png</t>
  </si>
  <si>
    <t>电玩节兑换券</t>
  </si>
  <si>
    <t>参与「决战『金手指』之巅」活动获得的限时奖券，可在活动期间兑换奖励。</t>
  </si>
  <si>
    <t>令人惊叹的兑换券数量不一定能展现高超的游戏水准，但一定能证明其拥有者在「都市电玩节」期间的睡眠时长。</t>
  </si>
  <si>
    <t>ArcadeGameToken00.png</t>
  </si>
  <si>
    <t>废弃电池</t>
  </si>
  <si>
    <t>「『141』环保艺展」活动期间，每日首次消耗任意电量后获取；可在澄辉坪丝琪摊位处兑换奖励。</t>
  </si>
  <si>
    <t>为实践环保计划，购买、咨询、找零本月日均步数已破三万——敬请掏出您使用后的废弃电池，救救邦布！</t>
  </si>
  <si>
    <t>141WasteBattery.png</t>
  </si>
  <si>
    <t>耀嘉音活动玩法代币</t>
  </si>
  <si>
    <t>参与限时活动【OVA活动】获得;可用于在活动中兑换特殊奖励</t>
  </si>
  <si>
    <t>耀嘉音活动玩法代币故事描述</t>
  </si>
  <si>
    <t>TestItemIcon.png</t>
  </si>
  <si>
    <t>艾莲活动玩法代币</t>
  </si>
  <si>
    <t>参与限时活动【个人线活动】获得;可用于在活动中兑换特殊奖励</t>
  </si>
  <si>
    <t>艾莲活动玩法代币故事描述</t>
  </si>
  <si>
    <t>云纹徽</t>
  </si>
  <si>
    <t>通用纪念币，可用于随便观修缮升级。</t>
  </si>
  <si>
    <t>让随便观再次伟大！将道徽印作钱币刷存在感，这是宣传随便观重建的手段之一。</t>
  </si>
  <si>
    <t>SuibianCloudEmblem.png</t>
  </si>
  <si>
    <t>百通宝</t>
  </si>
  <si>
    <t>只在德丰大押流通的代币，可用于兑换奖励。</t>
  </si>
  <si>
    <t>「上通天文地理，下通柴米油盐」——仅为流通中使用者的美好幻想。</t>
  </si>
  <si>
    <t>SuibianPawnCoin.png</t>
  </si>
  <si>
    <t>称愿笺</t>
  </si>
  <si>
    <t>前往随便观祝祷的念物。</t>
  </si>
  <si>
    <t>绉纸轻托着朱砂绘就的纹路，每道折痕里都藏着未尽的祈愿。指尖松开刹那，那些未说出口的祷词便在飞升时化作光缕，在云霭荡出温柔的愿影——恍若诸天垂落的丝绦正等着把尘寰的温度系上重霄。</t>
  </si>
  <si>
    <t>SuibianPrestige.png</t>
  </si>
  <si>
    <t>海贝</t>
  </si>
  <si>
    <t>每日首次消耗任意电量后获取；可在[阿强]的摊位处兑换随机渔获并获得对应奖励。</t>
  </si>
  <si>
    <t>调查协会推出的异形纪念徽章，由于形态优雅、造型真实，广受海滨游客的喜爱；对此，鱼档摊主阿强表示：「没有人能拒绝光彩璀璨的贝壳…何况它们还比真正的那些好闻多了！」</t>
  </si>
  <si>
    <t>Seashell.png</t>
  </si>
  <si>
    <t>寻梦瓶</t>
  </si>
  <si>
    <t>每日首次登录或消耗任意电量后获取：可在「寻梦瓶游记」活动中使用，写好愿望扔向大海后可获得对应奖励。</t>
  </si>
  <si>
    <t>玻璃制成的瓶壁，软木做好的瓶塞，无论从哪个角度，也看不出它的特殊之处；然而，自称「海神之子」的邦布大声嚷嚷：「这可是蕴含神力的瓶子——扔出它，即可获得神明赐予的祝福！」</t>
  </si>
  <si>
    <t>EmptyWishBottle.png</t>
  </si>
  <si>
    <t>贡献点数</t>
  </si>
  <si>
    <t>用于在「点数兑换」购买各类道具</t>
  </si>
  <si>
    <t>萝卜有大有小，绳匠有好有孬。不论发布还是接取委托，所有为绳网人气做出贡献的行为都会得到同行的称赞。
    然后…去「点数兑换」逛一逛，就会知道绳匠们对你的敬意都是实打实的。</t>
  </si>
  <si>
    <t>SocialCurrency.png</t>
  </si>
  <si>
    <t>纪念票根</t>
  </si>
  <si>
    <t>「点映返礼」活动道具；活动期间，可通过购买[菲林底片]、[丽都城募]、[启明寻光奖券]、部分[礼包]、[绳网会员]等获取。</t>
  </si>
  <si>
    <t>一枚金光闪闪的纪念票根，同时也是一张时光的凭证——我们为欢欣的期待，换得一场珍贵的梦；在光影的流转中，我们走进了不属于自己的生命。</t>
  </si>
  <si>
    <t>ActivityFishIcon.png</t>
  </si>
  <si>
    <t>心愿瓶</t>
  </si>
  <si>
    <t>每日首次登录或消耗任意电量后获取，可在「心愿代投站」活动中使用。</t>
  </si>
  <si>
    <t>擅长降本增效的狡兔屋，居然不知道从什么渠道购入了如此结实的瓶子。盛放在里面的心愿即使在大海上流浪很久很久，也不会被岁月侵蚀吧。</t>
  </si>
  <si>
    <t>小金鲤</t>
  </si>
  <si>
    <t>积攒一定数目后，可兑换节日特供的相应礼品。</t>
  </si>
  <si>
    <t>如果说锦鲤在卫非地是福运的化身，那金色锦鲤则代表着更进一层的加倍好运。请准备上冬日阳光与好心情，迎接这位金光闪闪的幸运使者吧！</t>
  </si>
  <si>
    <t>Activity_CheckinGame_Currency.png</t>
  </si>
  <si>
    <t>集章漆印</t>
  </si>
  <si>
    <t>HIA俱乐部为活动特别定制的道具，可据此凭证兑换翻牌机会。</t>
  </si>
  <si>
    <t>集满一定量印章就能获得奖品——你的抽屉内已积攒了太多这类过期活动的「纪念品」。但这一次…也许真的能够成功兑换点什么？</t>
  </si>
  <si>
    <t>ActivityDailyCheckHIAToken.png</t>
  </si>
  <si>
    <t>绳网信用</t>
  </si>
  <si>
    <t>绳网里使用的虚拟信用点，积累足够的信用后会提升绳网等级。</t>
  </si>
  <si>
    <t>「在绳匠业界里，信誉比丁尼更珍贵。因为有了前者才能有后者…」</t>
  </si>
  <si>
    <t>ProxyEXP.png</t>
  </si>
  <si>
    <t>日常业绩</t>
  </si>
  <si>
    <t>可以在「潜能影集」商店中兑换珍贵的物品，主要从「丽都周纪」中获得</t>
  </si>
  <si>
    <t>日常并非枯燥乏味的惯例，而是积蓄着变化的灵感之海。在每日重复的小小奇迹中，也许就蕴藏着兑现「潜能」的力量？</t>
  </si>
  <si>
    <t>ItemCoin_AwakenShop.png</t>
  </si>
  <si>
    <t>特邀请柬</t>
  </si>
  <si>
    <t>S级代理人影画能够满级后，再次获得时可获得「特邀请柬」*1；可以在「珍藏兑换」商店 「代理人兑换」中兑换珍贵的物品</t>
  </si>
  <si>
    <t>科技风的特殊邀请函。这块小小的屏幕到底有什么魔力，能让那么多优秀的代理人欣然赴约？——多数时候，「法厄同」的名字远比丁尼值得信任。</t>
  </si>
  <si>
    <t>ItemCoin_AvatarShop.png</t>
  </si>
  <si>
    <t>音擎主控芯片</t>
  </si>
  <si>
    <t>可以在 「珍藏兑换」 商店「音擎兑换」中兑换珍贵的物品</t>
  </si>
  <si>
    <t>品相上佳，几乎无使用痕迹的音擎主控芯片，可用来制作精度更高、效果更好的音擎。此类芯片稀有昂贵且用途特殊，为了防止被举报，千万不要让别人看见。</t>
  </si>
  <si>
    <t>ItemCoin_WeaponShop.png</t>
  </si>
  <si>
    <t>站点信度</t>
  </si>
  <si>
    <t>用于提升权限等级，可通过完成其他绳匠的代行委托获得。</t>
  </si>
  <si>
    <t>提升权限等级会解锁新的称号，点数兑换处也会增加更多新商品。</t>
  </si>
  <si>
    <t>SocialForumExp.png</t>
  </si>
  <si>
    <t>音擎残芯</t>
  </si>
  <si>
    <t>可用于玩具店音擎制作。</t>
  </si>
  <si>
    <t>拆解音擎时只要方法得当，便能一定程度保留其核心的转子驱动芯片。通过以太技术进行整合加工后可以制造出新的音擎，或者…直接当做收藏品也不错。</t>
  </si>
  <si>
    <t>WeaponCore.png</t>
  </si>
  <si>
    <t>犬犬兑换券</t>
  </si>
  <si>
    <t>参与「噬魂犬3」特殊活动获得的奖券，可在「金手指」电玩店中兑换奖励。</t>
  </si>
  <si>
    <t>当你凝视深渊时，深渊也在凝视着你。</t>
  </si>
  <si>
    <t>ArcadeGameToken01.png</t>
  </si>
  <si>
    <t>蛇蛇兑换券</t>
  </si>
  <si>
    <t>参与「蛇对蛇」特殊活动获得的奖券，可在「金手指」电玩店中兑换奖励。</t>
  </si>
  <si>
    <t>谁挡我的路，谁就是食物！</t>
  </si>
  <si>
    <t>ArcadeGameToken02.png</t>
  </si>
  <si>
    <t>协会纪念弹珠</t>
  </si>
  <si>
    <t>在 [好仔救星] 活动的兑换商店中兑换奖励。</t>
  </si>
  <si>
    <t>由好仔颁发的球形纪念品，是调查员努力完成协会宣传任务的证明，可以用来兑换各种奖品。盯着上面的图案看，耳边仿佛就会传来「好仔中意你哦」的回响。</t>
  </si>
  <si>
    <t>HIABangbooToken.png</t>
  </si>
  <si>
    <t>遗落物资箱</t>
  </si>
  <si>
    <t>十分结实的硬壳保管箱，看起来价值不菲。</t>
  </si>
  <si>
    <t>箱体的角落绘制着一个奇特的企业标签。从做工风格和品质来看像是军用品，虽然表面沾满灰尘但并没有太多被以太物质侵蚀破坏的痕迹</t>
  </si>
  <si>
    <t>MidsummerContainer.png</t>
  </si>
  <si>
    <t>活跃记录积分</t>
  </si>
  <si>
    <t>完成「营业再开」活跃任务所获得的积分，累积到一定数额、到达活跃里程后即可领取相应的奖励。</t>
  </si>
  <si>
    <t>记录着录像店与绳匠事业再开后所做的每一项工作成果的小便签。那是和血亲一起见证诸事进展时激动心情的点滴浓缩。</t>
  </si>
  <si>
    <t>ReturnPoint.png</t>
  </si>
  <si>
    <t>营业额</t>
  </si>
  <si>
    <t>餐厅的营业额可作后续投资购买之用</t>
  </si>
  <si>
    <t>首次完成经营挑战就能获得一定营业额，客人评价越高，获得营业额越高</t>
  </si>
  <si>
    <t>Item_ActivityOverlordFeast_Coin01.png</t>
  </si>
  <si>
    <t>经营心得</t>
  </si>
  <si>
    <t>投资购买餐厅新装饰品必须的心得</t>
  </si>
  <si>
    <t>通过完成的活动支线委托可以获得，可前往待办事项查看相关委托</t>
  </si>
  <si>
    <t>Item_ActivityOverlordFeast_Coin02.png</t>
  </si>
  <si>
    <t>兰的回信</t>
  </si>
  <si>
    <t>花店的信物；在[「141」友情联络]活动期间交给丝琪，可以兑换奖励。</t>
  </si>
  <si>
    <t>照料鲜花费时费力，杂货店的邦布们恐怕无法胜任…细心的兰小姐准备了一些盆栽，供「141」的顾客们选购。</t>
  </si>
  <si>
    <t>Activity_RunLetter01.png</t>
  </si>
  <si>
    <t>可可的回信</t>
  </si>
  <si>
    <t>茶奶店的信物；在[「141」友情联络]活动期间交给丝琪，可以兑换奖励。</t>
  </si>
  <si>
    <t>「141」杂货店-哩查茶奶联动达成——随时随地，畅享香醇！</t>
  </si>
  <si>
    <t>Activity_RunLetter03.png</t>
  </si>
  <si>
    <t>「彼佛斯」的回信</t>
  </si>
  <si>
    <t>沙龙的信物；在[「141」友情联络]活动期间交给丝琪，可以兑换奖励。</t>
  </si>
  <si>
    <t>独家护理套装，出品自光映广场预约等待时间最长的沙龙——细致滋养您的毛发，如今无需预约，在家就能享受！</t>
  </si>
  <si>
    <t>Activity_RunLetter04.png</t>
  </si>
  <si>
    <t>乔普小子的回信</t>
  </si>
  <si>
    <t>拉面店的信物；在[「141」友情联络]活动期间交给丝琪，可以兑换奖励。</t>
  </si>
  <si>
    <t>年轻的拉面店店主作出了违背老爸的决定…不过，乔普师傅是真的一无所知，还是默许了孩子的尝试呢？</t>
  </si>
  <si>
    <t>Activity_RunLetter05.png</t>
  </si>
  <si>
    <t>杜伊的回信</t>
  </si>
  <si>
    <t>按摩店的信物；在[「141」友情联络]活动期间交给丝琪，可以兑换奖励。</t>
  </si>
  <si>
    <t>杜伊老爹研制的便携按摩仪，总计10种按摩角度、5档气压力度可供选择，为所有丽都居民提供恰到好处的放松体验。</t>
  </si>
  <si>
    <t>Activity_RunLetter06.png</t>
  </si>
  <si>
    <t>「星间远足」的回信</t>
  </si>
  <si>
    <t>服装店的信物；在[「141」友情联络]活动期间交给丝琪，可以兑换奖励。</t>
  </si>
  <si>
    <t>「在自由的星星之间远足吧！」</t>
  </si>
  <si>
    <t>Activity_RunLetter07.png</t>
  </si>
  <si>
    <t>「煮釜」的回信</t>
  </si>
  <si>
    <t>火锅店的信物；在[「141」友情联络]活动期间交给丝琪，可以兑换奖励。</t>
  </si>
  <si>
    <t>「煮釜」新品麻辣餐点，与店内火锅底料同源同味！不过，是否适合「141」引进…恐怕需要有人勇敢试吃。</t>
  </si>
  <si>
    <t>Activity_RunLetter02.png</t>
  </si>
  <si>
    <t>行动历程</t>
  </si>
  <si>
    <t>用于提升调查等级，提升调查等级方可获得[演武许可]。</t>
  </si>
  <si>
    <t>用于记录行动历程的书面文件。文字并无力量，但能够成为力量的证明。</t>
  </si>
  <si>
    <t>MiniscapeExp.png</t>
  </si>
  <si>
    <t>补给凭证</t>
  </si>
  <si>
    <t>用于在[作战补给]中兑换奖励道具。</t>
  </si>
  <si>
    <t>即使是虚狩大人亲至，只要还不到新艾利都毁灭的关头，也不能在没有补给凭证的情况下从后勤科捎走一件多余的物资。</t>
  </si>
  <si>
    <t>MiniscapeShopCoin.png</t>
  </si>
  <si>
    <t>考核得分</t>
  </si>
  <si>
    <t>恭喜你带领小邦布们战胜了坏以骸！虽然这只是在VR考场上发生的事情，但考核得分已经说明——你是特别棒的作战助教！</t>
  </si>
  <si>
    <t>IconBangbooDefenseEXP.png</t>
  </si>
  <si>
    <t>演武许可</t>
  </si>
  <si>
    <t>用于在[武备解放]中强化代理人的作战能力。</t>
  </si>
  <si>
    <t>若放任武力的使用，势必带来不详的结果，尤其是足以带来灾祸的非凡武力。凭此许可，方可于受灾祸侵害之地纵情演武。</t>
  </si>
  <si>
    <t>MiniscapeTalentPoint.png</t>
  </si>
  <si>
    <t>竞钓积分</t>
  </si>
  <si>
    <t>参与「厄匹斯极钓大师赛」、完成「港口逸事」或补充「垂钓图鉴」均可获得。</t>
  </si>
  <si>
    <t>丽都垂钓协会设置的垂钓资格证积分。累计积分可以提升资格证等级，获得各类奖励。</t>
  </si>
  <si>
    <t>Item_ElpisRevival_Exp_Name.png</t>
  </si>
  <si>
    <t>绮幻胶囊</t>
  </si>
  <si>
    <t>胶囊里装满了梦境力量凝结而成的晶体，它们被妥善收入壳套当中，是穿越幻想的良药。</t>
  </si>
  <si>
    <t>幻想：浮动的幻想、流溢的幻想、晶体般折射自身的幻想。当幻想逐渐膨大时，你会在它的丛林中迷失，还是反而拥有了超越现实的勇气？</t>
  </si>
  <si>
    <t>Item_BangbooDream_Exp_01.png</t>
  </si>
  <si>
    <t>花店营业收入</t>
  </si>
  <si>
    <t>代理花店期间的营业收入。事实证明，「朝露」花店的临时主理人，在「花艺」和「经营」这两件事上，都很有天赋！</t>
  </si>
  <si>
    <t>Floristrevenue.png</t>
  </si>
  <si>
    <t>观影积分</t>
  </si>
  <si>
    <t>在引力电影院观看电影即可累计积分，可用于升级引力贵宾卡。</t>
  </si>
  <si>
    <t>「如果真的有天堂，那大概是电影院的模样。」</t>
  </si>
  <si>
    <t>Ticket.png</t>
  </si>
  <si>
    <t>极钓纪念币</t>
  </si>
  <si>
    <t>绮梦度假村的企鹅布阿帝，是厄匹斯港邦布钓手界的大师级存在，与厄匹斯港钓鱼协会的老头子们也很熟悉</t>
  </si>
  <si>
    <t>在它的交涉下，钓鱼协会承诺对于邦布们，只要能将钓到的鱼出售给他们，就能够以优惠价收购一些高级钓具、水族馆装饰以及其他各种物品。为了方便计算，钓鱼协会的人特意为邦布制作了一批特殊的货币，这便是极钓纪念币。</t>
  </si>
  <si>
    <t>FishCoin.png</t>
  </si>
  <si>
    <t>客流量</t>
  </si>
  <si>
    <t>记录着光临绮梦度假村的游客身份信息的登记票据。</t>
  </si>
  <si>
    <t>一方面，工作人员可以根据上面的信息精准服务每一位游客；另一方面，它的增加也是度假村的人气正不断壮大的最直观证明。</t>
  </si>
  <si>
    <t>Popularity.png</t>
  </si>
  <si>
    <t>梦境数据</t>
  </si>
  <si>
    <t>能够提升模拟梦境稳定值的数据碎片。</t>
  </si>
  <si>
    <t>HIA研究团队发现，想要进行脑波解码并同步影像，关键在于能否收集到完整的高频数据。在此基础上，才能通过心理干预提高患者的精神稳定值。</t>
  </si>
  <si>
    <t>ActivityMonsterFantasy.png</t>
  </si>
  <si>
    <t>蒙尘古币</t>
  </si>
  <si>
    <t>蒙尘的辉瓷古币，能够交由「不掩」小铺的店主换取报酬。</t>
  </si>
  <si>
    <t>光辉铸成的财富，如今已蒙上岁月的尘埃。</t>
  </si>
  <si>
    <t>AntiqueCoin.png</t>
  </si>
  <si>
    <t>探秘积分</t>
  </si>
  <si>
    <t>用以提升探秘等级，换取「不掩」小铺的奖励</t>
  </si>
  <si>
    <t>记录着你在探秘一途中所收获的故事与成绩。</t>
  </si>
  <si>
    <t>AntiqueExp.png</t>
  </si>
  <si>
    <t>执剑心得</t>
  </si>
  <si>
    <t>在青溟秘境中，通过战斗、探索、破解谜题获得的强化道具。</t>
  </si>
  <si>
    <t>记录了在实战中所积累的经验的纸笺，虽然都是些琐碎的细节内容，但长期的积累也能练就强大的剑术实力。</t>
  </si>
  <si>
    <t>Item_ForbiddenArea_AbilityExp.png</t>
  </si>
  <si>
    <t>剑意精粹</t>
  </si>
  <si>
    <t>在青溟秘境中，通过挑战强敌、完成探索、破解谜题获得的高级强化道具。</t>
  </si>
  <si>
    <t>凝聚了万千剑士生涯领悟的古籍残页，是仅存在于秘境之内的珍宝，能令剑主的能力得到极大的进阶。</t>
  </si>
  <si>
    <t>Item_ForbiddenArea_AbilityEnhance.png</t>
  </si>
  <si>
    <t>晋升胜点</t>
  </si>
  <si>
    <t>用于「嗯呢」棋闻录的对决活动中度量每位对决者的表现。
    「晋升胜点」累积到指定标准，将获得精心准备的惊喜奖励！</t>
  </si>
  <si>
    <t>2.4bangbooABItem.png</t>
  </si>
  <si>
    <t>探索数据</t>
  </si>
  <si>
    <t>帕帕戈空洞的探索路径数据，累积一定数据量可提升绳匠的探索等级。</t>
  </si>
  <si>
    <t>如果说引路是绳匠在空洞中最重要的工作，那路径数据便是空洞中最重要的信息了。就像做饭需要食材，建筑需要砖瓦，引路也要有路径数据才行。</t>
  </si>
  <si>
    <t>ExplorationData.png</t>
  </si>
  <si>
    <t>小卡格车</t>
  </si>
  <si>
    <t>开启小卡格车后，有一定概率获得武备、鸣徽或表情。</t>
  </si>
  <si>
    <t>小卡格车——你坚实的后盾：空洞调查协会的通用后勤运输装置，配送各类物资，以支援采掘以太资源的调查员。有时走失的小卡格车也会便宜那些来空洞中拾荒探宝的盗洞客。 如果你遇到走失的小卡格车，请随意尽情取用里面的物资。小卡格车…是不会反抗的…</t>
  </si>
  <si>
    <t>DeviceTreasureCar.png</t>
  </si>
  <si>
    <t>星愿值</t>
  </si>
  <si>
    <t>积攒星愿值可以提升「妄想天使唯一指定官号」的账号热度。</t>
  </si>
  <si>
    <t>闪闪发光的、熠熠生辉的、璀璨耀眼的……
    从现在开始，积攒星愿值，开启属于「妄想天使」的启愿星之旅吧！</t>
  </si>
  <si>
    <t>Item_ActivityLivehouse_Exp.png</t>
  </si>
  <si>
    <t>招财·心想事成布</t>
  </si>
  <si>
    <t>「招财」套装邦布徽章的单品，「拓金有喜 好事成邦」第1期活动所得。</t>
  </si>
  <si>
    <t>「每枚丁尼都应该把它的朋友带到我身边，这样我就有很多丁尼买电池了！」
    ——某只小邦布做梦时嘴边溢出的嗯呢声</t>
  </si>
  <si>
    <t>BlindBoxJackPot_01.png</t>
  </si>
  <si>
    <t>招财·龙飞凤舞布</t>
  </si>
  <si>
    <t>「每天！开心！事事！顺利！我是快乐的小狮子！」
    ——某只小邦布摇头晃脑舞狮时雀跃的嗯呢声</t>
  </si>
  <si>
    <t>BlindBoxJackPot_02.png</t>
  </si>
  <si>
    <t>招财·一飞冲天布</t>
  </si>
  <si>
    <t>「把漂亮的烟火送上天，幸运就会像雪花一样飘落下来吧？」
    ——某只小邦布小心翼翼点燃烟花时的嗯呢声</t>
  </si>
  <si>
    <t>BlindBoxJackPot_03.png</t>
  </si>
  <si>
    <t>拓金·好运连连布</t>
  </si>
  <si>
    <t>「拓金」套装邦布徽章的单品，「拓金有喜 好事成邦」第2期活动所得。</t>
  </si>
  <si>
    <t>「惊喜~！希望你每一天——都能有这样的惊喜陪在身边哦！」
    ——某只小邦布从礼物盒突然钻出时的嗯呢声</t>
  </si>
  <si>
    <t>BlindBoxJackPot_04.png</t>
  </si>
  <si>
    <t>拓金·恭喜发财布</t>
  </si>
  <si>
    <t>「你一份、你一份…别着急，拓金日的好运人人有份~」
    ——某只小邦布帮主人分发压祟钱时的嗯呢声</t>
  </si>
  <si>
    <t>BlindBoxJackPot_05.png</t>
  </si>
  <si>
    <t>拓金·财源滚滚布</t>
  </si>
  <si>
    <t>「想要我的元宝吗？那就来拿吧——我会在空洞深处等着你！」
    ——某只小邦布手捧元宝洋洋得意的嗯呢声</t>
  </si>
  <si>
    <t>BlindBoxJackPot_06.png</t>
  </si>
  <si>
    <t>拓金·福气临门布</t>
  </si>
  <si>
    <t>「这盏灯笼里的光暖洋洋的…感觉能照亮一整个新年呢！」
    ——某只小邦布举着灯笼蹦蹦跳跳的嗯呢声</t>
  </si>
  <si>
    <t>BlindBoxJackPot_07.png</t>
  </si>
  <si>
    <t>「招财拓金」系列邦布徽章</t>
  </si>
  <si>
    <t>「拓金有喜 好事成邦」活动限定邦布徽章，包含「招财」与「拓金」两个系列，由于契合节日氛围而广受好评。</t>
  </si>
  <si>
    <t>在盒子被开启之前，没人能确定这份悬而未决的惊喜。带着忐忑的心跳和对节日的憧憬，迎接金光闪闪的好运吧！</t>
  </si>
  <si>
    <t>BlindBoxJackPot_Common.png</t>
  </si>
  <si>
    <t>电量</t>
  </si>
  <si>
    <t>最多拥有1000点电量；电量低于240点时，每6分钟恢复1点电量。</t>
  </si>
  <si>
    <t>邦布行动力的来源，进行空洞探索之前需确保邦布有足够的电量。</t>
  </si>
  <si>
    <t>IconStamina.png</t>
  </si>
  <si>
    <t>以太电池</t>
  </si>
  <si>
    <t>使用后获得60点电量；也可以用于[实战模拟室]或者[区域巡防]任务的自动战斗，直接获得一次对应任务的奖励。</t>
  </si>
  <si>
    <t>适用于多种以太技术电子产品的专用电池，能够供一辆小型以太能源车行驶20米，或者供一只邦布疯跑俩小时。</t>
  </si>
  <si>
    <t>EtherBattery.png</t>
  </si>
  <si>
    <t>储蓄电量</t>
  </si>
  <si>
    <t>当电量达到或超过240点时，每18分钟恢复1点储蓄电量；储蓄电量最多2400点。
    消耗储蓄电量，可获得等额数量的电量。</t>
  </si>
  <si>
    <t>储存在备用蓄电池内的电量，有需要时可以随时取出。
    若蓄电池是以太技术的制品，或许存取的效率可以更高，但好在它的容量足够大，令电量也变为一种长期资产。</t>
  </si>
  <si>
    <t>BackUp_Energy.png</t>
  </si>
  <si>
    <t>维多利亚家政券</t>
  </si>
  <si>
    <t>使用后，可以直接获得一次[区域巡防]任务的奖励。</t>
  </si>
  <si>
    <t>维多利亚家政仅为尊贵客户推出的特殊服务券，不管任何艰难的任务都可以交由专业人士快速完成…就算是空洞内的「麻烦事务」也不在话下。</t>
  </si>
  <si>
    <t>EquipTicketIcon.png</t>
  </si>
  <si>
    <t>储值电卡</t>
  </si>
  <si>
    <t>在无视前置首通条件的情况下完成HDD中的委托，并获得相应奖励，也可用于以太电池的合成。</t>
  </si>
  <si>
    <t>新艾利都市面通行的储值电卡。委托Fairy代行完成空洞探索将导致HDD高负荷运转，这张电卡不能解决电费激增的问题，但能有效避免收到账单时的血压飙升。</t>
  </si>
  <si>
    <t>HollowHangIcon.png</t>
  </si>
  <si>
    <t>沙罗黄金周挑战票</t>
  </si>
  <si>
    <t>调查点数</t>
  </si>
  <si>
    <t>完成零号空洞探索获得调查点数，可提升调查协会执照等级获得物质支持。</t>
  </si>
  <si>
    <t>观测数据、以太样本、风险报告…信息与情报，是维系空洞调查事业的核心，也是衡量调查员功绩的基础。</t>
  </si>
  <si>
    <t>InvestigationPoints.png</t>
  </si>
  <si>
    <t>阴影结晶数据</t>
  </si>
  <si>
    <t>特殊以太结晶的分析数据，可以提升当前的调查进度。</t>
  </si>
  <si>
    <t>零号空洞内特殊结晶的分析数据，可进一步解析某种特殊的以太共振频率。</t>
  </si>
  <si>
    <t>AbyssS2Points.png</t>
  </si>
  <si>
    <t>「深度清扫」服务卡</t>
  </si>
  <si>
    <t>可以快速完成零号空洞「枯萎之都」、「断层之谜」的关卡，直接获取奖励。</t>
  </si>
  <si>
    <t>「尊敬的主人，维多利亚家政的清扫服务，从来不局限于房间。」</t>
  </si>
  <si>
    <t>AbyssS1CompleteTicket.png</t>
  </si>
  <si>
    <t>直接获得该代理人，或者用于解锁代理人意象影画。</t>
  </si>
  <si>
    <t>安比在日常生活和战斗中留下的特写画面，记录了她成为代理人前后的重要瞬间。
    此外，从特写中也能窥见一些诸如战斗风格、惯用武器之类的信息，有助于进一步理解该代理人的特长。
    不知道为什么存储空间里还有很多汉堡的照片，加了滤镜的那种精修…</t>
  </si>
  <si>
    <t>IconRolePiece01.png</t>
  </si>
  <si>
    <t>猫又在日常生活和战斗中留下的特写画面，记录了她成为代理人前后的重要瞬间。
    此外，从特写中也能窥见一些诸如战斗风格、惯用武器之类的信息，有助于进一步理解该代理人的特长。
    看得出来，猫又对自己的锋利的匕首、灵活的尾巴，和上一顿青花鱼自助，都非常满意。</t>
  </si>
  <si>
    <t>IconRolePiece11.png</t>
  </si>
  <si>
    <t>妮可在日常生活和战斗中留下的特写画面，记录了她成为代理人前后的重要瞬间。
    此外，从特写中也能窥见一些诸如战斗风格、惯用武器之类的信息，有助于进一步理解该代理人的特长。
    妮可承诺储存盘的来源绝对干净；但打开隐藏空间，还能看到不知是谁没来得及删掉的资料。</t>
  </si>
  <si>
    <t>IconRolePiece12.png</t>
  </si>
  <si>
    <t>「11号」在日常生活和战斗中留下的特写画面，记录了她成为代理人前后的重要瞬间。
    此外，从特写中也能窥见一些诸如战斗风格、惯用武器之类的信息，有助于进一步理解该代理人的特长。
    由「11号」精心挑选，数量很少，没有流露任何多余的信息。</t>
  </si>
  <si>
    <t>IconRolePiece05.png</t>
  </si>
  <si>
    <t>伊德海莉在日常生活和战斗中留下的特写画面，记录了她成为代理人前后的重要瞬间。此外，从特写中也能窥见一些诸如战斗风格、惯用武器之类的信息，有助于进一步理解该代理人的特长。
    她的眼中有着说不尽的温柔缱绻，好似越过了镜头，在凝视她的在意之人。</t>
  </si>
  <si>
    <t>IconRolePiece52.png</t>
  </si>
  <si>
    <t>可琳在日常生活和战斗中留下的特写画面，记录了她成为代理人前后的重要瞬间。
    此外，从特写中也能窥见一些诸如战斗风格、惯用武器之类的信息，有助于进一步理解该代理人的特长。
    一份精心打包的礼物，盒子上还系着蝴蝶结；可是丝带边缘…是用什么剪开的？</t>
  </si>
  <si>
    <t>IconRolePiece09.png</t>
  </si>
  <si>
    <t>凯撒在日常生活和战斗中留下的特写画面，记录了她成为代理人前后的重要瞬间。
    此外，特写中也有一些诸如战斗风格、惯用武器之类的信息，有助于进一步理解该代理人的特长。
    真不愧是帅气的霸主大人啊！等等，这里怎么会有当下流行的恋爱剧集…是谁放错了文件夹吗？</t>
  </si>
  <si>
    <t>IconRolePiece25.png</t>
  </si>
  <si>
    <t>比利在日常生活和战斗中留下的特写画面，记录了他成为代理人前后的重要瞬间。此外，从特写中也能窥见一些诸如战斗风格、惯用武器之类的信息，有助于进一步理解该代理人的特长。莫妮卡高清壁纸、枪托特写、莫妮卡新片海报、枪管特写、莫妮卡专辑封面、莫妮卡…</t>
  </si>
  <si>
    <t>IconRolePiece10.png</t>
  </si>
  <si>
    <t>星见雅在日常生活和战斗中留下的特写画面，记录了她成为代理人前后的重要瞬间。
    此外，特写中也有一些诸如战斗风格、惯用武器之类的信息，有助于进一步理解该代理人的特长。
    只吃蜜瓜味食物的修行，进门前先跨右脚的修行，说话不超过五个字的修行…雅小姐的修行生活也是丰富多彩…</t>
  </si>
  <si>
    <t>IconRolePiece13.png</t>
  </si>
  <si>
    <t>珂蕾妲在日常生活和战斗中留下的特写画面，记录了她成为代理人前后的重要瞬间。
    此外，从特写中也能窥见一些诸如战斗风格、惯用武器之类的信息，有助于进一步理解该代理人的特长。
    大多都是一些在工地的抓拍，能看到在忙碌中意外入镜的社长的身影。</t>
  </si>
  <si>
    <t>IconRolePiece14.png</t>
  </si>
  <si>
    <t>安东在日常生活和战斗中留下的特写画面，记录了他成为代理人前后的重要瞬间。
    此外，从特写中也能窥见一些诸如战斗风格、惯用武器之类的信息，有助于进一步理解该代理人的特长。
    原来安东的兄弟是这样的构造…这下终于看清楚了！</t>
  </si>
  <si>
    <t>IconRolePiece15.png</t>
  </si>
  <si>
    <t>本在日常生活和战斗中留下的特写画面，记录了他成为代理人前后的重要瞬间。
    此外，从特写中也能窥见一些诸如战斗风格、惯用武器之类的信息，有助于进一步理解该代理人的特长。
    背面有些草稿的印记，不过都被本细心擦除了；唔…确实辨认不出那台器械的具体造价。</t>
  </si>
  <si>
    <t>IconRolePiece16.png</t>
  </si>
  <si>
    <t>苍角在日常生活和战斗中留下的特写画面，记录了她成为代理人前后的重要瞬间。
    此外，从特写中也能窥见一些诸如战斗风格、惯用武器之类的信息，有助于进一步理解该代理人的特长。
    有个文件夹似乎是专门用来记录美食的…不过，压缩饼干也可以被归类在这里吗？</t>
  </si>
  <si>
    <t>IconRolePiece17.png</t>
  </si>
  <si>
    <t>莱卡恩在日常生活和战斗中留下的特写画面，记录了他成为代理人前后的重要瞬间。
    此外，从特写中也能窥见一些诸如战斗风格、惯用武器之类的信息，有助于进一步理解该代理人的特长。
    附上维多利亚家政的联系方式；卡片上烫银的优雅签名，一看即知是出自谁的笔下。</t>
  </si>
  <si>
    <t>IconRolePiece18.png</t>
  </si>
  <si>
    <t>露西在日常生活和战斗中留下的特写画面，记录了她成为代理人前后的重要瞬间。
    此外，从特写中也能窥见一些诸如战斗风格、惯用武器之类的信息，有助于进一步理解该代理人的特长。
    由阿草、阿木、阿砖配合拍摄，视角合适，非常符合露西要求展现的身高效果。</t>
  </si>
  <si>
    <t>IconRolePiece27.png</t>
  </si>
  <si>
    <t>莱特在日常生活和战斗中留下的特写画面，记录了他成为代理人前后的重要瞬间。
    此外，特写中也有一些诸如战斗风格、惯用武器之类的信息，有助于进一步理解该代理人的特长。
    是莱特曾参与地下搏击场比赛的视频。不愧是常胜冠军，这胜率真是高的有些离谱了…</t>
  </si>
  <si>
    <t>IconRolePiece26.png</t>
  </si>
  <si>
    <t>柏妮思在日常生活和战斗中留下的特写画面，记录了她成为代理人前后的重要瞬间。
    此外，从特写中也能窥见一些诸如战斗风格、惯用武器之类的信息，有助于进一步理解该代理人的特长。
    画面里出现了很多看起来美味至极的燃油饮特调，如果能品尝到这些饮品，一定能像柏妮思一样快乐吧…</t>
  </si>
  <si>
    <t>IconRolePiece32.png</t>
  </si>
  <si>
    <t>格莉丝在日常生活和战斗中留下的特写画面，记录了她成为代理人前后的重要瞬间。
    此外，从特写中也能窥见一些诸如战斗风格、惯用武器之类的信息，有助于进一步理解该代理人的特长。
    图片上隐约能看到一行水印，像是为格莉丝拍照的「孩子」留下了自己的签名。</t>
  </si>
  <si>
    <t>IconRolePiece20.png</t>
  </si>
  <si>
    <t>艾莲在日常生活和战斗中留下的特写画面，记录了她成为代理人前后的重要瞬间。
    此外，从特写中也能窥见一些诸如战斗风格、惯用武器之类的信息，有助于进一步理解该代理人的特长。
    艾莲看起来认真又有点僵硬，有些姿势…看着像是被女高中生们固执地指导了很多遍。</t>
  </si>
  <si>
    <t>IconRolePiece21.png</t>
  </si>
  <si>
    <t>浅羽悠真在日常生活和战斗中留下的特写画面，记录了他成为代理人前后的重要瞬间。
    此外，特写中也有一些诸如战斗风格、惯用武器之类的信息，有助于进一步理解该代理人的特长。
    上班时间偷偷溜到天台吹风，以身体不适为由早退，实际上是在光映广场招猫逗狗…悠真的摸鱼画面也太多啦！</t>
  </si>
  <si>
    <t>IconRolePiece35.png</t>
  </si>
  <si>
    <t>丽娜在日常生活和战斗中留下的特写画面，记录了她成为代理人前后的重要瞬间。
    此外，从特写中也能窥见一些诸如战斗风格、惯用武器之类的信息，有助于进一步理解该代理人的特长。
    背面画了个笑脸的符号，看起来像是某种友善的招呼…「像是」。</t>
  </si>
  <si>
    <t>IconRolePiece22.png</t>
  </si>
  <si>
    <t>月城柳在日常生活和战斗中留下的特写画面，记录了她成为代理人前后的重要瞬间。
    此外，特写中也有一些诸如战斗风格、惯用武器之类的信息，有助于进一步理解该代理人的特长。
    有好多月城柳和苍角的日常镜头！哎呀，柳温柔起来果然像苍角的妈妈一样…</t>
  </si>
  <si>
    <t>IconRolePiece31.png</t>
  </si>
  <si>
    <t>朱鸢在日常生活和战斗中留下的特写画面，记录了她成为代理人前后的重要瞬间。此外，从特写中也能窥见一些诸如战斗风格、惯用武器之类的信息，有助于进一步理解该代理人的特长。
    甚至还有朱鸢刚进治安培训院校时候的证件照吗？哇…小治安官好可爱！</t>
  </si>
  <si>
    <t>IconRolePiece23.png</t>
  </si>
  <si>
    <t>青衣在日常生活和战斗中留下的特写画面，记录了她成为代理人前后的重要瞬间。此外，从特写中也能窥见一些诸如战斗风格、惯用武器之类的信息，有助于进一步理解该代理人的特长。
    全都是青衣的生活照吗？看看这个文件夹——「钰偶设计稿最终绝对不改版3.0」？！</t>
  </si>
  <si>
    <t>IconRolePiece29.png</t>
  </si>
  <si>
    <t>简在日常生活和战斗中留下的特写画面，记录了她成为代理人前后的重要瞬间。此外，从特写中也能窥见一些诸如战斗风格、惯用武器之类的信息，有助于进一步理解该代理人的特长。
    晚礼服冷艳女郎、机车上的飒爽骑手、温婉优雅的大提琴手…是简的摄影作品吗？但是…</t>
  </si>
  <si>
    <t>IconRolePiece24.png</t>
  </si>
  <si>
    <t>赛斯在日常生活和战斗中留下的特写画面，记录了他成为代理人前后的重要瞬间。此外，从特写中也能窥见一些诸如战斗风格、惯用武器之类的信息，有助于进一步理解该代理人的特长。
    像是一部实习治安官成长纪录片！引体向上的时候耳朵撞到单杠什么的，也太可爱了吧…</t>
  </si>
  <si>
    <t>IconRolePiece30.png</t>
  </si>
  <si>
    <t>派派在日常生活和战斗中留下的特写画面,记录了她成为代理人前后的重要瞬间。
    此外，从特写中也能窥见一些诸如战斗风格、惯用武器之类的信息,有助于进一步理解该代理人的特长。
    很帅气的卡车司机！嗯…已经确认过，「封闭道路安全拍摄，已遵守治安条例」。</t>
  </si>
  <si>
    <t>IconRolePiece28.png</t>
  </si>
  <si>
    <t xml:space="preserve">
    雨果在日常生活和战斗中留下的特写画面，记录了他成为代理人前后的重要瞬间。
    此外，从特写中也能窥见一些诸如战斗风格、惯用武器之类的信息，有助于进一步理解该代理人的特长。
    里面似乎还留下了一张字条，上面用略显稚嫩的笔迹写着一行字：
    「弑神者亦是敬神者，盗火者终成薪柴。」
    呃，这应该是雨果小时候写的东西…吧？</t>
  </si>
  <si>
    <t>IconRolePiece42.png</t>
  </si>
  <si>
    <t>奥菲丝&amp; 「鬼火」在日常生活和战斗中留下的特写画面，记录了她们成为代理人前后的重要瞬间。
    此外，从特写中也能窥见一些诸如战斗风格、惯用武器之类的信息，有助于进一步理解该组代理人的特长。
    照片上印着奥菲丝抱着休眠状态的「鬼火」陷入酣睡的场景。仔细一看，相纸的边缘似乎有烧焦的痕迹…</t>
  </si>
  <si>
    <t>IconRolePiece48.png</t>
  </si>
  <si>
    <t>耀嘉音在日常生活和战斗中留下的特写画面，记录了她成为代理人前后的重要瞬间。此外，从特写中也能窥见一些诸如战斗风格、惯用武器之类的信息，有助于进一步理解该代理人的特长。
    出自咔嚓仔之手，是嘉音出道以来所有摄影物料的大合集，极具收藏价值。是只有铁粉才会有的东西！</t>
  </si>
  <si>
    <t>IconRolePiece36.png</t>
  </si>
  <si>
    <t>伊芙琳在日常生活和战斗中留下的特写画面，记录了她成为代理人前后的重要瞬间。此外，从特写中也能窥见一些诸如战斗风格、惯用武器之类的信息，有助于进一步理解该代理人的特长。
    记录了伊芙琳成为嘉音经纪人之后的点点滴滴，原来伊芙琳在工作之外还有这样的一面，好宠溺！</t>
  </si>
  <si>
    <t>IconRolePiece37.png</t>
  </si>
  <si>
    <t>薇薇安在日常生活和战斗中留下的特写画面，记录了她成为代理人前后的重要瞬间。
    此外，从特写中也能窥见一些诸如战斗风格、惯用武器之类的信息，有助于进一步理解该代理人的特长。
    少女目光总是落在此处，欣喜，期待，悸动，赞许，害羞…你是否都有看到呢？</t>
  </si>
  <si>
    <t>IconRolePiece41.png</t>
  </si>
  <si>
    <t>照在日常生活和战斗中留下的特写画面，记录了她成为代理人前后的重要瞬间。
    此外，从特写中也能窥见一些诸如战斗风格、惯用武器之类的信息，有助于进一步理解该代理人的特长。
    大部分的照片都拍摄于照的工作时间，不管是亲切微笑，还是严肃宣讲，她总是尽力表现出完美而专业的样子。</t>
  </si>
  <si>
    <t>IconRolePiece55.png</t>
  </si>
  <si>
    <t>波可娜在日常生活和战斗中留下的特写画面，记录了她成为代理人前后的重要瞬间。此外，从特写中也能窥见一些诸如战斗风格、惯用武器之类的信息，有助于进一步理解该代理人的特长。
    明明感觉拍照的时候她没有动，可拍出来却糊了…这样的事情发生了太多次。</t>
  </si>
  <si>
    <t>IconRolePiece38.png</t>
  </si>
  <si>
    <t>「扳机」在日常生活和战斗中留下的特写画面，记录了她成为代理人前后的重要瞬间。此外，从特写中也能窥见一些诸如战斗风格、惯用武器之类的信息，有助于进一步理解该
    代理人的特长。
    录像店外潜伏作战，录像店外，小队聚餐录像店外海边独步...等等，录像店的出现概率是不是有点高了？</t>
  </si>
  <si>
    <t>仪玄在日常生活和战斗中留下的特写画面，记录了她成为代理人前后的重要瞬间。
    此外，从特写中也能窥见一些诸如战斗风格、惯用武器之类的信息，有助于进一步理解该代理人的特长。
    里面似乎有不少艰深晦涩的符箓和术法笔记，似乎在前人的基础上做了大幅简化…虽然笔法随性，但却更为精炼有效了。</t>
  </si>
  <si>
    <t>IconRolePiece44.png</t>
  </si>
  <si>
    <t>零号·安比在日常生活和战斗中留下的特写画面，记录了她成为代理人前后的重要瞬间。
    此外，从特写中也能窥见一些诸如战斗风格、惯用武器之类的信息，有助于进一步理解该代理人的特长。
    这位代理人，我们是不是在哪里见过…电影院，还是汉堡店？</t>
  </si>
  <si>
    <t>IconRolePiece40.png</t>
  </si>
  <si>
    <t>橘福福在日常生活和战斗中留下的特写画面，记录了她成为代理人前后的重要瞬间。
    此外，从特写中也能窥见一些诸如战斗风格、惯用武器之类的信息，有助于进一步理解该代理人的特长。
    塞满了福福的自画像——墨笔勾勒出的虎大侠、虎剑客、虎豪杰、虎力士…全都是雄姿飒爽筋肉虬结的猛虎。</t>
  </si>
  <si>
    <t>IconRolePiece43.png</t>
  </si>
  <si>
    <t>爱丽丝在日常生活和战斗中留下的特写画面，记录了她成为代理人前后的重要瞬间。
    此外，从特写中也能窥见一些诸如战斗风格、惯用武器之类的信息，有助于进一步理解该代理人的特长。
    到学校上课，和管家练习剑术，偷偷看怪谈类视频，虽然是大小姐，日常却意外有点平常呢…不过为什么每一个镜头的构图都是完全对称的？</t>
  </si>
  <si>
    <t>IconRolePiece47.png</t>
  </si>
  <si>
    <t>浮波柚叶在日常生活和战斗中留下的特写画面，记录了她成为代理人前后的重要瞬间。此外，从特写中也能窥见一些诸如战斗风格、惯用武器之类的信息，有助于进一步理解该代理人的特长。
    一张精心装饰过的大头贴照片，笑容灿烂的少女做出挠痒痒的手势…看到的时候身上就条件反射地开始痒了！</t>
  </si>
  <si>
    <t>IconRolePiece46.png</t>
  </si>
  <si>
    <t>潘引壶在日常生活和战斗中留下的特写画面，记录了他成为代理人前后的重要瞬间。
    此外，从特写中也能窥见一些诸如战斗风格、惯用武器之类的信息，有助于进一步理解该代理人的特长。
    除了烹饪与修行，其余的时间全在讲价。偶尔有一幕露出了当前存款的余额…嗯，何等励志的数字。</t>
  </si>
  <si>
    <t>IconRolePiece45.png</t>
  </si>
  <si>
    <t>叶瞬光在日常生活和战斗中留下的特写画面，记录了她成为代理人前后的重要瞬间。
    此外，从特写中也能窥见一些诸如战斗风格、惯用武器之类的信息，有助于进一步理解该代理人的特长。
    打开日记后，几页纸张从中飘落，其中绘制了一幅人像，看起来很是眼熟。
    没辨认错的话，应该正是…你自己？</t>
  </si>
  <si>
    <t>IconRolePiece56.png</t>
  </si>
  <si>
    <t>狛野真斗在日常生活和战斗中留下的特写画面，记录了他成为代理人前后的重要瞬间。
    此外，从特写中也能窥见一些诸如战斗风格、惯用武器之类的信息，有助于进一步理解该代理人的特长。
    虽然强壮的犬希人即使在寒冬也只穿一件薄内衬——但根据他在不同季节的掉毛状况，依然可以清晰推断出每张照片的拍摄时间。</t>
  </si>
  <si>
    <t>IconRolePiece51.png</t>
  </si>
  <si>
    <t>卢西娅在日常生活和战斗中留下的特写画面，记录了她成为代理人前后的重要瞬间。
    此外，从特写中也能窥见一些诸如战斗风格、惯用武器之类的信息，有助于进一步理解该代理人的特长。
    画满了涂鸦的本子，里面全是民俗传闻、街头故事和以骸传说：
    「『冥宁芙』的舞蹈技巧，还有『雷蛛』的足肢研究…嗯嗯，都是爆炸性的内容，肯定能『轰』地一下点燃论坛！」</t>
  </si>
  <si>
    <t>IconRolePiece50.png</t>
  </si>
  <si>
    <t>「席德」在日常生活和战斗中留下的特写画面，记录了她成为代理人前后的重要瞬间。
    此外，从特写中也能窥见一些诸如战斗风格、惯用武器之类的信息，有助于进一步理解该代理人的特长。
    在战场上毫无章法地开火，却总能阴差阳错地全歼敌方；回宿舍里哼着曲子浇花，然后在房间里悠哉游哉地设计各种机械。最后回到「老席德」狭小的驾驶舱里，蜷缩着身子进入了梦乡…睡前顺便伸手遮住了画面，少女的休憩要注重隐私。</t>
  </si>
  <si>
    <t>IconRolePiece49.png</t>
  </si>
  <si>
    <t>般岳在日常生活和战斗中留下的特写画面，记录了他成为代理人前后的重要瞬间。此外，从特写中也能窥见一些诸如战斗风格、惯用武器之类的信息，有助于进一步理解该代理人的特长。
    水墨描摹的般岳肖像，挥洒间窥见几分武者的意念。</t>
  </si>
  <si>
    <t>IconRolePiece53.png</t>
  </si>
  <si>
    <t>琉音在日常生活和战斗中留下的特写画面，记录了她成为代理人前后的重要瞬间。此外，从特写中也能窥见一些诸如战斗风格、惯用武器之类的信息，有助于进一步理解该代理人的特长。
    贴满了琉音大头贴的手账，相纸上，琉音用手指比出了她的电话号码。</t>
  </si>
  <si>
    <t>IconRolePiece54.png</t>
  </si>
  <si>
    <t>千夏在日常生活和战斗中留下的特写画面，记录了她成为代理人前后的重要瞬间。
    此外，从特写中也能窥见一些诸如战斗风格、惯用武器之类的信息，有助于进一步理解该代理人的特长。
    一张笔迹凌乱的乐谱，在字里行间堆满了古怪涂鸦，如果尝试用心辨认，想必能从中整理出一首「妄想天使」风格的可爱歌曲。</t>
  </si>
  <si>
    <t>IconRolePiece58.png</t>
  </si>
  <si>
    <t>爱芮在日常生活和战斗中留下的特写画面，记录了她成为代理人前后的重要瞬间。此外，从特写中也能窥见一些诸如战斗风格、惯用武器之类的信息，有助于进一步理解该代理人的特长。
    记录着爱芮平时琐碎的日常，相纸上还有一些南宫和千夏的涂鸦。</t>
  </si>
  <si>
    <t>IconRolePiece57.png</t>
  </si>
  <si>
    <t>代理人特写·安比</t>
  </si>
  <si>
    <t>代理人特写·猫又</t>
  </si>
  <si>
    <t>代理人特写·妮可</t>
  </si>
  <si>
    <t>代理人特写·「11号」</t>
  </si>
  <si>
    <t>代理人特写·伊德海莉</t>
  </si>
  <si>
    <t>代理人特写·可琳</t>
  </si>
  <si>
    <t>代理人特写·凯撒</t>
  </si>
  <si>
    <t>代理人特写·比利</t>
  </si>
  <si>
    <t>代理人特写·雅</t>
  </si>
  <si>
    <t>代理人特写·珂蕾妲</t>
  </si>
  <si>
    <t>代理人特写·安东</t>
  </si>
  <si>
    <t>代理人特写·本</t>
  </si>
  <si>
    <t>代理人特写·苍角</t>
  </si>
  <si>
    <t>代理人特写·莱卡恩</t>
  </si>
  <si>
    <t>代理人特写·露西</t>
  </si>
  <si>
    <t>代理人特写·莱特</t>
  </si>
  <si>
    <t>代理人特写·柏妮思</t>
  </si>
  <si>
    <t>代理人特写·格莉丝</t>
  </si>
  <si>
    <t>代理人特写·艾莲</t>
  </si>
  <si>
    <t>代理人特写·悠真</t>
  </si>
  <si>
    <t>代理人特写·丽娜</t>
  </si>
  <si>
    <t>代理人特写·柳</t>
  </si>
  <si>
    <t>代理人特写·朱鸢</t>
  </si>
  <si>
    <t>代理人特写·青衣</t>
  </si>
  <si>
    <t>代理人特写·简</t>
  </si>
  <si>
    <t>代理人特写·赛斯</t>
  </si>
  <si>
    <t>代理人特写·派派</t>
  </si>
  <si>
    <t>代理人特写·雨果</t>
  </si>
  <si>
    <t>代理人特写·耀嘉音</t>
  </si>
  <si>
    <t>代理人特写·伊芙琳</t>
  </si>
  <si>
    <t>代理人特写·薇薇安</t>
  </si>
  <si>
    <t>代理人特写·照</t>
  </si>
  <si>
    <t>代理人特写·波可娜</t>
  </si>
  <si>
    <t>代理人特写·「扳机」</t>
  </si>
  <si>
    <t>IconRolePiece39.png</t>
  </si>
  <si>
    <t>代理人特写·仪玄</t>
  </si>
  <si>
    <t>代理人特写·零号·安比</t>
  </si>
  <si>
    <t>代理人特写·橘福福</t>
  </si>
  <si>
    <t>代理人特写·爱丽丝</t>
  </si>
  <si>
    <t>代理人特写·柚叶</t>
  </si>
  <si>
    <t>代理人特写·潘引壶</t>
  </si>
  <si>
    <t>代理人特写·叶瞬光</t>
  </si>
  <si>
    <t>代理人特写·真斗</t>
  </si>
  <si>
    <t>代理人特写·卢西娅</t>
  </si>
  <si>
    <t>代理人特写·「席德」</t>
  </si>
  <si>
    <t>代理人特写·般岳</t>
  </si>
  <si>
    <t>代理人特写·琉音</t>
  </si>
  <si>
    <t>代理人特写·千夏</t>
  </si>
  <si>
    <t>代理人特写·爱芮</t>
  </si>
  <si>
    <t>代理人特写·哲</t>
  </si>
  <si>
    <t>代理人特写·铃</t>
  </si>
  <si>
    <t>装备后可提升[强攻]代理人的战斗能力</t>
  </si>
  <si>
    <t>Weapon_B_Common_01.png</t>
  </si>
  <si>
    <t>Weapon_B_Common_02.png</t>
  </si>
  <si>
    <t>Weapon_B_Common_03.png</t>
  </si>
  <si>
    <t>装备后可提升[支援]代理人的战斗能力</t>
  </si>
  <si>
    <t>Weapon_B_Common_04.png</t>
  </si>
  <si>
    <t>Weapon_B_Common_05.png</t>
  </si>
  <si>
    <t>Weapon_B_Common_06.png</t>
  </si>
  <si>
    <t>装备后可提升[击破]代理人的战斗能力</t>
  </si>
  <si>
    <t>Weapon_B_Common_07.png</t>
  </si>
  <si>
    <t>Weapon_B_Common_08.png</t>
  </si>
  <si>
    <t>Weapon_B_Common_09.png</t>
  </si>
  <si>
    <t>装备后可提升[异常]代理人的战斗能力</t>
  </si>
  <si>
    <t>Weapon_B_Common_10.png</t>
  </si>
  <si>
    <t>Weapon_B_Common_11.png</t>
  </si>
  <si>
    <t>Weapon_B_Common_12.png</t>
  </si>
  <si>
    <t>装备后可提升[防护]代理人的战斗能力</t>
  </si>
  <si>
    <t>Weapon_B_Common_13.png</t>
  </si>
  <si>
    <t>Weapon_B_Common_14.png</t>
  </si>
  <si>
    <t>装备后可提升[命破]代理人的战斗能力</t>
  </si>
  <si>
    <t>Weapon_B_Common_15.png</t>
  </si>
  <si>
    <t>Weapon_A_Common_01.png</t>
  </si>
  <si>
    <t>Weapon_A_Common_02.png</t>
  </si>
  <si>
    <t>Weapon_A_Common_03.png</t>
  </si>
  <si>
    <t>Weapon_A_Common_04.png</t>
  </si>
  <si>
    <t>Weapon_A_Common_05.png</t>
  </si>
  <si>
    <t>Weapon_A_Common_06.png</t>
  </si>
  <si>
    <t>Weapon_A_Common_07.png</t>
  </si>
  <si>
    <t>Weapon_A_Common_08.png</t>
  </si>
  <si>
    <t>Weapon_A_Common_09.png</t>
  </si>
  <si>
    <t>Weapon_A_Common_10.png</t>
  </si>
  <si>
    <t>Weapon_A_Common_11.png</t>
  </si>
  <si>
    <t>Weapon_A_Common_12.png</t>
  </si>
  <si>
    <t>Weapon_A_Common_13.png</t>
  </si>
  <si>
    <t>Weapon_A_Common_14.png</t>
  </si>
  <si>
    <t>Weapon_A_Common_15.png</t>
  </si>
  <si>
    <t>Weapon_A_Common_16.png</t>
  </si>
  <si>
    <t>Weapon_A_Common_19.png</t>
  </si>
  <si>
    <t>Weapon_A_1011.png</t>
  </si>
  <si>
    <t>Weapon_A_1031.png</t>
  </si>
  <si>
    <t>Weapon_A_1061.png</t>
  </si>
  <si>
    <t>Weapon_A_1081.png</t>
  </si>
  <si>
    <t>Weapon_A_1111.png</t>
  </si>
  <si>
    <t>Weapon_A_1121.png</t>
  </si>
  <si>
    <t>Weapon_A_1131.png</t>
  </si>
  <si>
    <t>Weapon_A_1151.png</t>
  </si>
  <si>
    <t>Weapon_A_1271.png</t>
  </si>
  <si>
    <t>Weapon_A_1281.png</t>
  </si>
  <si>
    <t>Weapon_A_1351.png</t>
  </si>
  <si>
    <t>Weapon_A_1421.png</t>
  </si>
  <si>
    <t>Weapon_A_1441.png</t>
  </si>
  <si>
    <t>Weapon_S_Common_01.png</t>
  </si>
  <si>
    <t>Weapon_S_Common_02.png</t>
  </si>
  <si>
    <t>Weapon_S_Common_03.png</t>
  </si>
  <si>
    <t>Weapon_S_1021.png</t>
  </si>
  <si>
    <t>Weapon_S_1041.png</t>
  </si>
  <si>
    <t>Weapon_S_1051.png</t>
  </si>
  <si>
    <t>Weapon_S_1071.png</t>
  </si>
  <si>
    <t>Weapon_S_1091.png</t>
  </si>
  <si>
    <t>Weapon_S_1101.png</t>
  </si>
  <si>
    <t>Weapon_S_1141.png</t>
  </si>
  <si>
    <t>Weapon_S_1161.png</t>
  </si>
  <si>
    <t>Weapon_S_1171.png</t>
  </si>
  <si>
    <t>Weapon_S_1181.png</t>
  </si>
  <si>
    <t>Weapon_S_1191.png</t>
  </si>
  <si>
    <t>Weapon_S_1201.png</t>
  </si>
  <si>
    <t>Weapon_S_1211.png</t>
  </si>
  <si>
    <t>Weapon_S_1221.png</t>
  </si>
  <si>
    <t>Weapon_S_1241.png</t>
  </si>
  <si>
    <t>Weapon_S_1251.png</t>
  </si>
  <si>
    <t>Weapon_S_1261.png</t>
  </si>
  <si>
    <t>Weapon_S_1291.png</t>
  </si>
  <si>
    <t>Weapon_S_1301.png</t>
  </si>
  <si>
    <t>Weapon_S_1311.png</t>
  </si>
  <si>
    <t>Weapon_S_1321.png</t>
  </si>
  <si>
    <t>Weapon_S_1331.png</t>
  </si>
  <si>
    <t>Weapon_S_1341.png</t>
  </si>
  <si>
    <t>Weapon_S_1361.png</t>
  </si>
  <si>
    <t>Weapon_S_1371.png</t>
  </si>
  <si>
    <t>Weapon_S_1381.png</t>
  </si>
  <si>
    <t>Weapon_S_1391.png</t>
  </si>
  <si>
    <t>Weapon_S_1401.png</t>
  </si>
  <si>
    <t>Weapon_S_1411.png</t>
  </si>
  <si>
    <t>Weapon_S_1431.png</t>
  </si>
  <si>
    <t>Weapon_S_1451.png</t>
  </si>
  <si>
    <t>Weapon_S_1461.png</t>
  </si>
  <si>
    <t>Weapon_S_1471.png</t>
  </si>
  <si>
    <t>Weapon_S_1481.png</t>
  </si>
  <si>
    <t>Weapon_S_1491.png</t>
  </si>
  <si>
    <t>Weapon_S_1501.png</t>
  </si>
  <si>
    <t>潜能剪影·「11号」</t>
  </si>
  <si>
    <t>用于「11号」激发潜能，「潜能影集」商店中兑换</t>
  </si>
  <si>
    <t>一抹鲜明利落的剪影，标示着代理人潜在「理想自我」的形象。
    她仍然保持着昔日的训练习惯，像夜晚固执燃烧的焰火。…但既然已在不觉间无数次与你擦肩而过，那我也有了开始寻找「自己」的理由。</t>
  </si>
  <si>
    <t>IconRoleAwaken_1041.png</t>
  </si>
  <si>
    <t>潜能剪影·莱卡恩</t>
  </si>
  <si>
    <t>用于莱卡恩激发潜能，「潜能影集」商店中兑换</t>
  </si>
  <si>
    <t>一抹鲜明利落的剪影，标示着代理人潜在「理想自我」的形象。
    为了精准而优雅地完成家政服务，为了贯彻内心认可的正义，也为了守护自己珍视的一切——「优雅执事」从未懈怠。</t>
  </si>
  <si>
    <t>IconRoleAwaken_1141.png</t>
  </si>
  <si>
    <t>潜能剪影·柏妮思</t>
  </si>
  <si>
    <t>用于柏妮思激发潜能，「潜能影集」商店中兑换</t>
  </si>
  <si>
    <t>一抹鲜明利落的剪影，标示着代理人潜在「理想自我」的形象。
    燃油饮、雪克杯和点火器——在燃料与热情碰撞的那一刻，绚烂的究竟是火焰，还是她脸上的笑容呢？</t>
  </si>
  <si>
    <t>IconRoleAwaken_1171.png</t>
  </si>
  <si>
    <t>潜能剪影·格莉丝</t>
  </si>
  <si>
    <t>用于格莉丝激发潜能，「潜能影集」商店中兑换</t>
  </si>
  <si>
    <t>一抹鲜明利落的剪影，标示着代理人潜在「理想自我」的形象。
    戴上沾满机油的手套，拿起形影不离的扳手，「钢铁女巫」仍旧在锻造机械魔药的道路上笃行不倦。</t>
  </si>
  <si>
    <t>IconRoleAwaken_1181.png</t>
  </si>
  <si>
    <t>潜能剪影·艾莲</t>
  </si>
  <si>
    <t>用于艾莲激发潜能，「潜能影集」商店中兑换</t>
  </si>
  <si>
    <t>一抹鲜明利落的剪影，标示着代理人潜在「理想自我」的形象。
    对艾莲来说，变强的意义并不在于追求力量…少女只想迅速解决工作，然后在柔软的被窝里睡个甜甜的午觉。</t>
  </si>
  <si>
    <t>IconRoleAwaken_1191.png</t>
  </si>
  <si>
    <t>潜能剪影·浅羽悠真</t>
  </si>
  <si>
    <t>用于浅羽悠真激发潜能，「潜能影集」商店中兑换</t>
  </si>
  <si>
    <t>一抹鲜明利落的剪影，标示着代理人潜在「理想自我」的形象。
    绑起明黄色的头巾，镜子里映出心不在焉的自己。因他喜欢站在聚光灯的边缘，人们才会忘记：慵懒的少年也是天赋异禀的天才。</t>
  </si>
  <si>
    <t>IconRoleAwaken_1201.png</t>
  </si>
  <si>
    <t>潜能剪影·零号·安比</t>
  </si>
  <si>
    <t>用于零号·安比激发潜能，「潜能影集」商店中兑换</t>
  </si>
  <si>
    <t>一抹鲜明利落的剪影，标示着代理人潜在「理想自我」的形象。
    为过去做出决断，与未来许下约定——现在的她，强大到可以一口气吃下十个热腾腾的汉堡。</t>
  </si>
  <si>
    <t>IconRoleAwaken_1381.png</t>
  </si>
  <si>
    <t>啄木鸟电音[1]</t>
  </si>
  <si>
    <t>装备后可提升代理人的战斗能力</t>
  </si>
  <si>
    <t>记录着《啄木鸟电音》第一部分曲目的驱动盘，随着音擎旋转而洋溢出的旋律，是轻快活泼的调性。</t>
  </si>
  <si>
    <t>ItemSuitWoodpeckerElectro_B.png</t>
  </si>
  <si>
    <t>啄木鸟电音[2]</t>
  </si>
  <si>
    <t>记录着《啄木鸟电音》第二部分曲目的驱动盘，随着音擎旋转而洋溢出的旋律，是轻快活泼的调性。</t>
  </si>
  <si>
    <t>啄木鸟电音[3]</t>
  </si>
  <si>
    <t>记录着《啄木鸟电音》第三部分曲目的驱动盘，随着音擎旋转而洋溢出的旋律，是轻快活泼的调性。</t>
  </si>
  <si>
    <t>啄木鸟电音[4]</t>
  </si>
  <si>
    <t>记录着《啄木鸟电音》第四部分曲目的驱动盘，随着音擎旋转而洋溢出的旋律，是轻快活泼的调性。</t>
  </si>
  <si>
    <t>啄木鸟电音[5]</t>
  </si>
  <si>
    <t>记录着《啄木鸟电音》第五部分曲目的驱动盘，随着音擎旋转而洋溢出的旋律，是轻快活泼的调性。</t>
  </si>
  <si>
    <t>啄木鸟电音[6]</t>
  </si>
  <si>
    <t>记录着《啄木鸟电音》第六部分曲目的驱动盘，随着音擎旋转而洋溢出的旋律，是轻快活泼的调性。</t>
  </si>
  <si>
    <t>ItemSuitWoodpeckerElectro_A.png</t>
  </si>
  <si>
    <t>ItemSuitWoodpeckerElectro_S.png</t>
  </si>
  <si>
    <t>河豚电音[1]</t>
  </si>
  <si>
    <t>记录着《河豚电音》第一部分曲目的驱动盘，随着音擎旋转而洋溢出的旋律，是浑厚圆润的调性。</t>
  </si>
  <si>
    <t>ItemSuitPufferElectro_B.png</t>
  </si>
  <si>
    <t>河豚电音[2]</t>
  </si>
  <si>
    <t>记录着《河豚电音》第二部分曲目的驱动盘，随着音擎旋转而洋溢出的旋律，是浑厚圆润的调性。</t>
  </si>
  <si>
    <t>河豚电音[3]</t>
  </si>
  <si>
    <t>记录着《河豚电音》第三部分曲目的驱动盘，随着音擎旋转而洋溢出的旋律，是浑厚圆润的调性。</t>
  </si>
  <si>
    <t>河豚电音[4]</t>
  </si>
  <si>
    <t>记录着《河豚电音》第四部分曲目的驱动盘，随着音擎旋转而洋溢出的旋律，是浑厚圆润的调性。</t>
  </si>
  <si>
    <t>河豚电音[5]</t>
  </si>
  <si>
    <t>记录着《河豚电音》第五部分曲目的驱动盘，随着音擎旋转而洋溢出的旋律，是浑厚圆润的调性。</t>
  </si>
  <si>
    <t>河豚电音[6]</t>
  </si>
  <si>
    <t>记录着《河豚电音》第六部分曲目的驱动盘，随着音擎旋转而洋溢出的旋律，是浑厚圆润的调性。</t>
  </si>
  <si>
    <t>ItemSuitPufferElectro_A.png</t>
  </si>
  <si>
    <t>ItemSuitPufferElectro_S.png</t>
  </si>
  <si>
    <t>震星迪斯科[1]</t>
  </si>
  <si>
    <t>记录着《震星迪斯科》第一部分曲目的驱动盘，随着音擎旋转而洋溢出的旋律，是律动强烈的调性。</t>
  </si>
  <si>
    <t>ItemSuitShockstarDisco_B.png</t>
  </si>
  <si>
    <t>震星迪斯科[2]</t>
  </si>
  <si>
    <t>记录着《震星迪斯科》第二部分曲目的驱动盘，随着音擎旋转而洋溢出的旋律，是律动强烈的调性。</t>
  </si>
  <si>
    <t>震星迪斯科[3]</t>
  </si>
  <si>
    <t>记录着《震星迪斯科》第三部分曲目的驱动盘，随着音擎旋转而洋溢出的旋律，是律动强烈的调性。</t>
  </si>
  <si>
    <t>震星迪斯科[4]</t>
  </si>
  <si>
    <t>记录着《震星迪斯科》第四部分曲目的驱动盘，随着音擎旋转而洋溢出的旋律，是律动强烈的调性。</t>
  </si>
  <si>
    <t>震星迪斯科[5]</t>
  </si>
  <si>
    <t>记录着《震星迪斯科》第五部分曲目的驱动盘，随着音擎旋转而洋溢出的旋律，是律动强烈的调性。</t>
  </si>
  <si>
    <t>震星迪斯科[6]</t>
  </si>
  <si>
    <t>记录着《震星迪斯科》第六部分曲目的驱动盘，随着音擎旋转而洋溢出的旋律，是律动强烈的调性。</t>
  </si>
  <si>
    <t>ItemSuitShockstarDisco_A.png</t>
  </si>
  <si>
    <t>ItemSuitShockstarDisco_S.png</t>
  </si>
  <si>
    <t>自由蓝调[1]</t>
  </si>
  <si>
    <t>记录着《自由蓝调》第一部分曲目的驱动盘，随着音擎旋转而洋溢出的旋律，是自由随性的调性。</t>
  </si>
  <si>
    <t>ItemSuitFreedomBlues_B.png</t>
  </si>
  <si>
    <t>自由蓝调[2]</t>
  </si>
  <si>
    <t>记录着《自由蓝调》第二部分曲目的驱动盘，随着音擎旋转而洋溢出的旋律，是自由随性的调性。</t>
  </si>
  <si>
    <t>自由蓝调[3]</t>
  </si>
  <si>
    <t>记录着《自由蓝调》第三部分曲目的驱动盘，随着音擎旋转而洋溢出的旋律，是自由随性的调性。</t>
  </si>
  <si>
    <t>自由蓝调[4]</t>
  </si>
  <si>
    <t>记录着《自由蓝调》第四部分曲目的驱动盘，随着音擎旋转而洋溢出的旋律，是自由随性的调性。</t>
  </si>
  <si>
    <t>自由蓝调[5]</t>
  </si>
  <si>
    <t>记录着《自由蓝调》第五部分曲目的驱动盘，随着音擎旋转而洋溢出的旋律，是自由随性的调性。</t>
  </si>
  <si>
    <t>自由蓝调[6]</t>
  </si>
  <si>
    <t>记录着《自由蓝调》第六部分曲目的驱动盘，随着音擎旋转而洋溢出的旋律，是自由随性的调性。</t>
  </si>
  <si>
    <t>ItemSuitFreedomBlues_A.png</t>
  </si>
  <si>
    <t>ItemSuitFreedomBlues_S.png</t>
  </si>
  <si>
    <t>激素朋克[1]</t>
  </si>
  <si>
    <t>记录着《激素朋克》第一部分曲目的驱动盘，随着音擎旋转而洋溢出的旋律，是鼓噪亢奋的调性。</t>
  </si>
  <si>
    <t>ItemSuitHormonePunk_B.png</t>
  </si>
  <si>
    <t>激素朋克[2]</t>
  </si>
  <si>
    <t>记录着《激素朋克》第二部分曲目的驱动盘，随着音擎旋转而洋溢出的旋律，是鼓噪亢奋的调性。</t>
  </si>
  <si>
    <t>激素朋克[3]</t>
  </si>
  <si>
    <t>记录着《激素朋克》第三部分曲目的驱动盘，随着音擎旋转而洋溢出的旋律，是鼓噪亢奋的调性。</t>
  </si>
  <si>
    <t>激素朋克[4]</t>
  </si>
  <si>
    <t>记录着《激素朋克》第四部分曲目的驱动盘，随着音擎旋转而洋溢出的旋律，是鼓噪亢奋的调性。</t>
  </si>
  <si>
    <t>激素朋克[5]</t>
  </si>
  <si>
    <t>记录着《激素朋克》第五部分曲目的驱动盘，随着音擎旋转而洋溢出的旋律，是鼓噪亢奋的调性。</t>
  </si>
  <si>
    <t>激素朋克[6]</t>
  </si>
  <si>
    <t>记录着《激素朋克》第六部分曲目的驱动盘，随着音擎旋转而洋溢出的旋律，是鼓噪亢奋的调性。</t>
  </si>
  <si>
    <t>ItemSuitHormonePunk_A.png</t>
  </si>
  <si>
    <t>ItemSuitHormonePunk_S.png</t>
  </si>
  <si>
    <t>灵魂摇滚[1]</t>
  </si>
  <si>
    <t>记录着《灵魂摇滚》第一部分曲目的驱动盘，随着音擎旋转而洋溢出的旋律，是直击心灵的调性。</t>
  </si>
  <si>
    <t>ItemSuitSoulRock_B.png</t>
  </si>
  <si>
    <t>灵魂摇滚[2]</t>
  </si>
  <si>
    <t>记录着《灵魂摇滚》第二部分曲目的驱动盘，随着音擎旋转而洋溢出的旋律，是直击心灵的调性。</t>
  </si>
  <si>
    <t>灵魂摇滚[3]</t>
  </si>
  <si>
    <t>记录着《灵魂摇滚》第三部分曲目的驱动盘，随着音擎旋转而洋溢出的旋律，是直击心灵的调性。</t>
  </si>
  <si>
    <t>灵魂摇滚[4]</t>
  </si>
  <si>
    <t>记录着《灵魂摇滚》第四部分曲目的驱动盘，随着音擎旋转而洋溢出的旋律，是直击心灵的调性。</t>
  </si>
  <si>
    <t>灵魂摇滚[5]</t>
  </si>
  <si>
    <t>记录着《灵魂摇滚》第五部分曲目的驱动盘，随着音擎旋转而洋溢出的旋律，是直击心灵的调性。</t>
  </si>
  <si>
    <t>灵魂摇滚[6]</t>
  </si>
  <si>
    <t>记录着《灵魂摇滚》第六部分曲目的驱动盘，随着音擎旋转而洋溢出的旋律，是直击心灵的调性。</t>
  </si>
  <si>
    <t>ItemSuitSoulRock_A.png</t>
  </si>
  <si>
    <t>ItemSuitSoulRock_S.png</t>
  </si>
  <si>
    <t>摇摆爵士[1]</t>
  </si>
  <si>
    <t>记录着《摇摆爵士》第一部分曲目的驱动盘，随着音擎旋转而洋溢出的旋律，是惬意诙谐的调性。</t>
  </si>
  <si>
    <t>ItemSuitSwingJazz_B.png</t>
  </si>
  <si>
    <t>摇摆爵士[2]</t>
  </si>
  <si>
    <t>记录着《摇摆爵士》第二部分曲目的驱动盘，随着音擎旋转而洋溢出的旋律，是惬意诙谐的调性。</t>
  </si>
  <si>
    <t>摇摆爵士[3]</t>
  </si>
  <si>
    <t>记录着《摇摆爵士》第三部分曲目的驱动盘，随着音擎旋转而洋溢出的旋律，是惬意诙谐的调性。</t>
  </si>
  <si>
    <t>摇摆爵士[4]</t>
  </si>
  <si>
    <t>记录着《摇摆爵士》第四部分曲目的驱动盘，随着音擎旋转而洋溢出的旋律，是惬意诙谐的调性。</t>
  </si>
  <si>
    <t>摇摆爵士[5]</t>
  </si>
  <si>
    <t>记录着《摇摆爵士》第五部分曲目的驱动盘，随着音擎旋转而洋溢出的旋律，是惬意诙谐的调性。</t>
  </si>
  <si>
    <t>摇摆爵士[6]</t>
  </si>
  <si>
    <t>记录着《摇摆爵士》第六部分曲目的驱动盘，随着音擎旋转而洋溢出的旋律，是惬意诙谐的调性。</t>
  </si>
  <si>
    <t>ItemSuitSwingJazz_A.png</t>
  </si>
  <si>
    <t>ItemSuitSwingJazz_S.png</t>
  </si>
  <si>
    <t>混沌爵士[1]</t>
  </si>
  <si>
    <t>记录着《混沌爵士》第一部分曲目的驱动盘，随着音擎旋转而洋溢出的旋律，是混沌无序的调性。</t>
  </si>
  <si>
    <t>ItemSuitChaosJazz_B.png</t>
  </si>
  <si>
    <t>混沌爵士[2]</t>
  </si>
  <si>
    <t>记录着《混沌爵士》第二部分曲目的驱动盘，随着音擎旋转而洋溢出的旋律，是混沌无序的调性。</t>
  </si>
  <si>
    <t>混沌爵士[3]</t>
  </si>
  <si>
    <t>记录着《混沌爵士》第三部分曲目的驱动盘，随着音擎旋转而洋溢出的旋律，是混沌无序的调性。</t>
  </si>
  <si>
    <t>混沌爵士[4]</t>
  </si>
  <si>
    <t>记录着《混沌爵士》第四部分曲目的驱动盘，随着音擎旋转而洋溢出的旋律，是混沌无序的调性。</t>
  </si>
  <si>
    <t>混沌爵士[5]</t>
  </si>
  <si>
    <t>记录着《混沌爵士》第五部分曲目的驱动盘，随着音擎旋转而洋溢出的旋律，是混沌无序的调性。</t>
  </si>
  <si>
    <t>混沌爵士[6]</t>
  </si>
  <si>
    <t>记录着《混沌爵士》第六部分曲目的驱动盘，随着音擎旋转而洋溢出的旋律，是混沌无序的调性。</t>
  </si>
  <si>
    <t>ItemSuitChaosJazz_A.png</t>
  </si>
  <si>
    <t>ItemSuitChaosJazz_S.png</t>
  </si>
  <si>
    <t>原始朋克[1]</t>
  </si>
  <si>
    <t>记录着《原始朋克》第一部分曲目的驱动盘，随着音擎旋转而洋溢出的旋律，是释放野性的调性。</t>
  </si>
  <si>
    <t>ItemSuitProtoPunk_B.png</t>
  </si>
  <si>
    <t>原始朋克[2]</t>
  </si>
  <si>
    <t>记录着《原始朋克》第二部分曲目的驱动盘，随着音擎旋转而洋溢出的旋律，是释放野性的调性。</t>
  </si>
  <si>
    <t>原始朋克[3]</t>
  </si>
  <si>
    <t>记录着《原始朋克》第三部分曲目的驱动盘，随着音擎旋转而洋溢出的旋律，是释放野性的调性。</t>
  </si>
  <si>
    <t>原始朋克[4]</t>
  </si>
  <si>
    <t>记录着《原始朋克》第四部分曲目的驱动盘，随着音擎旋转而洋溢出的旋律，是释放野性的调性。</t>
  </si>
  <si>
    <t>原始朋克[5]</t>
  </si>
  <si>
    <t>记录着《原始朋克》第五部分曲目的驱动盘，随着音擎旋转而洋溢出的旋律，是释放野性的调性。</t>
  </si>
  <si>
    <t>原始朋克[6]</t>
  </si>
  <si>
    <t>记录着《原始朋克》第六部分曲目的驱动盘，随着音擎旋转而洋溢出的旋律，是释放野性的调性。</t>
  </si>
  <si>
    <t>ItemSuitProtoPunk_A.png</t>
  </si>
  <si>
    <t>ItemSuitProtoPunk_S.png</t>
  </si>
  <si>
    <t>炎狱重金属[1]</t>
  </si>
  <si>
    <t>记录着《炎狱重金属》第一部分曲目的驱动盘，随着音擎旋转而洋溢出的旋律，是饱含激情的调性。</t>
  </si>
  <si>
    <t>ItemSuitInfernoMetal_B.png</t>
  </si>
  <si>
    <t>炎狱重金属[2]</t>
  </si>
  <si>
    <t>记录着《炎狱重金属》第二部分曲目的驱动盘，随着音擎旋转而洋溢出的旋律，是饱含激情的调性。</t>
  </si>
  <si>
    <t>炎狱重金属[3]</t>
  </si>
  <si>
    <t>记录着《炎狱重金属》第三部分曲目的驱动盘，随着音擎旋转而洋溢出的旋律，是饱含激情的调性。</t>
  </si>
  <si>
    <t>炎狱重金属[4]</t>
  </si>
  <si>
    <t>记录着《炎狱重金属》第四部分曲目的驱动盘，随着音擎旋转而洋溢出的旋律，是饱含激情的调性。</t>
  </si>
  <si>
    <t>炎狱重金属[5]</t>
  </si>
  <si>
    <t>记录着《炎狱重金属》第五部分曲目的驱动盘，随着音擎旋转而洋溢出的旋律，是饱含激情的调性。</t>
  </si>
  <si>
    <t>炎狱重金属[6]</t>
  </si>
  <si>
    <t>记录着《炎狱重金属》第六部分曲目的驱动盘，随着音擎旋转而洋溢出的旋律，是饱含激情的调性。</t>
  </si>
  <si>
    <t>ItemSuitInfernoMetal_A.png</t>
  </si>
  <si>
    <t>ItemSuitInfernoMetal_S.png</t>
  </si>
  <si>
    <t>混沌重金属[1]</t>
  </si>
  <si>
    <t>记录着《混沌重金属》第一部分曲目的驱动盘，随着音擎旋转而洋溢出的旋律，是磅礴无序的调性。</t>
  </si>
  <si>
    <t>ItemSuitChaosMetal_B.png</t>
  </si>
  <si>
    <t>混沌重金属[2]</t>
  </si>
  <si>
    <t>记录着《混沌重金属》第二部分曲目的驱动盘，随着音擎旋转而洋溢出的旋律，是磅礴无序的调性。</t>
  </si>
  <si>
    <t>混沌重金属[3]</t>
  </si>
  <si>
    <t>记录着《混沌重金属》第三部分曲目的驱动盘，随着音擎旋转而洋溢出的旋律，是磅礴无序的调性。</t>
  </si>
  <si>
    <t>混沌重金属[4]</t>
  </si>
  <si>
    <t>记录着《混沌重金属》第四部分曲目的驱动盘，随着音擎旋转而洋溢出的旋律，是磅礴无序的调性。</t>
  </si>
  <si>
    <t>混沌重金属[5]</t>
  </si>
  <si>
    <t>记录着《混沌重金属》第五部分曲目的驱动盘，随着音擎旋转而洋溢出的旋律，是磅礴无序的调性。</t>
  </si>
  <si>
    <t>混沌重金属[6]</t>
  </si>
  <si>
    <t>记录着《混沌重金属》第六部分曲目的驱动盘，随着音擎旋转而洋溢出的旋律，是磅礴无序的调性。</t>
  </si>
  <si>
    <t>ItemSuitChaosMetal_A.png</t>
  </si>
  <si>
    <t>ItemSuitChaosMetal_S.png</t>
  </si>
  <si>
    <t>雷暴重金属[1]</t>
  </si>
  <si>
    <t>记录着《雷暴重金属》第一部分曲目的驱动盘，随着音擎旋转而洋溢出的旋律，是肆意宣泄的调性。</t>
  </si>
  <si>
    <t>ItemSuitThunderMetal_B.png</t>
  </si>
  <si>
    <t>雷暴重金属[2]</t>
  </si>
  <si>
    <t>记录着《雷暴重金属》第二部分曲目的驱动盘，随着音擎旋转而洋溢出的旋律，是肆意宣泄的调性。</t>
  </si>
  <si>
    <t>雷暴重金属[3]</t>
  </si>
  <si>
    <t>记录着《雷暴重金属》第三部分曲目的驱动盘，随着音擎旋转而洋溢出的旋律，是肆意宣泄的调性。</t>
  </si>
  <si>
    <t>雷暴重金属[4]</t>
  </si>
  <si>
    <t>记录着《雷暴重金属》第四部分曲目的驱动盘，随着音擎旋转而洋溢出的旋律，是肆意宣泄的调性。</t>
  </si>
  <si>
    <t>雷暴重金属[5]</t>
  </si>
  <si>
    <t>记录着《雷暴重金属》第五部分曲目的驱动盘，随着音擎旋转而洋溢出的旋律，是肆意宣泄的调性。</t>
  </si>
  <si>
    <t>雷暴重金属[6]</t>
  </si>
  <si>
    <t>记录着《雷暴重金属》第六部分曲目的驱动盘，随着音擎旋转而洋溢出的旋律，是肆意宣泄的调性。</t>
  </si>
  <si>
    <t>ItemSuitThunderMetal_A.png</t>
  </si>
  <si>
    <t>ItemSuitThunderMetal_S.png</t>
  </si>
  <si>
    <t>极地重金属[1]</t>
  </si>
  <si>
    <t>记录着《极地重金属》第一部分曲目的驱动盘，随着音擎旋转而洋溢出的旋律，是深沉冷酷的调性。</t>
  </si>
  <si>
    <t>ItemSuitPolarMetal_B.png</t>
  </si>
  <si>
    <t>极地重金属[2]</t>
  </si>
  <si>
    <t>记录着《极地重金属》第二部分曲目的驱动盘，随着音擎旋转而洋溢出的旋律，是深沉冷酷的调性。</t>
  </si>
  <si>
    <t>极地重金属[3]</t>
  </si>
  <si>
    <t>记录着《极地重金属》第三部分曲目的驱动盘，随着音擎旋转而洋溢出的旋律，是深沉冷酷的调性。</t>
  </si>
  <si>
    <t>极地重金属[4]</t>
  </si>
  <si>
    <t>记录着《极地重金属》第四部分曲目的驱动盘，随着音擎旋转而洋溢出的旋律，是深沉冷酷的调性。</t>
  </si>
  <si>
    <t>极地重金属[5]</t>
  </si>
  <si>
    <t>记录着《极地重金属》第五部分曲目的驱动盘，随着音擎旋转而洋溢出的旋律，是深沉冷酷的调性。</t>
  </si>
  <si>
    <t>极地重金属[6]</t>
  </si>
  <si>
    <t>记录着《极地重金属》第六部分曲目的驱动盘，随着音擎旋转而洋溢出的旋律，是深沉冷酷的调性。</t>
  </si>
  <si>
    <t>ItemSuitPolarMetal_A.png</t>
  </si>
  <si>
    <t>ItemSuitPolarMetal_S.png</t>
  </si>
  <si>
    <t>獠牙重金属[1]</t>
  </si>
  <si>
    <t>记录着《獠牙重金属》第一部分曲目的驱动盘，随着音擎旋转而洋溢出的旋律，是狂傲难驯的调性。</t>
  </si>
  <si>
    <t>ItemSuitFangedMetal_B.png</t>
  </si>
  <si>
    <t>獠牙重金属[2]</t>
  </si>
  <si>
    <t>记录着《獠牙重金属》第二部分曲目的驱动盘，随着音擎旋转而洋溢出的旋律，是狂傲难驯的调性。</t>
  </si>
  <si>
    <t>獠牙重金属[3]</t>
  </si>
  <si>
    <t>记录着《獠牙重金属》第三部分曲目的驱动盘，随着音擎旋转而洋溢出的旋律，是狂傲难驯的调性。</t>
  </si>
  <si>
    <t>獠牙重金属[4]</t>
  </si>
  <si>
    <t>记录着《獠牙重金属》第四部分曲目的驱动盘，随着音擎旋转而洋溢出的旋律，是狂傲难驯的调性。</t>
  </si>
  <si>
    <t>獠牙重金属[5]</t>
  </si>
  <si>
    <t>记录着《獠牙重金属》第五部分曲目的驱动盘，随着音擎旋转而洋溢出的旋律，是狂傲难驯的调性。</t>
  </si>
  <si>
    <t>獠牙重金属[6]</t>
  </si>
  <si>
    <t>记录着《獠牙重金属》第六部分曲目的驱动盘，随着音擎旋转而洋溢出的旋律，是狂傲难驯的调性。</t>
  </si>
  <si>
    <t>ItemSuitFangedMetal_A.png</t>
  </si>
  <si>
    <t>ItemSuitFangedMetal_S.png</t>
  </si>
  <si>
    <t>折枝剑歌[1]</t>
  </si>
  <si>
    <t>「少年向东行，荒道见恶猿。春枝折作刀，退猿平民怨。」</t>
  </si>
  <si>
    <t>ItemSuitBranch&amp;BladeSong_B.png</t>
  </si>
  <si>
    <t>折枝剑歌[2]</t>
  </si>
  <si>
    <t>「华年向西行，蛙声踞廊檐。一技惊四座，星罗井中天。」</t>
  </si>
  <si>
    <t>折枝剑歌[3]</t>
  </si>
  <si>
    <t>「盛年向北行，硕犬啖方圆。红叶裹血牙，恰作新刀剑。」</t>
  </si>
  <si>
    <t>折枝剑歌[4]</t>
  </si>
  <si>
    <t>「暮年向南行，群蝗侵乡园。当关一剑开，雪尽留生线。」</t>
  </si>
  <si>
    <t>折枝剑歌[5]</t>
  </si>
  <si>
    <t>「鬓白叹老归，行迹坊间传。藏刀求安闲，随波赴名宴。」</t>
  </si>
  <si>
    <t>折枝剑歌[6]</t>
  </si>
  <si>
    <t>「忽见宴上宾，衣冠昔日猿。唇拂狡黠齿，语赐空虚名。槁手振衣起，怒鬓不同流。踏泥入庭中，折枝再少年。」</t>
  </si>
  <si>
    <t>ItemSuitBranch&amp;BladeSong_A.png</t>
  </si>
  <si>
    <t>ItemSuitBranch&amp;BladeSong_S.png</t>
  </si>
  <si>
    <t>静听嘉音[1]</t>
  </si>
  <si>
    <t>「因长期滞留空洞引发的侵蚀反应，导致听力受损。」医生明确地警告我，想保住听力就别再进空洞干活。没办法…绳匠事业固然重要，但有一双能听嘉音新歌的耳朵更重要。</t>
  </si>
  <si>
    <t>ItemSuitAstralVoice_B.png</t>
  </si>
  <si>
    <t>静听嘉音[2]</t>
  </si>
  <si>
    <t>忍不住接了趟去空洞的活，复检时果然又被医生说了。这次更狠，说什么这根本不是我这个年纪的人该有的听力，再不注意的话2个月内绝对会聋…好吧好吧，真的得转行了…</t>
  </si>
  <si>
    <t>静听嘉音[3]</t>
  </si>
  <si>
    <t>该交代的都交代了，朋友们也都理解我的选择。接下来就普普通通地找个班上，过普通的日子吧。这下倒是有大把时间去听嘉音的演唱会了，也算是有舍有得。</t>
  </si>
  <si>
    <t>静听嘉音[4]</t>
  </si>
  <si>
    <t>在嘉音的签售会上认识了许多活泼的女孩，虽然我们年龄差了不少，但关于嘉音的话题怎么也聊不完。跟着她们体验了一把追着偶像的行程到处跑的感觉，和空洞的工作还挺像的呢…我们还约好了，有机会去她们租的公寓看看。</t>
  </si>
  <si>
    <t>静听嘉音[5]</t>
  </si>
  <si>
    <t>女孩们的公寓简陋，但收藏了不少很有意义甚至已绝版的嘉音海报和唱片。算是让我这个老粉大开眼界。但有一件事令我担忧…她们为了省钱，合租的地方离伴生空洞多发地带太近了。</t>
  </si>
  <si>
    <t>静听嘉音[6]</t>
  </si>
  <si>
    <t>她们邀请我去嘉音的演唱会，作为把她们从空洞中救出来的答谢。我高兴地答应了，在人山人海的演唱会上，和她们一起朝着嘉音挥手，唱啊，跳啊，虽然…虽然耳中一片寂静，但嘉音每一次动嘴唇时，我都能听到熟悉的歌声从心里迸发。</t>
  </si>
  <si>
    <t>ItemSuitAstralVoice_A.png</t>
  </si>
  <si>
    <t>ItemSuitAstralVoice_S.png</t>
  </si>
  <si>
    <t>如影相随[1]</t>
  </si>
  <si>
    <t>鸟鸣踩着树影上下翩翩
    花香搭着午风翻过窗沿
    阳光趁没人发现
    俯身端详稚嫩的颜面
    你睁不开眼，所以由我来描述
    这是我们初次相见</t>
  </si>
  <si>
    <t>ItemSuitShadow_B.png</t>
  </si>
  <si>
    <t>如影相随[2]</t>
  </si>
  <si>
    <t>魁梧的人伸手轻碰
    微笑的人温柔情深
    什么东西在搅拌幼小的梦
    是你的名字被不断轻哼
    你听不明白，所以由我来描述
    这一声声也是我的一生</t>
  </si>
  <si>
    <t>如影相随[3]</t>
  </si>
  <si>
    <t>即使嘲笑萦绕耳边
    我也模仿着你迈步向前
    摔倒的痛属于昨天
    不论将往何地要涉何险
    你还未开口，所以由我来描述
    我将跑在你身前直到永远</t>
  </si>
  <si>
    <t>如影相随[4]</t>
  </si>
  <si>
    <t>我总在无人时找你 
    那时的你最怕孤寂
    一同仰头看着路灯叹气
    却不曾低头鼓励影中的自己
    你从不留意，所以由我来描述
    无论你渴望像谁，影子始终像你</t>
  </si>
  <si>
    <t>如影相随[5]</t>
  </si>
  <si>
    <t>当你拿起头盔和武器
    我也用浓影包裹自己
    当你挥手与挚爱别离
    我也在灯下摇曳哭泣
    你执着于理想，所以由我来描述
    理想的自己未必像自己</t>
  </si>
  <si>
    <t>如影相随[6]</t>
  </si>
  <si>
    <t>你的理性逐渐剥落
    癫狂如我
    你的手臂扭曲壮硕
    危险如我
    你将自己封入光无法到达的暗渊，是连我也无法存在的牢槛
    你已看不见我，就由我来做最后的描述…
    当光芒再次照下，影子与你重连时
    不论已是何种模样，不论将遭怜爱，憎恨，孤立
    我们形影不离</t>
  </si>
  <si>
    <t>ItemSuitShadow_A.png</t>
  </si>
  <si>
    <t>ItemSuitShadow_S.png</t>
  </si>
  <si>
    <t>法厄同之歌[1]</t>
  </si>
  <si>
    <t>法厄同呀法厄同
    降临在空洞
    法厄同呀法厄同
    指引盗洞客
    法厄同呀法厄同
    绳匠的传奇！绳网的传奇！新艾利都的传奇！</t>
  </si>
  <si>
    <t>ItemSuitSavior_B.png</t>
  </si>
  <si>
    <t>法厄同之歌[2]</t>
  </si>
  <si>
    <t>绿色的眼睛射激光
    呼啦一下大楼全都融化啦
    黑白耳朵晃一晃
    听到空洞里的老鼠在搬家</t>
  </si>
  <si>
    <t>法厄同之歌[3]</t>
  </si>
  <si>
    <t>恶名以骸不听话
    抬起小腿一脚踢飞脑袋瓜
    哭泣女孩想回家
    举起小手一挥空洞开门啦</t>
  </si>
  <si>
    <t>法厄同之歌[4]</t>
  </si>
  <si>
    <t>抡动千斤大锤柄
    坏蛋连盔带甲砸成煎蛋饼
    扛起导弹发射筒
    恶徒飞出空洞挥手不用送</t>
  </si>
  <si>
    <t>法厄同之歌[5]</t>
  </si>
  <si>
    <t>法厄同大人，法厄同大人！
    红色的领巾随风飘扬！
    有谁不服气？有谁不服气？
    还有哪个以骸不服气？</t>
  </si>
  <si>
    <t>法厄同之歌[6]</t>
  </si>
  <si>
    <t>法厄同呀法厄同
    主宰新艾利都
    法厄同呀法厄同
    拯救盗洞客
    法厄同呀法厄同
    忠诚的绳匠，听你的指令！</t>
  </si>
  <si>
    <t>ItemSuitSavior_A.png</t>
  </si>
  <si>
    <t>ItemSuitSavior_S.png</t>
  </si>
  <si>
    <t>云岿如我[1]</t>
  </si>
  <si>
    <t>山峦是大地与大地拥抱的证明，
    云蔼是天空与山峦相逢的痕迹。</t>
  </si>
  <si>
    <t>ItemSuitYunkuiTales_B.png</t>
  </si>
  <si>
    <t>云岿如我[2]</t>
  </si>
  <si>
    <t>在群山萃聚之地茁长森林，
    在树木拥簇的光荫间哺养生命。</t>
  </si>
  <si>
    <t>云岿如我[3]</t>
  </si>
  <si>
    <t>烟火升腾，缠结流云。
    行旅向山陵深处，驻足穷谷。</t>
  </si>
  <si>
    <t>云岿如我[4]</t>
  </si>
  <si>
    <t>那堪黯晦绝此景，
    不忍山与月与云。</t>
  </si>
  <si>
    <t>云岿如我[5]</t>
  </si>
  <si>
    <t>风烟温软布奇术，
    青溟浩荡铸刀兵。</t>
  </si>
  <si>
    <t>云岿如我[6]</t>
  </si>
  <si>
    <t>莫念侠名，
    但愿薄命全此情。</t>
  </si>
  <si>
    <t>ItemSuitYunkuiTales_A.png</t>
  </si>
  <si>
    <t>ItemSuitYunkuiTales_S.png</t>
  </si>
  <si>
    <t>山大王[1]</t>
  </si>
  <si>
    <t>吼吼吼
    老虎大王上山丘
    小动物们都俯首
    齐声喊
    「大王大王好威风」</t>
  </si>
  <si>
    <t>ItemSuitKingoftheSummit_B.png</t>
  </si>
  <si>
    <t>山大王[2]</t>
  </si>
  <si>
    <t>嗷嗷嗷
    老虎大王下山头
    坏蛋们胆丧魂儿破
    忙告饶
    「好汉好汉收神通」</t>
  </si>
  <si>
    <t>山大王[3]</t>
  </si>
  <si>
    <t>嗷呜呜
    老虎大王心烦忧
    生得虎头又虎脑
    被当作小猫摸脑袋
    简直让大王把脸丢！</t>
  </si>
  <si>
    <t>山大王[4]</t>
  </si>
  <si>
    <t>呜噜噜
    起符结丹神通妙
    舞锤弄爪武艺高
    法力无边打妖怪
    三头六臂揍凶徒</t>
  </si>
  <si>
    <t>山大王[5]</t>
  </si>
  <si>
    <t>坑哧哧
    将军虎威傍身旁
    荡海拔山等闲事
    妙计连珠作锦囊
    右臂左膀助大王</t>
  </si>
  <si>
    <t>山大王[6]</t>
  </si>
  <si>
    <t>吼吼吼
    山大王 山大王
    作威作福山大王
    风云叱咤山大王
    神威盖世山大王！</t>
  </si>
  <si>
    <t>ItemSuitKingoftheSummit_A.png</t>
  </si>
  <si>
    <t>ItemSuitKingoftheSummit_S.png</t>
  </si>
  <si>
    <t>拂晓生花[1]</t>
  </si>
  <si>
    <t>「石缝里的小芽抬起头呀
    它在断梁里轻声哼哪
    是谁在断梁下，唱着
    歌儿比花蜜还甘甜」</t>
  </si>
  <si>
    <t>ItemSuitDawnsBloom_B.png</t>
  </si>
  <si>
    <t>拂晓生花[2]</t>
  </si>
  <si>
    <t>「石墙崩塌声渐远呀
    尘烟如幕盖住天
    地平线淹没大地
    可我们还有蓝天」</t>
  </si>
  <si>
    <t>拂晓生花[3]</t>
  </si>
  <si>
    <t>「天空小鸟在啼啾
    也想告诉你
    我衔来早春的种子哩
    黑夜再长也会亮哟」</t>
  </si>
  <si>
    <t>拂晓生花[4]</t>
  </si>
  <si>
    <t>「勇气是无言的风儿
    乘着我去往遥远之地
    那勇敢的人们啊
    能闻见黎明的芬芳」</t>
  </si>
  <si>
    <t>拂晓生花[5]</t>
  </si>
  <si>
    <t>「废墟里的小白花
    飘出整洁的玻璃房
    花瓣漫过新街角
    欢迎来到新世界呀」</t>
  </si>
  <si>
    <t>拂晓生花[6]</t>
  </si>
  <si>
    <t>「我想象世界的模样
    花朵春天与阳光
    童声仍在风中绕呀
    风中的花…永生的谣…」</t>
  </si>
  <si>
    <t>ItemSuitDawnsBloom_A.png</t>
  </si>
  <si>
    <t>ItemSuitDawnsBloom_S.png</t>
  </si>
  <si>
    <t>月光骑士颂[1]</t>
  </si>
  <si>
    <t>「月光小骑士，
    斗篷肩上飘」</t>
  </si>
  <si>
    <t>ItemSuitMoonlightLullaby_B.png</t>
  </si>
  <si>
    <t>月光骑士颂[2]</t>
  </si>
  <si>
    <t>「藤萝蔓里荡秋千，
    灌木丛里躲猫猫」</t>
  </si>
  <si>
    <t>月光骑士颂[3]</t>
  </si>
  <si>
    <t>「雾妖到，静悄悄，
    永眠的怀抱已来到」</t>
  </si>
  <si>
    <t>月光骑士颂[4]</t>
  </si>
  <si>
    <t>「小骑士，乘夜枭，
    挥魔杖就要来大闹！」</t>
  </si>
  <si>
    <t>月光骑士颂[5]</t>
  </si>
  <si>
    <t>「今夜谁都别睡着
    直到太阳当空照」</t>
  </si>
  <si>
    <t>月光骑士颂[6]</t>
  </si>
  <si>
    <t>「终于雾妖回树梢，
    骑士回家来睡觉」</t>
  </si>
  <si>
    <t>ItemSuitMoonlightLullaby_A.png</t>
  </si>
  <si>
    <t>ItemSuitMoonlightLullaby_S.png</t>
  </si>
  <si>
    <t>沧浪行歌[1]</t>
  </si>
  <si>
    <t>「少年振剑烟雨楼，纵马长歌未肯休。」</t>
  </si>
  <si>
    <t>ItemSuitWhiteWaterBallad_B.png</t>
  </si>
  <si>
    <t>沧浪行歌[2]</t>
  </si>
  <si>
    <t>「剑出星芒落惊鸿，青溟浩荡等闲游。」</t>
  </si>
  <si>
    <t>沧浪行歌[3]</t>
  </si>
  <si>
    <t>「中年意气随云散，执剑归隐入深松。」</t>
  </si>
  <si>
    <t>沧浪行歌[4]</t>
  </si>
  <si>
    <t>「身如逝水意将枯，故人迹绝万山重。」</t>
  </si>
  <si>
    <t>沧浪行歌[5]</t>
  </si>
  <si>
    <t>「死生皆作长歌吟，何必残躯记姓名？」</t>
  </si>
  <si>
    <t>沧浪行歌[6]</t>
  </si>
  <si>
    <t>「唯愿朝夕剑重鸣，再行万里斩晦暝。」</t>
  </si>
  <si>
    <t>ItemSuitWhiteWaterBallad_A.png</t>
  </si>
  <si>
    <t>ItemSuitWhiteWaterBallad_S.png</t>
  </si>
  <si>
    <t>流光咏叹[1]</t>
  </si>
  <si>
    <t>「踮起脚尖的重量 能在云朵之上
    逆着风的流向 触碰天空的弧光」
    「妄想起航！」</t>
  </si>
  <si>
    <t>ItemSuitShiningAria_B.png</t>
  </si>
  <si>
    <t>流光咏叹[2]</t>
  </si>
  <si>
    <t>「不够完美的梦想 掌心悄悄发烫
    相信总有一天 能传到你的身旁」
    「在你身旁！」</t>
  </si>
  <si>
    <t>流光咏叹[3]</t>
  </si>
  <si>
    <t>「练习室的镜面 映出我的倔强
    汗水浇灌的种子 终究会开出希望」
    「终将绽放！」</t>
  </si>
  <si>
    <t>流光咏叹[4]</t>
  </si>
  <si>
    <t>「即便此刻的声浪 还算不得响亮
    可这份心意也会成为天使的翅膀」</t>
  </si>
  <si>
    <t>流光咏叹[5]</t>
  </si>
  <si>
    <t>「当城市的霓虹 淹没所有喧响
    你会听见吗 会看见吗
    自妄想中新生的偶像」</t>
  </si>
  <si>
    <t>流光咏叹[6]</t>
  </si>
  <si>
    <t>「这不是终点站 是宣告存在的开场
    要开始了哦 属于我们的乐章」
    「妄想天使——天下第一！」
    「✧⁺⸜(●′▾‵●)⸝⁺✧」</t>
  </si>
  <si>
    <t>ItemSuitShiningAria_A.png</t>
  </si>
  <si>
    <t>ItemSuitShiningAria_S.png</t>
  </si>
  <si>
    <t>获得该型号邦布或进行邦布内核更新的凭证。</t>
  </si>
  <si>
    <t>摇摇，晃晃。冰冰，凉凉。</t>
  </si>
  <si>
    <t>IconBangbooPiece12.png</t>
  </si>
  <si>
    <t>放在柜台上的话，有点占地方呢。</t>
  </si>
  <si>
    <t>IconBangbooPiece11.png</t>
  </si>
  <si>
    <t>滴滴滴滴，是宝藏的信号，还是邦布电量不足？</t>
  </si>
  <si>
    <t>IconBangbooPiece06.png</t>
  </si>
  <si>
    <t>力士，绝不退后！</t>
  </si>
  <si>
    <t>IconBangbooPiece05.png</t>
  </si>
  <si>
    <t>它还是常常怀念着破壳而出的时刻。</t>
  </si>
  <si>
    <t>IconBangbooPiece04.png</t>
  </si>
  <si>
    <t>纸袋之下埋藏着可怕的过去…</t>
  </si>
  <si>
    <t>IconBangbooPiece01.png</t>
  </si>
  <si>
    <t>谁人知晓，少年邦布之烦恼。</t>
  </si>
  <si>
    <t>IconBangbooPiece02.png</t>
  </si>
  <si>
    <t>于蔬菜沙拉爱好者市场大获成功。</t>
  </si>
  <si>
    <t>IconBangbooPiece03.png</t>
  </si>
  <si>
    <t>正中靶心！</t>
  </si>
  <si>
    <t>IconBangbooPiece18.png</t>
  </si>
  <si>
    <t>噼啪噼啪，抚摸时请佩戴绝缘手套。</t>
  </si>
  <si>
    <t>IconBangbooPiece16.png</t>
  </si>
  <si>
    <t>依恋型人格焦虑，治疗方案：主人勿携带金属饰品。</t>
  </si>
  <si>
    <t>IconBangbooPiece22.png</t>
  </si>
  <si>
    <t>把握聊天的气氛是成为邦布社交达人的诀窍。</t>
  </si>
  <si>
    <t>IconBangbooPiece17.png</t>
  </si>
  <si>
    <t>别惹它…它发起脾气来，可不管你是人还是邦布</t>
  </si>
  <si>
    <t>IconBangbooPiece26.png</t>
  </si>
  <si>
    <t>疲劳值持续积累...嘀——已突破100！</t>
  </si>
  <si>
    <t>IconBangbooPiece31.png</t>
  </si>
  <si>
    <t>每天一万次心怀嗯呢的正拳！</t>
  </si>
  <si>
    <t>IconBangbooPiece27.png</t>
  </si>
  <si>
    <t>真正的国王只需圣剑加冕。</t>
  </si>
  <si>
    <t>IconBangbooPiece24.png</t>
  </si>
  <si>
    <t>我和我的小马，都可以弹跳加速！</t>
  </si>
  <si>
    <t>IconBangbooPiece28.png</t>
  </si>
  <si>
    <t>别赤脚踩到积木。</t>
  </si>
  <si>
    <t>出没于远洋及生鲜超市海产区。</t>
  </si>
  <si>
    <t>IconBangbooPiece07.png</t>
  </si>
  <si>
    <t>安全第一，嗯呢第二。</t>
  </si>
  <si>
    <t>IconBangbooPiece10.png</t>
  </si>
  <si>
    <t>比恶魔更能蛊惑人类的…只有恶魔邦布！</t>
  </si>
  <si>
    <t>IconBangbooPiece14.png</t>
  </si>
  <si>
    <t>完美的管家，完美的您。</t>
  </si>
  <si>
    <t>IconBangbooPiece09.png</t>
  </si>
  <si>
    <t>百万丁尼，积于邦布。</t>
  </si>
  <si>
    <t>IconBangbooPiece13.png</t>
  </si>
  <si>
    <t>本型号邦布百公里加速步数为迈腿十七次半。</t>
  </si>
  <si>
    <t>IconBangbooPiece15.png</t>
  </si>
  <si>
    <t>「哔哔哔…哔…哔哔」</t>
  </si>
  <si>
    <t>IconBangbooPiece21.png</t>
  </si>
  <si>
    <t>以太能量积蓄中</t>
  </si>
  <si>
    <t>IconBangbooPiece20.png</t>
  </si>
  <si>
    <t>「妄想天使」无限恒久永远激推！</t>
  </si>
  <si>
    <t>IconBangbooPiece39.png</t>
  </si>
  <si>
    <t>我在外环的越野路段上等着你！</t>
  </si>
  <si>
    <t>IconBangbooPiece25.png</t>
  </si>
  <si>
    <t>虽然本体是邦布，但比治安犬更具威慑力！</t>
  </si>
  <si>
    <t>IconBangbooPiece23.png</t>
  </si>
  <si>
    <t>今日运势：大吉！</t>
  </si>
  <si>
    <t>IconBangbooPiece19.png</t>
  </si>
  <si>
    <t>开门！安全检查！</t>
  </si>
  <si>
    <t>IconBangbooPiece29.png</t>
  </si>
  <si>
    <t>它的闪光灯只为真正的巨星闪烁。</t>
  </si>
  <si>
    <t>IconBangbooPiece30.png</t>
  </si>
  <si>
    <t>3——2——1！别眨眼！</t>
  </si>
  <si>
    <t>IconBangbooPiece32.png</t>
  </si>
  <si>
    <t>轻盈自在，正是武学奥义所在。</t>
  </si>
  <si>
    <t>IconBangbooPiece33.png</t>
  </si>
  <si>
    <t>以星耀之名，切换命运的轨迹！</t>
  </si>
  <si>
    <t>IconBangbooPiece34.png</t>
  </si>
  <si>
    <t>不想拿下军功的邦布不是好士兵。</t>
  </si>
  <si>
    <t>IconBangbooPiece35.png</t>
  </si>
  <si>
    <t>你我皆在镜头之下。</t>
  </si>
  <si>
    <t>IconBangbooPiece36.png</t>
  </si>
  <si>
    <t>别小看我们的羁绊啊！</t>
  </si>
  <si>
    <t>IconBangbooPiece38.png</t>
  </si>
  <si>
    <t>基础物理芯片</t>
  </si>
  <si>
    <t>可提升物理属性代理人的技能等级。</t>
  </si>
  <si>
    <t>用于训练物理攻击战术的模拟芯片，对于增强使用者的熟练度有一定帮助，适用于刚接触战术模拟芯片不久的入门者。</t>
  </si>
  <si>
    <t>AvatarSkillPhys01.png</t>
  </si>
  <si>
    <t>基础引燃芯片</t>
  </si>
  <si>
    <t>可提升火属性代理人的技能等级。</t>
  </si>
  <si>
    <t>用于训练火属性攻击战术的模拟芯片，对于增强使用者的熟练度有一定帮助，适用于刚接触战术模拟芯片不久的入门者。</t>
  </si>
  <si>
    <t>AvatarSkillFire01.png</t>
  </si>
  <si>
    <t>基础冰结芯片</t>
  </si>
  <si>
    <t>可提升冰属性代理人的技能等级。</t>
  </si>
  <si>
    <t>用于训练冰属性攻击战术的模拟芯片，对于增强使用者的熟练度有一定帮助，适用于刚接触战术模拟芯片不久的入门者。</t>
  </si>
  <si>
    <t>AvatarSkillIce01.png</t>
  </si>
  <si>
    <t>基础电击芯片</t>
  </si>
  <si>
    <t>可提升电属性代理人的技能等级。</t>
  </si>
  <si>
    <t>用于训练电属性攻击战术的模拟芯片，对于增强使用者的熟练度有一定帮助，适用于刚接触战术模拟芯片不久的入门者。</t>
  </si>
  <si>
    <t>AvatarSkillThunder01.png</t>
  </si>
  <si>
    <t>基础以太芯片</t>
  </si>
  <si>
    <t>可提升以太属性代理人的技能等级。</t>
  </si>
  <si>
    <t>用于训练以太属性攻击战术的模拟芯片，对于增强使用者的熟练度一定帮助，适用于刚接触战术模拟芯片不久的入门者。</t>
  </si>
  <si>
    <t>AvatarSkillEther01.png</t>
  </si>
  <si>
    <t>进阶物理芯片</t>
  </si>
  <si>
    <t>用于训练物理攻击战术的模拟芯片，只要勤加练习，即使在空洞外也能提升相关战术的熟练程度。</t>
  </si>
  <si>
    <t>AvatarSkillPhys02.png</t>
  </si>
  <si>
    <t>进阶引燃芯片</t>
  </si>
  <si>
    <t>用于训练火属性攻击战术的模拟芯片，只要勤加练习，即使在空洞外也能提升相关战术的熟练程度。</t>
  </si>
  <si>
    <t>AvatarSkillFire02.png</t>
  </si>
  <si>
    <t>进阶冰结芯片</t>
  </si>
  <si>
    <t>用于训练冰属性攻击战术的模拟芯片，只要勤加练习，即使在空洞外也能提升相关战术的熟练程度。</t>
  </si>
  <si>
    <t>AvatarSkillIce02.png</t>
  </si>
  <si>
    <t>进阶电击芯片</t>
  </si>
  <si>
    <t>用于训练电属性攻击战术的模拟芯片，只要勤加练习，即使在空洞外也能提升相关战术的熟练程度。</t>
  </si>
  <si>
    <t>AvatarSkillThunder02.png</t>
  </si>
  <si>
    <t>进阶以太芯片</t>
  </si>
  <si>
    <t>用于训练以太属性攻击战术的模拟芯片，只要勤加练习，即使在空洞外也能提升相关战术的熟练程度。</t>
  </si>
  <si>
    <t>AvatarSkillEther02.png</t>
  </si>
  <si>
    <t>特化物理芯片</t>
  </si>
  <si>
    <t>专门用于训练物理攻击战术的训练芯片，对于增强使用者的熟练度有很大帮助，毕竟去空洞里练手太危险了。</t>
  </si>
  <si>
    <t>RoleSkillExpPhysDmg01.png</t>
  </si>
  <si>
    <t>特化引燃芯片</t>
  </si>
  <si>
    <t>专门用于训练火属性攻击战术的训练芯片，对于增强使用者的熟练度有很大帮助，毕竟去空洞里练手太危险了。</t>
  </si>
  <si>
    <t>RoleSkillExpFire01.png</t>
  </si>
  <si>
    <t>特化冰结芯片</t>
  </si>
  <si>
    <t>专门用于训练冰属性攻击战术的训练芯片，对于增强使用者的熟练度有很大帮助，毕竟去空洞里练手太危险了。</t>
  </si>
  <si>
    <t>RoleSkillExpIce01.png</t>
  </si>
  <si>
    <t>特化电击芯片</t>
  </si>
  <si>
    <t>专门用于训练电属性攻击战术的训练芯片，对于增强使用者的熟练度有很大帮助，毕竟去空洞里练手太危险了。</t>
  </si>
  <si>
    <t>RoleSkillExpThunder01.png</t>
  </si>
  <si>
    <t>特化以太芯片</t>
  </si>
  <si>
    <t>专门用于训练以太属性攻击战术的训练芯片，对于增强使用者的熟练度有很大帮助，毕竟去空洞里练手太危险了。</t>
  </si>
  <si>
    <t>RoleSkillExpEther01.png</t>
  </si>
  <si>
    <t>初阶强攻认证章</t>
  </si>
  <si>
    <t>可将「强攻」专长代理人的等级上限提升至20级。</t>
  </si>
  <si>
    <t>常用来作为奖品颁发给擅长使用强攻战术的代理人，除了表示对其能力的认可之外，认证章本身也附着少量良性以太，对于提升代理人战斗能力有一定帮助。</t>
  </si>
  <si>
    <t>AvatarRankDamage01.png</t>
  </si>
  <si>
    <t>初阶击破认证章</t>
  </si>
  <si>
    <t>可将「击破」专长代理人的等级上限提升至20级。</t>
  </si>
  <si>
    <t>常用来作为奖品颁发给擅长使用击破战术的代理人，除了表示对其能力的认可之外，认证章本身也附着少量良性以太，对于提升代理人战斗能力有一定帮助。</t>
  </si>
  <si>
    <t>AvatarRankStun01.png</t>
  </si>
  <si>
    <t>初阶异常认证章</t>
  </si>
  <si>
    <t>可将「异常」专长代理人的等级上限提升至20级。</t>
  </si>
  <si>
    <t>常用来作为奖品颁发给擅长使用异常战术的代理人，除了表示对其能力的认可之外，认证章本身也附着少量良性以太，对于提升代理人战斗能力有一定帮助。</t>
  </si>
  <si>
    <t>AvatarRankBuff01.png</t>
  </si>
  <si>
    <t>初阶支援认证章</t>
  </si>
  <si>
    <t>可将「支援」专长代理人的等级上限提升至20级。</t>
  </si>
  <si>
    <t>常用来作为奖品颁发给擅长使用支援战术的代理人，除了表示对其能力的认可之外，认证章本身也附着少量良性以太，对于提升代理人战斗能力有一定帮助。</t>
  </si>
  <si>
    <t>AvatarRankSupport01.png</t>
  </si>
  <si>
    <t>初阶防护认证章</t>
  </si>
  <si>
    <t>可将「防护」专长代理人的等级上限提升至20级。</t>
  </si>
  <si>
    <t>常用来作为奖品颁发给擅长使用防护战术的代理人，除了表示对其能力的认可之外，认证章本身也附着少量良性以太，对于提升代理人战斗能力有一定帮助。</t>
  </si>
  <si>
    <t>AvatarRankShield01.png</t>
  </si>
  <si>
    <t>初阶命破认证章</t>
  </si>
  <si>
    <t>可将「命破」专长代理人的等级上限提升至20级。</t>
  </si>
  <si>
    <t>常用来作为奖品颁发给擅长使用命破战术的代理人，除了表示对其能力的认可之外，认证章本身也附着少量良性以太，对于提升代理人战斗能力有一定帮助。</t>
  </si>
  <si>
    <t>AvatarRankRuin01.png</t>
  </si>
  <si>
    <t>高阶强攻认证章</t>
  </si>
  <si>
    <t>可将「强攻」专长代理人的等级上限提升至40级。</t>
  </si>
  <si>
    <t>不论在调查员还是盗洞客眼里，这个认证章都表示持有者拥有丰富的强攻类型战斗经验。认证章本身也附着少量良性以太，对于提升代理人战斗能力有一定帮助。</t>
  </si>
  <si>
    <t>AvatarRankDamage02.png</t>
  </si>
  <si>
    <t>高阶击破认证章</t>
  </si>
  <si>
    <t>可将「击破」专长代理人的等级上限提升至40级。</t>
  </si>
  <si>
    <t>不论在调查员还是盗洞客眼里，这个认证章都表示持有者拥有丰富的击破类型战斗经验。认证章本身也附着少量良性以太，对于提升代理人战斗能力有一定帮助。</t>
  </si>
  <si>
    <t>AvatarRankStun02.png</t>
  </si>
  <si>
    <t>高阶异常认证章</t>
  </si>
  <si>
    <t>可将「异常」专长代理人的等级上限提升至40级。</t>
  </si>
  <si>
    <t>不论在调查员还是盗洞客眼里，这个认证章都表示持有者拥有丰富的异常类型战斗经验。认证章本身也附着少量良性以太，对于提升代理人战斗能力有一定帮助。</t>
  </si>
  <si>
    <t>AvatarRankBuff02.png</t>
  </si>
  <si>
    <t>高阶支援认证章</t>
  </si>
  <si>
    <t>可将「支援」专长代理人的等级上限提升至40级。</t>
  </si>
  <si>
    <t>不论在调查员还是盗洞客眼里，这个认证章都表示持有者拥有丰富的支援类型战斗经验。认证章本身也附着少量良性以太，对于提升代理人战斗能力有一定帮助。</t>
  </si>
  <si>
    <t>AvatarRankSupport02.png</t>
  </si>
  <si>
    <t>高阶防护认证章</t>
  </si>
  <si>
    <t>可将「防护」专长代理人的等级上限提升至40级。</t>
  </si>
  <si>
    <t>不论在调查员还是盗洞客眼里，这个认证章都表示持有者拥有丰富的防护类型战斗经验。认证章本身也附着少量良性以太，对于提升代理人战斗能力有一定帮助。</t>
  </si>
  <si>
    <t>AvatarRankShield02.png</t>
  </si>
  <si>
    <t>高阶命破认证章</t>
  </si>
  <si>
    <t>可将「命破」专长代理人的等级上限提升至40级。</t>
  </si>
  <si>
    <t>不论在调查员还是盗洞客眼里，这个认证章都表示持有者拥有丰富的命破类型战斗经验。认证章本身也附着少量良性以太，对于提升代理人战斗能力有一定帮助。</t>
  </si>
  <si>
    <t>AvatarRankRuin02.png</t>
  </si>
  <si>
    <t>先行者认证章</t>
  </si>
  <si>
    <t>可将「强攻」专长代理人的等级上限提升至60级。</t>
  </si>
  <si>
    <t>在强攻战术领域中的佼佼者才有资格获得的认证章。认证章本身也附着少量良性以太，对于提升代理人战斗能力有一定帮助。</t>
  </si>
  <si>
    <t>AvatarRankDamage03.png</t>
  </si>
  <si>
    <t>破阵者认证章</t>
  </si>
  <si>
    <t>可将「击破」专长代理人的等级上限提升至60级。</t>
  </si>
  <si>
    <t>在击破战术领域中的佼佼者才有资格获得的认证章。认证章本身也附着少量良性以太，对于提升代理人战斗能力有一定帮助。</t>
  </si>
  <si>
    <t>AvatarRankStun03.png</t>
  </si>
  <si>
    <t>掌控者认证章</t>
  </si>
  <si>
    <t>可将「异常」专长代理人的等级上限提升至60级。</t>
  </si>
  <si>
    <t>在异常战术领域中的佼佼者才有资格获得的认证章。认证章本身也附着少量良性以太，对于提升代理人战斗能力有一定帮助。</t>
  </si>
  <si>
    <t>AvatarRankBuff03.png</t>
  </si>
  <si>
    <t>统御者认证章</t>
  </si>
  <si>
    <t>可将「支援」专长代理人的等级上限提升至60级。</t>
  </si>
  <si>
    <t>在支援战术领域中的佼佼者才有资格获得的认证章。认证章本身也附着少量良性以太，对于提升代理人战斗能力有一定帮助。</t>
  </si>
  <si>
    <t>AvatarRankSupport03.png</t>
  </si>
  <si>
    <t>捍卫者认证章</t>
  </si>
  <si>
    <t>可将「防护」专长代理人的等级上限提升至60级。</t>
  </si>
  <si>
    <t>在防护战术领域中的佼佼者才有资格获得的认证章。认证章本身也附着少量良性以太，对于提升代理人战斗能力有一定帮助。</t>
  </si>
  <si>
    <t>AvatarRankShield03.png</t>
  </si>
  <si>
    <t>裁决者认证章</t>
  </si>
  <si>
    <t>可将「命破」专长代理人的等级上限提升至60级。</t>
  </si>
  <si>
    <t>在命破战术领域中的佼佼者才有资格获得的认证章。认证章本身也附着少量良性以太，对于提升代理人战斗能力有一定帮助。</t>
  </si>
  <si>
    <t>AvatarRankRuin03.png</t>
  </si>
  <si>
    <t>「仓鼠笼」访问器</t>
  </si>
  <si>
    <t>代理人提升高级技能等级时所需的珍贵物品。</t>
  </si>
  <si>
    <t>嵌有一次性访问芯片的精致戒指，可以进入名为「仓鼠笼」的顶级私人模拟训练室。训练室内对于战斗环境模拟的专业程度远超个人VR，不逊于空洞调查协会内部配置最好的模拟训练室。</t>
  </si>
  <si>
    <t>UltimateSkill.png</t>
  </si>
  <si>
    <t>调律校音器</t>
  </si>
  <si>
    <t>在音像店进行高级调律时，可指定驱动盘的主属性。</t>
  </si>
  <si>
    <t>存有特殊以太的调律辅助装置，能提升驱动调律时的准确度与精密度，在完成制作的同时，存储在其中的以太也会深深留在驱动盘的纹路中。</t>
  </si>
  <si>
    <t>EquipChoose.png</t>
  </si>
  <si>
    <t>玛瑟尔改装原件</t>
  </si>
  <si>
    <t>可以用来改装任意邦布1次。</t>
  </si>
  <si>
    <t>玛瑟尔公司荣耀出品，神秘学爱好者称其为「罐装邦布灵魂」；无论您青睐哪款邦布，这款改装原件都能让它性能大增。</t>
  </si>
  <si>
    <t>UltimateRank.png</t>
  </si>
  <si>
    <t>谐振核心仪</t>
  </si>
  <si>
    <t>在音像店进行高级调律时，可指定驱动盘的副属性。</t>
  </si>
  <si>
    <t>存有特殊以太的调律辅助装置，可与驱动盘形成精准谐振，以此提升调律结果的准确度，在空洞调查员与绳匠中都广受好评。</t>
  </si>
  <si>
    <t>EquipChoose02.png</t>
  </si>
  <si>
    <t>强攻组件</t>
  </si>
  <si>
    <t>可将「强攻」型音擎的等级上限提升至20级。</t>
  </si>
  <si>
    <t>以特型金属材料制成的音擎组件，有不错的能量转化效率，可为「强攻」型音擎提供充足的动力支撑。</t>
  </si>
  <si>
    <t>WeaponRankDamage01.png</t>
  </si>
  <si>
    <t>击破组件</t>
  </si>
  <si>
    <t>可将「击破」型音擎的等级上限提升至20级。</t>
  </si>
  <si>
    <t>以特型金属材料制成的音擎组件，有不错的能量转化效率，可为「击破」型音擎提供充足的动力支撑。</t>
  </si>
  <si>
    <t>WeaponRankStun01.png</t>
  </si>
  <si>
    <t>异常组件</t>
  </si>
  <si>
    <t>可将「异常」型音擎的等级上限提升至20级。</t>
  </si>
  <si>
    <t>以特型金属材料制成的音擎组件，有不错的能量转化效率，可为「异常」型音擎提供充足的动力支撑。</t>
  </si>
  <si>
    <t>WeaponRankBuff01.png</t>
  </si>
  <si>
    <t>支援组件</t>
  </si>
  <si>
    <t>可将「支援」型音擎的等级上限提升至20级。</t>
  </si>
  <si>
    <t>以特型金属材料制成的音擎组件，有不错的能量转化效率，可为「支援」型音擎提供充足的动力支撑。</t>
  </si>
  <si>
    <t>WeaponRankSupport01.png</t>
  </si>
  <si>
    <t>防护组件</t>
  </si>
  <si>
    <t>可将「防护」型音擎的等级上限提升至20级。</t>
  </si>
  <si>
    <t>以特型金属材料制成的音擎组件，有不错的能量转化效率，可为「防护」型音擎提供充足的动力支撑。</t>
  </si>
  <si>
    <t>WeaponRankShield01.png</t>
  </si>
  <si>
    <t>命破组件</t>
  </si>
  <si>
    <t>可将「命破」型音擎的等级上限提升至20级。</t>
  </si>
  <si>
    <t>以特型金属材料制成的音擎组件，有不错的能量转化效率，可为「命破」型音擎提供充足的动力支撑。</t>
  </si>
  <si>
    <t>WeaponRankRuin01.png</t>
  </si>
  <si>
    <t>增强型强攻组件</t>
  </si>
  <si>
    <t>可将「强攻」型音擎的等级上限提升至40级。</t>
  </si>
  <si>
    <t>以特殊工艺制作而成的增强型音擎组件，拥有优异的能量转化效率，可显著减少「强攻」型音擎能量转换时的损耗。</t>
  </si>
  <si>
    <t>WeaponRankDamage02.png</t>
  </si>
  <si>
    <t>增强型击破组件</t>
  </si>
  <si>
    <t>可将「击破」型音擎的等级上限提升至40级。</t>
  </si>
  <si>
    <t>以特殊工艺制作而成的增强型音擎组件，拥有优异的能量转化效率，可显著减少「击破」型音擎能量转换时的损耗。</t>
  </si>
  <si>
    <t>WeaponRankStun02.png</t>
  </si>
  <si>
    <t>增强型异常组件</t>
  </si>
  <si>
    <t>可将「异常」型音擎的等级上限提升至40级。</t>
  </si>
  <si>
    <t>以特殊工艺制作而成的增强型音擎组件，拥有优异的能量转化效率，可显著减少「异常」型音擎能量转换时的损耗。</t>
  </si>
  <si>
    <t>WeaponRankBuff02.png</t>
  </si>
  <si>
    <t>增强型支援组件</t>
  </si>
  <si>
    <t>可将「支援」型音擎的等级上限提升至40级。</t>
  </si>
  <si>
    <t>以特殊工艺制作而成的增强型音擎组件，拥有优异的能量转化效率，可显著减少「支援」型音擎能量转换时的损耗。</t>
  </si>
  <si>
    <t>WeaponRankSupport02.png</t>
  </si>
  <si>
    <t>增强型防护组件</t>
  </si>
  <si>
    <t>可将「防护」型音擎的等级上限提升至40级。</t>
  </si>
  <si>
    <t>以特殊工艺制作而成的增强型音擎组件，拥有优异的能量转化效率，可显著减少「防护」型音擎能量转换时的损耗。</t>
  </si>
  <si>
    <t>WeaponRankShield02.png</t>
  </si>
  <si>
    <t>增强型命破组件</t>
  </si>
  <si>
    <t>可将「命破」型音擎的等级上限提升至40级。</t>
  </si>
  <si>
    <t>以特殊工艺制作而成的增强型音擎组件，拥有优异的能量转化效率，可显著减少「命破」型音擎能量转换时的损耗。</t>
  </si>
  <si>
    <t>WeaponRankRuin02.png</t>
  </si>
  <si>
    <t>特化型强攻组件</t>
  </si>
  <si>
    <t>可将「强攻」型音擎的等级上限提升至60级。</t>
  </si>
  <si>
    <t>利用复合以太材料制成的特化型音擎组件，能根据音频波段调节频率，在各种复杂环境中与以太产生共鸣，让「强攻」型音擎保持稳定优异的功率输出。</t>
  </si>
  <si>
    <t>WeaponRankDamage03.png</t>
  </si>
  <si>
    <t>特化型击破组件</t>
  </si>
  <si>
    <t>可将「击破」型音擎的等级上限提升至60级。</t>
  </si>
  <si>
    <t>利用复合以太材料制成的特化型音擎组件，能根据音频波段调节频率，在各种复杂环境中与以太产生共鸣，让「击破」型音擎保持稳定优异的功率输出。</t>
  </si>
  <si>
    <t>WeaponRankStun03.png</t>
  </si>
  <si>
    <t>特化型异常组件</t>
  </si>
  <si>
    <t>可将「异常」型音擎的等级上限提升至60级。</t>
  </si>
  <si>
    <t>利用复合以太材料制成的特化型音擎组件，能根据音频波段调节频率，在各种复杂环境中与以太产生共鸣，让「异常」型音擎保持稳定优异的功率输出。</t>
  </si>
  <si>
    <t>WeaponRankBuff03.png</t>
  </si>
  <si>
    <t>特化型支援组件</t>
  </si>
  <si>
    <t>可将「支援」型音擎的等级上限提升至60级。</t>
  </si>
  <si>
    <t>利用复合以太材料制成的特化型音擎组件，能根据音频波段调节频率，在各种复杂环境中与以太产生共鸣，让「支援」型音擎保持稳定优异的功率输出。</t>
  </si>
  <si>
    <t>WeaponRankSupport03.png</t>
  </si>
  <si>
    <t>特化型防护组件</t>
  </si>
  <si>
    <t>可将「防护」型音擎的等级上限提升至60级。</t>
  </si>
  <si>
    <t>利用复合以太材料制成的特化型音擎组件，能根据音频波段调节频率，在各种复杂环境中与以太产生共鸣，让「防护」型音擎保持稳定优异的功率输出。</t>
  </si>
  <si>
    <t>WeaponRankShield03.png</t>
  </si>
  <si>
    <t>特化型命破组件</t>
  </si>
  <si>
    <t>可将「命破」型音擎的等级上限提升至60级。</t>
  </si>
  <si>
    <t>利用复合以太材料制成的特化型音擎组件，能根据音频波段调节频率，在各种复杂环境中与以太产生共鸣，让「命破」型音擎保持稳定优异的功率输出。</t>
  </si>
  <si>
    <t>WeaponRankRuin03.png</t>
  </si>
  <si>
    <t>以太电解液</t>
  </si>
  <si>
    <t>可将邦布的等级上限提升至20级。</t>
  </si>
  <si>
    <t>含有以太物质的电解液，拥有极高的储能效率，可为邦布提供持久动力。</t>
  </si>
  <si>
    <t>BangbooBreakthrough01.png</t>
  </si>
  <si>
    <t>能量循环液</t>
  </si>
  <si>
    <t>可将邦布的等级上限提升至40级。</t>
  </si>
  <si>
    <t>邦布用的特型能量循环液，可有效减少能量耗散，提升邦布的能量利用效率。</t>
  </si>
  <si>
    <t>BangbooBreakthrough02.png</t>
  </si>
  <si>
    <t>浓缩型冷却液</t>
  </si>
  <si>
    <t>可将邦布的等级上限提升至60级。</t>
  </si>
  <si>
    <t>高浓缩的邦布冷却液，内含有部分惰性以太成分，能够使邦布在高功率运转下，核心部件的温度依旧能保持恒定。</t>
  </si>
  <si>
    <t>BangbooBreakthrough03.png</t>
  </si>
  <si>
    <t>音质增强母盘</t>
  </si>
  <si>
    <t>可用于音像店的初级调律。</t>
  </si>
  <si>
    <t>这小小的母盘即是一切梦想的源头，不论关于音乐，还是关于空洞。</t>
  </si>
  <si>
    <t>EquipExp02.png</t>
  </si>
  <si>
    <t>降噪处理母盘</t>
  </si>
  <si>
    <t>可用于音像店达到2级时解锁的中级调律。</t>
  </si>
  <si>
    <t>经过特殊处理的母盘，能提升以太刻录技术的最终效果。</t>
  </si>
  <si>
    <t>EquipExp03.png</t>
  </si>
  <si>
    <t>高保真母盘</t>
  </si>
  <si>
    <t>可用于音像店达到3级时解锁的高级调律。</t>
  </si>
  <si>
    <t>对于空洞探索者来说，这是用于驱动调律的最佳素材。对于音乐爱好者来说…这样做简直是暴殄天物！</t>
  </si>
  <si>
    <t>EquipExp04.png</t>
  </si>
  <si>
    <t>初铸勋章</t>
  </si>
  <si>
    <t>[代理人突破通用道具]可在认证章不足时替代使用。不同稀有度认证章所需的初铸勋章替代比例不同。</t>
  </si>
  <si>
    <t>以较为简单的铸造工艺初步处理过的勋章，其低调的风格和哑光的质感受到了诸多代理人的青睐。</t>
  </si>
  <si>
    <t>Item_SpecialMaterial_Avatar.png</t>
  </si>
  <si>
    <t>通用组件</t>
  </si>
  <si>
    <t>[音擎突破通用道具]可在音擎组件不足时替代使用。不同稀有度音擎组件所需的通用组件替代比例不同。</t>
  </si>
  <si>
    <t>流传于音擎发烧友之间的神秘传说，这个看似平平无奇的小玩意儿总能成为提升音质的神来之笔。</t>
  </si>
  <si>
    <t>Item_SpecialMaterial_Weapon.png</t>
  </si>
  <si>
    <t>原装芯片</t>
  </si>
  <si>
    <t>[技能升级通用道具]可在战术芯片不足时替代使用。不同稀有度战术芯片所需的原装芯片替代比例不同。</t>
  </si>
  <si>
    <t>还未经过光刻和沉积的原装芯片，其超大内存正等待装载训练数据，以帮助代理人精研战术。</t>
  </si>
  <si>
    <t>Item_SpecialMaterial_Skill.png</t>
  </si>
  <si>
    <t>腥风之握</t>
  </si>
  <si>
    <t>提升代理人高等级核心技所需的重要物品。</t>
  </si>
  <si>
    <t>以一种稀有形态留存下来的以太凝结物，取自「死路屠夫」。即使已支离破碎，也依旧保持着想要抓住什么东西的形态。</t>
  </si>
  <si>
    <t>活态驱动</t>
  </si>
  <si>
    <t>以一种稀有形态留存下来的以太凝结物，取自「未知复合侵蚀体」。看起来只是一个普通的关节部件，却如有意识般不断活动着，像是仍在试图驱使某个庞然大物狂舞起来。</t>
  </si>
  <si>
    <t>终幕舞鞋</t>
  </si>
  <si>
    <t>以一种稀有形态留存下来的以太凝结物，取自「冥宁芙·双子」。只是看一眼也能感受到从中散发出的孤高与敌意。万物迎来终幕，空洞只余彼此。</t>
  </si>
  <si>
    <t>猩红引擎</t>
  </si>
  <si>
    <t>以一种稀有形态留存下来的以太凝结物，取自「霸主侵蚀体·庞培」。虽然看似只是一个破碎的部件，但其中饱含的澎湃以太动力似乎在时刻隆隆作响。</t>
  </si>
  <si>
    <t>狂信之塑</t>
  </si>
  <si>
    <t>以一种稀有形态留存下来的以太凝结物，取自「『牲鬼』布林格」。无法解释，禁止追溯。以太以离奇的形态呈现，嗫嚅着向一切渴望它的人描绘贪欲的终局。</t>
  </si>
  <si>
    <t>塑炼遗蜕</t>
  </si>
  <si>
    <t>以一种稀有形态留存下来的以太凝结物，取自「秽息司祭」。掌控驱使秽息之力者的遗蜕，令人作呕的污秽萌芽仍在其上涌动生发，如同扭曲不灭的某种信仰。</t>
  </si>
  <si>
    <t>秽红晶刺</t>
  </si>
  <si>
    <t>以一种稀有形态留存下来的以太凝结物，取自「侵蚀体·彷徨猎手」。尖刺状结晶物，颜色如同秽息般不祥的红。但从中却感受不到任何强烈的波动，只有如结晶般牢固的执着。</t>
  </si>
  <si>
    <t>浊纹晶质</t>
  </si>
  <si>
    <t>以一种稀有形态留存下来的以太凝结物，取自受魇缚者役使的巨兽「索贝克」。不可名状的某种结晶物质，附着其上的污浊纹路仿佛在向得到它的人低语深渊之下的诡事。</t>
  </si>
  <si>
    <t>高维数据：凶刑讣告</t>
  </si>
  <si>
    <t>提升代理人核心技等级所需的物品。</t>
  </si>
  <si>
    <t>以大量调查员与「恶名·杜拉罕」的作战记录为基础所建立起的数据模型，其中还加入了调查员们对它最深刻的印象评价。有了这些数据，就足以使其「诞生并存活」于VR之中。</t>
  </si>
  <si>
    <t>高维数据：殷红震慑</t>
  </si>
  <si>
    <t>以大量调查员与「祸首·通缉打手」的作战记录为基础所建立起的数据模型，其中还加入了调查员们对它最深刻的印象评价。有了这些数据，就足以使其「诞生并存活」于VR之中。</t>
  </si>
  <si>
    <t>高维数据：追袭骸影</t>
  </si>
  <si>
    <t>以大量调查员与「恶名·装甲哈提」的作战记录为基础所建立起的数据模型，其中还加入了调查员们对它最深刻的印象评价。有了这些数据，就足以使其「诞生并存活」于VR之中。</t>
  </si>
  <si>
    <t>高维数据：钢铁恶意</t>
  </si>
  <si>
    <t>以大量调查员与「汉斯·蓄能型」的作战记录为基础所建立起的数据模型，其中还加入了调查员们对它最深刻的印象评价。有了这些数据，就足以使其「诞生并存活」于VR之中。</t>
  </si>
  <si>
    <t>高维数据：毁荡突进</t>
  </si>
  <si>
    <t>以大量调查员与「提丰·重击者型」的作战记录为基础所建立起的数据模型，其中还加入了调查员们对它最深刻的印象评价。有了这些数据，就足以使其「诞生并存活」于VR之中。</t>
  </si>
  <si>
    <t>高维数据：拳坠如陨</t>
  </si>
  <si>
    <t>以大量调查员与「盗洞暴徒·蛮横力士」的作战记录为基础所建立起的数据模型，其中还加入了调查员们对它最深刻的印象评价。有了这些数据，就足以使其「诞生并存活」于VR之中。</t>
  </si>
  <si>
    <t>高维数据：潜袭魅影</t>
  </si>
  <si>
    <t>以大量调查员与「多佩冈亚·简」的作战记录为基础所建立起的数据模型，其中还加入了调查员们对它最深刻的印象评价。有了这些数据，就足以使其「诞生并存活」于VR之中。</t>
  </si>
  <si>
    <t>高维数据：游鳞雷动</t>
  </si>
  <si>
    <t>以大量调查员与「色雷斯人」的作战记录为基础所建立起的数据模型，其中还加入了调查员们对它最深刻的印象评价。有了这些数据，就足以使其「诞生并存活」于VR之中。</t>
  </si>
  <si>
    <t>高维数据：索命切割</t>
  </si>
  <si>
    <t>以大量调查员与「自律战术单位·『伐木机』」的作战记录为基础所建立起的数据模型，其中还加入了调查员们对它最深刻的印象评价。有了这些数据，就足以使其「诞生并存活」于VR之中。</t>
  </si>
  <si>
    <t>高维数据：鞘翅秽种</t>
  </si>
  <si>
    <t>以大量调查员与「阿瓦鲁斯」的作战记录为基础所建立起的数据模型，其中还加入了调查员们对它最深刻的印象评价。有了这些数据，就足以使其「诞生并存活」于VR之中。</t>
  </si>
  <si>
    <t>高维数据：诡运毒锋</t>
  </si>
  <si>
    <t>以大量调查员与「牲鬼·凶魁愚者」的作战记录为基础所建立起的数据模型，其中还加入了调查员们对它最深刻的印象评价。有了这些数据，就足以使其「诞生并存活」于VR之中。</t>
  </si>
  <si>
    <t>高维数据：蚀梦残铁</t>
  </si>
  <si>
    <t>以大量调查员与「秽蚀·多佩冈亚·狛野真斗」的作战记录为基础所建立起的数据模型，其中还加入了调查员们对它最深刻的印象评价。有了这些数据，就足以使其「诞生并存活」于VR之中。</t>
  </si>
  <si>
    <t>高维数据：淬刺蚀芯</t>
  </si>
  <si>
    <t>以大量调查员与「秽息行者·蝎骸」的作战记录为基础所建立起的数据模型，其中还加入了调查员们对它最深刻的印象评价。有了这些数据，就足以使其「诞生并存活」于VR之中。</t>
  </si>
  <si>
    <t>高维数据：喋血秽羽</t>
  </si>
  <si>
    <t>以大量调查员与「牲鬼·卫律使者」的作战记录为基础所建立起的数据模型，其中还加入了调查员们对它最深刻的印象评价。有了这些数据，就足以使其「诞生并存活」于VR之中。</t>
  </si>
  <si>
    <t>邦布能源插件</t>
  </si>
  <si>
    <t>可用于提升随便观派驻邦布的等级</t>
  </si>
  <si>
    <t>续航特化的选用配件，能够分配储能液，高效管理邦布各功能模块能源占用的芯片，极大缓解能耗较高的邦布常见的模块过载问题。</t>
  </si>
  <si>
    <t>SuibianBooUpgradePlugin.png</t>
  </si>
  <si>
    <t>枯萎脉晶·天青</t>
  </si>
  <si>
    <t>学会用于研究「作战机略」的样本。是从枯萎病患体以骸中析出的根脉代谢物，有特殊的以太活性。</t>
  </si>
  <si>
    <t>花朵的盛开是以患体的枯萎为代价，荣枯间此消彼长的交替最终凝结出的子实，便是这结晶体。</t>
  </si>
  <si>
    <t>AbyssWitheredMaterial03.png</t>
  </si>
  <si>
    <t>枯萎脉晶·玄黄</t>
  </si>
  <si>
    <t>AbyssWitheredMaterial01.png</t>
  </si>
  <si>
    <t>枯萎脉晶·矾红</t>
  </si>
  <si>
    <t>AbyssWitheredMaterial02.png</t>
  </si>
  <si>
    <t>阴影结晶</t>
  </si>
  <si>
    <t>在零号空洞中发现的异常以太结晶，可提升代理人的作战潜能。</t>
  </si>
  <si>
    <t>在空洞内收集到的特殊以太晶体，似乎与空洞深处的阴影遥相呼应。把它应用于装备上，可更好地发挥代理人作战潜能。</t>
  </si>
  <si>
    <t>AbyssWitheredMaterial05.png</t>
  </si>
  <si>
    <t>斑驳以太微粒</t>
  </si>
  <si>
    <t>在零号空洞中与强敌战斗后收集的以太微粒，可以解锁武备或战术棱镜方案。</t>
  </si>
  <si>
    <t>在空洞中收集到的以太微粒，蕴含着足够强大的能量。经过加工处理之后可以成为各种武备的驱动能源。</t>
  </si>
  <si>
    <t>AbyssRelicUnlockCoin.png</t>
  </si>
  <si>
    <t>绯红晶丝</t>
  </si>
  <si>
    <t>在琶音大断层发现的特殊以太物质样本，呈纤维状，强度惊人，具有极高的研究价值。</t>
  </si>
  <si>
    <t>被封固在以太晶体中的晶莹丝线，即使已经破碎，也足以割伤脆弱的命运。</t>
  </si>
  <si>
    <t>AbyssWitheredMaterial04.png</t>
  </si>
  <si>
    <t>1级生命值回复药</t>
  </si>
  <si>
    <t>回复当前角色1%生命值。</t>
  </si>
  <si>
    <t>Recovery.png</t>
  </si>
  <si>
    <t>2级生命值回复药</t>
  </si>
  <si>
    <t>回复当前角色5%生命值。</t>
  </si>
  <si>
    <t>3级生命值回复药</t>
  </si>
  <si>
    <t>回复当前角色10%生命值。</t>
  </si>
  <si>
    <t>回复所有角色20%生命值。</t>
  </si>
  <si>
    <t>4级生命值回复药</t>
  </si>
  <si>
    <t>回复当前角色50%生命值。</t>
  </si>
  <si>
    <t>1级能量回复药</t>
  </si>
  <si>
    <t>回复当前角色1%能量值。</t>
  </si>
  <si>
    <t>Analeptic.png</t>
  </si>
  <si>
    <t>2级能量回复药</t>
  </si>
  <si>
    <t>回复当前角色5%能量值。</t>
  </si>
  <si>
    <t>3级能量回复药</t>
  </si>
  <si>
    <t>回复当前角色10%能量值。</t>
  </si>
  <si>
    <t>4级能量回复药</t>
  </si>
  <si>
    <t>回复当前角色50%能量值。</t>
  </si>
  <si>
    <t>小卡格车内可能包含丁尼、材料道具或菲林等奖励。</t>
  </si>
  <si>
    <t>小卡格车——你坚实的后盾：空洞调查协会的通用后勤运输装置，配送各类物资，以支援采掘以太资源的调查员。有时走失的小卡格车也会便宜那些来空洞中拾荒探宝的盗洞客。
    如果你遇到走失的小卡格车，请随意尽情取用里面的物资。小卡格车…是不会反抗的…</t>
  </si>
  <si>
    <t>路线引导能量回复药</t>
  </si>
  <si>
    <t>损失生命值</t>
  </si>
  <si>
    <t>全体代理人损失5%生命值。</t>
  </si>
  <si>
    <t>TurntableItem_01.png</t>
  </si>
  <si>
    <t>全体代理人损失10%生命值。</t>
  </si>
  <si>
    <t>全体代理人损失15%生命值。</t>
  </si>
  <si>
    <t>全体代理人损失20%生命值。</t>
  </si>
  <si>
    <t>全体代理人损失30%生命值。</t>
  </si>
  <si>
    <t>全体代理人损失40%生命值。</t>
  </si>
  <si>
    <t>全体代理人损失50%生命值。</t>
  </si>
  <si>
    <t>1级生命值回复合剂</t>
  </si>
  <si>
    <t>回复全队{5*(1+0.01*sceneproperty(HollowHpRecover_Ratio))}%生命值。</t>
  </si>
  <si>
    <t>IconHPRecover.png</t>
  </si>
  <si>
    <t>回复剂（小)</t>
  </si>
  <si>
    <t>回复全队{10*(1+0.01*sceneproperty(HollowHpRecover_Ratio))}%生命值。</t>
  </si>
  <si>
    <t>回复剂（中）</t>
  </si>
  <si>
    <t>回复全队{20*(1+0.01*sceneproperty(HollowHpRecover_Ratio))}%生命值。</t>
  </si>
  <si>
    <t>回复剂（大）</t>
  </si>
  <si>
    <t>回复全队{50*(1+0.01*sceneproperty(HollowHpRecover_Ratio))}%生命值。</t>
  </si>
  <si>
    <t>未知机关</t>
  </si>
  <si>
    <t>"Hollow政府军遗留的机关。" 全队损失10%当前生命值。</t>
  </si>
  <si>
    <t>TrapTest.png</t>
  </si>
  <si>
    <t>强化机关</t>
  </si>
  <si>
    <t>"Hollow政府军遗留的可怕机关。" 全队损失15%当前生命值。</t>
  </si>
  <si>
    <t>1级能量回复合剂</t>
  </si>
  <si>
    <t>回复全队5%能量值。</t>
  </si>
  <si>
    <t>2级能量回复合剂</t>
  </si>
  <si>
    <t>回复全队10%能量值。</t>
  </si>
  <si>
    <t>3级能量回复合剂</t>
  </si>
  <si>
    <t>回复全队20%能量值。</t>
  </si>
  <si>
    <t>4级能量回复合剂</t>
  </si>
  <si>
    <t>回复全队50%能量值。</t>
  </si>
  <si>
    <t>1级压力回复合剂</t>
  </si>
  <si>
    <t>降低5点压力值。</t>
  </si>
  <si>
    <t>IconTranquilizer.png</t>
  </si>
  <si>
    <t>镇静剂（小）</t>
  </si>
  <si>
    <t>降低30点压力值。</t>
  </si>
  <si>
    <t>镇静剂（中）</t>
  </si>
  <si>
    <t>降低60点压力值。</t>
  </si>
  <si>
    <t>镇静剂（大）</t>
  </si>
  <si>
    <t>降低80点压力值。</t>
  </si>
  <si>
    <t>壳者的记忆</t>
  </si>
  <si>
    <t>"无意中窥探到了壳者的记忆" —— 增长10点压力值。</t>
  </si>
  <si>
    <t>壳者的恐怖记忆</t>
  </si>
  <si>
    <t>"无意中窥探到了壳者可怕的记忆" —— 增长20点压力值。</t>
  </si>
  <si>
    <t>完美数据芯片</t>
  </si>
  <si>
    <t>回复所有主动道具次数。</t>
  </si>
  <si>
    <t>崭新数据芯片</t>
  </si>
  <si>
    <t>回复三次主动道具次数。</t>
  </si>
  <si>
    <t>陈旧数据芯片</t>
  </si>
  <si>
    <t>回复两次主动道具次数。</t>
  </si>
  <si>
    <t>残破数据芯片</t>
  </si>
  <si>
    <t>回复一次主动道具次数。</t>
  </si>
  <si>
    <t>零星的齿轮硬币</t>
  </si>
  <si>
    <t>获得100枚齿轮硬币。</t>
  </si>
  <si>
    <t>少量齿轮硬币</t>
  </si>
  <si>
    <t>获得500枚齿轮硬币。</t>
  </si>
  <si>
    <t>小堆齿轮硬币</t>
  </si>
  <si>
    <t>获得1000枚齿轮硬币。</t>
  </si>
  <si>
    <t>一大堆齿轮硬币</t>
  </si>
  <si>
    <t>零星的丁尼</t>
  </si>
  <si>
    <t>获得10枚丁尼。</t>
  </si>
  <si>
    <t>少量丁尼</t>
  </si>
  <si>
    <t>获得50枚丁尼。</t>
  </si>
  <si>
    <t>小堆丁尼</t>
  </si>
  <si>
    <t>获得300枚丁尼。</t>
  </si>
  <si>
    <t>一大堆丁尼</t>
  </si>
  <si>
    <t>获得500枚丁尼。</t>
  </si>
  <si>
    <t>简易鸣徽盒</t>
  </si>
  <si>
    <t>随机获得1枚B级鸣徽，10%概率额外获得一枚B级鸣徽。</t>
  </si>
  <si>
    <t>并非邦布商人货物单里的鸣徽，而是在空洞活动中捡到的。
    装入简易的小盒子后作为回收品向顾客随机兜售。</t>
  </si>
  <si>
    <t>IconBlindBox01.png</t>
  </si>
  <si>
    <t>精致鸣徽盒</t>
  </si>
  <si>
    <t>随机获得1枚A级鸣徽，10%概率额外获得一枚A级鸣徽。</t>
  </si>
  <si>
    <t>并非邦布商人货物单里的鸣徽，而是在空洞活动中捡到的。
    邦布商人会进行简单的鉴定，按照其品质分入不同的小盒子随机兜售。</t>
  </si>
  <si>
    <t>IconBlindBox02.png</t>
  </si>
  <si>
    <t>珍品鸣徽盒</t>
  </si>
  <si>
    <t>随机获得1枚S级鸣徽，10%概率额外获得一枚S级鸣徽。</t>
  </si>
  <si>
    <t>虽然是在空洞活动中捡到的回收物，但价值可能超过了邦布商人自己所出售的鸣徽…
    所以放入了事先准备的精致盒子中随机售卖，对自己的运气有绝对自信的人可以试一试。</t>
  </si>
  <si>
    <t>IconBlindBox03.png</t>
  </si>
  <si>
    <t>普通催化剂</t>
  </si>
  <si>
    <t>从背包内随机3枚B级鸣徽中，选择1枚进行催化。</t>
  </si>
  <si>
    <t>IconUpgradeBox01.png</t>
  </si>
  <si>
    <t>活性催化剂</t>
  </si>
  <si>
    <t>从背包内随机3枚A级鸣徽中，选择1枚进行催化。</t>
  </si>
  <si>
    <t>IconUpgradeBox02.png</t>
  </si>
  <si>
    <t>烈性催化剂</t>
  </si>
  <si>
    <t>从背包内随机3枚S级鸣徽中，选择1枚进行催化。</t>
  </si>
  <si>
    <t>IconUpgradeBox03.png</t>
  </si>
  <si>
    <t>伸缩弹簧拳</t>
  </si>
  <si>
    <t>战斗邦布的攻击力提升10%。</t>
  </si>
  <si>
    <t>可以增强战斗邦布的组件。加装在邦布手臂外侧的收纳式弹簧拳，在挥动小短手的时候弹射出来，弥补一些攻击力和…气势上的不足。</t>
  </si>
  <si>
    <t>TransformShaft02.png</t>
  </si>
  <si>
    <t>延展活动支架</t>
  </si>
  <si>
    <t>战斗邦布的生命值提升10%。</t>
  </si>
  <si>
    <t>有了它，邦布可以做一些难度更大的动作。</t>
  </si>
  <si>
    <t>TransformShaft03.png</t>
  </si>
  <si>
    <t>迷你护心板</t>
  </si>
  <si>
    <t>战斗邦布的防御力提升15%。</t>
  </si>
  <si>
    <t>用于保护邦布核心的一块三角形挡板，至于有没有效，邦布也不知道。</t>
  </si>
  <si>
    <t>TransformShaft01.png</t>
  </si>
  <si>
    <t>伸缩弹簧拳Ⅱ型</t>
  </si>
  <si>
    <t>战斗邦布的攻击力提升25%。</t>
  </si>
  <si>
    <t>加装在邦布手臂外侧的收纳式弹簧拳，在挥动小短手的时候弹射出来，弥补一些攻击力和…气势上的不足。</t>
  </si>
  <si>
    <t>TransformShaft04.png</t>
  </si>
  <si>
    <t>延展活动支架Ⅱ型</t>
  </si>
  <si>
    <t>战斗邦布的生命值提升25%。</t>
  </si>
  <si>
    <t>TransformShaft05.png</t>
  </si>
  <si>
    <t>迷你护心板Ⅱ型</t>
  </si>
  <si>
    <t>战斗邦布的防御力提升40%。</t>
  </si>
  <si>
    <t>TransformShaft06.png</t>
  </si>
  <si>
    <t>穿透增幅组件</t>
  </si>
  <si>
    <t>战斗邦布的穿透率提升20%。</t>
  </si>
  <si>
    <t>加装在邦布手部的组件，通过旋转来增加对目标的穿透力度，虽然在旁人眼里可能看到的只是邦布在努力抡动小手。</t>
  </si>
  <si>
    <t>TransformChip01.png</t>
  </si>
  <si>
    <t>激光全息扫描配件</t>
  </si>
  <si>
    <t>战斗邦布的暴击率提升20%。</t>
  </si>
  <si>
    <t>全方位精确扫描，迅速查找目标弱点，平时也能用来测距。</t>
  </si>
  <si>
    <t>自聚焦透镜</t>
  </si>
  <si>
    <t>战斗邦布的暴击伤害提升40%。</t>
  </si>
  <si>
    <t>精确锁定，精准打击。</t>
  </si>
  <si>
    <t>伸缩弹簧拳Ⅲ型</t>
  </si>
  <si>
    <t>战斗邦布的攻击力提升60%。</t>
  </si>
  <si>
    <t>TransformSlots07.png</t>
  </si>
  <si>
    <t>延展活动支架Ⅲ型</t>
  </si>
  <si>
    <t>战斗邦布的生命值提升60%。</t>
  </si>
  <si>
    <t>TransformSlots08.png</t>
  </si>
  <si>
    <t>迷你护心板Ⅲ型</t>
  </si>
  <si>
    <t>战斗邦布的防御力提升90%。</t>
  </si>
  <si>
    <t>TransformSlots09.png</t>
  </si>
  <si>
    <t>高速穿透组件</t>
  </si>
  <si>
    <t>战斗邦布的穿透率提升45%。</t>
  </si>
  <si>
    <t>加装在邦布手部的组件，通过高速旋转来增加对目标的穿透力度，虽然在旁人眼里可能看到的只是邦布在努力抡动小手。</t>
  </si>
  <si>
    <t>TransformRegion01.png</t>
  </si>
  <si>
    <t>军用全息扫描配件</t>
  </si>
  <si>
    <t>战斗邦布的暴击率提升45%。</t>
  </si>
  <si>
    <t>TransformReclaim01.png</t>
  </si>
  <si>
    <t>电子定位透镜</t>
  </si>
  <si>
    <t>战斗邦布的暴击伤害提升90%。</t>
  </si>
  <si>
    <t>TransformChip04.png</t>
  </si>
  <si>
    <t>反馈增幅元件</t>
  </si>
  <si>
    <t>战斗邦布的属性异常积蓄效率提升60%。</t>
  </si>
  <si>
    <t>一定程度强化对周遭以太环境的侦测能力，从而更好地调整以太状态变化带来的各种反馈。</t>
  </si>
  <si>
    <t>TransformChip05.png</t>
  </si>
  <si>
    <t>冲锋助推器</t>
  </si>
  <si>
    <t>战斗邦布造成的失衡值提升45%。</t>
  </si>
  <si>
    <t>加装在邦布腿部的弹簧助推器，一蹬小腿，就能带来数倍于自身重量的冲击力。</t>
  </si>
  <si>
    <t>TransformFiltration03.png</t>
  </si>
  <si>
    <t>见习调查员记录</t>
  </si>
  <si>
    <t>为代理人增加100点经验。</t>
  </si>
  <si>
    <t>新手空洞调查员的行动记录，由同行的邦布负责进行录制。</t>
  </si>
  <si>
    <t>RoleExp01.png</t>
  </si>
  <si>
    <t>正式调查员记录</t>
  </si>
  <si>
    <t>为代理人增加600点经验。</t>
  </si>
  <si>
    <t>与新手调查员的记录相比，战斗相关的行动内容明显增加了许多。</t>
  </si>
  <si>
    <t>RoleExp02.png</t>
  </si>
  <si>
    <t>资深调查员记录</t>
  </si>
  <si>
    <t>为代理人增加3000点经验。</t>
  </si>
  <si>
    <t>专业而细致的行动记录，看一遍就像是亲身探索了一次空洞。</t>
  </si>
  <si>
    <t>RoleExp03.png</t>
  </si>
  <si>
    <t>音擎蓄电池</t>
  </si>
  <si>
    <t>为音擎增加100点经验。</t>
  </si>
  <si>
    <t>特制的蓄能电池，其电解液中含有微量的以太晶体，能为音擎提供优异的续航能力。</t>
  </si>
  <si>
    <t>WeaponExp01.png</t>
  </si>
  <si>
    <t>变频音擎电源</t>
  </si>
  <si>
    <t>为音擎增加600点经验。</t>
  </si>
  <si>
    <t>能自由转化功率的高性能电源，可适配多种不同型号的音擎，并根据其实时功率精确供能。</t>
  </si>
  <si>
    <t>WeaponExp02.png</t>
  </si>
  <si>
    <t>音擎能源模块</t>
  </si>
  <si>
    <t>为音擎增加3000点经验。</t>
  </si>
  <si>
    <t>以多种含以太材料复合制成的高效供能模块，可为各型号音擎提供持久稳定的强劲能源。</t>
  </si>
  <si>
    <t>WeaponExp03.png</t>
  </si>
  <si>
    <t>塑化镀剂</t>
  </si>
  <si>
    <t>为驱动盘增加100点经验。</t>
  </si>
  <si>
    <t>用于强化驱动盘的镀剂，为驱动盘提供一定的抗侵蚀能力。</t>
  </si>
  <si>
    <t>EquipStarUp01.png</t>
  </si>
  <si>
    <t>晶质镀剂</t>
  </si>
  <si>
    <t>为驱动盘增加500点经验。</t>
  </si>
  <si>
    <t>用于强化驱动盘的镀剂，进一步提升了抗侵蚀能力，并且能在表面看到一层晶石光泽的镀膜。因此也有人的偷偷用在一些装饰品上。</t>
  </si>
  <si>
    <t>EquipStarUp02.png</t>
  </si>
  <si>
    <t>以太镀剂</t>
  </si>
  <si>
    <t>为驱动盘增加2000点经验。</t>
  </si>
  <si>
    <t>用于强化驱动盘的镀剂，以太技术造福生活的又一典范。取之于空洞的以太资源，最终被用于探索更深更远的空洞。</t>
  </si>
  <si>
    <t>EquipStarUp03.png</t>
  </si>
  <si>
    <t>邦布软件补丁</t>
  </si>
  <si>
    <t>为邦布增加100点经验。</t>
  </si>
  <si>
    <t>存储有大量行为数据的软件补丁，可对邦布的逻辑核心进行初步训练，提升其计算能力。</t>
  </si>
  <si>
    <t>BangbooUpgrade01.png</t>
  </si>
  <si>
    <t>邦布算法模块</t>
  </si>
  <si>
    <t>为邦布增加600点经验。</t>
  </si>
  <si>
    <t>针对邦布的逻辑算法进行训练的大数据模块，可让邦布的运算能力得到快速提高。</t>
  </si>
  <si>
    <t>BangbooUpgrade02.png</t>
  </si>
  <si>
    <t>邦布系统控件</t>
  </si>
  <si>
    <t>为邦布增加3000点经验。</t>
  </si>
  <si>
    <t>能对邦布的逻辑核心进行整体升级的数据包，可让邦布的整体能力得到飞跃式提升。</t>
  </si>
  <si>
    <t>BangbooUpgrade03.png</t>
  </si>
  <si>
    <t>赏味秘券·烟</t>
  </si>
  <si>
    <t>炭烟缭绕，熏香扑鼻。独门厚切叉烧，酱香层层连绵。
    赏味秘券邀你体验，锦鲤面馆倾情呈现，乔普师傅得意之作！</t>
  </si>
  <si>
    <t>RamenCoupon01.png</t>
  </si>
  <si>
    <t>赏味秘券·赤</t>
  </si>
  <si>
    <t>赤红引线，点燃味蕾。魔鬼红椒待命，掀起浓汤怒涛！
    赏味秘券邀你体验，锦鲤面馆倾情呈现，乔普师傅得意之作！</t>
  </si>
  <si>
    <t>RamenCoupon02.png</t>
  </si>
  <si>
    <t>赏味秘券·青</t>
  </si>
  <si>
    <t>清脆口感，馥郁鲜香。鲜采青椒脆丝，盖满爽弹鸡块！
    赏味秘券邀你体验，锦鲤面馆倾情呈现，乔普师傅得意之作！</t>
  </si>
  <si>
    <t>RamenCoupon03.png</t>
  </si>
  <si>
    <t>赏味秘券·鲜</t>
  </si>
  <si>
    <t>冰海珍馐，鲜中帝王！冰爽弹牙好面，勾勒深海幻想！
    赏味秘券邀你体验，锦鲤面馆倾情呈现，乔普师傅得意之作！</t>
  </si>
  <si>
    <t>RamenCoupon04.png</t>
  </si>
  <si>
    <t>赏味秘券·醇</t>
  </si>
  <si>
    <t>浓醇细腻，鲜香狂放！古法慢熬秘汤，豪刀原切大骨！
    赏味秘券邀你体验，锦鲤面馆倾情呈现，乔普师傅得意之作！</t>
  </si>
  <si>
    <t>RamenCoupon05.png</t>
  </si>
  <si>
    <t>调查协会纪念币</t>
  </si>
  <si>
    <t>「桶之贤者」所喜爱的珍贵纪念币，从他口中能得到更多关于此类纪念币的情报。</t>
  </si>
  <si>
    <t>许久以前协会发行的一套限量版纪念币，数量并不多，随着空洞迁徙等各种原因被人们丢弃了不少。</t>
  </si>
  <si>
    <t>CommemorativeCoins.png</t>
  </si>
  <si>
    <t>强化零件</t>
  </si>
  <si>
    <t>精致小巧的机械元件，用于改造邦布、强化其机能的专用零件。</t>
  </si>
  <si>
    <t>IconParts.png</t>
  </si>
  <si>
    <t>邦布语翻译插件</t>
  </si>
  <si>
    <t>玛瑟尔集团制造的拓展功能模块，可翻译邦布语的具体内容。</t>
  </si>
  <si>
    <t>MissionItemTranslator.png</t>
  </si>
  <si>
    <t>褶皱的车票</t>
  </si>
  <si>
    <t>破旧车票里隐藏着不为人知的线索，凭借它或许可以登上那并不存在的列车。</t>
  </si>
  <si>
    <t>MissionItemTicket.png</t>
  </si>
  <si>
    <t>涂鸦喷漆罐</t>
  </si>
  <si>
    <t>在处理「绳匠生意」时意外获得的物品，拿去交给临街出口的桑特吧。</t>
  </si>
  <si>
    <t>涂鸦爱好者必备的喷漆罐。其核心原料中包含的以太成分可以让绘制的图案永不退色。</t>
  </si>
  <si>
    <t>LandRevive03.png</t>
  </si>
  <si>
    <t>建筑机械零件</t>
  </si>
  <si>
    <t>在处理「绳匠生意」时意外获得的物品，拿去交给黑雁工地旧址的米什卡吧。</t>
  </si>
  <si>
    <t>三门集团建筑机械的零部件，由耐侵蚀型金属材料制成，价格十分昂贵。</t>
  </si>
  <si>
    <t>LandRevive02.png</t>
  </si>
  <si>
    <t>古怪的照片</t>
  </si>
  <si>
    <t>在处理「绳匠生意」时意外获得的物品，拿去交给芭莱大厦前的阿琪吧。</t>
  </si>
  <si>
    <t>芭莱大厦内部场景的照片，画面模糊且难以辨认，其中似乎有黑影存在。</t>
  </si>
  <si>
    <t>LandRevive01.png</t>
  </si>
  <si>
    <t>以太能量微粒</t>
  </si>
  <si>
    <t>可使用「阳炎」增幅器吸收。佩戴增幅器的代理人在空洞内的活动性能会被增强。</t>
  </si>
  <si>
    <t>珍禽猫罐头</t>
  </si>
  <si>
    <t>在处理「零号空洞」委托时获得的物品，拿去交给六分街的帕克吧。</t>
  </si>
  <si>
    <t>「山野珍禽」猫罐头，七种散养珍禽，完美配比精心烹制。我们的目标，就是「让猫吃的比你还要好！」</t>
  </si>
  <si>
    <t>CannedCatFood.png</t>
  </si>
  <si>
    <t>观测报告</t>
  </si>
  <si>
    <t>在处理「零号空洞」委托时获得的物品，拿去交给芭莱大厦前的阿琪吧。</t>
  </si>
  <si>
    <t>Fairy记录的空洞观测数据，以超压缩格式的数据形式被保存了下来。</t>
  </si>
  <si>
    <t>ObservationData.png</t>
  </si>
  <si>
    <t>以太鞘保险丝</t>
  </si>
  <si>
    <t>在处理「零号空洞」委托时获得的物品，拿去交给六分街的科尔吧。</t>
  </si>
  <si>
    <t>以太转化电能工作时专用的防护装置，当检测到电能溢出或温度过高时就会自动熔断。</t>
  </si>
  <si>
    <t>EtherFuse.png</t>
  </si>
  <si>
    <t>海鱼猫罐头</t>
  </si>
  <si>
    <t>从「141」杂货店里买到的物品，六分街的小黑似乎很喜欢这种口味的罐头。</t>
  </si>
  <si>
    <t>「海洋之跃」猫罐头，八种鲜捕海鱼，完美配比精心烹制。我们的目标，就是「让猫吃的比你还要好！」</t>
  </si>
  <si>
    <t>CannedCatFood02.png</t>
  </si>
  <si>
    <t>协会纪念币·光映</t>
  </si>
  <si>
    <t>特殊的纪念币，可在光映广场的「桶之贤者」处交换物品。</t>
  </si>
  <si>
    <t>LuminarCoins01.png</t>
  </si>
  <si>
    <t>协会纪念币·野火镇</t>
  </si>
  <si>
    <t>特殊的纪念币，可在野火镇的「桶之贤者」处交换物品。</t>
  </si>
  <si>
    <t>BlazewoodCoins01.png</t>
  </si>
  <si>
    <t>协会纪念币·海港</t>
  </si>
  <si>
    <t>特殊的纪念币，可在港口的「桶之贤者」处交换物品。</t>
  </si>
  <si>
    <t>许久以前协会发行的一套限量版纪念币，数量并不多，随着空洞迁徒等各种原因被人们丢弃了不少。</t>
  </si>
  <si>
    <t>PortCoins01.png</t>
  </si>
  <si>
    <t>基础训练卡</t>
  </si>
  <si>
    <t>打开后获得1张基础怪物卡。</t>
  </si>
  <si>
    <t>由空洞调查协会与「盒」玩具店联合推出的《空洞旅者》系列训练卡，火爆售卖中。既能用来玩VR训练，也能当做独家收藏品，快开几包试试手气吧！</t>
  </si>
  <si>
    <t>MonsterCardSilvery.png</t>
  </si>
  <si>
    <t>补充训练卡</t>
  </si>
  <si>
    <t>打开后获得1张进阶级怪物卡。</t>
  </si>
  <si>
    <t>获取难度不大，训练难度适中的怪物卡，但毕竟比基础卡高了一个档次，对收集者而言是「它可以不强但我不能没有」的存在。</t>
  </si>
  <si>
    <t>MonsterCardGolden.png</t>
  </si>
  <si>
    <t>训练卡补充包</t>
  </si>
  <si>
    <t>打开后获得3~5张怪物卡，其中至少有1张进阶级怪物卡。</t>
  </si>
  <si>
    <t>训练卡精选包</t>
  </si>
  <si>
    <t>打开后获得3~5张怪物卡，其中至少有1张精英级怪物卡。</t>
  </si>
  <si>
    <t>令人眼花缭乱的绚丽卡面，令人心潮澎湃的挑战目标。隔壁的小孩馋哭了，隔壁的调查员也馋哭了。</t>
  </si>
  <si>
    <t>MonsterCardDiamonds.png</t>
  </si>
  <si>
    <t>典藏训练卡</t>
  </si>
  <si>
    <t>打开后随机获得1张首领级怪物卡。</t>
  </si>
  <si>
    <t>超越理论，超越认知！凌驾于常识之上，只存在于幻想空间中的不朽传说！邂逅它，挑战它，征服它！</t>
  </si>
  <si>
    <t>MonsterCardSuper.png</t>
  </si>
  <si>
    <t>丢失的音擎</t>
  </si>
  <si>
    <t>玩具店丢失的音擎之一，赶快拿回给苏茜吧。</t>
  </si>
  <si>
    <t>据苏茜所说，因为空洞灾害的缘故，玩具店丢失了一批即将到货的「隐藏款玩具」。这就是其中之一吧。</t>
  </si>
  <si>
    <t>笼外狂鸭</t>
  </si>
  <si>
    <t>从天马速运货车上逃出的鸭子，逮到后就送还回去吧。</t>
  </si>
  <si>
    <t>知名农场艾利谷培育的新品种家鸭，十分珍贵。原本由天马速运的司机盖尔负责运送，但由于不明原因，车辆货箱被打开，这些价值连城的货物随即四散而逃。</t>
  </si>
  <si>
    <t>QuestCpt025Duck01.png</t>
  </si>
  <si>
    <t>已损坏的小型防护匣</t>
  </si>
  <si>
    <t>这是一只空洞内通用小型防护匣，但其锁扣处因损坏而卡死，无法正常打开，如需开箱，请求助专业改装者的帮助。</t>
  </si>
  <si>
    <t>与你同行的回忆，珍藏在此处。</t>
  </si>
  <si>
    <t>Activity_GoldenWeekSide.png</t>
  </si>
  <si>
    <t>《星徽骑士》收纳盒</t>
  </si>
  <si>
    <t>装有《星徽骑士》录像带的收纳盒</t>
  </si>
  <si>
    <t>VideotapeBox04.png</t>
  </si>
  <si>
    <t>《波特山》录像带</t>
  </si>
  <si>
    <t>从「Random Play」录像店借出的电影，用于贿赂「山狮」的喽啰。</t>
  </si>
  <si>
    <t>根据真实故事改编的惊悚片，讲述了一群冒险者在波特山遭遇残暴凶徒「伐木工」的故事。据说很多观众看完对树林产生了心理阴影。</t>
  </si>
  <si>
    <t>JaneVideotape.png</t>
  </si>
  <si>
    <t>装备室通行卡</t>
  </si>
  <si>
    <t>工牌状的卡片式钥匙，可以刷开治安局装备室以及其他房间的门。</t>
  </si>
  <si>
    <t>理论上讲每位治安官都可以刷自己的工牌进入装备室，但难免会有忘记带工牌的情况，这张通用钥匙卡便是为此而准备的。</t>
  </si>
  <si>
    <t>JaneAccesscard.png</t>
  </si>
  <si>
    <t>万用电子钥匙卡</t>
  </si>
  <si>
    <t>适配大部分中大型电子机械的万用钥匙卡，可以打开通向「狮巢」的最终机关。</t>
  </si>
  <si>
    <t>存放于治安局装备室的万用钥匙卡，属于管控级别较低的装备。有了它，大部分——或者说电子技术落后的非法团伙的基地布防都将形同虚设。</t>
  </si>
  <si>
    <t>JaneMastercard.png</t>
  </si>
  <si>
    <t>专注力</t>
  </si>
  <si>
    <t>解锁课程节点需要消耗特定的专注力值。当专注力消散至一定程度、无法解锁并参与下一个课程时，请好好地通过休息进行回复。专注力每日4:00恢复150点，最多拥有500点专注力值。</t>
  </si>
  <si>
    <t>伴随着时间流逝，你的头脑也会逐渐变得清醒的。</t>
  </si>
  <si>
    <t>IconFocus.png</t>
  </si>
  <si>
    <t>燃油饮</t>
  </si>
  <si>
    <t>一些借来的燃油饮</t>
  </si>
  <si>
    <t>向野火镇的居民借来用于和莱特进行比试的燃油饮。</t>
  </si>
  <si>
    <t>BottlesOfNitro-Fuel.png</t>
  </si>
  <si>
    <t>燃油饮奖券</t>
  </si>
  <si>
    <t>简易制作的燃油饮奖券</t>
  </si>
  <si>
    <t>清算日庆典上用于支持自己信任选手的奖券，若支持的选手获胜，则可凭借此券获得双倍燃油饮！</t>
  </si>
  <si>
    <t>Nitro-FuelTicket.png</t>
  </si>
  <si>
    <t>抽奖券</t>
  </si>
  <si>
    <t>雨果赠予我们的抽奖券。</t>
  </si>
  <si>
    <t>不知道会抽出什么样的奖品…</t>
  </si>
  <si>
    <t>Lotteryticket.png</t>
  </si>
  <si>
    <t>拍卖会邀请函</t>
  </si>
  <si>
    <t>进入拍卖会必备的邀请函。</t>
  </si>
  <si>
    <t>看起来非常精致的邀请函，似乎还散发着淡淡的香薰味道。</t>
  </si>
  <si>
    <t>Invitation.png</t>
  </si>
  <si>
    <t>有些抽象的艺术品</t>
  </si>
  <si>
    <t>在拍卖会上拍到的艺术品。</t>
  </si>
  <si>
    <t>抽象也是一种美。</t>
  </si>
  <si>
    <t>AuctionArt.png</t>
  </si>
  <si>
    <t>老旧的飞笺</t>
  </si>
  <si>
    <t>未能起飞的祈望</t>
  </si>
  <si>
    <t>由默老先生保存的飞笺，其上的折痕笔直干净，如新折一般。但细看纸张的颜色，依旧能看出时光荏苒留下的痕迹。飞笺的持有者一定保存得十分小心。</t>
  </si>
  <si>
    <t>SuibianTemple_Skyletter_03.png</t>
  </si>
  <si>
    <t>飞笺</t>
  </si>
  <si>
    <t>将要远飞的祈望</t>
  </si>
  <si>
    <t>由仪玄制作，随便观的修者们发放的飞笺。纸鸟们将在伏汐会当晚振动薄弱的纸翼，承载着卫非地众人的祈福与展望前往空洞。历经一夜凶险，穿越暴风与汹涛的鸟儿们最终会停在哪里呢？</t>
  </si>
  <si>
    <t>SuibianTemple_Skyletter_01.png</t>
  </si>
  <si>
    <t>SuibianTemple_Skyletter_02.png</t>
  </si>
  <si>
    <t>SuibianTemple_Skyletter_04.png</t>
  </si>
  <si>
    <t>古怪的铜币</t>
  </si>
  <si>
    <t>看起来怪，但是怪好看的</t>
  </si>
  <si>
    <t>红豆从一位客人那里拿到的古怪铜币，上面刻着从未见过的纹路。或许「德丰大押」的杰掌柜知道这是什么。</t>
  </si>
  <si>
    <t>福禄茗宠</t>
  </si>
  <si>
    <t>在澄辉坪的小卡格车内获得，用于「饮茶仙」订单委托的提交</t>
  </si>
  <si>
    <t>「攞住个『福禄茗宠』饮啖茶，包你捞乜都掂啦！ 」
    曾一度在卫非地畅销的茶宠套组，因其可爱的造型和含义广受欢迎。后因其制造公司在旧都陷落后不幸倒闭，流通数量越来越少。现今仍有少部分爱好者在收藏。</t>
  </si>
  <si>
    <t>WhitfieldTreasureCarItem.png</t>
  </si>
  <si>
    <t>「出题人」的卡片</t>
  </si>
  <si>
    <t>「出题人」的卡片，可以作为寻找此人的线索。</t>
  </si>
  <si>
    <t>在莱姆尼安空洞中屡次出题戏弄他人的怪人留下的卡片，由昂贵的辉瓷材料制成，上面写着「恭喜你解答了所有的谜题，奖励就是这一路上的旅程！期待再次与您一同开动思维~」，可以作为寻找此人的线索。到底这会是一个怎样的人呢？</t>
  </si>
  <si>
    <t>Item_PorcelumeCard​.png</t>
  </si>
  <si>
    <t>「致梦想家」演出门票</t>
  </si>
  <si>
    <t>「妄想天使」们为前来观看拓金日演出的「梦想家」准备的门票。请务必准时到场，和她们一起——跌入妄想的世界吧！</t>
  </si>
  <si>
    <t>请帮助「妄想天使」把这些门票交给她们的朋友。</t>
  </si>
  <si>
    <t>AngelConcertTicket.png</t>
  </si>
  <si>
    <t>仪玄的压祟钱</t>
  </si>
  <si>
    <t>已经开封的来自仪玄的压祟钱，上面还附有一句祝福语：
    「消灾避厄，平安喜乐。」</t>
  </si>
  <si>
    <t>卫非地有一个特别的习俗，长辈们会准备好压祟钱，在拓金日的晚上发给孩子们——里面塞着沉甸甸的关怀与心意、对来年平安健康的祝福…还有轻飘飘的几十丁尼。</t>
  </si>
  <si>
    <t>IconLuckyMoney.png</t>
  </si>
  <si>
    <t>宝荣叔的压祟钱</t>
  </si>
  <si>
    <t>已经开封的来自宝荣叔的压祟钱，上面还附有一句祝福语：
    「愿你有所发现，有所创造——新的一年，还有无限美好在等着你啊，年轻人！」</t>
  </si>
  <si>
    <t>哲的压祟钱</t>
  </si>
  <si>
    <t>已经开封的来自哲的压祟钱，上面还附有一句祝福语：
    「新的一年里，我会继续陪在你身边的，妹妹。」</t>
  </si>
  <si>
    <t>卫非地有一个特别的习俗，长辈们会准备好压祟钱，在拓金日的晚上发给孩子们——里面塞着沉甸甸的关怀与心意、对来年平安健康的祝福…</t>
  </si>
  <si>
    <t>铃的压祟钱</t>
  </si>
  <si>
    <t>已经开封的来自铃的压祟钱，上面还附有一句祝福语：
    「新的一年里，要继续陪在彼此身边哦，哥哥！」</t>
  </si>
  <si>
    <t>通用音频数据卡</t>
  </si>
  <si>
    <t>装载音频数据的存储卡。</t>
  </si>
  <si>
    <t>此型号为通用型，可读取并转存各设备的音频内容，包括但不限于「窃听设备」「邦布」「监控室」「手机」「电视录像回放」「录音笔」「空洞内通讯器内置存储源」…</t>
  </si>
  <si>
    <t>IconQuestItem_Abyss_0001.png</t>
  </si>
  <si>
    <t>一袋钱币</t>
  </si>
  <si>
    <t>一个破旧的旅行手提袋。</t>
  </si>
  <si>
    <t>外侧有暗红色和黑色的痕迹。
    拉开拉链，可以看到里面装满了大额纸币。</t>
  </si>
  <si>
    <t>IconQuestItem_Abyss_0002.png</t>
  </si>
  <si>
    <t>老式翻盖手机</t>
  </si>
  <si>
    <t>一部老式翻盖手机。</t>
  </si>
  <si>
    <t>通话记录里有许多未拨出的电话，联系人备注名为「妹妹」
    信息箱内最新的一封短信，并未发出，信息内容为：
    「如果有人可以看到这个短信，且如果找到了这附近的钱袋，希望可以将一部分现金送到艾利都医院A2-1402病床，一位名为卡洛尔的少女的手上，就说是这是她申请到的救助金。」</t>
  </si>
  <si>
    <t>IconQuestItem_Abyss_0003.png</t>
  </si>
  <si>
    <t>粗制滥造的零号空洞调查员的身份证件</t>
  </si>
  <si>
    <t>一张零号空洞调查员的身份证件。</t>
  </si>
  <si>
    <t>持有者姓名为：「帕克」。
    这张证件制作过分粗糙，姓名和编号有很明显的印刷重影，证件边缘摸起来也并不光滑。
    证件外层的覆膜上有划痕和破损，看起来已经被遗弃很久了。</t>
  </si>
  <si>
    <t>IconQuestItem_Abyss_0004.png</t>
  </si>
  <si>
    <t>zenless界限测量器</t>
  </si>
  <si>
    <t>一个坏掉的zenless界限测量器。</t>
  </si>
  <si>
    <t>指针停在红线前一尺度格。
    幸好当时以太活性没有达到zenless界限，不然现在新艾利都又要多一个空洞了。</t>
  </si>
  <si>
    <t>IconQuestItem_Abyss_0005.png</t>
  </si>
  <si>
    <t>一颗子弹</t>
  </si>
  <si>
    <t>一颗左轮手枪子弹的弹壳。</t>
  </si>
  <si>
    <t>通过弹壳底部铸刻可知为军用款。
    似是一颗被丢弃的子弹，并没有使用过的痕迹。</t>
  </si>
  <si>
    <t>IconQuestItem_Abyss_0006.png</t>
  </si>
  <si>
    <t>一张拍立得</t>
  </si>
  <si>
    <t>一张大型犬的拍立得照片，它看起来似乎已有些年迈。</t>
  </si>
  <si>
    <t>照片背面手写字迹边缘有被晕开的痕迹：
    「下辈子继续做我的狗狗可以吗？我会陪你到最后一刻。」</t>
  </si>
  <si>
    <t>IconQuestItem_Abyss_0007.png</t>
  </si>
  <si>
    <t>一粒纽扣</t>
  </si>
  <si>
    <t>看起来只是一颗普通的纽扣。</t>
  </si>
  <si>
    <t>款式看起来像新艾利都高中男生间较为流行的制服外套上的纽扣。
    纽扣上有用丙烯浅浅涂写的「D.r」。</t>
  </si>
  <si>
    <t>IconQuestItem_Abyss_0008.png</t>
  </si>
  <si>
    <t>一份由空洞调差协会发布的官方文件</t>
  </si>
  <si>
    <t>一份破损的文件。</t>
  </si>
  <si>
    <t>通过仅存的内容可大致辨别出的文字为：
    「空洞调查协会针对私闯零号空洞市民决定书」
    「请校方尽快将贵校的两位高中女学生接回，并再次在校内进行空洞安全防范教育。
    零号空洞为新艾利都最高风险地区，请务必不要私自进入。」</t>
  </si>
  <si>
    <t>IconQuestItem_Abyss_0009.png</t>
  </si>
  <si>
    <t>终止施工通知函</t>
  </si>
  <si>
    <t>一份递送法律文书的棕色件袋。</t>
  </si>
  <si>
    <t>袋口打开，露出数页纸张，文件上端写着「修建中止通知」。</t>
  </si>
  <si>
    <t>IconQuestItem_Abyss_0010.png</t>
  </si>
  <si>
    <t>研究员休息室内的抱枕</t>
  </si>
  <si>
    <t>一个有污渍的抱枕。</t>
  </si>
  <si>
    <t>零号空洞已废弃的观测站内研究员休息室内的一个与周围设施风格差异较大的抱枕，抱枕上有明显的深褐色污渍。</t>
  </si>
  <si>
    <t>IconQuestItem_Abyss_0011.png</t>
  </si>
  <si>
    <t>一封推荐信</t>
  </si>
  <si>
    <t>一封写给怀斯塔学院的研究学者推荐信。</t>
  </si>
  <si>
    <t>被推荐人名为狄伦，落款人为乔伊丝。</t>
  </si>
  <si>
    <t>IconQuestItem_Abyss_0012.png</t>
  </si>
  <si>
    <t>军用耳麦对讲机</t>
  </si>
  <si>
    <t>一副破损的军用耳麦式通讯器。</t>
  </si>
  <si>
    <t>通讯器内侧刻有 「Dennis」。</t>
  </si>
  <si>
    <t>IconQuestItem_Abyss_0013.png</t>
  </si>
  <si>
    <t>一副手铐</t>
  </si>
  <si>
    <t>一副有些老旧的手铐。</t>
  </si>
  <si>
    <t>锁孔处有一些磨损的痕迹，看似是有使用过的痕迹。</t>
  </si>
  <si>
    <t>IconQuestItem_Abyss_0014.png</t>
  </si>
  <si>
    <t>会议赠送出席者的钢笔礼盒</t>
  </si>
  <si>
    <t>一套钢笔礼盒。</t>
  </si>
  <si>
    <t>内含一支钢笔、一瓶墨水。
    通过外包装可知，此礼盒为「共生关系研讨会」所赠。
    礼盒内部印刷着——
    「感谢莅临针对在空洞影响下，共生关系改变的研讨会，特此赠礼。」</t>
  </si>
  <si>
    <t>IconQuestItem_Abyss_0015.png</t>
  </si>
  <si>
    <t>《共生关系》书籍</t>
  </si>
  <si>
    <t>一本名为《共生关系》的书。</t>
  </si>
  <si>
    <t>封面看起来已经有些年代感了，这本书内关于共生讲解的部分被折叠了起来。</t>
  </si>
  <si>
    <t>IconQuestItem_Abyss_0016.png</t>
  </si>
  <si>
    <t>「枯萎病」侵蚀样本</t>
  </si>
  <si>
    <t>外形奇特的「枯萎病」侵蚀样本</t>
  </si>
  <si>
    <t>一块形状特殊的「枯萎病」侵蚀样本，分析后得知，这块以太结晶是人为从以骸身上砍下的，所以才会最终形成这般样子…向当年与之搏斗的勇士，致敬。</t>
  </si>
  <si>
    <t>IconQuestItem_Abyss_0017.png</t>
  </si>
  <si>
    <t>废弃安全点内的「枯萎病」侵蚀样本</t>
  </si>
  <si>
    <t>一块掩埋废弃安全点废墟下的「枯萎病」侵蚀样本，不知道当年在此休息的学者和调查员是否躲过了袭击…</t>
  </si>
  <si>
    <t>重量异常的「枯萎病」侵蚀样本</t>
  </si>
  <si>
    <t>一块重量异常的「枯萎病」侵蚀样本，分析后得知，此样本核心处为一块金属物品，且有人类使用痕迹…看来是曾有不幸之人被以骸吞噬了…安息吧。</t>
  </si>
  <si>
    <t>一小块「枯萎病」侵蚀样本</t>
  </si>
  <si>
    <t>一块小小小小的「枯萎病」侵蚀样本，仿佛只是一小块被磕碰掉的小碎屑形成的样本…看来当初遇到以骸的人攻击力约等于没有，只能祝愿那人跑得足够快了…</t>
  </si>
  <si>
    <t>一段华美布料</t>
  </si>
  <si>
    <t>在「零号空洞」中偶然获得的陈旧之物。若能找到与之相关的其他物品，或许能揭开被空洞封缄的故事。</t>
  </si>
  <si>
    <t>「物品会遗失，故事永生不死。只要神经递质尚能传递信息，故事就将复活，再一次。」</t>
  </si>
  <si>
    <t>IconQuestItem_Abyss_0018.png</t>
  </si>
  <si>
    <t>一枚火柴盒</t>
  </si>
  <si>
    <t>IconQuestItem_Abyss_0019.png</t>
  </si>
  <si>
    <t>陶质残片</t>
  </si>
  <si>
    <t>IconQuestItem_Abyss_0020.png</t>
  </si>
  <si>
    <t>一支鲜花</t>
  </si>
  <si>
    <t>IconQuestItem_Abyss_0021.png</t>
  </si>
  <si>
    <t>损坏的日记本</t>
  </si>
  <si>
    <t>IconQuestItem_Abyss_0022.png</t>
  </si>
  <si>
    <t>牙型吊饰</t>
  </si>
  <si>
    <t>妮可拿出的吊饰。</t>
  </si>
  <si>
    <t>红色的兽牙似乎是某一街头帮派的象征。而且从吊饰上裸露出的金属部分来看，这件东西也不仅仅是装饰品这么简单。</t>
  </si>
  <si>
    <t>研究所的保险箱</t>
  </si>
  <si>
    <t>赤牙帮从某研究所内抢夺得来的保险箱。</t>
  </si>
  <si>
    <t>几经周转后终于到了狡兔屋手上。由于内容物已经作为求生工具被使用，现在箱子失去了价值，暂时被保管在录像店内。</t>
  </si>
  <si>
    <t>六个人的合影</t>
  </si>
  <si>
    <t>猫又赠送的合影照片。</t>
  </si>
  <si>
    <t>是大家解决了远景公司的爆破危机后，一同去吃自助餐时拍的。正如猫又所说，是张拍得很好的照片。
    看到它就能回忆起当天美味的菜肴、放松的心情，以及一丝丝面对账单的肉痛。</t>
  </si>
  <si>
    <t>现场示意图</t>
  </si>
  <si>
    <t>Fairy发送至格莉丝平板电脑上的低分辨率图片。</t>
  </si>
  <si>
    <t>是原型机的所在地尚未被空洞吞没时的照片。
    在图片上能隐约看到一座造型奇特的塔。</t>
  </si>
  <si>
    <t>外置存储单元</t>
  </si>
  <si>
    <t>珂蕾妲提出要交给我们保管的东西，一枚芯片一样的东西。</t>
  </si>
  <si>
    <t>看样子，应该就是从原型机上拆解下来的外置存储单元。里面说不定还保存着当年霍尔斯先生出事前的线索…</t>
  </si>
  <si>
    <t>年轻女性的照片</t>
  </si>
  <si>
    <t>妮可交给我们的照片。</t>
  </si>
  <si>
    <t>上面的人应该就是黑客「芮恩」了。
    只不过这个女孩看起来有些眼熟…这应该不是错觉。</t>
  </si>
  <si>
    <t>刑侦素描</t>
  </si>
  <si>
    <t>青衣根据赫莉的描述手绘的刑侦素描，赫莉的好友泰迪，竟然是一只邦布…</t>
  </si>
  <si>
    <t>芭莱大厦示意图</t>
  </si>
  <si>
    <t>维多利亚家政提供的手绘示意图，简单明了地画出了大厦的大致结构与前往B座天台的通行路线。</t>
  </si>
  <si>
    <t>治安巡防活动调查问卷</t>
  </si>
  <si>
    <t>从治安官朱鸢那里得到的宣传单，似乎是治安局即将举行的市民活动的调查问卷。嗯…正面印着的这个人，是不是在哪见过？</t>
  </si>
  <si>
    <t>改装的新型音擎</t>
  </si>
  <si>
    <t>玩具店老板作为委托酬劳赠送的最新型音擎，根据安比的武器特性，在蓄电功能上进行了定制化改造，能有效增强武器电能输出的功率。</t>
  </si>
  <si>
    <t>证物-签名海报</t>
  </si>
  <si>
    <t>差点没能成为证物的老旧签名海报，上面写着「To 赫莉 &amp; 泰迪」，应该是泰迪失踪当天的随身物品。从表面上看似乎没什么特别之处，会有什么线索呢？</t>
  </si>
  <si>
    <t>简的顾问证件</t>
  </si>
  <si>
    <t>一张由治安局授权的标准制式ID卡，塑料硬质卡片，简作为犯罪学顾问被治安局外聘时拍摄的免冠证件照</t>
  </si>
  <si>
    <t>攸兰的遗作</t>
  </si>
  <si>
    <t>一张私录的专辑。
    是「卡进沙发的薯片」在攸兰的粉丝见面会上私自录制的，阴差阳错成为攸兰最后一次在半公开的场合的录音。由于从未发表和流出，在乐迷圈中成为最炙手可热的传奇专辑，被称为「攸兰的遗作」。</t>
  </si>
  <si>
    <t>蒙眼女性的旧照片</t>
  </si>
  <si>
    <t>一张有点陈旧的照片，好在画面还算清晰。可以看到一名蒙住双眼的金发少女正靠着墙面。不知为何，感觉她的身影仿佛下一秒就要破碎一般悲伤。</t>
  </si>
  <si>
    <t>里拉小队的录音带</t>
  </si>
  <si>
    <t>由「里忒」的亲弟弟内森所找到的，里拉小队录制后尘封了数年的录音带。就是它的存在，带来了这一系列的故事。
    多年过去，录音带的表面已经有些损耗，但内部的语音记录仍完好如初，仿佛昨天刚刚录下一般清晰。</t>
  </si>
  <si>
    <t>安比玩偶</t>
  </si>
  <si>
    <t>猫又精心制作的玩偶，看起来和安比有几分相似。
    「为什么头重脚轻？」
    「为了模拟某人经常大头朝下栽下空洞的样子喵。」</t>
  </si>
  <si>
    <t>牲鬼核心</t>
  </si>
  <si>
    <t>从牲鬼中提取的奇妙核心，看起来充满不祥的气息。
    似乎藏有某种奇特的力量。</t>
  </si>
  <si>
    <t>布林格的笔记本</t>
  </si>
  <si>
    <t>布林格的遗物，一本看起来有些老旧的笔记本。
    里面似乎标记了很多特殊地点。</t>
  </si>
  <si>
    <t>灵异探险日志</t>
  </si>
  <si>
    <t>一份被岁月侵蚀的文件。
    第一页上写着「灵异探险」几个字。日志中记录了某次关于芭莱大厦的灵异探险行动的细节，部分页码残缺，字迹模糊，隐约透露出探险者们的离奇经历。</t>
  </si>
  <si>
    <t>外置储存单元</t>
  </si>
  <si>
    <t>邦布用外置储存单元。
    存储着灵异探险队当年行动的关键记录。读取后可发现其内部存储了灵异探险队的活动轨迹及分析信息，数据中断在关键节点，似乎预示着探险行动的不祥结局，让人不禁对当时的真相心生好奇与不安。</t>
  </si>
  <si>
    <t>闪耀的此棒</t>
  </si>
  <si>
    <t>嘉音新年演唱会的定制荧光棒。
    结合了话筒和协律核心造型设计的荧光棒。协律核心启动时，荧光棒的红色部分也会缓缓转动。
    与其说是荧光棒，不如说是魔法杖吧。</t>
  </si>
  <si>
    <t>精致的收藏品</t>
  </si>
  <si>
    <t>薇薇安赠送给我们的收藏品。
    看起来昂贵且精致的艺术品，但里面似乎是空心的…或许这会影响到它的价格？</t>
  </si>
  <si>
    <t>薇薇安赠送给我们的收藏品。
    看起来昂贵且精致的艺术品，谁都没有想到它竟然可以打开。
    而里面正藏着那颗神秘的牲鬼核心。</t>
  </si>
  <si>
    <t>点火石</t>
  </si>
  <si>
    <t>阿蓬在躲避以骸时丢进矿井的点火石。</t>
  </si>
  <si>
    <t>「失落技术」的产物，是工程师邦布心仪的研究对象；能点燃火湖的焰闪，或许…也能帮助它点燃某座牢笼。</t>
  </si>
  <si>
    <t>quest_side040_flint.png</t>
  </si>
  <si>
    <t>「香喷喷的货物」</t>
  </si>
  <si>
    <t>二十四番风</t>
  </si>
  <si>
    <t>可用于改良音擎「鎏金花信」。</t>
  </si>
  <si>
    <t>从C41空洞中获取的特型音擎组件，能够用以改良音擎「鎏金花信」的以太共鸣性能。能使鎏金之花绽放愈盛的种子，记录着灿烂易逝的风候。</t>
  </si>
  <si>
    <t>WeaponStar001.png</t>
  </si>
  <si>
    <t>隆隆声浪</t>
  </si>
  <si>
    <t>可用于改良音擎「强音热望」。</t>
  </si>
  <si>
    <t>从特异空洞「墨利诺厄」中获取的特型音擎组件，能够用以改良音擎「强音热望」的以太共鸣性能。即使是在苍白的深渊中，也要让凡人的歌声作响。</t>
  </si>
  <si>
    <t>十六毫米光影</t>
  </si>
  <si>
    <t>可用于改良音擎「光影刻刀」。</t>
  </si>
  <si>
    <t>由引力电影院发放的纪念品音擎组件，能够用以改良音擎「光影刻刀」的以太共鸣性能。镌刻影像的灵感之光，在十六毫米的胶片中片刻停驻所留下的痕迹。</t>
  </si>
  <si>
    <t>青礼玄音</t>
  </si>
  <si>
    <t>可用于改良音擎「青漪灵鼎」。</t>
  </si>
  <si>
    <t>从青溟秘境中获取的特型引擎组件，能够用以改良音擎「青漪灵鼎」的以太共鸣性能。万千剑意如心音之涟漪，回荡于这数寸的苍穹之间。</t>
  </si>
  <si>
    <t>WeaponStar_A_Common_19.png</t>
  </si>
  <si>
    <t>交叉爆破</t>
  </si>
  <si>
    <t>放置一个定时炸弹，炸弹于3回合后产生十字型爆炸，清除爆炸范围内的大部分事件格</t>
  </si>
  <si>
    <t>派遣迷你邦布举着炸弹向四周地毯式冲锋，尝试为前方的道路铲除一切不确定因素。</t>
  </si>
  <si>
    <t>ActivePropsSkill05.png</t>
  </si>
  <si>
    <t>交叉爆破Ⅱ型</t>
  </si>
  <si>
    <t>放置一个定时炸弹，炸弹于3回合后产生十字型爆炸，清除爆炸范围内的大部分事件格。</t>
  </si>
  <si>
    <t>ActivePropsSkill06.png</t>
  </si>
  <si>
    <t>神秘「萝卜」</t>
  </si>
  <si>
    <t>立刻传送至随机地点</t>
  </si>
  <si>
    <t>来路不明的「萝卜」地图插件，完全不知道会把你带往何处，确定要使用它么…</t>
  </si>
  <si>
    <t>ActivePropsSkill07.png</t>
  </si>
  <si>
    <t>神秘「萝卜」Ⅱ型</t>
  </si>
  <si>
    <t>立刻离开空洞。</t>
  </si>
  <si>
    <t>来路不明的「萝卜」地图插件，能以最效率的方法把你带到最安全的地方。</t>
  </si>
  <si>
    <t>ActivePropsSkill08.png</t>
  </si>
  <si>
    <t>浓缩医疗</t>
  </si>
  <si>
    <t>回复全队10%生命值。</t>
  </si>
  <si>
    <t>调整回复剂的配比，强化回复剂治疗效果的插件。</t>
  </si>
  <si>
    <t>ActivePropsSkill01.png</t>
  </si>
  <si>
    <t>浓缩医疗Ⅱ型</t>
  </si>
  <si>
    <t>回复全队20%生命值。</t>
  </si>
  <si>
    <t>调整回复剂的配比，深度强化回复剂治疗效果的插件。</t>
  </si>
  <si>
    <t>ActivePropsSkill02.png</t>
  </si>
  <si>
    <t>短距采集</t>
  </si>
  <si>
    <t>开启一次采集转盘，可能获得：齿轮硬币、糟糕的陷阱、回复药剂、散落的鸣徽。</t>
  </si>
  <si>
    <t>释放自动化采集单元，前往随机方向进行短距探索，会带回发现的任何东西，也有可能引来麻烦。</t>
  </si>
  <si>
    <t>ActivePropsSkill09.png</t>
  </si>
  <si>
    <t>短距采集Ⅱ型</t>
  </si>
  <si>
    <t>开启一次好结果概率较高的采集转盘，可能获得：齿轮硬币、糟糕的陷阱、回复药剂、散落的鸣徽。</t>
  </si>
  <si>
    <t>ActivePropsSkill10.png</t>
  </si>
  <si>
    <t>强能开掘</t>
  </si>
  <si>
    <t>进入一个无法探测的未知区域。</t>
  </si>
  <si>
    <t>向着没有道路的地方挖掘，开创新的领域吧。</t>
  </si>
  <si>
    <t>ActivePropsSkill17.png</t>
  </si>
  <si>
    <t>强能开掘Ⅱ型</t>
  </si>
  <si>
    <t>进入一个无法探测的神秘未知区域。</t>
  </si>
  <si>
    <t>ActivePropsSkill18.png</t>
  </si>
  <si>
    <t>黄金呼唤</t>
  </si>
  <si>
    <t>使周围8格中的空格变为齿轮硬币事件格。</t>
  </si>
  <si>
    <t>来吧！齿轮硬币们！别玩捉迷藏了，该回家了！</t>
  </si>
  <si>
    <t>ActivePropsSkill15.png</t>
  </si>
  <si>
    <t>黄金呼唤Ⅱ型</t>
  </si>
  <si>
    <t>使所有的空格变为齿轮硬币事件格。</t>
  </si>
  <si>
    <t>ActivePropsSkill16.png</t>
  </si>
  <si>
    <t>浓缩镇静</t>
  </si>
  <si>
    <t>降低40点压力值。</t>
  </si>
  <si>
    <t>调整镇静剂的配比，强化降压效果的插件。</t>
  </si>
  <si>
    <t>ActivePropsSkill03.png</t>
  </si>
  <si>
    <t>浓缩镇静Ⅱ型</t>
  </si>
  <si>
    <t>调整镇静剂的配比，深度强化降压效果的插件。</t>
  </si>
  <si>
    <t>ActivePropsSkill04.png</t>
  </si>
  <si>
    <t>扫荡型以骸诱饵</t>
  </si>
  <si>
    <t>清除途径的大部分事件，如果是有利事件则立即生效，如果是有害事件则直接摧毁，持续3回合。</t>
  </si>
  <si>
    <t>发出强烈信号激怒并吸引特定以骸的插件，引诱危险以骸扫荡前方道路的毁灭战术。</t>
  </si>
  <si>
    <t>ActivePropsSkill21.png</t>
  </si>
  <si>
    <t>攫取型以骸诱饵</t>
  </si>
  <si>
    <t>清除途径的大部分事件，如果是有利事件则双倍生效，如果是有害事件则直接摧毁，持续3回合。</t>
  </si>
  <si>
    <t>发出强烈信号激怒并吸引特定以骸的插件，清扫道路的同时能不忘尽量收集可用资源。或者说由于遭到了某种程度的破坏，资源收集起来更方便了。</t>
  </si>
  <si>
    <t>ActivePropsSkill22.png</t>
  </si>
  <si>
    <t>集成补给</t>
  </si>
  <si>
    <t>回复全队所有生命值，清除所有陷阱。</t>
  </si>
  <si>
    <t>多功能补给插件，能够提供大量恢复药剂和探测设备。</t>
  </si>
  <si>
    <t>ActivePropsSkill11.png</t>
  </si>
  <si>
    <t>集成补给Ⅱ型</t>
  </si>
  <si>
    <t>回复全队所有生命值，清除所有陷阱，并随机获得1枚鸣徽。</t>
  </si>
  <si>
    <t>多功能补给插件，能够提供大量恢复药剂和探测…嗯？居然还有鸣徽。</t>
  </si>
  <si>
    <t>ActivePropsSkill12.png</t>
  </si>
  <si>
    <t>立体复印</t>
  </si>
  <si>
    <t>持有的齿轮硬币数额变为2倍。</t>
  </si>
  <si>
    <t>能够即时复制齿轮硬币的插件，邦布商人极力抵制该插件，但它们无法识别出复制品和真品的区别。于是只能反复声明表示抵制。</t>
  </si>
  <si>
    <t>ActivePropsSkill13.png</t>
  </si>
  <si>
    <t>立体复印Ⅱ型</t>
  </si>
  <si>
    <t>持有的齿轮硬币数额变为3倍。</t>
  </si>
  <si>
    <t>ActivePropsSkill14.png</t>
  </si>
  <si>
    <t>鸣徽「管家」</t>
  </si>
  <si>
    <t>随机产生鸣徽相关的选项，可对鸣徽进行收集、替换、丢弃等管理操作。</t>
  </si>
  <si>
    <t>鸣徽收集、管理一体化的插件，只要放在地上就能自动搜索鸣徽，怎么看都像是个扫地机器人。</t>
  </si>
  <si>
    <t>ActivePropsSkill20.png</t>
  </si>
  <si>
    <t>定位信标</t>
  </si>
  <si>
    <t>使当前所处的事件格保留至下一层空洞。</t>
  </si>
  <si>
    <t>能够在一定范围内与邦布保持定位信号同步，从而可以找到快速前往该地区的捷径。</t>
  </si>
  <si>
    <t>ActivePropsSkill19.png</t>
  </si>
  <si>
    <t>待定</t>
  </si>
  <si>
    <t>标准镇静</t>
  </si>
  <si>
    <t>调整镇静剂的配比，有效降低压力。</t>
  </si>
  <si>
    <t>手持式氙气电筒</t>
  </si>
  <si>
    <t>可产生强光的用具，可用于清除周围4格范围内的不明生物。</t>
  </si>
  <si>
    <t>内部充满惰性混合气体的高亮度光具，能发出色温与太阳类似的强光</t>
  </si>
  <si>
    <t>ActivePropsSkill23.png</t>
  </si>
  <si>
    <t>红外摄像头</t>
  </si>
  <si>
    <t>广泛存在于芭莱大厦室内的摄像头，只要利用它，即使在黑暗中也能看清四周。</t>
  </si>
  <si>
    <t>ActivePropsSkill26.png</t>
  </si>
  <si>
    <t>ActivePropsSkill25.png</t>
  </si>
  <si>
    <t>共感插件</t>
  </si>
  <si>
    <t>接入青衣的思维空间，共享感官信息与收集到的情报。</t>
  </si>
  <si>
    <t>ActivePropsSkill39.png</t>
  </si>
  <si>
    <t>邦布临时访问权</t>
  </si>
  <si>
    <t>丽娜交给你的邦布临时访问权限，可以在杜苏拉和安娜塔莎控制权之间切换。</t>
  </si>
  <si>
    <t>阳炎增幅仪</t>
  </si>
  <si>
    <t>仲夏集团专利插件。能够迅速吸收空气中的高浓度以太，并转换为增幅热波，也提供查看增幅的功能</t>
  </si>
  <si>
    <t>设计之初的目的是提升以太适性者在寒冷或多雾空洞环境下的工作效率，所以运作起来的时候，装置周围会有「一点点」热…</t>
  </si>
  <si>
    <t>能量耗尽后无法吸收以太，当前仅提供查看增幅的功能</t>
  </si>
  <si>
    <t>充能冲击镐</t>
  </si>
  <si>
    <t>用来破坏岩石障碍物，若提供足够的以太资源进行充能，破坏效果会进一步提升。</t>
  </si>
  <si>
    <t>ActivePropsSkill41.png</t>
  </si>
  <si>
    <t>强能冲击镐</t>
  </si>
  <si>
    <t>进一步提升了破坏速度，并且能够摧毁更坚硬的岩石。</t>
  </si>
  <si>
    <t>ActivePropsSkill42.png</t>
  </si>
  <si>
    <t>「冲冲大将军」</t>
  </si>
  <si>
    <t>将破坏效率与威力提升至极限，并且能够消耗以太能量施放炫酷的「冲冲技」。</t>
  </si>
  <si>
    <t>ActivePropsSkill43.png</t>
  </si>
  <si>
    <t>上帝之手</t>
  </si>
  <si>
    <t>让当前所在的方块生死逆转</t>
  </si>
  <si>
    <t>「不限次数，随便用吧！」</t>
  </si>
  <si>
    <t>消耗500齿轮硬币，在当前位置放置一堆吸引黄金邦布的齿轮硬币。</t>
  </si>
  <si>
    <t>ActivePropsSkill38.png</t>
  </si>
  <si>
    <t>以太露滴</t>
  </si>
  <si>
    <t>使用后可以让一名无法出战的代理人复活并回复一定生命值。</t>
  </si>
  <si>
    <t>温和的以太能量富集物…在没有诱发侵蚀前，看起来如此友好且瑰丽。</t>
  </si>
  <si>
    <t>ActivePropsSkill40.png</t>
  </si>
  <si>
    <t>需要消耗能量来破坏岩石障碍物，再次提升了破坏速度，能够摧毁非常坚硬的岩石。</t>
  </si>
  <si>
    <t>ActivePropsSkill44.png</t>
  </si>
  <si>
    <t>战术小刀</t>
  </si>
  <si>
    <t>立刻消灭本层所有怪物（不产生经验和掉落）</t>
  </si>
  <si>
    <t>ActivePropsSkill48.png</t>
  </si>
  <si>
    <t>肾上腺素</t>
  </si>
  <si>
    <t>本层内 +5 攻击力</t>
  </si>
  <si>
    <t>ActivePropsSkill47.png</t>
  </si>
  <si>
    <t>攀岩设备</t>
  </si>
  <si>
    <t>本层内可以穿过墙</t>
  </si>
  <si>
    <t>ActivePropsSkill46.png</t>
  </si>
  <si>
    <t>爆破工具箱</t>
  </si>
  <si>
    <t>7 格范围内随机生成 5 个引爆的炸弹</t>
  </si>
  <si>
    <t>结晶催化剂</t>
  </si>
  <si>
    <t>7 格范围内所有空格变成以太结晶</t>
  </si>
  <si>
    <t>复制代码：钥匙</t>
  </si>
  <si>
    <t>当前持有钥匙数量翻倍</t>
  </si>
  <si>
    <t>复制代码：炸弹</t>
  </si>
  <si>
    <t>当前持有炸弹数量翻倍</t>
  </si>
  <si>
    <t>复制代码：齿轮硬币</t>
  </si>
  <si>
    <t>当前持有齿轮硬币数量翻倍</t>
  </si>
  <si>
    <t>万能钥匙</t>
  </si>
  <si>
    <t>开启 7 格范围内所有上锁的门</t>
  </si>
  <si>
    <t>破财消灾</t>
  </si>
  <si>
    <t>把本层内所有齿轮硬币格变成生命恢复格</t>
  </si>
  <si>
    <t>变废为宝</t>
  </si>
  <si>
    <t>把本层内所有墙变为随机其他事件</t>
  </si>
  <si>
    <t>生命恢复剂</t>
  </si>
  <si>
    <t>产生 2~4 个生命恢复格</t>
  </si>
  <si>
    <t>经验转换器</t>
  </si>
  <si>
    <t>把本层所有生命恢复格变成经验格</t>
  </si>
  <si>
    <t>复制代码：一次性插件</t>
  </si>
  <si>
    <t>令主角的生命值减少至1，并对本层所有怪物造成减少的生命值的伤害</t>
  </si>
  <si>
    <t>因果律遥控器</t>
  </si>
  <si>
    <t>召唤一个机器到附近空地</t>
  </si>
  <si>
    <t>自律机器人遥控器</t>
  </si>
  <si>
    <t>召唤一个「自律机器人」到附近空地</t>
  </si>
  <si>
    <t>随机插件</t>
  </si>
  <si>
    <t>随机触发一个主动道具的效果</t>
  </si>
  <si>
    <t>可拆卸背包</t>
  </si>
  <si>
    <t>抛掉身上所有齿轮硬币和钥匙，在10格内重新生成</t>
  </si>
  <si>
    <t>超级炸弹</t>
  </si>
  <si>
    <t>在原地产生十字型爆炸，爆炸路径长度无限</t>
  </si>
  <si>
    <t>炸弹预埋指令</t>
  </si>
  <si>
    <t>将周围7格的墙、门、尖刺变为怪物</t>
  </si>
  <si>
    <t>信用卡</t>
  </si>
  <si>
    <t>购买周围7格范围内的所有商品</t>
  </si>
  <si>
    <t>攻击力胶囊</t>
  </si>
  <si>
    <t>主角 +1 攻击力</t>
  </si>
  <si>
    <t>鸣徽魔盒</t>
  </si>
  <si>
    <t>生成 1 个鸣徽格，每下降一层额外生成 1 个</t>
  </si>
  <si>
    <t>齿轮硬币机关枪</t>
  </si>
  <si>
    <t>无使用次数限制，使用时消耗 100 齿轮硬币，本房间所有怪物血量-1</t>
  </si>
  <si>
    <t>快速导航</t>
  </si>
  <si>
    <t>传送到下一层的入口</t>
  </si>
  <si>
    <t>破拆器</t>
  </si>
  <si>
    <t>摧毁本层所有墙、门、尖刺</t>
  </si>
  <si>
    <t>高能手电</t>
  </si>
  <si>
    <t>显示本层所有隐藏格</t>
  </si>
  <si>
    <t>易损拳套</t>
  </si>
  <si>
    <t>主角 +100 攻击力，攻击一次后失效</t>
  </si>
  <si>
    <t>全家福</t>
  </si>
  <si>
    <t>直接使用可使主角 +10 生命。濒死时自动消耗此插件，使重新站起的概率为 100%</t>
  </si>
  <si>
    <t>寻宝图</t>
  </si>
  <si>
    <t>立刻生成 1~5 个上锁宝箱</t>
  </si>
  <si>
    <t>风险与回报</t>
  </si>
  <si>
    <t>7格范围内生成 5~10 个生命恢复格和 5~10 个尖刺</t>
  </si>
  <si>
    <t>普通按钮</t>
  </si>
  <si>
    <t>生成 2 个按钮</t>
  </si>
  <si>
    <t>金色按钮</t>
  </si>
  <si>
    <t>生成 1 个金色按钮</t>
  </si>
  <si>
    <t>镀金喷雾</t>
  </si>
  <si>
    <t>使周围 7 格中的鸣徽格全部变为S级</t>
  </si>
  <si>
    <t>旗子</t>
  </si>
  <si>
    <t>使主角和所有队友 +1 攻击力</t>
  </si>
  <si>
    <t>图书</t>
  </si>
  <si>
    <t>+100 经验</t>
  </si>
  <si>
    <t>EMP</t>
  </si>
  <si>
    <t>立刻生成 3~5 个怪物，可能包含 BOSS</t>
  </si>
  <si>
    <t>「圣水」</t>
  </si>
  <si>
    <t>主角的生命值翻倍</t>
  </si>
  <si>
    <t>「复活之王」</t>
  </si>
  <si>
    <t>生成很多好东西，主角立刻受到 1000 伤害（没错，这意味着一般情况下会游戏失败）</t>
  </si>
  <si>
    <t>增援信标·安比</t>
  </si>
  <si>
    <t>记录了安比的通讯信息，能够呼叫安比的支援。</t>
  </si>
  <si>
    <t>「你在这里稍等，以我摔杯为号！」</t>
  </si>
  <si>
    <t>ActivePropsSkill24.png</t>
  </si>
  <si>
    <t>增援信标·猫又</t>
  </si>
  <si>
    <t>记录了猫又的通讯信息，能够呼叫猫又的支援。</t>
  </si>
  <si>
    <t>增援信标·妮可</t>
  </si>
  <si>
    <t>记录了妮可的通讯信息，能够呼叫妮可的支援。</t>
  </si>
  <si>
    <t>增援信标·「11号」</t>
  </si>
  <si>
    <t>记录了「11号」的通讯信息，能够呼叫「11号」的支援。</t>
  </si>
  <si>
    <t>增援信标·卢西娅</t>
  </si>
  <si>
    <t>记录了卢西娅的通讯信息，能够呼叫卢西娅的支援</t>
  </si>
  <si>
    <t>增援信标·可琳</t>
  </si>
  <si>
    <t>记录了可琳的通讯信息，能够呼叫可琳的支援。</t>
  </si>
  <si>
    <t>增援信标·凯撒</t>
  </si>
  <si>
    <t>记录了凯撒的通讯信息，能够呼叫凯撒的支援</t>
  </si>
  <si>
    <t>增援信标·比利</t>
  </si>
  <si>
    <t>记录了比利的通讯信息，能够呼叫比利的支援。</t>
  </si>
  <si>
    <t>增援信标·星见雅</t>
  </si>
  <si>
    <t>记录了·星见雅的通讯信息，能够呼叫·星见雅的支援</t>
  </si>
  <si>
    <t>增援信标·珂蕾妲</t>
  </si>
  <si>
    <t>记录了珂蕾妲的通讯信息，能够呼叫珂蕾妲的支援。</t>
  </si>
  <si>
    <t>增援信标·安东</t>
  </si>
  <si>
    <t>记录了安东的通讯信息，能够呼叫安东的支援。</t>
  </si>
  <si>
    <t>增援信标·本</t>
  </si>
  <si>
    <t>记录了本的通讯信息，能够呼叫本的支援。</t>
  </si>
  <si>
    <t>增援信标·苍角</t>
  </si>
  <si>
    <t>记录了苍角的通讯信息，能够呼叫苍角的支援。</t>
  </si>
  <si>
    <t>增援信标·莱卡恩</t>
  </si>
  <si>
    <t>记录了莱卡恩的通讯信息，能够呼叫莱卡恩的支援。</t>
  </si>
  <si>
    <t>增援信标·露西</t>
  </si>
  <si>
    <t>记录了露西的通讯信息，能够呼叫露西的支援</t>
  </si>
  <si>
    <t>增援信标·莱特</t>
  </si>
  <si>
    <t>记录了莱特的通讯信息，能够呼叫莱特的支援</t>
  </si>
  <si>
    <t>增援信标·柏妮思</t>
  </si>
  <si>
    <t>记录了柏妮思的通讯信息，能够呼叫柏妮思的支援。</t>
  </si>
  <si>
    <t>增援信标·格莉丝</t>
  </si>
  <si>
    <t>记录了格莉丝的通讯信息，能够呼叫格莉丝的支援。</t>
  </si>
  <si>
    <t>增援信标·艾莲</t>
  </si>
  <si>
    <t>记录了艾莲的通讯信息，能够呼叫艾莲的支援。</t>
  </si>
  <si>
    <t>增援信标·浅羽悠真</t>
  </si>
  <si>
    <t>记录了浅羽悠真的通讯信息，能够呼叫浅羽悠真的支援</t>
  </si>
  <si>
    <t>增援信标·丽娜</t>
  </si>
  <si>
    <t>记录了丽娜的通讯信息，能够呼叫丽娜的支援。</t>
  </si>
  <si>
    <t>增援信标·月城柳</t>
  </si>
  <si>
    <t>记录了月城柳的通讯信息，能够呼叫月城柳的支援</t>
  </si>
  <si>
    <t>增援信标·朱鸢</t>
  </si>
  <si>
    <t>记录了朱鸢的通讯信息，能够呼叫朱鸢的支援。</t>
  </si>
  <si>
    <t>test-初始邦布</t>
  </si>
  <si>
    <t>「企鹅布」核心</t>
  </si>
  <si>
    <t>「招财布」核心</t>
  </si>
  <si>
    <t>「寻宝布」核心</t>
  </si>
  <si>
    <t>「扑击布」核心</t>
  </si>
  <si>
    <t>「纸壳布」核心</t>
  </si>
  <si>
    <t>「纸袋布」核心</t>
  </si>
  <si>
    <t>「泪眼布」核心</t>
  </si>
  <si>
    <t>「果核布」核心</t>
  </si>
  <si>
    <t>「飞靶布」核心</t>
  </si>
  <si>
    <t>「电击布」核心</t>
  </si>
  <si>
    <t>「磁力布」核心</t>
  </si>
  <si>
    <t>「气压布」核心</t>
  </si>
  <si>
    <t>「不良布」核心</t>
  </si>
  <si>
    <t>「加班布」核心</t>
  </si>
  <si>
    <t>「格斗布」核心</t>
  </si>
  <si>
    <t>「圣剑布」核心</t>
  </si>
  <si>
    <t>「骑士布」核心</t>
  </si>
  <si>
    <t>「乐玩布」核心</t>
  </si>
  <si>
    <t>IconBangbooPiece37.png</t>
  </si>
  <si>
    <t>「鲨牙布」核心</t>
  </si>
  <si>
    <t>「阿全」核心</t>
  </si>
  <si>
    <t>「恶魔布」核心</t>
  </si>
  <si>
    <t>「巴特勒」核心</t>
  </si>
  <si>
    <t>「艾米莉安」核心</t>
  </si>
  <si>
    <t>「飚速布」核心</t>
  </si>
  <si>
    <t>「插头布」核心</t>
  </si>
  <si>
    <t>「共鸣布」核心</t>
  </si>
  <si>
    <t>「阿饭」核心</t>
  </si>
  <si>
    <t>「赤红莫库斯」核心</t>
  </si>
  <si>
    <t>「阿崔巡查」核心</t>
  </si>
  <si>
    <t>「左轮布」核心</t>
  </si>
  <si>
    <t>「格列佛探员」核心</t>
  </si>
  <si>
    <t>「咔嚓仔」核心</t>
  </si>
  <si>
    <t>「罗宾」核心</t>
  </si>
  <si>
    <t>「狮耶」核心</t>
  </si>
  <si>
    <t>「艾丝弥小姐」核心</t>
  </si>
  <si>
    <t>「墨丘利」核心</t>
  </si>
  <si>
    <t>「比克布利克」核心</t>
  </si>
  <si>
    <t>「芽芽」核心</t>
  </si>
  <si>
    <t>《邦布知道！》收纳盒</t>
  </si>
  <si>
    <t>装有《邦布知道！》录像带的收纳盒</t>
  </si>
  <si>
    <t>《咖啡伴侣》收纳盒</t>
  </si>
  <si>
    <t>装有《咖啡伴侣》录像带的收纳盒</t>
  </si>
  <si>
    <t>《不可触碰》收纳盒</t>
  </si>
  <si>
    <t>装有《不可触碰》录像带的收纳盒</t>
  </si>
  <si>
    <t>《侵袭：次世代》收纳盒</t>
  </si>
  <si>
    <t>装有《侵袭：次世代》录像带的收纳盒</t>
  </si>
  <si>
    <t>《以太绮梦》收纳盒</t>
  </si>
  <si>
    <t>装有《以太绮梦》录像带的收纳盒</t>
  </si>
  <si>
    <t>《虚无》收纳盒</t>
  </si>
  <si>
    <t>装有《虚无》录像带的收纳盒</t>
  </si>
  <si>
    <t>《大空洞》收纳盒</t>
  </si>
  <si>
    <t>装有《大空洞》录像带的收纳盒</t>
  </si>
  <si>
    <t>《十万次心跳》收纳盒</t>
  </si>
  <si>
    <t>装有《十万次心跳》录像带的收纳盒</t>
  </si>
  <si>
    <t>《丽都导览》收纳盒</t>
  </si>
  <si>
    <t>装有《丽都导览》录像带的收纳盒</t>
  </si>
  <si>
    <t>《次元枪神》收纳盒</t>
  </si>
  <si>
    <t>装有《次元枪神》录像带的收纳盒</t>
  </si>
  <si>
    <t>VideotapeBox03.png</t>
  </si>
  <si>
    <t>《骸兽之城》收纳盒</t>
  </si>
  <si>
    <t>装有《骸兽之城》录像带的收纳盒</t>
  </si>
  <si>
    <t>《永不谢幕》收纳盒</t>
  </si>
  <si>
    <t>装有《永不谢幕》录像带的收纳盒</t>
  </si>
  <si>
    <t>《空洞茶会》收纳盒</t>
  </si>
  <si>
    <t>装有《空洞茶会》录像带的收纳盒</t>
  </si>
  <si>
    <t>《我们需要你》收纳盒</t>
  </si>
  <si>
    <t>装有《我们需要你》录像带的收纳盒</t>
  </si>
  <si>
    <t>《噢~甜心》收纳盒</t>
  </si>
  <si>
    <t>装有《噢~甜心》录像带的收纳盒</t>
  </si>
  <si>
    <t>《小身材大危机》收纳盒</t>
  </si>
  <si>
    <t>装有《小身材大危机》录像带的收纳盒</t>
  </si>
  <si>
    <t>《速度与亲情》收纳盒</t>
  </si>
  <si>
    <t>装有《速度与亲情》录像带的收纳盒</t>
  </si>
  <si>
    <t>《械尸狂潮》收纳盒</t>
  </si>
  <si>
    <t>装有《械尸狂潮》录像带的收纳盒</t>
  </si>
  <si>
    <t>《消失的电梯》收纳盒</t>
  </si>
  <si>
    <t>装有《消失的电梯》录像带的收纳盒</t>
  </si>
  <si>
    <t>《第一杯土》收纳盒</t>
  </si>
  <si>
    <t>装有《第一杯土》录像带的收纳盒</t>
  </si>
  <si>
    <t>《7710和他的猫》收纳盒</t>
  </si>
  <si>
    <t>装有《7710和他的猫》录像带的收纳盒</t>
  </si>
  <si>
    <t>《星徽骑士「特别版」》收纳盒</t>
  </si>
  <si>
    <t>装有《星徽骑士「特别版」》录像带的收纳盒</t>
  </si>
  <si>
    <t>《下班神话》收纳盒</t>
  </si>
  <si>
    <t>装有《下班神话》录像带的收纳盒</t>
  </si>
  <si>
    <t>VideotapeBox02.png</t>
  </si>
  <si>
    <t>《真相不止一个》收纳盒</t>
  </si>
  <si>
    <t>装有《真相不止一个》录像带的收纳盒</t>
  </si>
  <si>
    <t>《铅黄都市》收纳盒</t>
  </si>
  <si>
    <t>装有《铅黄都市》录像带的收纳盒</t>
  </si>
  <si>
    <t>《吾本如斯》收纳盒</t>
  </si>
  <si>
    <t>装有《吾本如斯》录像带的收纳盒</t>
  </si>
  <si>
    <t>《波特山》收纳盒</t>
  </si>
  <si>
    <t>装有《波特山》录像带的收纳盒</t>
  </si>
  <si>
    <t>《无限玩家》收纳盒</t>
  </si>
  <si>
    <t>装有《无限玩家》录像带的收纳盒</t>
  </si>
  <si>
    <t>《荣光的守护者》收纳盒</t>
  </si>
  <si>
    <t>装有《荣光的守护者》录像带的收纳盒</t>
  </si>
  <si>
    <t>《黄昏广场》收纳盒</t>
  </si>
  <si>
    <t>装有《黄昏广场》录像带的收纳盒</t>
  </si>
  <si>
    <t>《最终之拳》收纳盒</t>
  </si>
  <si>
    <t>装有《最终之拳》录像带的收纳盒</t>
  </si>
  <si>
    <t>《空洞漫游指南》收纳盒</t>
  </si>
  <si>
    <t>装有《空洞漫游指南》录像带的收纳盒</t>
  </si>
  <si>
    <t>《黑纸童话》收纳盒</t>
  </si>
  <si>
    <t>装有《黑纸童话》录像带的收纳盒</t>
  </si>
  <si>
    <t>《最佳出价》收纳盒</t>
  </si>
  <si>
    <t>装有《最佳出价》录像带的收纳盒</t>
  </si>
  <si>
    <t>《黑色唱机》收纳盒</t>
  </si>
  <si>
    <t>装有《黑色唱机》录像带的收纳盒</t>
  </si>
  <si>
    <t>《盗洞奇兵》收纳盒</t>
  </si>
  <si>
    <t>装有《盗洞奇兵》录像带的收纳盒</t>
  </si>
  <si>
    <t>《卡尔一家》收纳盒</t>
  </si>
  <si>
    <t>装有《卡尔一家》录像带的收纳盒</t>
  </si>
  <si>
    <t>《最后一次飞行》收纳盒</t>
  </si>
  <si>
    <t>装有《最后一次飞行》录像带的收纳盒</t>
  </si>
  <si>
    <t>???</t>
  </si>
  <si>
    <t>当前压力</t>
  </si>
  <si>
    <t>全队血量回复</t>
  </si>
  <si>
    <t>卡牌</t>
  </si>
  <si>
    <t>CardTest.png</t>
  </si>
  <si>
    <t>展示用buff</t>
  </si>
  <si>
    <t>BuffRandom.png</t>
  </si>
  <si>
    <t>鸣徽信息</t>
  </si>
  <si>
    <t>解锁新鸣徽：后续在空洞探索中可能获得特定的鸣徽。</t>
  </si>
  <si>
    <t>记录在协会档案里的鸣徽信息，将它存入邦布数据库的话对空洞探索一定大有帮助。</t>
  </si>
  <si>
    <t>CardUnlock.png</t>
  </si>
  <si>
    <t>记录在协会档案里的鸣徽信息，将它存入邦布数据库的话应该能对空洞探索有所帮助。</t>
  </si>
  <si>
    <t>记录在协会档案里的鸣徽信息，将它存入邦布数据库吧，鸣徽的数据总是多多益善的。</t>
  </si>
  <si>
    <t>无货</t>
  </si>
  <si>
    <t>商店已经没东西可卖了…</t>
  </si>
  <si>
    <t>即使是存货如此充沛的空洞鸣徽商店，终究还是有把东西卖完的一天。</t>
  </si>
  <si>
    <t>Icon_Empty.png</t>
  </si>
  <si>
    <t>见习调查员物资箱</t>
  </si>
  <si>
    <t>物资箱内装有：见习调查员记录、音擎蓄电池和丁尼。</t>
  </si>
  <si>
    <t>前人的成就是我们的阶梯，一截装在箱子里的折叠梯。</t>
  </si>
  <si>
    <t>EventIconPreciousB.png</t>
  </si>
  <si>
    <t>资深调查员物资箱</t>
  </si>
  <si>
    <t>头脑是调查员最强大的武器，箱内装着这份武器的说明书。</t>
  </si>
  <si>
    <t>EventIconPreciousA.png</t>
  </si>
  <si>
    <t>精英调查员物资箱</t>
  </si>
  <si>
    <t>物资箱内装有：正式调查员记录、变频音擎电源和丁尼。</t>
  </si>
  <si>
    <t>这里封藏着某位传奇调查员的峥嵘岁月。</t>
  </si>
  <si>
    <t>EventIconPreciousS.png</t>
  </si>
  <si>
    <t>[引燃]熔火手套</t>
  </si>
  <si>
    <t>拥有[斗志]的代理人对敌人施加[灼烧]效果时，[灼烧]伤害的触发间隔降低30%。</t>
  </si>
  <si>
    <t>每个手指上都装载了微型点火装置，另一只手戴上冰息手套的话会显得很酷。</t>
  </si>
  <si>
    <t>CardBurn05.png</t>
  </si>
  <si>
    <t>[引燃]怒焰喷射器</t>
  </si>
  <si>
    <t>[灼烧]效果造成的伤害提升40%。</t>
  </si>
  <si>
    <t>一旦开喷就不想停手——直到自己先热晕过去。</t>
  </si>
  <si>
    <t>CardBurn06.png</t>
  </si>
  <si>
    <t>[引燃]煤油灯</t>
  </si>
  <si>
    <t>拥有[斗志]时，火属性伤害的穿透率提升15%。</t>
  </si>
  <si>
    <t>能当装饰物，能提供照明，必要时还能当做投掷武器的多功能道具。</t>
  </si>
  <si>
    <t>CardBurn09.png</t>
  </si>
  <si>
    <t>[引燃]火枪喷灯</t>
  </si>
  <si>
    <t>造成火属性伤害时，全队获得1层[斗志]，10秒内最多触发一次。</t>
  </si>
  <si>
    <t>一打开就会发出很酷的火焰喷射声。</t>
  </si>
  <si>
    <t>CardBurn08.png</t>
  </si>
  <si>
    <t>[引燃]燃烧瓶</t>
  </si>
  <si>
    <t>代理人的火属性异常积蓄效率提升30%。</t>
  </si>
  <si>
    <t>曾有好事之徒把它扔进了空洞里，具体掉在了哪里，烧到了什么就无从得知了。</t>
  </si>
  <si>
    <t>CardBurn02.png</t>
  </si>
  <si>
    <t>[引燃]果木炭</t>
  </si>
  <si>
    <t>发动[强化特殊技]时，全队获得1层[斗志]。</t>
  </si>
  <si>
    <t>引燃时会发出果香的高端烧烤炭，拿它烤水果岂不是双倍快乐。</t>
  </si>
  <si>
    <t>CardBurn07.png</t>
  </si>
  <si>
    <t>[引燃]卡式炉</t>
  </si>
  <si>
    <t>对敌人施加[灼烧]效果时，全队获得1层[斗志]。</t>
  </si>
  <si>
    <t>有了它，走到哪里都能吃上热乎的食物。</t>
  </si>
  <si>
    <t>CardBurn10.png</t>
  </si>
  <si>
    <t>[引燃]奢华火机</t>
  </si>
  <si>
    <t>代理人造成的火属性伤害提升15%。</t>
  </si>
  <si>
    <t>装饰奢华的打火机，看上去像是某个帮派老大的爱用物。</t>
  </si>
  <si>
    <t>CardBurn04.png</t>
  </si>
  <si>
    <t>[引燃]电子火炬</t>
  </si>
  <si>
    <t>火属性伤害的暴击伤害提升20%。</t>
  </si>
  <si>
    <t>号称永不熄灭，实则灭了不知道多少回。</t>
  </si>
  <si>
    <t>CardBurn01.png</t>
  </si>
  <si>
    <t>[引燃]脉冲点火器</t>
  </si>
  <si>
    <t>[灼烧]状态下，敌人的攻击力降低15%。</t>
  </si>
  <si>
    <t>家庭主妇用来点亮燃气灶的工具，哪里不亮点哪里。</t>
  </si>
  <si>
    <t>CardBurn03.png</t>
  </si>
  <si>
    <t>[引燃]固体酒精</t>
  </si>
  <si>
    <t>[灼烧]效果的持续时间提升2秒。</t>
  </si>
  <si>
    <t>小巧便捷，适用于多种场合，包括找不到蜡烛拼成爱心的表白场合。</t>
  </si>
  <si>
    <t>CardBurn11.png</t>
  </si>
  <si>
    <t>[引燃]聚合徽标</t>
  </si>
  <si>
    <t>[引燃]类型鸣徽出现的概率提升。</t>
  </si>
  <si>
    <t>物以类聚，徽以群分
    来吧，将四散的火星聚为燃烧的烈焰。</t>
  </si>
  <si>
    <t>CardBurn00.png</t>
  </si>
  <si>
    <t>[能量]红男爵隐藏款</t>
  </si>
  <si>
    <t>发动[强化特殊技]时，代理人造成的伤害提升10%，最多叠加5层，持续30秒，每层效果单独结算持续时间。</t>
  </si>
  <si>
    <t>随机口味的红男爵，打开之前你永远不知道自己买的是什么味道的。据说还有0.01%的概率开出稀有的隐藏口味。</t>
  </si>
  <si>
    <t>CardEDrink08.png</t>
  </si>
  <si>
    <t>[能量]霓虹可乐</t>
  </si>
  <si>
    <t>进入战场时，随机1名代理人回复100%能量。</t>
  </si>
  <si>
    <t>连续5年饮料销量冠军，绝对无糖，绝对健康，连颜色都是白色的！</t>
  </si>
  <si>
    <t>CardEDrink04.png</t>
  </si>
  <si>
    <t>[能量]炸毛牛磺酸</t>
  </si>
  <si>
    <t>[终结技]造成的伤害提升30%，失衡值提升10%。</t>
  </si>
  <si>
    <t>[甩掉怯懦，唤醒野性！]广告中的演员喝了一半突然把饮料浇头上，最后把罐子捏得粉碎的画面令人记忆深刻。</t>
  </si>
  <si>
    <t>CardEDrink09.png</t>
  </si>
  <si>
    <t>[能量]碳卡·烤肉味</t>
  </si>
  <si>
    <t>发动[连携技]时，代理人回复5点能量。</t>
  </si>
  <si>
    <t>不停推出新奇口味的可乐品牌。而这个烤肉味，据说是为了还原一口烤肉一口可乐的美妙回忆。</t>
  </si>
  <si>
    <t>CardEDrink07.png</t>
  </si>
  <si>
    <t>[能量]电瀑</t>
  </si>
  <si>
    <t>发动[终结技]时，全队回复8点能量。</t>
  </si>
  <si>
    <t>迅速补充水和电解质，迅速得像触电一样！</t>
  </si>
  <si>
    <t>CardEDrink03.png</t>
  </si>
  <si>
    <t>[能量]橙苏鲁</t>
  </si>
  <si>
    <t>触发[极限闪避]时，代理人回复6点能量，10秒内最多触发一次。</t>
  </si>
  <si>
    <t>受到女生青睐的橙汁饮料，每罐有相当于30个橙子的维生素。[我们只选用以一当十的优质橙子，所以3个等于30个！]</t>
  </si>
  <si>
    <t>CardEDrink05.png</t>
  </si>
  <si>
    <t>[能量]奶牛大尉</t>
  </si>
  <si>
    <t>代理人的喧响值获得效率提升10%。</t>
  </si>
  <si>
    <t>[帮我长高吧，奶牛大尉！]不论小孩还是大人都喜爱的纯牛乳饮品，谁还没有一个[再长高一点]的梦想呢。</t>
  </si>
  <si>
    <t>CardEDrink10.png</t>
  </si>
  <si>
    <t>[能量]尖笑</t>
  </si>
  <si>
    <t>[普通攻击]的能量获得效率提升20%。</t>
  </si>
  <si>
    <t>无添加，0糖分。这两个词组合起来谁不爱呢。</t>
  </si>
  <si>
    <t>CardEDrink01.png</t>
  </si>
  <si>
    <t>[能量]红男爵·青柠味</t>
  </si>
  <si>
    <t>[强化特殊技]造成的伤害提升20%，失衡值提升5%。</t>
  </si>
  <si>
    <t>最受年轻人喜欢的能量饮料，用青柠浓缩汁掩盖了牛磺酸的味道。</t>
  </si>
  <si>
    <t>CardEDrink06.png</t>
  </si>
  <si>
    <t>[能量]柠猛小子</t>
  </si>
  <si>
    <t>击败敌人时，全队回复8点能量，10秒内最多触发一次。</t>
  </si>
  <si>
    <t>[嘿听着，喝了我，你就是我死党。快，喝了我。]</t>
  </si>
  <si>
    <t>CardEDrink02.png</t>
  </si>
  <si>
    <t>[能量]白仔益生菌</t>
  </si>
  <si>
    <t>发动[强化特殊技]时，代理人的暴击伤害提升20%，持续15秒。</t>
  </si>
  <si>
    <t>[认准白仔小罐罐，守护肠道好菌菌。]</t>
  </si>
  <si>
    <t>CardEDrink11.png</t>
  </si>
  <si>
    <t>[能量]聚合徽标</t>
  </si>
  <si>
    <t>[能量]类型鸣徽出现的概率提升。</t>
  </si>
  <si>
    <t>物以类聚，徽以群分
    活力！跃动！大兴奋！</t>
  </si>
  <si>
    <t>CardEDrink00.png</t>
  </si>
  <si>
    <t>[暴击]狙击镜</t>
  </si>
  <si>
    <t>触发暴击时，代理人的暴击伤害提升4%，最多叠加10层，持续10秒，重复触发时刷新持续时间。</t>
  </si>
  <si>
    <t>别心急，瞄准了再打，要是打不中才有你心急的。</t>
  </si>
  <si>
    <t>CardGun06.png</t>
  </si>
  <si>
    <t>[暴击]短锯霰弹枪</t>
  </si>
  <si>
    <t>进入战场时，全队获得1层[会心]；受到敌方攻击时，不再损失[会心]层数。</t>
  </si>
  <si>
    <t>威力大，个头小，携带方便，甚至可以插在裤腰带里。（每年因此走火受伤的案例在200例以上）</t>
  </si>
  <si>
    <t>CardGun05.png</t>
  </si>
  <si>
    <t>[暴击]武器箱</t>
  </si>
  <si>
    <t>每持有1枚[暴击]类型的基础鸣徽，代理人的暴击伤害提升5%，最高提升40%。</t>
  </si>
  <si>
    <t>与其说是武器箱，不如说是连通武器库的传送门。你永远不知道从这个不起眼的小箱子里能掏出多少武器。</t>
  </si>
  <si>
    <t>CardGun09.png</t>
  </si>
  <si>
    <t>[暴击]RPG弹头</t>
  </si>
  <si>
    <t>触发暴击时，代理人造成的失衡值提升10%，持续3秒。</t>
  </si>
  <si>
    <t>杂兵们统统让开！</t>
  </si>
  <si>
    <t>CardGun01.png</t>
  </si>
  <si>
    <t>[暴击]加特林机枪</t>
  </si>
  <si>
    <t>触发[极限闪避]时，全队获得1层[会心]，8秒内最多触发一次。</t>
  </si>
  <si>
    <t>按下扳机后就再也不想松开了，最好的防守就是进攻，那不停进攻就等于绝对防御！</t>
  </si>
  <si>
    <t>CardGun07.png</t>
  </si>
  <si>
    <t>[暴击]恐慌雷管</t>
  </si>
  <si>
    <t>代理人的暴击伤害提升20%。</t>
  </si>
  <si>
    <t>智能点火，精准爆炸。能炸多远全看你扔多远。</t>
  </si>
  <si>
    <t>CardGun08.png</t>
  </si>
  <si>
    <t>[暴击]战术目镜</t>
  </si>
  <si>
    <t>进入战场时，全队获得2层[会心]。</t>
  </si>
  <si>
    <t>有时候，适当的遮挡是为了能看得更清楚。</t>
  </si>
  <si>
    <t>CardGun10.png</t>
  </si>
  <si>
    <t>[暴击]清算使者</t>
  </si>
  <si>
    <t>击败敌人时，全队获得1层[会心]。</t>
  </si>
  <si>
    <t>给决斗带上点高科技色彩，管他公不公平。</t>
  </si>
  <si>
    <t>CardGun02.png</t>
  </si>
  <si>
    <t>[暴击]备用弹夹</t>
  </si>
  <si>
    <t>攻击命中敌人并触发暴击时，目标的攻击力降低15%，持续10秒。</t>
  </si>
  <si>
    <t>为下一个敌人提前做好准备吧。</t>
  </si>
  <si>
    <t>CardGun03.png</t>
  </si>
  <si>
    <t>[暴击]枪口补偿器</t>
  </si>
  <si>
    <t>从背后攻击命中敌人时，代理人的暴击伤害提升15%。</t>
  </si>
  <si>
    <t>枪械的重要配件，很好地提升战斗力。</t>
  </si>
  <si>
    <t>CardGun04.png</t>
  </si>
  <si>
    <t>[暴击]激光瞄具</t>
  </si>
  <si>
    <t>攻击命中敌人时，如果没有触发暴击，代理人的暴击率提升3%，触发暴击后增益效果重置。</t>
  </si>
  <si>
    <t>精准，且意图明显。</t>
  </si>
  <si>
    <t>CardGun11.png</t>
  </si>
  <si>
    <t>[暴击]聚合徽标</t>
  </si>
  <si>
    <t>[暴击]类型鸣徽出现的概率提升。</t>
  </si>
  <si>
    <t>物以类聚，徽以群分
    更多的枪，更大的枪，更强的枪…</t>
  </si>
  <si>
    <t>CardGun00.png</t>
  </si>
  <si>
    <t>[护盾]半指手套</t>
  </si>
  <si>
    <t>拥有护盾时，代理人的抗打断等级提升，受到的伤害降低20%。</t>
  </si>
  <si>
    <t>朋克风的小伙子都喜欢戴这种款式的手套。</t>
  </si>
  <si>
    <t>CardArmor06.png</t>
  </si>
  <si>
    <t>[护盾]弹性护膝</t>
  </si>
  <si>
    <t>[强化特殊技]命中敌人时，代理人获得10%生命值上限的护盾，10秒内最多触发一次。</t>
  </si>
  <si>
    <t>伸缩性良好，能应对一切稀奇古怪的腿部姿势。</t>
  </si>
  <si>
    <t>CardArmor02.png</t>
  </si>
  <si>
    <t>[护盾]蓄电甩棍</t>
  </si>
  <si>
    <t>拥有护盾时，代理人的暴击伤害提升25%，异常掌控提升15点。</t>
  </si>
  <si>
    <t>充电的时候不要去摸，超级烫。</t>
  </si>
  <si>
    <t>CardArmor09.png</t>
  </si>
  <si>
    <t>[护盾]防暴头盔</t>
  </si>
  <si>
    <t>进入战场时，全队获得等同于自身150%入战防御力的护盾。</t>
  </si>
  <si>
    <t>为了展现亲和力，特地增加了兔耳设计。</t>
  </si>
  <si>
    <t>CardArmor07.png</t>
  </si>
  <si>
    <t>[护盾]朋克皮带</t>
  </si>
  <si>
    <t>拥有护盾时，代理人对6米内的敌人造成的伤害提升20%。</t>
  </si>
  <si>
    <t>带有尖刺装饰的皮带，戴着它出门，谁也不敢招惹你。</t>
  </si>
  <si>
    <t>CardArmor08.png</t>
  </si>
  <si>
    <t>[护盾]作战靴</t>
  </si>
  <si>
    <t>击败敌人时，全队获得8%生命值上限的护盾，持续10秒，15秒内最多触发一次。</t>
  </si>
  <si>
    <t>穿着很帅，但是味儿大。</t>
  </si>
  <si>
    <t>CardArmor05.png</t>
  </si>
  <si>
    <t>[护盾]外骨骼臂甲</t>
  </si>
  <si>
    <t>每持有1个[护盾]类型的基础鸣徽，代理人的防御力提升3%。</t>
  </si>
  <si>
    <t>起到良好保护的同时，还能发动威力强大的肘击。</t>
  </si>
  <si>
    <t>CardArmor10.png</t>
  </si>
  <si>
    <t>[护盾]防爆盾</t>
  </si>
  <si>
    <t>代理人受到的伤害降低10%。</t>
  </si>
  <si>
    <t>正义必胜！至少不败。</t>
  </si>
  <si>
    <t>CardArmor04.png</t>
  </si>
  <si>
    <t>[护盾]保暖护腕</t>
  </si>
  <si>
    <t>受到敌方攻击时，如果生命值低于25%，立刻获得15%生命值上限的护盾，持续10秒（每名代理人每场战斗中最多触发1次）。</t>
  </si>
  <si>
    <t>指望它抵挡伤害是不现实的。倒是涂鸦爱好者很喜欢戴着它保护手腕。</t>
  </si>
  <si>
    <t>CardArmor01.png</t>
  </si>
  <si>
    <t>[护盾]充气背甲</t>
  </si>
  <si>
    <t>代理人的防御力提升15%。</t>
  </si>
  <si>
    <t>可以弹开重击，但代价是自己也会往前弹。</t>
  </si>
  <si>
    <t>CardArmor03.png</t>
  </si>
  <si>
    <t>[护盾]战术口罩</t>
  </si>
  <si>
    <t>触发[极限闪避]时，代理人获得8%生命值上限的护盾，持续5秒，5秒内最多触发一次。</t>
  </si>
  <si>
    <t>强效过滤，清新循环。上厕所时也可以佩戴。</t>
  </si>
  <si>
    <t>CardArmor11.png</t>
  </si>
  <si>
    <t>[护盾]聚合徽标</t>
  </si>
  <si>
    <t>[护盾]类型鸣徽出现的概率提升。</t>
  </si>
  <si>
    <t>物以类聚，徽以群分
    叠最厚的甲…后面是什么来着？</t>
  </si>
  <si>
    <t>CardArmor00.png</t>
  </si>
  <si>
    <t>[感电]释电手套</t>
  </si>
  <si>
    <t>[感电]效果造成的伤害提升50%。</t>
  </si>
  <si>
    <t>可以释放出惊人电流的手套，请记住它的样子，握手时留心了。</t>
  </si>
  <si>
    <t>CardElectro03.png</t>
  </si>
  <si>
    <t>[感电]动感电击枪</t>
  </si>
  <si>
    <t>对敌人施加[感电]效果时，全队回复10点能量，15秒内最多触发一次。</t>
  </si>
  <si>
    <t>虽然不会造成直接伤害，但还是建议在开打前先来一枪。</t>
  </si>
  <si>
    <t>CardElectro04.png</t>
  </si>
  <si>
    <t>[感电]增幅手环</t>
  </si>
  <si>
    <t>拥有[电能]时，代理人造成的电属性伤害提升25%。</t>
  </si>
  <si>
    <t>据戴着它跑步的人说，那种感觉就像是有个无形的壮汉紧紧抓着你的手腕，使劲把你往前面拽。</t>
  </si>
  <si>
    <t>CardElectro09.png</t>
  </si>
  <si>
    <t>[感电]特斯拉球</t>
  </si>
  <si>
    <t>攻击命中处于[感电]状态下的敌人时，获得5%喧响值，10秒内最多触发一次。</t>
  </si>
  <si>
    <t>通电时可以用来耍帅，没电时可以用来占卜（还是耍帅）。</t>
  </si>
  <si>
    <t>CardElectro08.png</t>
  </si>
  <si>
    <t>[感电]雷光电戟</t>
  </si>
  <si>
    <t>[强化特殊技]命中敌人时，全队获得6层[电能]。</t>
  </si>
  <si>
    <t>禁止把它带到水塘去叉鱼！</t>
  </si>
  <si>
    <t>CardElectro01.png</t>
  </si>
  <si>
    <t>[感电]防身电击器</t>
  </si>
  <si>
    <t>对敌人施加[感电]效果时，全队获得10层[电能]。</t>
  </si>
  <si>
    <t>女生包中必备武器，电完色狼后再补上1个耳光。</t>
  </si>
  <si>
    <t>CardElectro02.png</t>
  </si>
  <si>
    <t>[感电]电蚊拍</t>
  </si>
  <si>
    <t>每拥有一层[电能]，代理人的电属性异常积蓄效率提升2%。</t>
  </si>
  <si>
    <t>比起用手拍，这玩意又轻松，威力又大。就是用久了会冒出一股肉烤焦的味道…</t>
  </si>
  <si>
    <t>CardElectro10.png</t>
  </si>
  <si>
    <t>[感电]导电线圈</t>
  </si>
  <si>
    <t>对敌人造成电属性伤害时，全队获得1层[电能]，3秒内最多触发一次。</t>
  </si>
  <si>
    <t>十分粗暴的做法：缠绕在武器上以大幅增加导电性。</t>
  </si>
  <si>
    <t>CardElectro06.png</t>
  </si>
  <si>
    <t>[感电]电霆鞭</t>
  </si>
  <si>
    <t>[感电]效果的持续时间提升3秒。</t>
  </si>
  <si>
    <t>实用性不是很高，但会让你看上去很像反派。</t>
  </si>
  <si>
    <t>CardElectro07.png</t>
  </si>
  <si>
    <t>[感电]EMP手雷</t>
  </si>
  <si>
    <t>代理人造成的电属性伤害提升15%。</t>
  </si>
  <si>
    <t>扔的时候请远离电子设备，不然会把自己也搭进去。</t>
  </si>
  <si>
    <t>CardElectro05.png</t>
  </si>
  <si>
    <t>[感电]手摇发电机</t>
  </si>
  <si>
    <t>攻击命中处于[感电]状态下的敌人时，代理人造成的伤害提升15%。</t>
  </si>
  <si>
    <t>谁力气最大，谁就是野外露营时在角落里摇发电机的孤单孩子。</t>
  </si>
  <si>
    <t>CardElectro11.png</t>
  </si>
  <si>
    <t>[感电]聚合徽标</t>
  </si>
  <si>
    <t>[感电]类型鸣徽出现的概率提升。</t>
  </si>
  <si>
    <t>物以类聚，徽以群分
    如果收集够多，能释放十万伏特么？</t>
  </si>
  <si>
    <t>CardElectro00.png</t>
  </si>
  <si>
    <t>[通用]兴奋剂</t>
  </si>
  <si>
    <t>生命值低于50%时，B级和A级绝境鸣徽的增益效果提升50%</t>
  </si>
  <si>
    <t>迅速突破人体极限，提升各项身体机能。副作用是会变得话痨且好动。</t>
  </si>
  <si>
    <t>CardMedical02.png</t>
  </si>
  <si>
    <t>[通用]创可贴</t>
  </si>
  <si>
    <t>每缺失10%生命值，代理人受到的伤害降低1.2%。</t>
  </si>
  <si>
    <t>涂有药膏的创可贴，在止血的同时也能加速伤口愈合。</t>
  </si>
  <si>
    <t>CardMedical11.png</t>
  </si>
  <si>
    <t>[通用]集中药丸</t>
  </si>
  <si>
    <t>每损失10%生命值，代理人回复7%能量。</t>
  </si>
  <si>
    <t>安全无副作用，可以当糖吃。</t>
  </si>
  <si>
    <t>CardMedical05.png</t>
  </si>
  <si>
    <t>[决斗]环链重锤</t>
  </si>
  <si>
    <t>每拥有一层[冲击]，代理人攻击命中处于失衡状态下的敌人时，属性异常积蓄效率提升10%。</t>
  </si>
  <si>
    <t>被砸到的话可怨不得别人，要怪就怪自己逃得不够远。</t>
  </si>
  <si>
    <t>CardBlunt07.png</t>
  </si>
  <si>
    <t>[决斗]震荡拳套</t>
  </si>
  <si>
    <t>发动[连携技]时，获得6%喧响值。</t>
  </si>
  <si>
    <t>能击中下巴的话，接下来对手就任你摆布了。</t>
  </si>
  <si>
    <t>CardBlunt01.png</t>
  </si>
  <si>
    <t>[决斗]自制狼牙棒</t>
  </si>
  <si>
    <t>发动[连携技]时，全队获得1层[冲击]，招式命中敌人时，目标的失衡易伤倍率提升10%，最高提升30%。</t>
  </si>
  <si>
    <t>牢固？不重要。实用？不重要！重要的是气势上不能输，只要看上去打到人会很疼就行了！</t>
  </si>
  <si>
    <t>CardBlunt09.png</t>
  </si>
  <si>
    <t>[决斗]T型拐</t>
  </si>
  <si>
    <t>使敌人进入失衡状态后，其失衡持续时间提升10%。</t>
  </si>
  <si>
    <t>攻防一体，越打越快。</t>
  </si>
  <si>
    <t>CardBlunt05.png</t>
  </si>
  <si>
    <t>[决斗]木工小锤</t>
  </si>
  <si>
    <t>使敌人进入属性异常状态时，全队获得1层[冲击]，若目标未处于失衡状态下，则会直接累积10%失衡值。</t>
  </si>
  <si>
    <t>决定性的一击，进去吧小钉子！</t>
  </si>
  <si>
    <t>CardBlunt06.png</t>
  </si>
  <si>
    <t>[决斗]观众席板凳</t>
  </si>
  <si>
    <t>使敌人进入失衡状态时，全队获得6%的喧响值，全队获得2层[冲击]，10秒内最多触发一次。</t>
  </si>
  <si>
    <t>[我看不下去了，我也要上场！]
    突如其来的替补攻击令人猝不及防。</t>
  </si>
  <si>
    <t>CardBlunt08.png</t>
  </si>
  <si>
    <t>[决斗]称手板砖</t>
  </si>
  <si>
    <t>[连携技]造成的伤害提升30%。</t>
  </si>
  <si>
    <t>携带方便，人手一份。</t>
  </si>
  <si>
    <t>CardBlunt10.png</t>
  </si>
  <si>
    <t>[决斗]棒球棍</t>
  </si>
  <si>
    <t>[普通攻击]造成的失衡值提升10%。</t>
  </si>
  <si>
    <t>不小心脱手的话，赛场上就会多一个被砸晕的人。</t>
  </si>
  <si>
    <t>CardBlunt02.png</t>
  </si>
  <si>
    <t>[决斗]双节棍</t>
  </si>
  <si>
    <t>一旦耍起来就停不下来，砸到自己也不觉得疼。</t>
  </si>
  <si>
    <t>CardBlunt03.png</t>
  </si>
  <si>
    <t>[决斗]合金指虎</t>
  </si>
  <si>
    <t>触发[极限闪避]时，代理人造成的失衡值提升15%，持续5秒。</t>
  </si>
  <si>
    <t>先在气势上唬住对手，接下来只要如暴雨般出拳就行了。</t>
  </si>
  <si>
    <t>CardBlunt04.png</t>
  </si>
  <si>
    <t>[决斗]庆典锣</t>
  </si>
  <si>
    <t>从失衡状态恢复时，敌人的攻击力降低15%，持续30秒。</t>
  </si>
  <si>
    <t>只要在耳朵边使劲敲一下…一整天看到的人都是重影的。</t>
  </si>
  <si>
    <t>CardBlunt11.png</t>
  </si>
  <si>
    <t>[决斗]擀面杖</t>
  </si>
  <si>
    <t>[连携技]和[终结技]造成的伤害大幅提升。（仅在拉力委托中出现）</t>
  </si>
  <si>
    <t>打你的是谁，取决于今晚谁做饭。</t>
  </si>
  <si>
    <t>CardBlunt14.png</t>
  </si>
  <si>
    <t>[决斗]聚合徽标</t>
  </si>
  <si>
    <t>[决斗]类型鸣徽出现的概率提升。</t>
  </si>
  <si>
    <t>物以类聚，徽以群分
    既然要决斗，当然要先凑齐一切有利条件。</t>
  </si>
  <si>
    <t>CardBlunt00.png</t>
  </si>
  <si>
    <t>[闪避]运动护目镜</t>
  </si>
  <si>
    <t>[闪避反击]造成的伤害提升50%，且造成的失衡值提升30%。</t>
  </si>
  <si>
    <t>在高速运动中为了保护眼睛而设计的专业护目镜。
    [看见了，我全都看见了！]</t>
  </si>
  <si>
    <t>CardSports08.png</t>
  </si>
  <si>
    <t>[闪避]街头滑板</t>
  </si>
  <si>
    <t>[反击]状态下，属性异常积蓄效率提升20%，暴击伤害提升40%。</t>
  </si>
  <si>
    <t>[全体目光向我看齐！]</t>
  </si>
  <si>
    <t>CardSports03.png</t>
  </si>
  <si>
    <t>[闪避]羽毛球</t>
  </si>
  <si>
    <t>触发[极限闪避]时，代理人获得1层[灵巧]，并进入[极限视域]，持续4秒，10秒内最多触发一次。</t>
  </si>
  <si>
    <t>大力扣杀的时候也需要保持冷静与精准，否则只会在一声怒吼中抽断脆弱的羽毛。</t>
  </si>
  <si>
    <t>CardSports10.png</t>
  </si>
  <si>
    <t>[闪避]网球拍</t>
  </si>
  <si>
    <t>触发[极限闪避]并进入[极限视域]时，[闪避]后发动的[冲刺攻击]变为[闪避反击]，可以重复发动4次。</t>
  </si>
  <si>
    <t>如果打不回去的话，至少要躲开。被球砸到是很疼的。</t>
  </si>
  <si>
    <t>CardSports05.png</t>
  </si>
  <si>
    <t>[闪避]轻盈花剑</t>
  </si>
  <si>
    <t>[反击]状态的持续时间提升5秒。</t>
  </si>
  <si>
    <t>脆弱但威力强大的武器。</t>
  </si>
  <si>
    <t>CardSports06.png</t>
  </si>
  <si>
    <t>[闪避]瑜伽球</t>
  </si>
  <si>
    <t>[闪避]后发动的[冲刺攻击]变为[闪避反击]，5秒内最多触发一次；效果触发时，代理人获得1层[灵巧]。</t>
  </si>
  <si>
    <t>只要保持一个姿势不动，时间的流逝就会变慢。</t>
  </si>
  <si>
    <t>CardSports07.png</t>
  </si>
  <si>
    <t>[闪避]绝杀球板</t>
  </si>
  <si>
    <t>受到攻击后短时间内点按「闪避」，可以立即挣脱并回复本次承受伤害50%的生命值，6秒内最多触发一次。</t>
  </si>
  <si>
    <t>一切的努力都是为了最后那一下惊艳全场的扣杀。</t>
  </si>
  <si>
    <t>CardSports11.png</t>
  </si>
  <si>
    <t>[闪避]溜冰鞋</t>
  </si>
  <si>
    <t>[闪避反击]造成的伤害提升35%。</t>
  </si>
  <si>
    <t>为了追求极致的冲刺速度而生，如果停不下来就撞上去吧！</t>
  </si>
  <si>
    <t>CardSports01.png</t>
  </si>
  <si>
    <t>[闪避]气垫运动鞋</t>
  </si>
  <si>
    <t>[闪避]时更容易触发[极限闪避]。</t>
  </si>
  <si>
    <t>每蹬一脚，都是潮流。</t>
  </si>
  <si>
    <t>CardSports04.png</t>
  </si>
  <si>
    <t>[闪避]滑雪板</t>
  </si>
  <si>
    <t>发动[闪避反击]时，代理人回复5点能量。</t>
  </si>
  <si>
    <t>要么优雅绕开障碍物，要么狼狈吃雪。</t>
  </si>
  <si>
    <t>CardSports02.png</t>
  </si>
  <si>
    <t>[闪避]防护头盔</t>
  </si>
  <si>
    <t>发动[闪避]时，代理人的防御力提升20%，持续5秒。</t>
  </si>
  <si>
    <t>一切防御措施都是为了能更好地进攻。</t>
  </si>
  <si>
    <t>CardSports09.png</t>
  </si>
  <si>
    <t>[闪避]潜水泳镜</t>
  </si>
  <si>
    <t>每触发3次[极限闪避]，将会进入[极限视域]，持续4秒，持续期间代理人造成的失衡值提升25%。</t>
  </si>
  <si>
    <t>戴上它就会觉得自己变成了另一个世界的人。</t>
  </si>
  <si>
    <t>CardSports14.png</t>
  </si>
  <si>
    <t>[闪避]聚合徽标</t>
  </si>
  <si>
    <t>[闪避]类型鸣徽出现的概率提升。</t>
  </si>
  <si>
    <t>物以类聚，徽以群分
    抽取时有效降低闪避类型鸣徽的闪避率…</t>
  </si>
  <si>
    <t>CardSports00.png</t>
  </si>
  <si>
    <t>[闪避]运动秒表</t>
  </si>
  <si>
    <t>触发[极限闪避]时，将会进入[极限视域]，持续4秒。在此期间可以看到隐藏的齿轮硬币。（仅在拉力委托中出现）</t>
  </si>
  <si>
    <t>一直盯着它看，就会产生「一切都随着时间一同被放大了」的感觉。</t>
  </si>
  <si>
    <t>CardSports15.png</t>
  </si>
  <si>
    <t>[通用]勇者披风</t>
  </si>
  <si>
    <t>代理人造成的伤害提升25%，受到的伤害提升15%。</t>
  </si>
  <si>
    <t>根据某个电子游戏里勇者的造型所仿制的披风。虽然穿着它打架会很威风，但被敌人拽住的话就是另一个故事了。</t>
  </si>
  <si>
    <t>CardDailyUse16.png</t>
  </si>
  <si>
    <t>[通用]猫毛针梳</t>
  </si>
  <si>
    <t>从背后攻击敌人时，代理人造成的伤害提升25%。</t>
  </si>
  <si>
    <t>也只有在梳后背的时候不会激烈反抗了。</t>
  </si>
  <si>
    <t>CardDailyUse18.png</t>
  </si>
  <si>
    <t>[通用]大袋食盐</t>
  </si>
  <si>
    <t>目标生命值低于50%时，代理人造成的伤害提升15%。</t>
  </si>
  <si>
    <t>疼，疼！快住手！</t>
  </si>
  <si>
    <t>CardDailyUse13.png</t>
  </si>
  <si>
    <t>[通用]决斗邀请函</t>
  </si>
  <si>
    <t>场上敌人的数量小于等于3名时，代理人造成的伤害提升15%。</t>
  </si>
  <si>
    <t>似乎是出自某个剑道馆的手笔。</t>
  </si>
  <si>
    <t>CardDailyUse17.png</t>
  </si>
  <si>
    <t>[通用]保湿面膜</t>
  </si>
  <si>
    <t>代理人受到的伤害，不会超过自身生命值上限的20%。</t>
  </si>
  <si>
    <t>锁水保湿（一点点），抵挡紫外线（一会儿会儿）。</t>
  </si>
  <si>
    <t>CardDailyUse10.png</t>
  </si>
  <si>
    <t>[通用]电蚊拍</t>
  </si>
  <si>
    <t>击败敌人时，代理人造成的伤害提升20%，持续10秒。</t>
  </si>
  <si>
    <t>在苍蝇飞舞的时候乱挥是没有用的，只有趁它不动的时候才能下手。</t>
  </si>
  <si>
    <t>CardDailyUse15.png</t>
  </si>
  <si>
    <t>[通用]出刃刀</t>
  </si>
  <si>
    <t>满编行动时，全队造成的伤害提升16%，每缺少一名队员，该增益效果降低4%。</t>
  </si>
  <si>
    <t>力道与精度兼备的挥击，才能发挥出刃刀真正的效用。</t>
  </si>
  <si>
    <t>CardChessboard31.png</t>
  </si>
  <si>
    <t>[通用]伴郎领结</t>
  </si>
  <si>
    <t>满编行动时，全队受到的伤害降低12%，每缺少一名队员，该增益效果降低4%。</t>
  </si>
  <si>
    <t>伴郎当然越多越好！把能叫上的朋友都叫上，气势上不能输！</t>
  </si>
  <si>
    <t>CardDailyUse30.png</t>
  </si>
  <si>
    <t>[通用]篮球战术板</t>
  </si>
  <si>
    <t>满编行动时，全队受到的伤害降低12%，造成的伤害提升12%，每缺少一名队员，该增益效果降低4%。</t>
  </si>
  <si>
    <t>三名篮球队员密切配合，默契移动，是形成三角战术的基础。</t>
  </si>
  <si>
    <t>CardDailyUse28.png</t>
  </si>
  <si>
    <t>[通用]锈蚀镣铐</t>
  </si>
  <si>
    <t>代理人造成的伤害提升35%，但不会再触发暴击。</t>
  </si>
  <si>
    <t>为了限制暴力囚犯所使用的坚硬镣铐，但有时候会起到反效果。</t>
  </si>
  <si>
    <t>CardDailyUse11.png</t>
  </si>
  <si>
    <t>[通用]热水壶</t>
  </si>
  <si>
    <t>进入接战状态30秒后，代理人造成的伤害提升18%，退出接战状态后增益效果结束。</t>
  </si>
  <si>
    <t>要等上一会儿才能听到咕噜咕噜的烧水声。</t>
  </si>
  <si>
    <t>CardDailyUse20.png</t>
  </si>
  <si>
    <t>[通用]一次性手套</t>
  </si>
  <si>
    <t>每场战斗中，每位代理人受到的首次近战伤害降低70%。</t>
  </si>
  <si>
    <t>[洗洗还能用]不过是自己骗自己！</t>
  </si>
  <si>
    <t>CardDailyUse22.png</t>
  </si>
  <si>
    <t>[通用]导游旗</t>
  </si>
  <si>
    <t>进入接战状态时，当前操作中的代理人造成的伤害提升10%，退出接战状态时，该增益效果结束。</t>
  </si>
  <si>
    <t>能力越大，责任越大。</t>
  </si>
  <si>
    <t>CardDailyUse23.png</t>
  </si>
  <si>
    <t>[通用]强效杀虫剂</t>
  </si>
  <si>
    <t>代理人对普通敌人造成的伤害提升30%。</t>
  </si>
  <si>
    <t>别管是什么虫，别管它在哪里，先下手为强！</t>
  </si>
  <si>
    <t>CardDailyUse24.png</t>
  </si>
  <si>
    <t>[通用]果蔬刨皮器</t>
  </si>
  <si>
    <t>代理人对精英敌人造成的伤害提升20%。</t>
  </si>
  <si>
    <t>看着一圈圈没有断开的苹果皮，一股毫无意义的自豪感油然而生。</t>
  </si>
  <si>
    <t>CardDailyUse19.png</t>
  </si>
  <si>
    <t>[通用]枯枝弹弓</t>
  </si>
  <si>
    <t>代理人造成的伤害提升5%，对首领敌人造成的伤害额外提升10%。</t>
  </si>
  <si>
    <t>用脆弱的树枝做成的玩具弹弓，十分容易折断。拥有它的小孩将成为他们之中的王。</t>
  </si>
  <si>
    <t>CardDailyUse21.png</t>
  </si>
  <si>
    <t>[通用]殷红之杯</t>
  </si>
  <si>
    <t>当代理人位于后场且生命值低于25%时，将会缓慢回复生命值。</t>
  </si>
  <si>
    <t>样子有些古怪的玻璃杯，分不清是道具还是真的可以用来当容器。</t>
  </si>
  <si>
    <t>CardDailyUse25.png</t>
  </si>
  <si>
    <t>[通用]古旧怀表</t>
  </si>
  <si>
    <t>只有1名队员存活时，代理人造成的伤害提升20%。</t>
  </si>
  <si>
    <t>怀表中放着一张模糊的照片，那是属于旧时光的记忆。</t>
  </si>
  <si>
    <t>CardDailyUse26.png</t>
  </si>
  <si>
    <t>[通用]一串狗牌</t>
  </si>
  <si>
    <t>只有1名队员存活时，代理人受到的伤害降低30%。</t>
  </si>
  <si>
    <t>哪怕只剩我一人，也要连同战友的份一起活下去。</t>
  </si>
  <si>
    <t>CardDailyUse29.png</t>
  </si>
  <si>
    <t>[通用]香氛蜡烛</t>
  </si>
  <si>
    <t>位于前场的代理人被击败时，其他代理人回复50%生命值。</t>
  </si>
  <si>
    <t>点亮蜡烛，为倒下的队友祈福…啊最好是水蜜桃味的。</t>
  </si>
  <si>
    <t>CardDailyUse12.png</t>
  </si>
  <si>
    <t>[通用]多功能战术刀</t>
  </si>
  <si>
    <t>攻击命中敌人时，额外对目标造成3%生命值上限的伤害，0.1秒内最多触发一次。</t>
  </si>
  <si>
    <t>弹出来的刀片一定要多看起来才够酷，能不能派上用处是另一码事。</t>
  </si>
  <si>
    <t>CardDailyUse27.png</t>
  </si>
  <si>
    <t>[通用]变焦镜头</t>
  </si>
  <si>
    <t>攻击命中敌人时，如果没有触发暴击，额外对目标造成10%攻击力的伤害，0.4秒内最多触发一次。</t>
  </si>
  <si>
    <t>直至拍到最清晰的照片为止，它是不会停止变焦的。</t>
  </si>
  <si>
    <t>CardDailyUse14.png</t>
  </si>
  <si>
    <t>提升[挥击]类型招式的克制效果。</t>
  </si>
  <si>
    <t>[通用]刺身刀</t>
  </si>
  <si>
    <t>提升[穿透]类型招式的克制效果。</t>
  </si>
  <si>
    <t>锋锐如针的细长刀刃，能轻易刺穿鳞片与皮脂，是处理生鲜不可或缺的厨具。</t>
  </si>
  <si>
    <t>CardChessboard32.png</t>
  </si>
  <si>
    <t>[通用]锤骨刀</t>
  </si>
  <si>
    <t>提升[打击]类型招式的克制效果。</t>
  </si>
  <si>
    <t>一味靠蛮力锤击只会获得一桌难以清理的碎骨头，厨师对于食材结构的理解至关重要。</t>
  </si>
  <si>
    <t>CardChessboard33.png</t>
  </si>
  <si>
    <t>[通用]奇迹星徽</t>
  </si>
  <si>
    <t>代理人造成的伤害提升15%。</t>
  </si>
  <si>
    <t>特摄剧[星徽骑士]中出现的变身徽章，象征流星群带来的奇迹之力。[踏破世间法则，乘群星如期而至！放下遮挡光芒的手，直面你的结局！]</t>
  </si>
  <si>
    <t>CardDailyUse34.png</t>
  </si>
  <si>
    <t>击败敌人时，代理人回复2%生命值。</t>
  </si>
  <si>
    <t>代理人的生命值上限提升10%。</t>
  </si>
  <si>
    <t>[通用]多功能军刀</t>
  </si>
  <si>
    <t>每缺失10%生命值，代理人造成的伤害提升3.5%。</t>
  </si>
  <si>
    <t>攻击生命值百分比高于自身的敌人时，代理人造成的伤害提升20%。</t>
  </si>
  <si>
    <t>受到敌方攻击时，抵挡一次致命伤害（每场战斗中最多触发1次）。</t>
  </si>
  <si>
    <t>[契合]充盈电鸣</t>
  </si>
  <si>
    <t>安比已唤醒意象影画：[充能电场]，在发动[冲刺攻击]或[闪避反击]之后，可以直接衔接[普通攻击]中顺位更加靠后的连段。
    [充能电场]：发动[强化特殊技]时，安比获得8层充能（上限8层）；[普通攻击]或[冲刺攻击]命中敌人时，消耗1层充能，使当前招式造成的伤害提升45%。</t>
  </si>
  <si>
    <t>安比进行了充分的休整，现在的她做好了大干一场的准备，走到哪里都仿佛能听到噼噼啪啪的电流声。</t>
  </si>
  <si>
    <t>CardDailyUse1011.png</t>
  </si>
  <si>
    <t>[契合]巅峰猎手</t>
  </si>
  <si>
    <t>猫又已唤醒意象影画：[猎鸟技巧]，在发动[冲刺攻击]或[闪避反击]之后，可以直接衔接[普通攻击]中顺位更加靠后的连段。
    [猎鸟技巧]：从背后攻击命中敌人时，猫又无视目标16%物理伤害抗性；敌方处于失衡状态时，猫又对其的所有攻击均被视为背后攻击。</t>
  </si>
  <si>
    <t>猫又蓄势待发，就像是处于巅峰状态的猎手，仿佛下一秒就会[噌]地冲出去不见踪影。</t>
  </si>
  <si>
    <t>CardDailyUse1021.png</t>
  </si>
  <si>
    <t>[契合]火力全开</t>
  </si>
  <si>
    <t>妮可已唤醒意象影画：[领域扩增]，在发动[冲刺攻击]或[闪避反击]之后，可以直接衔接[普通攻击]中顺位更加靠后的连段。
    [领域扩增]：妮可发动[强化特殊技]、[连携技]、[终结技]时，在目标处生成的能量场攻击范围提升，直径增加3米。</t>
  </si>
  <si>
    <t>如果说对敌人的恐惧源自火力不足，那火力全开的妮可就是敌人的恐惧之源。</t>
  </si>
  <si>
    <t>CardDailyUse1031.png</t>
  </si>
  <si>
    <t>[契合]天衣无缝</t>
  </si>
  <si>
    <t>「11号」已唤醒意象影画：[纵情燃烧]，在发动[冲刺攻击]或[闪避反击]之后，可以直接衔接[普通攻击]中顺位更加靠后的连段。
    [纵情燃烧]：[普通攻击]第一、二、三段或[冲刺攻击]发动时，若触发[火力镇压]，则在招式发动期间抗打断等级提升，受到的伤害降低18%；[普通攻击]第四段发动时，若触发[火力镇压]，则在招式发动期间获得无敌效果。</t>
  </si>
  <si>
    <t>「11号」做好了万全的准备，现在的她比任何时候状态都要好。</t>
  </si>
  <si>
    <t>CardDailyUse1041.png</t>
  </si>
  <si>
    <t>[契合]在我的BGM里</t>
  </si>
  <si>
    <t>比利已唤醒意象影画：[游斗射术]，在发动[冲刺攻击]或[闪避反击]之后，可以直接衔接[普通攻击]中顺位更加靠后的连段。
    [游斗射术]：[闪避反击]造成的伤害提升25%；[普通攻击]中的翻滚射击将被视为闪避动作，在招式发动期间获得无敌效果，并且能够触发[极限闪避]，翻滚射击触发[极限闪避]时，将自动衔接[闪避反击]。</t>
  </si>
  <si>
    <t>比利哼着星徽骑士的主题曲，一边嚷嚷着[没人能在我的BGM里打败我]，总之…状态极佳。</t>
  </si>
  <si>
    <t>CardDailyUse1081.png</t>
  </si>
  <si>
    <t>[契合]肌肉狂欢</t>
  </si>
  <si>
    <t>安东已唤醒意象影画：[热身运动]，在发动[冲刺攻击]或[闪避反击]之后，可以直接衔接[普通攻击]中顺位更加靠后的连段。
    [热身运动]：[电钻攻击]命中敌人时，能够额外回复能量；同一招式内，该效果最多为安东回复5点能量。</t>
  </si>
  <si>
    <t>安东状态极佳，一边行动一边不停做着扩胸运动，仿佛有使不完的力气想找个沙袋好好锤一下。</t>
  </si>
  <si>
    <t>CardDailyUse1111.png</t>
  </si>
  <si>
    <t>[契合]熊熊怒火</t>
  </si>
  <si>
    <t>本已唤醒意象影画：[灵活应变]，在发动[冲刺攻击]或[闪避反击]之后，可以直接衔接[普通攻击]中顺位更加靠后的连段。
    [灵活应变]：在[特殊技]或[强化特殊技]中，通过无敌效果成功格挡攻击时 ，后继反击造成的伤害提升30%。</t>
  </si>
  <si>
    <t>本开出了[生气的报价]，那可不是一般人承受得起的，幸好有空洞里的坏家伙们负责买单。</t>
  </si>
  <si>
    <t>CardDailyUse1121.png</t>
  </si>
  <si>
    <t>[契合]饭前运动</t>
  </si>
  <si>
    <t>苍角已唤醒意象影画：[朔风侵袭]，在发动[冲刺攻击]或[闪避反击]之后，可以直接衔接[普通攻击]中顺位更加靠后的连段。
    [朔风侵袭]：[霜染刃旗]状态下，强化[普通攻击]和强化[冲刺攻击]的可发动次数提升至12次，且招式造成的伤害提升45%。</t>
  </si>
  <si>
    <t>苍角爆发出前所未有的干劲，看得出来她非常想在赶在饭馆打烊前搞定所有任务。</t>
  </si>
  <si>
    <t>CardDailyUse1131.png</t>
  </si>
  <si>
    <t>[契合]冰冷逐客令</t>
  </si>
  <si>
    <t>莱卡恩已唤醒意象影画：[满月蓄势]，在发动[冲刺攻击]或[闪避反击]之后，可以直接衔接[普通攻击]中顺位更加靠后的连段。
    [满月蓄势]：[强化特殊技：狂猎时刻]命中敌人时，招式造成的失衡值提升12%，8秒内最多触发一次；在[强化特殊技：狂猎时刻]中完成蓄力时，该增益效果额外提升10%。</t>
  </si>
  <si>
    <t>莱卡恩的优雅一如既往，眼神却变得无比凌厉，任何不速之客在还没开口前就会吃到一记冰冷的飞踢作为逐客令。</t>
  </si>
  <si>
    <t>CardDailyUse1141.png</t>
  </si>
  <si>
    <t>[契合]邦布赐予我力量</t>
  </si>
  <si>
    <t>格莉丝已唤醒意象影画：[电致击穿]，在发动[冲刺攻击]或[闪避反击]之后，可以直接衔接[普通攻击]中顺位更加靠后的连段。
    [电致击穿]：在[普通攻击]、[特殊技]、[强化特殊技]等招式中投掷手雷命中敌人时，目标的电属性伤害抗性降低8.5%，电属性异常积蓄抗性降低8.5%，持续8秒。</t>
  </si>
  <si>
    <t>格莉丝状态极佳，邦布的抱抱不仅消除了疲惫，还带来了源源不断的力量。</t>
  </si>
  <si>
    <t>CardDailyUse1181.png</t>
  </si>
  <si>
    <t>[契合]对敌型起床气</t>
  </si>
  <si>
    <t>艾莲已唤醒意象影画：[冰洋掠食者]，在发动[冲刺攻击]或[闪避反击]之后，可以直接衔接[普通攻击]中顺位更加靠后的连段。
    [冰洋掠食者]：发动第三段[普通攻击：急冻修剪法]后，可以直接衔接发动[强化特殊技：鲨卷风]；发动[强化特殊技]时，每拥有1点[急冻充能]，当前招式造成的暴击伤害提升20%，最多提升60%。</t>
  </si>
  <si>
    <t>坏消息是艾莲睡了一觉但没有睡饱。好消息是她现在充满干劲，迫切想要为了下一次优质睡眠提前清扫障碍。</t>
  </si>
  <si>
    <t>CardDailyUse1191.png</t>
  </si>
  <si>
    <t>[契合]游刃有余</t>
  </si>
  <si>
    <t>丽娜已唤醒意象影画：[双人领舞]，在发动[冲刺攻击]或[闪避反击]之后，可以直接衔接[普通攻击]中顺位更加靠后的连段。
    [双人领舞]：被指派并发动攻击后，返回丽娜身边前，杜苏拉和安娜塔莎会在原处额外逗留5.5秒；在杜苏拉或安娜塔莎附近10米范围内的角色，从[核心被动：迷你毁灭拍档]中获得的增益效果提升至原本的130%。</t>
  </si>
  <si>
    <t>丽娜和她的小邦布们状态极佳，在险恶的空洞中行动对她们而言就像是在花园迷宫里嬉戏一般游刃有余。</t>
  </si>
  <si>
    <t>CardDailyUse1211.png</t>
  </si>
  <si>
    <t>[契合]热情大扫除</t>
  </si>
  <si>
    <t>可琳已唤醒意象影画：[厚积薄发]。
    [厚积薄发]：持续斩击命中敌人时，可琳获得1层充能（最多40层）；在[闪避反击]、[特殊技]、[强化特殊技]、[快速支援]、[支援突击]中，引爆电锯命中敌人时，消耗所有充能，每层充能使本次攻击额外造成可琳3%攻击力的伤害。</t>
  </si>
  <si>
    <t>在诚恳夸奖和安稳睡眠的双重作用下，可琳现在干劲满满，连喊[对不起]也显得底气十足。</t>
  </si>
  <si>
    <t>CardDailyUse1061.png</t>
  </si>
  <si>
    <t>[契合]烈锤火花</t>
  </si>
  <si>
    <t>珂蕾妲已唤醒意象影画：[动能回收]。
    [动能回收]：[强化特殊技]命中敌人时，珂蕾妲回复60点能量，45秒内最多触发一次。</t>
  </si>
  <si>
    <t>珂蕾妲和她的重锤都已调整到最佳状态，随便砸在哪里都会迸发出比平时更强烈的火花。</t>
  </si>
  <si>
    <t>CardDailyUse1101.png</t>
  </si>
  <si>
    <t>[契合]砥砺同行</t>
  </si>
  <si>
    <t>朱鸢已唤醒意象影画：[快速装填]。
    [快速装填]：朱鸢发动[连携技]/[终结技]时，将获得[快速装填]效果；当朱鸢拥有[快速装填]效果时，耗尽所有[强化霰弹]后，将消耗[快速装填]效果，立刻获得6/9枚[强化霰弹]。</t>
  </si>
  <si>
    <t>从来不是孤身踏入险境，诸多同僚正在看不见的地方，与她迈着一样的步伐坚定前行，这是朱鸢身为治安官的自信与自豪。</t>
  </si>
  <si>
    <t>CardDailyUse1241.png</t>
  </si>
  <si>
    <t>[契合]大小姐冲锋</t>
  </si>
  <si>
    <t>露西已唤醒意象影画：[獠牙堪烈火]，在发动[冲刺攻击]或[闪避反击]之后，可以直接衔接[普通攻击]中顺位更加靠后的连段。
    [獠牙堪烈火]：处于[加油！]状态下的队友[强化特殊技]命中敌人时，一只亲卫队小猪会从空中落地引发爆炸，造成等同于亲卫队小猪300%攻击力的火属性伤害，并使全队角色、邦布和亲卫队小猪的[加油！]状态的持续时间提升5秒；持续时间最多提升3次，上限30秒，重新获得[加油！]状态时刷新可提升次数；亲卫队小猪落地引发爆炸后，将会发动一次[亲卫队小猪：回旋挥击！]。</t>
  </si>
  <si>
    <t>露西和她的小猪们都获得了充分的休息，大家爆发出惊人的气势。</t>
  </si>
  <si>
    <t>CardDailyUse1151.png</t>
  </si>
  <si>
    <t>[契合]拳法：综合果味</t>
  </si>
  <si>
    <t>莱特已唤醒意象影画：[常胜冠军]。
    [常胜冠军]：在[核心被动：助燃剂]所施加的减益效果中，[溃败]效果将使失衡持续时间提升5秒，冰属性伤害抗性和火属性伤害抗性将额外降低10%；在轻拳起攻或刺拳连击期间耗尽[士气]，自动衔接发动强力终结一击时，强力终结一击造成的伤害提升30%。</t>
  </si>
  <si>
    <t>莱特的拳法比往常更为变幻莫测：迅猛的勾拳、凌厉的刺拳、酷烈的直拳和…一股淡淡的综合水果味儿？</t>
  </si>
  <si>
    <t>CardDailyUse1161.png</t>
  </si>
  <si>
    <t>[契合]希望的力量</t>
  </si>
  <si>
    <t>派派已唤醒意象影画：[轻度兴奋]。
    [轻度兴奋]：[强化特殊技：引擎转]的持续时间上限提升2秒，[动力]的持续时间提升4秒。</t>
  </si>
  <si>
    <t>派派干劲十足，派派充满希望，派派攥紧彩票，等不及回去看开奖。</t>
  </si>
  <si>
    <t>CardDailyUse1281.png</t>
  </si>
  <si>
    <t>[契合]如鱼得水</t>
  </si>
  <si>
    <t>青衣已唤醒意象影画：[介电击穿]，在发动[冲刺攻击]或[闪避反击]之后，可以直接衔接[普通攻击]中顺位更加靠后的连段。
    [介电击穿]：青衣进入战场时，立即使[闪络电压]回复至上限，并使其后继累积效率提升30%；发动[普通攻击：醉花月云转]时，若[闪络电压]已累积至上限，则使本次招式命中的敌人防御力降低15%，且自身对该目标的暴击率提升20%，持续15秒。</t>
  </si>
  <si>
    <t>青衣达成了「每日喝水指标」，此刻的她处于一天中的最佳状态。</t>
  </si>
  <si>
    <t>CardDailyUse1251.png</t>
  </si>
  <si>
    <t>[契合]「共犯」的默契</t>
  </si>
  <si>
    <t>简已唤醒意象影画：[犯罪顾问]，在发动[冲刺攻击]或[闪避反击]之后，可以直接衔接[普通攻击]中顺位更加靠后的连段。
    [犯罪顾问]：[普通攻击：萨霍夫跳]的可使用次数上限增加一次；在[狂热]状态下，简的物理异常积蓄效率额外提升15%，同时每点异常精通将会使自身造成的伤害提升0.1%，最多提升30%。</t>
  </si>
  <si>
    <t>能被简拉拢成「共犯」可不是一件容易的事，这也代表着她将不再保留实力。</t>
  </si>
  <si>
    <t>CardDailyUse1261.png</t>
  </si>
  <si>
    <t>[契合]荣耀同路</t>
  </si>
  <si>
    <t>赛斯已唤醒意象影画：[理想主义]。
    [理想主义]：赛斯在[普通攻击：雷霆击-感电]中发动终结一击命中敌人时，额外造成自身500%攻击力的伤害，本次攻击必定触发暴击，且暴击伤害提升60%。</t>
  </si>
  <si>
    <t>伤痛不仅没有影响赛斯的状态，反而使他斗志昂扬。这些伤口即是他身为治安官的荣耀勋章。</t>
  </si>
  <si>
    <t>CardDailyUse1271.png</t>
  </si>
  <si>
    <t>[契合]霸主同行</t>
  </si>
  <si>
    <t>凯撒已唤醒意象影画：[楔式进军]。
    [楔式进军]：成为接战状态下的当前操作角色时，凯撒立即为全队提供[荣光之盾]，300秒内最多触发一次；[荣光之盾]存在期间，持有者附近5米范围内敌人的全属性伤害抗性降低15%。</t>
  </si>
  <si>
    <t>对于凯撒而言，如果前路上有碍事的东西，也根本无需在意。只要碾过去了，那就不是障碍。</t>
  </si>
  <si>
    <t>CardDailyUse1071.png</t>
  </si>
  <si>
    <t>[契合]燃油饮欢宴</t>
  </si>
  <si>
    <t>柏妮思已唤醒意象影画：[加量不加价]，在发动[冲刺攻击]或[闪避反击]之后，可以直接衔接[普通攻击]中顺位更加靠后的连段。
    [加量不加价]：触发[余烬]效果时，将对敌人施加[热意洞穿]，最多叠加5层，持续6秒，重复触发时刷新持续时间；受到我方攻击时，目标每拥有一层[热意洞穿]，本次攻击的穿透率提升4%，最多提升20%。</t>
  </si>
  <si>
    <t>在柏妮思的世界里，解决问题的方式很简单…拉上队伍里的好朋友，一块来一场热热闹闹的燃油饮盛宴！</t>
  </si>
  <si>
    <t>CardDailyUse1171.png</t>
  </si>
  <si>
    <t>[契合]十七项检查</t>
  </si>
  <si>
    <t>月城柳已唤醒意象影画：[卓越适应性]。
    [卓越适应性]：[强化特殊技]中，快速突刺累积的电属性异常积蓄值提升20%；快速突刺命中敌人时，保持长按「特殊攻击」按键，可以额外消耗10点能量，再次发动突刺攻击，能量不足或停止长按后将自动衔接下落攻击；下落攻击命中处于属性异常状态下的敌人并触发[极性紊乱]效果时，对目标造成的伤害倍率提升至原本[紊乱]效果的20%，每额外发动一次突刺攻击，该伤害倍率额外提升15%，伤害倍率额外提升效果最多触发2次。</t>
  </si>
  <si>
    <t>月城柳完成了一系列细致的检查工作，她对结果十分满意，也对同伴们接下来的状态胸有成竹。</t>
  </si>
  <si>
    <t>CardDailyUse1221.png</t>
  </si>
  <si>
    <t>[契合]俳句剑法</t>
  </si>
  <si>
    <t>星见雅已唤醒意象影画：[吐纳法]，在发动[冲刺攻击]或[闪避反击]之后，可以直接衔接[普通攻击]中顺位更加靠后的连段。
    [吐纳法]：[普通攻击：风花]和[闪避反击]造成的伤害提升30%；第五段[普通攻击：风花]最后一击命中敌人时，星见雅获得1点[落霜]；进入战场时，星见雅立刻获得6点[落霜]，自身暴击率提升15%。</t>
  </si>
  <si>
    <t>星见雅开始了新一轮修行，这次的修行内容是「一边念俳句一边帅气地斩击敌人」。不得不说画面确实很帅，雅的剑招也很利落。难道…俳句对她真的有强化效果…</t>
  </si>
  <si>
    <t>CardDailyUse1091.png</t>
  </si>
  <si>
    <t>[契合]高效时刻</t>
  </si>
  <si>
    <t>浅羽悠真已唤醒意象影画：[「意气风发」]，在发动[冲刺攻击]或[闪避反击]之后，可以直接衔接[普通攻击]中顺位更加靠后的连段。
    [「意气风发」]：[普通攻击：甲乙矢]中，[电囚]效果的叠加层数上限提升至14层；[电壶]被激活时，将会向目标连续发射2支[甲乙矢]。</t>
  </si>
  <si>
    <t>浅羽悠真获得了充分的休息，懒散的状态一扫而空，现在是高效工作时刻。</t>
  </si>
  <si>
    <t>CardDailyUse1201.png</t>
  </si>
  <si>
    <t>[契合]返场时刻</t>
  </si>
  <si>
    <t>耀嘉音已唤醒意象影画：[贪心艺术]。
    [贪心艺术]：[核心被动：《如歌的行板》]中的攻击力提升效果额外提升19%，上限额外提升400点；[咏叹华彩]状态下，队伍中其他角色通过[快速支援]、[连携技]、[招架支援]或[回避支援]入场时，耀嘉音将额外追加释放1道[震音]和3枚[音簇]进行攻击，3秒内最多触发一次。</t>
  </si>
  <si>
    <t>耀嘉音获得了充分的休息，现在的她状态极佳，是时候重登舞台了！</t>
  </si>
  <si>
    <t>CardDailyUse1311.png</t>
  </si>
  <si>
    <t>[契合]往日手感</t>
  </si>
  <si>
    <t>伊芙琳已唤醒意象影画：[赴火之舞]，在发动[冲刺攻击]或[闪避反击]之后，可以直接衔接[普通攻击]中顺位更加靠后的连段。
    [赴火之舞]：伊芙琳的攻击力提升15%；伊芙琳发动[普通攻击：绞勒式·I型]或[普通攻击：绞勒式·II型]时，将返还所消耗的[燎火]，25秒内最多触发一次；伊芙琳消耗[燎索点]发动[连携技：月辉丝·绊]时，招式的打断等级提升。</t>
  </si>
  <si>
    <t>伊芙琳的状态奇佳，不如说是…手感奇佳。她说「仿佛回到了以前执行任务时的巅峰状态」。具体细节之类的，还是别问了吧…</t>
  </si>
  <si>
    <t>CardDailyUse1321.png</t>
  </si>
  <si>
    <t>[契合]银心的鸣破</t>
  </si>
  <si>
    <t>零号·安比已唤醒意象影画：[静滞电荷]。
    [静滞电荷]：零号·安比发动[强化特殊技]命中敌人时，将会连续触发3次[白雷]的额外伤害，该效果不会消耗[白雷]层数。</t>
  </si>
  <si>
    <t>银心锡兵为战斗而生，但在你身边的是安比。她的剑刃诉说着那些无法被遗忘的事物。</t>
  </si>
  <si>
    <t>CardDailyUse1381.png</t>
  </si>
  <si>
    <t>[契合]与你的旋律</t>
  </si>
  <si>
    <t>「扳机」已唤醒意象影画：[精准感知]。
    [精准感知]：通过[核心被动：破隙幽瞳]施加的失衡易伤倍率额外提升20%；发动[普通攻击：协奏狙杀]时，触发的冷却时间降低至2秒；在[狙击姿态]下发动连续射击或蓄力反击命中敌人时，获得的[绝意]值提升25%，[绝意]值上限提升至125点。</t>
  </si>
  <si>
    <t>思念着故人与身旁的你，「扳机」吹奏了独创的口琴乐。守护的强大意志此刻正化作昂扬的战意。</t>
  </si>
  <si>
    <t>CardDailyUse1361.png</t>
  </si>
  <si>
    <t>[契合]干票大的</t>
  </si>
  <si>
    <t>波可娜已唤醒意象影画：[面具之下]。
    [面具之下]：[特殊技：噬爪·噩梦袭影]造成的伤害提升15%，重复攻击的可触发次数额外提升2次；[额外能力：业务搭档]中[困迹]的效果对[追加攻击]以外的伤害类型也会生效。</t>
  </si>
  <si>
    <t>波可娜斗志昂扬，从身上掏出了各类眼影、口红和粉饼…「这些是伪装炸弹？」「是代购的热销品，帮我拿好，碎掉可就卖不出价了。」</t>
  </si>
  <si>
    <t>CardDailyUse1351.png</t>
  </si>
  <si>
    <t>[契合]少女的阳伞</t>
  </si>
  <si>
    <t>薇薇安已唤醒意象影画：[《在春天走进果园》]。
    [《在春天走进果园》]：累计消耗4点[护羽]时回复1点[飞羽]；处于[薇薇安的预言]下的目标受到的所有属性异常伤害和[紊乱]伤害提升16%。</t>
  </si>
  <si>
    <t>裙摆和阳伞不只是博得关注的少女心思…当薇薇安撑起阳伞，那份热切的保护欲将扫清前路，遮蔽一切恶意。</t>
  </si>
  <si>
    <t>CardDailyUse1331.png</t>
  </si>
  <si>
    <t>[契合]怪盗的魔法</t>
  </si>
  <si>
    <t>雨果已唤醒意象影画：[内在小孩]。
    [内在小孩]：[终结技：渎神者]触发[决算]效果时不会使敌人的失衡状态结束；此外，触发[决算]效果时招式将会无视其15%防御力。</t>
  </si>
  <si>
    <t>新艾利都只有以太，没有魔法——除非你相信怪盗那双带着狡黠笑意的眼睛。
    你看见那里凝结了不屈的火焰与寂静的寒霜，交织着残酷的真相和温柔的谎言。</t>
  </si>
  <si>
    <t>CardDailyUse1291.png</t>
  </si>
  <si>
    <t>[契合]守华照寂</t>
  </si>
  <si>
    <t>仪玄已唤醒意象影画：[清灵道心]。
    [清灵道心]：进入战场时，暴击率提升10%，立即获得120点[术法值]，在勘域模式中此效果180秒内最多触发一次；队伍中任意角色命中敌人时，仪玄会自动追加一道落雷，造成等同于仪玄50%贯穿力的伤害并额外回复5点闪能，6秒内最多追加一次落雷。</t>
  </si>
  <si>
    <t>「修行如月下探泉水，当以指尖触水而月影不散，而非搅动星河。」
    她总在你身后举重若轻阻下一切，面色淡然。</t>
  </si>
  <si>
    <t>CardDailyUse1371.png</t>
  </si>
  <si>
    <t>[契合]「好大威风」</t>
  </si>
  <si>
    <t>橘福福已唤醒意象影画：[超级可怕小老虎]。
    [超级可怕小老虎]：进入战场时，橘福福的暴击率提升12%，立即获得100点[威风]；橘福福的[连携技]命中敌人时，目标处于失衡状态下时，失衡易伤倍率提升35%，持续30秒。</t>
  </si>
  <si>
    <t>据你亲爱的大师姐福福本人所说，虎希人战斗时天生就有名为「威风」的气场护体。
    虽然不管从科学还是术法的角度都解释不通，但福福的战意的确更加昂扬了。</t>
  </si>
  <si>
    <t>CardDailyUse1391.png</t>
  </si>
  <si>
    <t>[契合]煲汤为盟</t>
  </si>
  <si>
    <t>潘引壶已唤醒意象影画：[气穴论]。
    [气穴论]：[核心被动：脉中乾坤]提供的[通窍]将额外获得潘引壶初始攻击力6%的提升，该效果提供的贯穿力最多提升至720点。</t>
  </si>
  <si>
    <t>潘师兄极力盘算着怎么用尽可能低的价格拿下菜市场那些最好的食材。这碗十全大补汤是他信赖与感谢的证明。</t>
  </si>
  <si>
    <t>CardDailyUse1421.png</t>
  </si>
  <si>
    <t>[契合]最佳对称拍档</t>
  </si>
  <si>
    <t>爱丽丝已唤醒意象影画：[剑尖的鼠尾草]。
    [剑尖的鼠尾草]：[终结技：星芒终章]的终结一击命中敌人时，触发[极性强击]；全队角色造成的[强击]伤害提升15%；物理异常状态下的敌人被结算的[紊乱]伤害提升15%；进入战场时，爱丽丝立刻获得1000点喧响值，在勘域模式中此效果180秒内最多触发一次。</t>
  </si>
  <si>
    <t>经过一番这样那样的调整，伊埃斯呈现出了完美的轴对称，爱丽丝的心情也得到了前所未有的释放！至于调整的过程…还是不要说得太明白为好。</t>
  </si>
  <si>
    <t>CardDailyUse1401.png</t>
  </si>
  <si>
    <t>[契合]福来梅饼</t>
  </si>
  <si>
    <t>柚叶已唤醒意象影画：[趣友云集]。
    [趣友云集]：柚叶的[强化特殊技：小心蛀牙]、[强化特殊技：小心蛀牙，就是现在！]和[终结技：不投降就捣乱]攻击命中敌人时，会使全队角色造成的伤害提升15%，属性异常积蓄效率提升15%，持续40秒，重复触发时刷新持续时间，重击命中不处于失衡状态的敌人时，会强制触发[连携技]，通过该种方式发动的[连携技]，打断等级降低，强制触发[连携技]的效果每20秒最多触发一次；其他角色通过[连携技]入场时，柚叶会获得1点[甜度点]；柚叶触发[普通攻击：硬糖射击]的冷却时间减少25%。</t>
  </si>
  <si>
    <t>澄辉坪当地小吃，以其酸度惊人远近闻名，是柚叶常备的恶作剧道具，也有提神醒脑、振奋精神的妙用。</t>
  </si>
  <si>
    <t>CardDailyUse1411.png</t>
  </si>
  <si>
    <t>[契合]三个火枪手</t>
  </si>
  <si>
    <t>奥菲丝&amp; 「鬼火」已唤醒意象影画：[豪华猫屋]。
    [豪华猫屋]：奥菲丝&amp;「鬼火」发动[特殊技：蚀光一闪]、[强化特殊技：灼红旋涡]、[强化特殊技：蓄热充能]、[强化特殊技：燥焰迸射]造成的伤害无视15%火属性伤害抗性，且拥有[准星聚焦]的代理人攻击造成的伤害提升20%。</t>
  </si>
  <si>
    <t>一个枪手一把枪，两个枪手一把枪，三个枪手…还是一把枪！
    不过至少和奥菲丝同「鬼火」在一起，你肯定不愁子弹用。</t>
  </si>
  <si>
    <t>CardDailyUse1301.png</t>
  </si>
  <si>
    <t>[契合]废墟上的花</t>
  </si>
  <si>
    <t>「席德」已唤醒意象影画：[「冻眠期」]。
    [「冻眠期」]：「席德」[钢能]达到100点时，即可发动[普通攻击：落华·崩坠]且总计消耗的[钢能]降低至100点；获得一次快速释放[普通攻击：落华·重戮]机会所需的[钢能]降低至100点；进入战场/发动[终结技]时，额外累积40/20点[钢能]；[普通攻击：落华·崩坠]造成的暴击伤害提升30%。</t>
  </si>
  <si>
    <t>曾经，在这样的废墟里，人类已一无所有。但现在，少女确实看到了…废墟上盛开着花。
    此刻，她将献予你饱含爱意的花朵。还请不要询问这样做的理由，藏起害羞将它收下。</t>
  </si>
  <si>
    <t>CardDailyUse1461.png</t>
  </si>
  <si>
    <t>[契合]倾听潮汐</t>
  </si>
  <si>
    <t>伊德海莉已唤醒意象影画：[过往沉溺于渊下]。
    [过往沉溺于渊下]：伊德海莉发动[强化特殊技]所需消耗的闪能减少10点；发动[强化特殊技：缠霜]或[强化特殊技：极寒重碾]后，保持长按「普通攻击」或「特殊攻击」按键，可以消耗35闪能，放弃回复生命值并立即衔接1次[强化特殊技：极寒重碾]，并使本次[强化特殊技：极寒重碾]回复的生命值额外提升100%；伊德海莉的[普通攻击]、[强化特殊技]无视目标20%冰属性伤害抗性。</t>
  </si>
  <si>
    <t>在你身边，她的心绪变化从来似潮汐温和退涨，仅在漫过沙滩时泛起轻柔私语。
    而在此一刻，你真切地感知到她的心绪激荡起无声的波浪，在那卷起的波涛中凝练着重逾千钧的力量。</t>
  </si>
  <si>
    <t>CardDailyUse1051.png</t>
  </si>
  <si>
    <t>[契合]月夜大冒险</t>
  </si>
  <si>
    <t>卢西娅已唤醒意象影画：[秘密朋友]。
    [秘密朋友]：[巡梦童谣]状态额外附加造成伤害时无视敌人18%全属性伤害抗性和喧响值获取效率提升5%效果；且卢西娅发动招式升级时获得1层[回音]，最多叠加4层，当[巡梦童谣]状态结束时，若卢西娅持有[回音]，则会自动消耗1层并重新为全队角色施加[巡梦童谣]状态。</t>
  </si>
  <si>
    <t>敏锐的以太感知、渊博的以骸知识、绝妙的战斗技巧、以及永远蓬勃增长的好奇心——毫无疑问，卢西娅是最好的空洞旅伴之一。
    …在答应和她一起去寻找「多佩冈亚」后，这份旺盛的精力甚至更上一层楼了。</t>
  </si>
  <si>
    <t>CardDailyUse1451.png</t>
  </si>
  <si>
    <t>[契合]百炼重刃</t>
  </si>
  <si>
    <t>狛野真斗已唤醒意象影画：[越过昔年梦]。
    [越过昔年梦]：[特殊技：归烬]命中处于失衡状态下的敌人时，真斗回复75点[炽心]，获得4层[残焰]，点按 &lt;IconMap:Icon_Normal&gt; 可以发动[支援突击]，获得[残焰]的效果在20秒内最多触发一次；[支援突击]命中敌人时，造成的火属性伤害提升3%，持续8秒，最多叠加5层，重复触发刷新持续时间。</t>
  </si>
  <si>
    <t>真斗的体魄，是长久的劳作和无数生死较量在他身上留下的硬茧。
    所以，请别害怕——只要还能挥动那柄沉重的大剑，他就不会让危险靠近你。</t>
  </si>
  <si>
    <t>CardDailyUse1441.png</t>
  </si>
  <si>
    <t>[契合]亡者拨盘</t>
  </si>
  <si>
    <t>琉音已唤醒意象影画：[7×24热线畅通]。
    [7×24热线畅通]：[恶意投诉]效果下敌人进入失衡状态后的失衡易伤倍率额外提升20%，所有单位对[恶意投诉]效果下的敌人造成的伤害提升15%。</t>
  </si>
  <si>
    <t>琉音身负的电话只有亡灵能够拨通，当来电声响起时，以昨日真相审判今日罪恶的裁决序幕，便宣告正式拉开。</t>
  </si>
  <si>
    <t>CardDailyUse1481.png</t>
  </si>
  <si>
    <t>[契合]未凌绝顶</t>
  </si>
  <si>
    <t>般岳已唤醒意象影画：[贪欲如火]。
    [贪欲如火]：[强化特殊技：论道]和[强化特殊技：地动]命中敌人时，会使敌人陷入[战栗]状态，处于该状态的敌人火属性伤害抗性降低10%，持续30秒；[强化特殊技：狮子吼]、[强化特殊技：狮子吼·怒]、[强化特殊技：山摇]、[强化特殊技：山摇·怒]、[普通攻击：倾山]和[普通攻击：摧岳]命中处于[战栗]状态的敌人时，造成的贯穿伤害提高10%；[普通攻击：摧岳]命中处于失衡状态的敌人时，会使其此次失衡的失衡持续时间提升2秒，敌人在一次失衡期间内只会受到一次该效果，且同类效果不可叠加。</t>
  </si>
  <si>
    <t>一山更有一山的高峰，无论武学或是心性，般岳始终欲往更高处攀去。
    待到回首，亦露峥嵘。</t>
  </si>
  <si>
    <t>CardDailyUse1471.png</t>
  </si>
  <si>
    <t>剑映孤心</t>
  </si>
  <si>
    <t>叶瞬光已唤醒意象影画：[光与影]。
    [光与影]：[载物]可叠加层数提升至6层，[观止]可叠加至9层；[明心境]状态下，每消耗1点[青溟剑势]，则获得1层[观止]效果；[强化特殊技：明心境·飞光]和[终结技：斩妄开天]造成的伤害无视目标40%防御力。</t>
  </si>
  <si>
    <t>空洞之中多有艰险之处，需得谨守心神，多加戒备，才能保证安全。
    然而此时此刻，请尽管放心——小师姐正行于你的身侧，剑光守卫着你的前路。</t>
  </si>
  <si>
    <t>CardDailyUse1431.png</t>
  </si>
  <si>
    <t>双倍幸运兔耳</t>
  </si>
  <si>
    <t>照已唤醒意象影画：[凛然裁决]。
    [凛然裁决]：照被切换为非当前操作角色时，使全队角色造成的伤害无视目标15%全属性伤害抗性，持续50秒，重复触发时刷新持续时间。</t>
  </si>
  <si>
    <t>小照说干净的兔耳能为大家带来幸运，那我和小照加起来就有两对兔耳，双倍幸运！</t>
  </si>
  <si>
    <t>CardDailyUse1341.png</t>
  </si>
  <si>
    <t>[空洞]猪猪存钱罐</t>
  </si>
  <si>
    <t>欠款的额度越高，在商人邦布处消费获得的返利越高（当前欠款：{CReplaceCardParam:debt_1001001,1,2}，当前返利：{CReplaceCardParam:InterestRate_Card1001001,1,2}%）</t>
  </si>
  <si>
    <t>模样讨喜的存钱罐，能为主人带来好运。不过要想把里面的钱取出来，就得把它砸个粉碎。</t>
  </si>
  <si>
    <t>CardChessboard04.png</t>
  </si>
  <si>
    <t>[空洞]招财猫</t>
  </si>
  <si>
    <t>齿轮硬币获得量提升20%。</t>
  </si>
  <si>
    <t>有了它以后，和钱相关的事情都会变得很顺利。</t>
  </si>
  <si>
    <t>CardChessboard29.png</t>
  </si>
  <si>
    <t>[空洞]筹码纸币</t>
  </si>
  <si>
    <t>获得齿轮硬币时，全队回复1%生命值。</t>
  </si>
  <si>
    <t>只要有人陪你玩，你就永远是富翁。</t>
  </si>
  <si>
    <t>CardChessboard07.png</t>
  </si>
  <si>
    <t>[空洞]硬币收集册</t>
  </si>
  <si>
    <t>每拥有100枚齿轮硬币，全队造成的伤害提升1%。</t>
  </si>
  <si>
    <t>保存着各种稀奇古怪硬币的收集册，因为硬币数量众多，所以册子十分沉。</t>
  </si>
  <si>
    <t>CardChessboard18.png</t>
  </si>
  <si>
    <t>[空洞]纸飞机</t>
  </si>
  <si>
    <t>齿轮硬币少于250枚时，压力值不会增长。</t>
  </si>
  <si>
    <t>朴素廉价的玩具，承载着飞黄腾达的梦想。</t>
  </si>
  <si>
    <t>CardChessboard05.png</t>
  </si>
  <si>
    <t>[空洞]瓶中幸运星</t>
  </si>
  <si>
    <t>可以在邦布商人处免费购买一件商品。</t>
  </si>
  <si>
    <t>连续3年蝉联[空洞调查员最喜欢的骸晶]榜单冠军。</t>
  </si>
  <si>
    <t>CardChessboard08.png</t>
  </si>
  <si>
    <t>[空洞]过期会员卡</t>
  </si>
  <si>
    <t>拥有的齿轮硬币少于888枚时，邦布商人全场8折。</t>
  </si>
  <si>
    <t>只要你不吭声，粗心的店员就不会发现它早就过期失效了。</t>
  </si>
  <si>
    <t>CardChessboard30.png</t>
  </si>
  <si>
    <t>[空洞]玻璃弹珠</t>
  </si>
  <si>
    <t>齿轮硬币数量少于250枚时，全队造成的伤害提升15%。</t>
  </si>
  <si>
    <t>虽然可能撞坏，但依旧会使出最大的力气把玻璃球打出去。</t>
  </si>
  <si>
    <t>CardChessboard14.png</t>
  </si>
  <si>
    <t>[空洞]迷你沙袋</t>
  </si>
  <si>
    <t>每次增长的压力值减少2点。</t>
  </si>
  <si>
    <t>通过施加暴力来发泄压力，虽然不太优雅但的确有效。</t>
  </si>
  <si>
    <t>CardChessboard01.png</t>
  </si>
  <si>
    <t>[空洞]猫耳耳机</t>
  </si>
  <si>
    <t>增长压力值时，有15%的概率无事发生。</t>
  </si>
  <si>
    <t>[你说啥——我听不见——]</t>
  </si>
  <si>
    <t>CardChessboard02.png</t>
  </si>
  <si>
    <t>[空洞]喷水枪</t>
  </si>
  <si>
    <t>进入战斗事件时，压力值不会增长。</t>
  </si>
  <si>
    <t>没什么伤害，却很伤感情。</t>
  </si>
  <si>
    <t>CardChessboard06.png</t>
  </si>
  <si>
    <t>[空洞]童真泡泡机</t>
  </si>
  <si>
    <t>在战斗外回复生命值时，压力值降低5点。</t>
  </si>
  <si>
    <t>泡泡安全无害，甚至可以食用，请放心给小孩子玩耍。</t>
  </si>
  <si>
    <t>CardChessboard09.png</t>
  </si>
  <si>
    <t>[空洞]玩具喇叭</t>
  </si>
  <si>
    <t>进入下一层时，压力值降低30点。</t>
  </si>
  <si>
    <t>对着大海，把烦心事喊出来吧。</t>
  </si>
  <si>
    <t>CardChessboard03.png</t>
  </si>
  <si>
    <t>[空洞]涂鸦喷漆</t>
  </si>
  <si>
    <t>每与邦布商人进行一次交易，压力值降低10点。</t>
  </si>
  <si>
    <t>使劲摇晃罐子，然后留下到此一游的记号吧。</t>
  </si>
  <si>
    <t>CardChessboard10.png</t>
  </si>
  <si>
    <t>[空洞]邦布抱枕</t>
  </si>
  <si>
    <t>抵消一次压力过载的侵蚀症状。</t>
  </si>
  <si>
    <t>软绵绵的等身大抱枕，比真正的邦布还要大。有它在的话，就什么也不用担心了吧！</t>
  </si>
  <si>
    <t>CardChessboard13.png</t>
  </si>
  <si>
    <t>[空洞]积木城堡</t>
  </si>
  <si>
    <t>压力过载后，随机获得一枚A级鸣徽。</t>
  </si>
  <si>
    <t>哪怕是由积木搭成，也能感受到它的华丽。如果能住在里面多好啊…</t>
  </si>
  <si>
    <t>CardChessboard23.png</t>
  </si>
  <si>
    <t>[空洞]名刀图册</t>
  </si>
  <si>
    <t>每拥有10点压力值，全队直接攻击造成的伤害提升2.5%。（当前提升：{CReplaceCardParam:DamageShow_1001017,0.01,2}%）</t>
  </si>
  <si>
    <t>保存着许多名刀照片的相册，每张照片的背后很细心地写明了刀的主人的名字。</t>
  </si>
  <si>
    <t>CardChessboard15.png</t>
  </si>
  <si>
    <t>[空洞]植物标本册</t>
  </si>
  <si>
    <t>每拥有10点压力值，全队承受的直接攻击伤害降低1.5%。（当前降低：{CReplaceCardParam:DamageShow_1001018,-0.01,2}%）</t>
  </si>
  <si>
    <t>保存着植物叶子的标本收集册，每片叶子下面很细心地写明了植物的名字。</t>
  </si>
  <si>
    <t>CardChessboard16.png</t>
  </si>
  <si>
    <t>[空洞]玩具光剑</t>
  </si>
  <si>
    <t>全队直接攻击造成的伤害提升25%，但压力值增长时会额外增长3点。</t>
  </si>
  <si>
    <t>小孩所喜欢的玩具光剑，只要充满电，按一下剑柄上的按钮就会伸展出发光的剑身（伴随着劣质的音效）。</t>
  </si>
  <si>
    <t>CardChessboard27.png</t>
  </si>
  <si>
    <t>[空洞]战斗陀螺</t>
  </si>
  <si>
    <t>每拥有1个侵蚀症状，全队直接攻击造成的伤害提升5%。（当前提升：{CReplaceCardParam:DamageShow_1001020,0.01,2}%）</t>
  </si>
  <si>
    <t>胜利的一方可以获得战利品：败者的战斗陀螺。将上面的部件拆下来强化自己的陀螺吧！</t>
  </si>
  <si>
    <t>CardChessboard22.png</t>
  </si>
  <si>
    <t>[空洞]昆虫图册</t>
  </si>
  <si>
    <t>每拥有10点压力值，进入战场时全队回复3%能量。（当前回复：{CReplaceCardParam:SPShow_1001021,0.01,2}%）</t>
  </si>
  <si>
    <t>保存着许多昆虫照片的相册，看久了令人心里发毛。</t>
  </si>
  <si>
    <t>CardChessboard17.png</t>
  </si>
  <si>
    <t>[空洞]搞怪闹钟</t>
  </si>
  <si>
    <t>压力过载后，使一名失去战斗能力的队员恢复活力。</t>
  </si>
  <si>
    <t>[都凌晨3点了，还不快起来加班！]</t>
  </si>
  <si>
    <t>CardChessboard25.png</t>
  </si>
  <si>
    <t>[空洞]普通版卡包</t>
  </si>
  <si>
    <t>进入扭蛋机获取鸣徽时，20%概率额外获得一枚B级鸣徽。</t>
  </si>
  <si>
    <t>风靡一时的桌游[星徽迷之塔]所售卖的卡包，每包至少能开出2张星徽骑士形态卡。</t>
  </si>
  <si>
    <t>CardChessboard11.png</t>
  </si>
  <si>
    <t>[空洞]典藏版卡包</t>
  </si>
  <si>
    <t>进入扭蛋机获取鸣徽时，10%概率额外获得一枚A级鸣徽。</t>
  </si>
  <si>
    <t>风靡一时的桌游[星徽迷之塔]所售卖的卡包，每包至少能开出2张闪卡。</t>
  </si>
  <si>
    <t>CardChessboard12.png</t>
  </si>
  <si>
    <t>[空洞]附赠CD</t>
  </si>
  <si>
    <t>鉴定鸣徽时会额外获得一枚B级鸣徽，每获得一次概率降低20%。</t>
  </si>
  <si>
    <t>随书附赠的光盘，里面的内容可能和书上的一模一样，也可能是额外的惊喜，谁知道呢。</t>
  </si>
  <si>
    <t>CardChessboard28.png</t>
  </si>
  <si>
    <t>[空洞]精选盲盒</t>
  </si>
  <si>
    <t>进入扭蛋机获取鸣徽时，5%概率额外获得一枚S级鸣徽。</t>
  </si>
  <si>
    <t>隐藏款在哪里，我只要隐藏款！</t>
  </si>
  <si>
    <t>CardChessboard21.png</t>
  </si>
  <si>
    <t>[空洞]玩具听诊器</t>
  </si>
  <si>
    <t>进入战场时，全队回复7%生命值。</t>
  </si>
  <si>
    <t>医生过家家中的必备道具，但不知为何，孩子们更喜欢演病人。</t>
  </si>
  <si>
    <t>CardChessboard20.png</t>
  </si>
  <si>
    <t>[空洞]多彩手电</t>
  </si>
  <si>
    <t>探索空洞时，自动显示相邻区域。</t>
  </si>
  <si>
    <t>有7种彩灯功能的儿童手电筒，照明性能一般，且频繁切换颜色会造成精神污染。</t>
  </si>
  <si>
    <t>CardChessboard19.png</t>
  </si>
  <si>
    <t>[空洞]玩具救护车</t>
  </si>
  <si>
    <t>进入下一层时，全队回复15%生命值。</t>
  </si>
  <si>
    <t>打开后车门，里面还坐着3个医生玩具小人。</t>
  </si>
  <si>
    <t>CardChessboard24.png</t>
  </si>
  <si>
    <t>[空洞]千纸鹤</t>
  </si>
  <si>
    <t>进入首领关卡时，全队回复15%生命值。</t>
  </si>
  <si>
    <t>病人在病床上折的纸鹤，饱含了对康复的期望。</t>
  </si>
  <si>
    <t>CardChessboard26.png</t>
  </si>
  <si>
    <t>打工或拾取时齿轮硬币的获得量提升100%。</t>
  </si>
  <si>
    <t>[空洞]珂蕾妲的破拆锤</t>
  </si>
  <si>
    <t>可以拆除脆弱墙体，至于坚固墙体…咱们是来调查的，不是来拆迁的</t>
  </si>
  <si>
    <t>能力鸣徽。「绳匠指明方向，障碍物统统由我拆除！」 —— 珂蕾妲</t>
  </si>
  <si>
    <t>CardChessboard48.png</t>
  </si>
  <si>
    <t>[空洞]格莉丝的拆弹器</t>
  </si>
  <si>
    <t>安全拆除被设置好了的炸弹。</t>
  </si>
  <si>
    <t>能力鸣徽。「这种炸弹我上小学就会拆了。」——格莉丝</t>
  </si>
  <si>
    <t>CardChessboard47.png</t>
  </si>
  <si>
    <t>[空洞]本也来搭把手</t>
  </si>
  <si>
    <t>协助珂蕾妲，可以更迅速地完成破拆。</t>
  </si>
  <si>
    <t>能力鸣徽。「社长，我不是有意把它坐坏的…」——本</t>
  </si>
  <si>
    <t>CardChessboard46.png</t>
  </si>
  <si>
    <t>[礼包码]究极光耀圣剑</t>
  </si>
  <si>
    <t>使指定邦布攻击力+1。</t>
  </si>
  <si>
    <t>派发给所有新手玩家的礼包码，人手一份，光看名字和图标还以为有多厉害呢…</t>
  </si>
  <si>
    <t>CardChessboard40.png</t>
  </si>
  <si>
    <t>[礼包码]星海陨灭铠甲</t>
  </si>
  <si>
    <t>使指定邦布生命值+1。</t>
  </si>
  <si>
    <t>CardChessboard39.png</t>
  </si>
  <si>
    <t>[礼包码]点赞枪</t>
  </si>
  <si>
    <t>使指定邦布的攻击次数+1。</t>
  </si>
  <si>
    <t>游戏发布者绳网账号突破1万粉丝纪念礼包码。
    「感谢大家的关注和点击，我会把你们全都做进游戏里！」这是发布者的原话。</t>
  </si>
  <si>
    <t>CardChessboard42.png</t>
  </si>
  <si>
    <t>[礼包码]10号面具</t>
  </si>
  <si>
    <t>使指定邦布的攻击力变为10。</t>
  </si>
  <si>
    <t>在一些特殊节日里，游戏的制作者偶尔会闯入对战，使用一只戴着「10号面具」的超强邦布。虽然大家一起围攻也打不赢，但所有参战玩家事后都会获得一个稀有的纪念礼包码，重在参与嘛。</t>
  </si>
  <si>
    <t>CardChessboard45.png</t>
  </si>
  <si>
    <t>[礼包码]超合金假牙</t>
  </si>
  <si>
    <t>使鲨牙布获得新技能：攻击造成的伤害变为2倍。</t>
  </si>
  <si>
    <t>鲨牙布被评选为「第一赛季人气MVP」后，派发给全服的纪念奖励。</t>
  </si>
  <si>
    <t>CardChessboard44.png</t>
  </si>
  <si>
    <t>[礼包码]弹射贵宾席</t>
  </si>
  <si>
    <t>使指定邦布获得新技能：败退后，其他友方邦布生命值+10。</t>
  </si>
  <si>
    <t>专门派发给五连败玩家的安慰奖，也算是一种平衡胜率的粗糙办法吧…</t>
  </si>
  <si>
    <t>CardChessboard38.png</t>
  </si>
  <si>
    <t>[礼包码]BUG盾</t>
  </si>
  <si>
    <t>使指定邦布获得新技能：免疫每轮战斗受到的第一次伤害。</t>
  </si>
  <si>
    <t>派发给参加过首测玩家的礼包码，用来感谢先行者们对这款软件的热情评分和无情反馈。</t>
  </si>
  <si>
    <t>CardChessboard43.png</t>
  </si>
  <si>
    <t>[礼包码]「孤蛋头巾」</t>
  </si>
  <si>
    <t>使指定邦布获得新技能：只剩自己时，攻击力与生命值变为5倍。</t>
  </si>
  <si>
    <t>派发给回归玩家的礼包，使用后不仅会获得一个新技能，用户名前还会加上一个看上去很像错别字的称号：「孤蛋英雄」。</t>
  </si>
  <si>
    <t>CardChessboard41.png</t>
  </si>
  <si>
    <t>[空洞]强力挂钩</t>
  </si>
  <si>
    <t>能够轻松拉动一些重物。</t>
  </si>
  <si>
    <t>超强粘性，持久耐用。一撕一粘，轻松搞定，只要力气大，火车也能拉起来！</t>
  </si>
  <si>
    <t>CardChessboard36.png</t>
  </si>
  <si>
    <t>[空洞]空洞机器人</t>
  </si>
  <si>
    <t>能够铺设一段用于运输的道路。</t>
  </si>
  <si>
    <t>专用于狭小地带运输工作的铺路机器人，一旦完成了初步通道的铺设，后面的运输工作就会变得很方便。</t>
  </si>
  <si>
    <t>CardChessboard35.png</t>
  </si>
  <si>
    <t>[空洞]惊喜炸弹盒</t>
  </si>
  <si>
    <t>能够主动激活爆炸效果。</t>
  </si>
  <si>
    <t>能够触发爆炸效果。
    威力不大，惊吓不小。用来终结友谊的绝佳派对礼物。</t>
  </si>
  <si>
    <t>CardChessboard37.png</t>
  </si>
  <si>
    <t>[空洞]安检探测仪</t>
  </si>
  <si>
    <t>能够显示附近的未知区域。</t>
  </si>
  <si>
    <t>确认安全之后才能通行，如果发现危险…也能用来防身。</t>
  </si>
  <si>
    <t>CardChessboard49.png</t>
  </si>
  <si>
    <t>[空洞]无名之书</t>
  </si>
  <si>
    <t>探索空洞时，获得额外属性。</t>
  </si>
  <si>
    <t>书中究竟记载着什么，已经无从得知了，但能感觉到，它被这个空洞深深影响着。</t>
  </si>
  <si>
    <t>CardChessboard50.png</t>
  </si>
  <si>
    <t>[空洞]隔爆型结构</t>
  </si>
  <si>
    <t>现在，冲击镐可以免疫炸弹和陷阱伤害了，而且特殊突进的范围也扩大为3列！</t>
  </si>
  <si>
    <t>CardChessboard52.png</t>
  </si>
  <si>
    <t>[空洞]破拆斧</t>
  </si>
  <si>
    <t>可以撞碎墙！</t>
  </si>
  <si>
    <t>尖刺不再扣血，而是 +3 生命。</t>
  </si>
  <si>
    <t>+25% 战斗获得的经验</t>
  </si>
  <si>
    <t>[空洞]本的大力</t>
  </si>
  <si>
    <t>开启宝箱掉落更多东西。</t>
  </si>
  <si>
    <t>[空洞]会员卡</t>
  </si>
  <si>
    <t>购买商品时，返还 50% 消耗的金币</t>
  </si>
  <si>
    <t>[空洞]生命药剂</t>
  </si>
  <si>
    <t>拾取金币时，50% 生成一个生命恢复格</t>
  </si>
  <si>
    <t>[空洞]连击剑</t>
  </si>
  <si>
    <t>拾取金币时，50% 生成一个引爆的炸弹</t>
  </si>
  <si>
    <t>[空洞]标准战力药剂</t>
  </si>
  <si>
    <t>拾取金币时，50% 生成一个经验格</t>
  </si>
  <si>
    <t>[空洞]战斗手套模块</t>
  </si>
  <si>
    <t>拾取金币时，25% 生成一个怪物</t>
  </si>
  <si>
    <t>[空洞]临别千纸鹤</t>
  </si>
  <si>
    <t>放置炸弹时，在上方和下方各额外放置 1 个引爆的炸弹</t>
  </si>
  <si>
    <t>[空洞]邦布替身</t>
  </si>
  <si>
    <t>击杀怪物时，50% 生成一个金币格</t>
  </si>
  <si>
    <t>[空洞]终局的愿望星</t>
  </si>
  <si>
    <t>生命恢复格不再恢复生命，而是令全队 +1 攻击力</t>
  </si>
  <si>
    <t>击杀怪物时临时 +1 攻击力，每层结束时清空</t>
  </si>
  <si>
    <t>[空洞]强化生命药剂</t>
  </si>
  <si>
    <t>每移动 5 次，产生 1 个引爆的炸弹，并 -3 生命</t>
  </si>
  <si>
    <t>+1 炸弹爆炸长度</t>
  </si>
  <si>
    <t>撞碎以太结晶时产生好东西的概率大幅提高</t>
  </si>
  <si>
    <t>每层开始时，在整层生成 15 个尖刺和 2 个鸣徽格</t>
  </si>
  <si>
    <t>踩到尖刺时不扣除生命，但产生 1 个引爆的炸弹</t>
  </si>
  <si>
    <t>炸弹爆炸时产生随机掉落物。（每层产出总量有上限）</t>
  </si>
  <si>
    <t>[空洞]蓝盾</t>
  </si>
  <si>
    <t>每拾取 10 次金币 +1 攻击力</t>
  </si>
  <si>
    <t>全队 +5 攻击力</t>
  </si>
  <si>
    <t>主角立刻 +15 攻击力，每次攻击 -1 攻击力</t>
  </si>
  <si>
    <t>击杀怪物时立刻产生 1 个引爆的炸弹</t>
  </si>
  <si>
    <t>主角 -5 攻击力，每持有 100 金币 +1 攻击力</t>
  </si>
  <si>
    <t>商店补货变为免费</t>
  </si>
  <si>
    <t>主角 -20 生命，主角每 10 生命会 +1 攻击力</t>
  </si>
  <si>
    <t>主角 +4 攻击力，-15 生命</t>
  </si>
  <si>
    <t>主角受到伤害时，10% 产生 1 个金币格</t>
  </si>
  <si>
    <t>主角攻击时 10% 暴击，造成2倍伤害</t>
  </si>
  <si>
    <t>主角 -2 攻击力，+30 生命</t>
  </si>
  <si>
    <t>主角暴击时获得 100 齿轮硬币</t>
  </si>
  <si>
    <t>主角生命不能超过50，+100% 恢复生命</t>
  </si>
  <si>
    <t>主角 +50% 暴击率，无法再恢复生命</t>
  </si>
  <si>
    <t>主角 -1 受到的攻击伤害</t>
  </si>
  <si>
    <t>队友 +2 攻击力</t>
  </si>
  <si>
    <t>主角+10 生命</t>
  </si>
  <si>
    <t>主角获得 20% 吸血，当前生命变为 2</t>
  </si>
  <si>
    <t>全队 +1 攻击力</t>
  </si>
  <si>
    <t>主角+3 攻击力</t>
  </si>
  <si>
    <t>全队 +10 生命</t>
  </si>
  <si>
    <t>BOSS被暴击的概率 +30%</t>
  </si>
  <si>
    <t>主角 +120 生命，每次移动 -3 生命</t>
  </si>
  <si>
    <t>主角受到伤害时，10% 产生 1 个邦布插件</t>
  </si>
  <si>
    <t>[冻结]冰触手套</t>
  </si>
  <si>
    <t>触发[冰痕]时，代理人造成的冰属性伤害额外提升40%。</t>
  </si>
  <si>
    <t>保暖的同时能从指尖喷射出极寒喷雾。使用时不要离目标太近，小心冻在一块儿。</t>
  </si>
  <si>
    <t>CardFrozen01.png</t>
  </si>
  <si>
    <t>[冻结]手摇刨冰机</t>
  </si>
  <si>
    <t>[碎冰]效果造成的伤害提升50%；触发[碎冰]效果后，代理人攻击命中目标时冰属性异常积蓄效率提升20%，持续5秒。</t>
  </si>
  <si>
    <t>需要靠自己来手摇的老式碎冰机，与其说是生活用品，更多人把它当成玩具。</t>
  </si>
  <si>
    <t>CardFrozen08.png</t>
  </si>
  <si>
    <t>[冻结]制冰机</t>
  </si>
  <si>
    <t>对敌人施加[冻结]效果时，全队暴击伤害提升40%，持续15秒。</t>
  </si>
  <si>
    <t>努力摇动手柄，直到满头大汗口干舌燥。这就是冰块存在的意义。</t>
  </si>
  <si>
    <t>CardFrozen09.png</t>
  </si>
  <si>
    <t>[冻结]便携制冰机</t>
  </si>
  <si>
    <t>对敌人施加[冻结]效果时，全队获得12层[冰痕]。</t>
  </si>
  <si>
    <t>只要把水倒进去，按下开关，剩下的事情它来搞定。</t>
  </si>
  <si>
    <t>CardFrozen05.png</t>
  </si>
  <si>
    <t>[冻结]急冷冻喷雾</t>
  </si>
  <si>
    <t>触发[冰痕]时，代理人的冰属性异常积蓄效率提升30%。</t>
  </si>
  <si>
    <t>小巧轻便，用于降温及迅速止痛。</t>
  </si>
  <si>
    <t>CardFrozen06.png</t>
  </si>
  <si>
    <t>[冻结]冰屑枪</t>
  </si>
  <si>
    <t>触发[碎冰]效果时，若目标未处于失衡状态下，代理人对目标额外造成140%入战冲击力的失衡值。</t>
  </si>
  <si>
    <t>能制造出冰屑并远远射出的危险武器，即使在夏天也不能随便用。</t>
  </si>
  <si>
    <t>CardFrozen07.png</t>
  </si>
  <si>
    <t>[冻结]冰球格</t>
  </si>
  <si>
    <t>发动[终结技]命中敌人并造成冰属性伤害时，代理人获得36层[冰痕]。</t>
  </si>
  <si>
    <t>简易好用的冰球模具，最大的难点在于怎么把冰球从模具里倒出来。</t>
  </si>
  <si>
    <t>CardFrozen11.png</t>
  </si>
  <si>
    <t>[冻结]冰袋</t>
  </si>
  <si>
    <t>对敌人施加[冻结]效果时，代理人的防御力提升5%，最多叠加4层。</t>
  </si>
  <si>
    <t>原本装着许多冰块的便携袋子，现在已经化成水了。</t>
  </si>
  <si>
    <t>CardFrozen02.png</t>
  </si>
  <si>
    <t>[冻结]冷藏箱</t>
  </si>
  <si>
    <t>[冻结]效果的持续时间提升2秒。</t>
  </si>
  <si>
    <t>专业钓鱼人的必备品，里面除了鱼也会装一些稀奇古怪的东西。</t>
  </si>
  <si>
    <t>CardFrozen03.png</t>
  </si>
  <si>
    <t>[冻结]高档冰桶</t>
  </si>
  <si>
    <t>发动[强化特殊技]时，代理人获得8层[冰痕]。</t>
  </si>
  <si>
    <t>在高级的餐桌上才能见到的精致冰桶，里面的饮品也变得高级了起来。</t>
  </si>
  <si>
    <t>CardFrozen04.png</t>
  </si>
  <si>
    <t>[冻结]可爱冰垫</t>
  </si>
  <si>
    <t>代理人造成的冰属性伤害提升15%。</t>
  </si>
  <si>
    <t>冰冰凉凉，人人爱用。不仅如此，猫猫狗狗也爱用。</t>
  </si>
  <si>
    <t>CardFrozen10.png</t>
  </si>
  <si>
    <t>[冻结]聚合徽标</t>
  </si>
  <si>
    <t>[冻结]类型鸣徽出现的概率提升。</t>
  </si>
  <si>
    <t>物以类聚，徽以群分
    冰冻三尺非一日之寒…所以得多来点寒的东西。</t>
  </si>
  <si>
    <t>CardFrozen00.png</t>
  </si>
  <si>
    <t>[强袭]拔钉钳</t>
  </si>
  <si>
    <t>触发[强击]效果时，代理人对目标额外造成5%失衡值上限+100点失衡值，每个敌人5秒内最多触发一次。</t>
  </si>
  <si>
    <t>拔不出来不是因为力气不够，而是因为怕疼。</t>
  </si>
  <si>
    <t>CardUtensil01.png</t>
  </si>
  <si>
    <t>[强袭]美工刀</t>
  </si>
  <si>
    <t>触发[强击]效果时，代理人的暴击率提升8%，最多叠加3层。</t>
  </si>
  <si>
    <t>在不易发现的细微之处，伤痛正在悄然靠近…</t>
  </si>
  <si>
    <t>CardUtensil02.png</t>
  </si>
  <si>
    <t>[强袭]破窗锤</t>
  </si>
  <si>
    <t>发动[强化特殊技]时，代理人物理伤害造成的失衡值提升20%，持续15秒。</t>
  </si>
  <si>
    <t>希望它永远躺在精致的小橱窗里，不要有被用上的那一天。</t>
  </si>
  <si>
    <t>CardUtensil03.png</t>
  </si>
  <si>
    <t>[强袭]园艺剪</t>
  </si>
  <si>
    <t>[强击]效果造成的伤害提升40%。</t>
  </si>
  <si>
    <t>一旦开工就停不下来，看哪里都不顺眼，看哪里都想修剪。</t>
  </si>
  <si>
    <t>CardUtensil04.png</t>
  </si>
  <si>
    <t>[强袭]轻型扳手</t>
  </si>
  <si>
    <t>触发[强击]效果时，代理人的暴击伤害提升8%，最多叠加3层。</t>
  </si>
  <si>
    <t>重量较轻，不止一把，除了作为工具，也时常以杂耍道具或者投掷武器出现。</t>
  </si>
  <si>
    <t>CardUtensil05.png</t>
  </si>
  <si>
    <t>[强袭]密齿锉刀</t>
  </si>
  <si>
    <t>发动[极限支援]时，代理人造成的物理伤害提升30%，持续15秒。</t>
  </si>
  <si>
    <t>极致且彻底的破坏，美其名曰[打磨]。</t>
  </si>
  <si>
    <t>CardUtensil06.png</t>
  </si>
  <si>
    <t>[强袭]滚筒刷</t>
  </si>
  <si>
    <t>每持有1个[强袭]类型的基础鸣徽，代理人的物理异常积蓄效率提升4%，最高提升32%。</t>
  </si>
  <si>
    <t>你永远不知道一个湿哒哒黏糊糊的滚筒刷上沾了什么，沾了几层，沾了多久…</t>
  </si>
  <si>
    <t>CardUtensil07.png</t>
  </si>
  <si>
    <t>[强袭]长柄草叉</t>
  </si>
  <si>
    <t>发动[强化特殊技]时，代理人造成的物理伤害提升20%，持续12秒。</t>
  </si>
  <si>
    <t>一旦拿在手上，就总想扎点什么——于是每个草垛上都多了三个洞。</t>
  </si>
  <si>
    <t>CardUtensil08.png</t>
  </si>
  <si>
    <t>[强袭]伐木斧</t>
  </si>
  <si>
    <t>触发[强击]效果时，代理人回复5点能量。</t>
  </si>
  <si>
    <t>找到正确的劈砍点，每一击都会比上一击更省力。</t>
  </si>
  <si>
    <t>CardUtensil09.png</t>
  </si>
  <si>
    <t>[强袭]钢制手锯</t>
  </si>
  <si>
    <t>触发[强击]效果时，目标的攻击力降低15%，持续30秒。</t>
  </si>
  <si>
    <t>锯子所散发出的威慑力，1%来自其吓人的锯齿外形，剩下的99%都是拜恐怖电影所赐。</t>
  </si>
  <si>
    <t>CardUtensil10.png</t>
  </si>
  <si>
    <t>[强袭]尖头铁锹</t>
  </si>
  <si>
    <t>代理人造成的物理伤害提升10%。</t>
  </si>
  <si>
    <t>大多数人关于铁锹的痛苦回忆，都是源自踩到后扑面弹起的木柄。</t>
  </si>
  <si>
    <t>CardUtensil11.png</t>
  </si>
  <si>
    <t>[强袭]聚合徽标</t>
  </si>
  <si>
    <t>[强袭]类型鸣徽出现的概率提升。</t>
  </si>
  <si>
    <t>物以类聚，徽以群分
    钩斧锤凿、铲锯剪刀…十八般工具全都到手。</t>
  </si>
  <si>
    <t>CardUtensil00.png</t>
  </si>
  <si>
    <t>[支援]破门器</t>
  </si>
  <si>
    <t>[回避支援]触发的[极限视域]持续时间提升至5秒，[招架支援]造成的失衡值提升30%。</t>
  </si>
  <si>
    <t>借助冲击惯性，突破目标防御的辅助装置，记得最后关头要松手，不然会抓着装置一同飞出去。</t>
  </si>
  <si>
    <t>CardMagic01.png</t>
  </si>
  <si>
    <t>[支援]液压缓冲器</t>
  </si>
  <si>
    <t>[支援突击]造成的伤害提升70%。</t>
  </si>
  <si>
    <t>进行救援行动时，为接住队友提供一定的缓冲，不至于因为冲击力过猛而互相撞上或是吻上。</t>
  </si>
  <si>
    <t>CardMagic02.png</t>
  </si>
  <si>
    <t>[支援]高频通讯器</t>
  </si>
  <si>
    <t>发动[极限支援]时，获得7.5%喧响值。</t>
  </si>
  <si>
    <t>嘹亮清晰且不易被干扰的辅助通讯设备，清晰到不论敌我都能听到程度。优点是嘹亮，缺点也是嘹亮。</t>
  </si>
  <si>
    <t>CardMagic03.png</t>
  </si>
  <si>
    <t>[支援]以太反应装置</t>
  </si>
  <si>
    <t>发动[极限支援]时，全队属性异常积蓄效率提升20%，持续10秒。</t>
  </si>
  <si>
    <t>与分析队员的体表以太活性，通过算法调整使之更易于融合并发生反应。</t>
  </si>
  <si>
    <t>CardMagic04.png</t>
  </si>
  <si>
    <t>[支援]冲力反馈装置</t>
  </si>
  <si>
    <t>发动[极限支援]时，全队获得1层[冲击]。</t>
  </si>
  <si>
    <t>能够吸收并积累一定的冲击力的装置，在合适的时候将其作为反冲力释放。</t>
  </si>
  <si>
    <t>CardMagic05.png</t>
  </si>
  <si>
    <t>[支援]动态校准装置</t>
  </si>
  <si>
    <t>发动[极限支援]时，全队获得1层[会心]。</t>
  </si>
  <si>
    <t>在使用者快速移动时强制对其进行视觉校准的装置，虽然好用得像作弊一样，但对视觉神经会造成极大压力。</t>
  </si>
  <si>
    <t>CardMagic06.png</t>
  </si>
  <si>
    <t>[支援]全息诱饵</t>
  </si>
  <si>
    <t>[支援突击]命中后，全队穿透率提升10%，持续15秒。</t>
  </si>
  <si>
    <t>在做出动作的瞬间朝四面八方抛出，对目标造成一定程度扰乱的投影装置。</t>
  </si>
  <si>
    <t>CardMagic10.png</t>
  </si>
  <si>
    <t>[支援]活性传递装置</t>
  </si>
  <si>
    <t>发动[极限支援]时，全队造成的伤害提升15%，持续10秒。</t>
  </si>
  <si>
    <t>能够将附着在目标表面的部分活跃以太传递到使用者身上，类似于[接力棒]一样的辅助装置。</t>
  </si>
  <si>
    <t>CardMagic08.png</t>
  </si>
  <si>
    <t>[支援]手动发电器</t>
  </si>
  <si>
    <t>发动[极限支援]时，代理人回复5点能量，5秒内最多触发一次。</t>
  </si>
  <si>
    <t>能够将动能其转化为基础能源的设备，换言之，只要跑起来就能持续发电。</t>
  </si>
  <si>
    <t>CardMagic09.png</t>
  </si>
  <si>
    <t>[支援]应急强化装置</t>
  </si>
  <si>
    <t>发动[极限支援]时，全队暴击伤害提升20%，持续10秒。</t>
  </si>
  <si>
    <t>作用于皮肤表层的微型强化装置，效果微弱且持续时间有限，但使用方便，像贴膏药一样往身上一拍就完事了。</t>
  </si>
  <si>
    <t>CardMagic07.png</t>
  </si>
  <si>
    <t>[支援]备用护盾发生器</t>
  </si>
  <si>
    <t>发动[极限支援]时，代理人获得6%生命值上限的护盾，持续10秒。</t>
  </si>
  <si>
    <t>便携式护盾发生器，以轻便为前提牺牲了护盾厚度，能提供的支援十分有限，总有人说拿它和拿垃圾桶盖效果没区别。</t>
  </si>
  <si>
    <t>CardMagic11.png</t>
  </si>
  <si>
    <t>[支援]冲击叠加器</t>
  </si>
  <si>
    <t>[招架支援]和[支援突击]对普通/精英/首领敌人造成的失衡值提升100%/75%/50%。（仅在拉力委托中出现）</t>
  </si>
  <si>
    <t>能在短时间内扩大冲击效果的增幅装置，据说其设计原理参照了啄木鸟。</t>
  </si>
  <si>
    <t>CardMagic14.png</t>
  </si>
  <si>
    <t>[支援]循环驱动装置</t>
  </si>
  <si>
    <t>发动[极限支援]时，有50%概率回复1点支援点数。（仅在拉力委托中出现）</t>
  </si>
  <si>
    <t>装配于腿部和脚部的辅助装置，能够使奔跑者在初次启动时储存一定的动能，用于辅助下次快速启动。</t>
  </si>
  <si>
    <t>CardMagic15.png</t>
  </si>
  <si>
    <t>[支援]聚合徽标</t>
  </si>
  <si>
    <t>[支援]类型鸣徽出现的概率提升。</t>
  </si>
  <si>
    <t>物以类聚，徽以群分
    一个好汉三个帮。</t>
  </si>
  <si>
    <t>CardMagic00.png</t>
  </si>
  <si>
    <t>[诡术]感应扑克</t>
  </si>
  <si>
    <t>{CReplaceCardParam:ProgressLeft,1,2}场战斗内，受到敌方攻击时失去所有能量和喧响值。
    重构后，代理人的能量和喧响值获得效率提升25%。</t>
  </si>
  <si>
    <t>他不仅知道到你选了哪张牌，还知道你敷衍的赞叹不是发自真心的。</t>
  </si>
  <si>
    <t>CardSample04.png</t>
  </si>
  <si>
    <t>[诡术]漆黑斗篷</t>
  </si>
  <si>
    <t>当前空洞层内，每次移动增长的压力值提升100%。
    抵达下一层后，每次移动增长的压力值降低100%。</t>
  </si>
  <si>
    <t>斗篷是魔术师最可靠的伙伴，穿帮的时候还能用来抵挡烂番茄和臭鸡蛋。</t>
  </si>
  <si>
    <t>CardSample02.png</t>
  </si>
  <si>
    <t>[诡术]华丽手杖</t>
  </si>
  <si>
    <t>{CReplaceCardParam:ProgressLeft,1,2}场战斗内，代理人的暴击率降低40%。
    重构后，代理人的暴击伤害提升40%。</t>
  </si>
  <si>
    <t>随着塞在里面的小道具一个个被拿出来，魔术师耍弄手杖的动作也变得越来越轻盈。</t>
  </si>
  <si>
    <t>CardSample05.png</t>
  </si>
  <si>
    <t>[诡术]催眠怀表</t>
  </si>
  <si>
    <t>{CReplaceCardParam:ProgressLeft,1,2}场战斗内，敌人的失衡持续时间降低40%。
    重构后，敌人的失衡持续时间提升20%。</t>
  </si>
  <si>
    <t>从一直盯着就会昏昏欲睡的效果来看，催眠怀表和暑期作业毫无区别。</t>
  </si>
  <si>
    <t>CardSample06.png</t>
  </si>
  <si>
    <t>[诡术]机关鸽子</t>
  </si>
  <si>
    <t>当前空洞层内，齿轮硬币事件获取的齿轮硬币数量减半。
    抵达下一层后，还款数量降低30%。</t>
  </si>
  <si>
    <t>既然大家都知道魔术是假的，那鸽子也没必要用真的吧？</t>
  </si>
  <si>
    <t>CardSample01.png</t>
  </si>
  <si>
    <t>[诡术]神奇礼帽</t>
  </si>
  <si>
    <t>当前空洞层内，每探索1格新区域，全队损失1%生命值。
    抵达下一层后，每次战斗结束，全队回复20%生命值。</t>
  </si>
  <si>
    <t>当大家都认为帽子里有兔子时，拎出来的却是邦布，这，就是奇妙的魔术。</t>
  </si>
  <si>
    <t>CardSample03.png</t>
  </si>
  <si>
    <t>[诡术]燃烧玫瑰</t>
  </si>
  <si>
    <t>{CReplaceCardParam:ProgressLeft,1,2}场战斗内，代理人的属性异常积蓄效率降低80%。
    重构后，属性异常效果造成的伤害提升60%。</t>
  </si>
  <si>
    <t>会燃烧的绚丽玫瑰，其实只是在枝干部分加装了点火装置的假花。</t>
  </si>
  <si>
    <t>CardSample07.png</t>
  </si>
  <si>
    <t>[诡术]魔术手套</t>
  </si>
  <si>
    <t>{CReplaceCardParam:ProgressLeft,1,2}场战斗内，发动[连携技]时回复的支援点数降低1点。
    重构后，[招架支援]造成的失衡值提升60%，[支援突击]造成的伤害提升100%。</t>
  </si>
  <si>
    <t>如果不想成为表演中负责出洋相的那一位，就千万不要和戴着手套的魔术师握手。</t>
  </si>
  <si>
    <t>CardSample08.png</t>
  </si>
  <si>
    <t>[诡术]伸缩短剑</t>
  </si>
  <si>
    <t>连携攻击造成的伤害大幅提升，但己方队友受到的伤害也大幅提升。</t>
  </si>
  <si>
    <t>在伸缩按钮正常运作的情况下，它是很好唬人的魔术道具。而在按钮失灵的情况下…那可就更唬人了。</t>
  </si>
  <si>
    <t>CardSample09.png</t>
  </si>
  <si>
    <t>[以太]废旧增幅器</t>
  </si>
  <si>
    <t>每拥有1点异常精通，代理人造成的以太伤害提升0.2%，最高提升30%。</t>
  </si>
  <si>
    <t>正常工作的增幅器能调整周围以太的循环速度，至于废旧的…大部分时候会被改装成蓝牙音响。</t>
  </si>
  <si>
    <t>CardTech01.png</t>
  </si>
  <si>
    <t>[以太]锈蚀音擎</t>
  </si>
  <si>
    <t>[侵蚀]效果造成的伤害提升40%。</t>
  </si>
  <si>
    <t>当音擎在空洞里彻底失效时，请果断将它当做一次性投掷武器。</t>
  </si>
  <si>
    <t>CardTech02.png</t>
  </si>
  <si>
    <t>[以太]捕捉网发射器</t>
  </si>
  <si>
    <t>攻击命中处于[侵蚀]状态下的敌人时，代理人造成的伤害提升30%。</t>
  </si>
  <si>
    <t>能发射出特制的以太网，接触以骸时暂时降低其表层以太活性。</t>
  </si>
  <si>
    <t>CardTech09.png</t>
  </si>
  <si>
    <t>[以太]裂损驱动</t>
  </si>
  <si>
    <t>[侵蚀]效果的持续时间提升2秒。</t>
  </si>
  <si>
    <t>布满裂纹的驱动盘，强行播放只会听到令人压力暴增的扭曲噪音。</t>
  </si>
  <si>
    <t>CardTech03.png</t>
  </si>
  <si>
    <t>[以太]抑制手环</t>
  </si>
  <si>
    <t>发动[强化特殊技]时，全队获得1层[活性]。</t>
  </si>
  <si>
    <t>[这个手环老是在警告我以太异常，好烦啊！]
    [快摘掉，你看，异常不就解决了。]</t>
  </si>
  <si>
    <t>CardTech04.png</t>
  </si>
  <si>
    <t>[以太]旧化过滤器</t>
  </si>
  <si>
    <t>造成以太伤害时，全队获得1层[活性]，10秒内最多触发一次。</t>
  </si>
  <si>
    <t>曾经被人当做潮流装扮，在都市里也一直戴着。后来因担心引起市民不必要的焦虑而被禁止了。</t>
  </si>
  <si>
    <t>CardTech05.png</t>
  </si>
  <si>
    <t>[以太]无效转接器</t>
  </si>
  <si>
    <t>每持有1个[以太]类型的基础鸣徽，代理人的以太异常积蓄效率提升4%，最高提升32%。</t>
  </si>
  <si>
    <t>能使多个单机模式的邦布进行数据连接，这点和手机数据线很像。不过它一不小心就会弄坏，这点也和数据线很像。</t>
  </si>
  <si>
    <t>CardTech10.png</t>
  </si>
  <si>
    <t>[以太]停滞限时器</t>
  </si>
  <si>
    <t>代理人造成的以太伤害提升15%。</t>
  </si>
  <si>
    <t>用来计算空洞内活动时限的装置，计时定格在了遭到破坏的那一刻。</t>
  </si>
  <si>
    <t>CardTech06.png</t>
  </si>
  <si>
    <t>[以太]空电池</t>
  </si>
  <si>
    <t>代理人的以太异常积蓄效率提升15%。</t>
  </si>
  <si>
    <t>一块已经没电的废弃电池，是被某个搭载备用电池模块的邦布扔下的吧。</t>
  </si>
  <si>
    <t>CardTech07.png</t>
  </si>
  <si>
    <t>[以太]破损芯片</t>
  </si>
  <si>
    <t>发动[连携技]时，全队异常精通提升25点，持续15秒。</t>
  </si>
  <si>
    <t>一块已经破损无用的邦布核心芯片。芯片的主人不知去向。</t>
  </si>
  <si>
    <t>CardTech08.png</t>
  </si>
  <si>
    <t>[以太]故障干扰器</t>
  </si>
  <si>
    <t>[侵蚀]状态下，敌人的攻击力降低15%。</t>
  </si>
  <si>
    <t>原本是装载在邦布头上的干扰装置，能够一定程度干扰以骸的行动。后来开发出了帽子款，盗洞客自己也能戴在头上了。</t>
  </si>
  <si>
    <t>CardTech11.png</t>
  </si>
  <si>
    <t>[以太]聚合徽标</t>
  </si>
  <si>
    <t>[以太]类型鸣徽出现的概率提升。</t>
  </si>
  <si>
    <t>物以类聚，徽以群分
    以太物质会相互吸引…某种程度上是事实</t>
  </si>
  <si>
    <t>CardTech00.png</t>
  </si>
  <si>
    <t>[以太]接闪器</t>
  </si>
  <si>
    <t>以太激流伤害大幅度提升。（仅在拉力委托中出现）</t>
  </si>
  <si>
    <t>打雷的时候千万不要站在空旷的地方！</t>
  </si>
  <si>
    <t>CardTech14.png</t>
  </si>
  <si>
    <t>[以太]高效接闪器</t>
  </si>
  <si>
    <t>以太激流伤害超大幅度提升！代理人与敌人均难以抵抗，请注意闪避并利用其攻击敌人！</t>
  </si>
  <si>
    <t>此后如竟没有避雷针，大家便都是高效的接闪器。</t>
  </si>
  <si>
    <t>CardTech15.png</t>
  </si>
  <si>
    <t>[协助]羽毛逗猫棒</t>
  </si>
  <si>
    <t>发动[邦布连携技]时，邦布造成的伤害提升40%，持续30秒</t>
  </si>
  <si>
    <t>以邦布为主题的逗猫棒，只要使用者够勤快，就能引诱猫咪发动怒涛般的攻击。</t>
  </si>
  <si>
    <t>CardToy01.png</t>
  </si>
  <si>
    <t>[协助]发声铃</t>
  </si>
  <si>
    <t>每存在一只战斗邦布或助战邦布，邦布的攻击力提升10%。</t>
  </si>
  <si>
    <t>当宠物按上去就会响起对应的语音，诸如[要抱抱]、[要饭饭]、[要玩玩]…
    六分街报刊亭的狗也在使用这类发生铃，但语音没有这么肉麻。</t>
  </si>
  <si>
    <t>CardToy02.png</t>
  </si>
  <si>
    <t>[协助]兔兔不倒翁</t>
  </si>
  <si>
    <t>邦布释放[主动技]造成的伤害提升40%。</t>
  </si>
  <si>
    <t>世界上没有永远不会酸的手，所以不倒翁总会站起来。</t>
  </si>
  <si>
    <t>CardToy06.png</t>
  </si>
  <si>
    <t>[协助]激光笔</t>
  </si>
  <si>
    <t>发动[主动技]或[邦布连携技]时，邦布为当前操作中的代理人回复10点能量，10秒内最多触发一次。</t>
  </si>
  <si>
    <t>造型可爱的激光笔，指哪亮哪，对小动物的吸引力巨大。</t>
  </si>
  <si>
    <t>CardToy03.png</t>
  </si>
  <si>
    <t>[协助]磨牙玩具</t>
  </si>
  <si>
    <t>邦布攻击命中敌人时，代理人对目标造成的伤害提升20%，持续10秒。</t>
  </si>
  <si>
    <t>骨头形状的磨牙玩具，能使狗狗的牙齿保持干净锋利。</t>
  </si>
  <si>
    <t>CardToy04.png</t>
  </si>
  <si>
    <t>[协助]狗狗飞盘</t>
  </si>
  <si>
    <t>代理人发动[强化特殊技]时，邦布的暴击率提升12%，持续10秒。</t>
  </si>
  <si>
    <t>腾空跃起一下接住飞盘的样子很帅呢，不论接飞盘的是谁。</t>
  </si>
  <si>
    <t>CardToy05.png</t>
  </si>
  <si>
    <t>[协助]金鱼躲避屋</t>
  </si>
  <si>
    <t>[邦布连携技]造成的伤害提升30%。</t>
  </si>
  <si>
    <t>钻进安全的水底小屋，就能避开外面那个正在指指点点的大圆脸。</t>
  </si>
  <si>
    <t>CardToy08.png</t>
  </si>
  <si>
    <t>[协助]波浪抓板</t>
  </si>
  <si>
    <t>邦布的攻击力提升20%。</t>
  </si>
  <si>
    <t>谢谢你，替沙发承受了它无法承受之痛。</t>
  </si>
  <si>
    <t>CardToy07.png</t>
  </si>
  <si>
    <t>[协助]冲刺隧道</t>
  </si>
  <si>
    <t>邦布的暴击伤害提升24%。</t>
  </si>
  <si>
    <t>扭动大半天，冲刺1秒钟。</t>
  </si>
  <si>
    <t>CardToy09.png</t>
  </si>
  <si>
    <t>[协助]疯跑滚轮</t>
  </si>
  <si>
    <t>邦布的属性异常积蓄效率提升30%。</t>
  </si>
  <si>
    <t>一开始是仓鼠带着轮子跑，跑着跑着，就变成了轮子带着仓鼠跑。</t>
  </si>
  <si>
    <t>CardToy10.png</t>
  </si>
  <si>
    <t>[协助]快乐转盘</t>
  </si>
  <si>
    <t>邦布的穿透率提升10%。</t>
  </si>
  <si>
    <t>被设计成三只猫可以同时一起玩，最好的结果是一只猫独占三个球玩得不亦乐乎，最坏的结果是没有一只猫想玩这东西。</t>
  </si>
  <si>
    <t>CardToy11.png</t>
  </si>
  <si>
    <t>[协助]聚合徽标</t>
  </si>
  <si>
    <t>[协助]类型鸣徽出现的概率提升。</t>
  </si>
  <si>
    <t>物以类聚，徽以群分
    帮帮我，邦布！</t>
  </si>
  <si>
    <t>CardToy00.png</t>
  </si>
  <si>
    <t>[研究]过载分流</t>
  </si>
  <si>
    <t>每次压力过载时，回复5%生命值，全队造成的伤害提升5%（当前提升：{CReplaceCardParam:StressOverloadCount,0.01,2}%，最高提升：50%）。</t>
  </si>
  <si>
    <t>设计别致的徽章。
    为了针对性地研究过载相关的课题，怀斯塔学会向零号空洞的探索者直接发放的特殊鸣徽。</t>
  </si>
  <si>
    <t>CardResearch01.png</t>
  </si>
  <si>
    <t>[研究]资源置换</t>
  </si>
  <si>
    <t>每消耗100齿轮硬币，全队造成的伤害提升0.5%（当前提升：{CReplaceCardParam:DamageShow,0.1,2}%，最高提升：50%）。</t>
  </si>
  <si>
    <t>设计别致的徽章。
    为了针对性地研究资源转换相关的课题，怀斯塔学会向零号空洞的探索者直接发放的特殊鸣徽。</t>
  </si>
  <si>
    <t>CardResearch02.png</t>
  </si>
  <si>
    <t>[研究]本能激发</t>
  </si>
  <si>
    <t>代理人每缺失1%生命值，自身当前造成的伤害提升1%。（当前提升：请查看鸣徽详情，最高提升：80%）。</t>
  </si>
  <si>
    <t>设计别致的徽章。
    为了针对性地研究求生本能相关的课题，怀斯塔学会向零号空洞的探索者直接发放的特殊鸣徽。</t>
  </si>
  <si>
    <t>CardResearch03.png</t>
  </si>
  <si>
    <t>[契合]强攻战术交流</t>
  </si>
  <si>
    <t>[强攻]特性代理人的暴击伤害提升25%。</t>
  </si>
  <si>
    <t>趁着休息的机会，大家互相交流了战斗心得，擅长强攻战术的队员成为了这次交流会的焦点。</t>
  </si>
  <si>
    <t>CardAvatarType01.png</t>
  </si>
  <si>
    <t>[契合]击破战术交流</t>
  </si>
  <si>
    <t>[击破]特性代理人造成的失衡值提升18%。</t>
  </si>
  <si>
    <t>趁着休息的机会，大家互相交流了战斗心得，擅长击破战术的队员成为了这次交流会的焦点。</t>
  </si>
  <si>
    <t>CardAvatarType02.png</t>
  </si>
  <si>
    <t>[契合]异常战术交流</t>
  </si>
  <si>
    <t>[异常]特性代理人的异常掌控提升20点。</t>
  </si>
  <si>
    <t>趁着休息的机会，大家互相交流了战斗心得，擅长异常战术的队员成为了这次交流会的焦点。</t>
  </si>
  <si>
    <t>CardAvatarType03.png</t>
  </si>
  <si>
    <t>[契合]支援战术交流</t>
  </si>
  <si>
    <t>[支援]特性代理人的能量自动回复提升10%。</t>
  </si>
  <si>
    <t>趁着休息的机会，大家互相交流了战斗心得，擅长支援战术的队员成为了这次交流会的焦点。</t>
  </si>
  <si>
    <t>CardAvatarType04.png</t>
  </si>
  <si>
    <t>[契合]防护战术交流</t>
  </si>
  <si>
    <t>[防护]特性代理人受到的伤害降低15%。</t>
  </si>
  <si>
    <t>趁着休息的机会，大家互相交流了战斗心得，擅长防护战术的队员成为了这次交流会的焦点。</t>
  </si>
  <si>
    <t>CardAvatarType05.png</t>
  </si>
  <si>
    <t>[契合]命破战术交流</t>
  </si>
  <si>
    <t>[命破]特性代理人的贯穿伤害提升20%。</t>
  </si>
  <si>
    <t>趁着休息的机会，大家互相交流了战斗心得，擅长命破战术的队员成为了这次交流会的焦点。</t>
  </si>
  <si>
    <t>CardAvatarType06.png</t>
  </si>
  <si>
    <t>[顽强]引路明灯</t>
  </si>
  <si>
    <t>每缺失10%的生命值，代理人的暴击伤害提升8%。</t>
  </si>
  <si>
    <t>指引通往希望的道路，同时向埋伏在暗处的猎手打了声招呼。</t>
  </si>
  <si>
    <t>CardTenacity02.png</t>
  </si>
  <si>
    <t>[顽强]急救箱</t>
  </si>
  <si>
    <t>受到敌方攻击时，代理人受到的伤害由全队分摊，位于后场的代理人生命值低于10%时，将分摊伤害但不扣除生命值。</t>
  </si>
  <si>
    <t>大到止血用品 ，小到感冒用药，全都在里面了 。</t>
  </si>
  <si>
    <t>CardTenacity01.png</t>
  </si>
  <si>
    <t>[顽强]求生之火</t>
  </si>
  <si>
    <t>每缺失10%的生命值，代理人造成的伤害提升5%。</t>
  </si>
  <si>
    <t>绝望之中，唯有火焰的光明能让人重拾理性和信心。</t>
  </si>
  <si>
    <t>CardTenacity03.png</t>
  </si>
  <si>
    <t>[顽强]防切割手套</t>
  </si>
  <si>
    <t>发动[极限支援]时或获得护盾时，代理人造成的伤害提升15%，持续20秒。</t>
  </si>
  <si>
    <t>戴上最坚硬的手套，才能拿起最锋利的刀刃。</t>
  </si>
  <si>
    <t>CardTenacity04.png</t>
  </si>
  <si>
    <t>[顽强]军用水壶</t>
  </si>
  <si>
    <t>发动[终结技]时，代理人获得20%已损失生命值的护盾。</t>
  </si>
  <si>
    <t>具备双重过滤功能的水壶。不仅能够将户外的淡水过滤成直饮水，还能在一定程度上过滤掉水中残存的以太，降低在空洞内取水饮用的危险性。</t>
  </si>
  <si>
    <t>CardTenacity05.png</t>
  </si>
  <si>
    <t>[顽强]塞牙罐头</t>
  </si>
  <si>
    <t>受到敌方攻击时，若代理人的生命值低于30%，承受伤害降低50%，持续20秒，每名代理人每场战斗中最多触发1次。</t>
  </si>
  <si>
    <t>每一口都咽得很艰难，但每一口都很扛饿。</t>
  </si>
  <si>
    <t>CardTenacity06.png</t>
  </si>
  <si>
    <t>[顽强]高压绝缘靴</t>
  </si>
  <si>
    <t>攻击生命值百分比高于自身的敌人时，代理人造成的伤害提升20%；
    攻击生命值百分比低于自身的敌人时，代理人造成的伤害提升10%。</t>
  </si>
  <si>
    <t>底部特别加厚款，不仅加强了防护效果，也增强了踢击的威力。</t>
  </si>
  <si>
    <t>CardTenacity07.png</t>
  </si>
  <si>
    <t>[顽强]荒野地图</t>
  </si>
  <si>
    <t>受到敌方攻击或发动[极限支援]时，代理人回复5点能量，全队7秒内最多触发一次。</t>
  </si>
  <si>
    <t>地图上的一个个标记着「不能去」的红叉，都是用疼痛换来的。</t>
  </si>
  <si>
    <t>CardTenacity08.png</t>
  </si>
  <si>
    <t>[顽强]求生工具箱</t>
  </si>
  <si>
    <t>进入战场时，代理人获得10%已损失生命值的护盾。</t>
  </si>
  <si>
    <t>一切准备都是为了活下去。</t>
  </si>
  <si>
    <t>CardTenacity09.png</t>
  </si>
  <si>
    <t>[顽强]应急手电</t>
  </si>
  <si>
    <t>生命值低于50%时，代理人造成的伤害提升15%；
    生命值高于50%时，代理人造成的伤害提升5%。</t>
  </si>
  <si>
    <t>可调节亮度的手电，非紧急情况就别调那么亮，省点电吧。</t>
  </si>
  <si>
    <t>CardTenacity10.png</t>
  </si>
  <si>
    <t>[顽强]防寒睡袋</t>
  </si>
  <si>
    <t>极度温暖的睡袋，不用担心会赖床，热到受不了自然就爬出来了。</t>
  </si>
  <si>
    <t>CardTenacity11.png</t>
  </si>
  <si>
    <t>[顽强]聚合徽标</t>
  </si>
  <si>
    <t>[顽强]类型鸣徽出现的概率提升。</t>
  </si>
  <si>
    <t>物以类聚，徽以群分
    加速冲刺的代价，是加速耗氧。</t>
  </si>
  <si>
    <t>CardTenacity00.png</t>
  </si>
  <si>
    <t>在零号空洞特定区域有概率触发队伍中代理人的特殊事件，可激活该代理人在本局内的意象影画。</t>
  </si>
  <si>
    <t>[通用]军用战术武器</t>
  </si>
  <si>
    <t>属性异常积蓄效率大幅度提升。（仅在拉力委托中出现）</t>
  </si>
  <si>
    <t>防卫军留下的补给箱，对防卫军士兵来是提升战斗效率的制胜法宝。</t>
  </si>
  <si>
    <t>CardDailyUse32.png</t>
  </si>
  <si>
    <t>[通用]单兵全武装</t>
  </si>
  <si>
    <t>属性异常积蓄效率大幅度提升，队伍中任意角色对敌人施加[紊乱]效果时，全队回复50点能量。（仅在拉力委托中出现）</t>
  </si>
  <si>
    <t>防卫军留下的高级补给箱，内含适用于多种作战场合的全面补给。对于在空洞中战斗的防卫军士兵而言，找到它比彩票中头奖还高兴。</t>
  </si>
  <si>
    <t>CardDailyUse33.png</t>
  </si>
  <si>
    <t>[命破]被甲弹头</t>
  </si>
  <si>
    <t>代理人造成的贯穿伤害提升15%。</t>
  </si>
  <si>
    <t>贫铀合金，彻人心脾。</t>
  </si>
  <si>
    <t>CardRuin.png</t>
  </si>
  <si>
    <t>[引燃]老式火柴盒</t>
  </si>
  <si>
    <t>对敌人造成火属性伤害时，会触发[爆燃]效果，能够造成1200%攻击力的火属性伤害，8秒内最多触发一次。</t>
  </si>
  <si>
    <t>划火柴，扔出，回头，爆炸。经典电影桥段一气呵成。</t>
  </si>
  <si>
    <t>CardBurn12.png</t>
  </si>
  <si>
    <t>[引燃]电子烧烤架</t>
  </si>
  <si>
    <t>[斗志]的增益效果提升至原本的200%。</t>
  </si>
  <si>
    <t>越烤越热，越热越馋。是错觉吗，好像已经闻到香味了…</t>
  </si>
  <si>
    <t>CardBurn13.png</t>
  </si>
  <si>
    <t>[能量]炸弹可乐</t>
  </si>
  <si>
    <t>进入战场时，全队回复50%能量。</t>
  </si>
  <si>
    <t>瞬间引爆口腔，化为碳酸战场。曾经随可乐附赠过跳跳糖，因为导致口腔急诊病人激增而取消了 。</t>
  </si>
  <si>
    <t>CardEDrink12.png</t>
  </si>
  <si>
    <t>[能量]汀曼精选咖啡</t>
  </si>
  <si>
    <t>进入战场时，初始喧响等级变为[极]；发动[终结技]时，有35%概率不消耗喧响值。</t>
  </si>
  <si>
    <t>汀曼大师的优雅与诚挚，化作每一滴特选咖啡，伴随你走遍都市的每一个角落。</t>
  </si>
  <si>
    <t>CardEDrink13.png</t>
  </si>
  <si>
    <t>[暴击]高爆手雷</t>
  </si>
  <si>
    <t>代理人的暴击伤害提升36%，暴击时有一定概率直接击溃生命值低于75%的普通敌人，6秒内最多触发一次。</t>
  </si>
  <si>
    <t>全数消灭，一个不剩。</t>
  </si>
  <si>
    <t>CardGun12.png</t>
  </si>
  <si>
    <t>[暴击]轻质枪托</t>
  </si>
  <si>
    <t>[会心]层数叠加上限由5层提升至8层。</t>
  </si>
  <si>
    <t>战场好帮手，能帮你抵抗烦人的后坐力，也能帮你抵抗近身来犯的敌人。</t>
  </si>
  <si>
    <t>CardGun13.png</t>
  </si>
  <si>
    <t>[护盾]战术背包</t>
  </si>
  <si>
    <t>拥有护盾时，代理人造成的伤害提升35%，受到敌方攻击时，单次受到的伤害不会超过护盾值，12秒内最多触发一次。</t>
  </si>
  <si>
    <t>超大容量，超多分隔区，只要有了它，一个人可以背三个人的物资。
    只要那个人同意。</t>
  </si>
  <si>
    <t>CardArmor12.png</t>
  </si>
  <si>
    <t>[护盾]防暴叉</t>
  </si>
  <si>
    <t>代理人造成的伤害提升，提升效果等同于当前护盾值的40%。</t>
  </si>
  <si>
    <t>最好的防守就是…让对方无法进攻！</t>
  </si>
  <si>
    <t>CardArmor13.png</t>
  </si>
  <si>
    <t>[感电]引雷针</t>
  </si>
  <si>
    <t>对敌人造成电属性伤害时，会触发[引雷]效果，能够造成1200%攻击力的电属性伤害，8秒内最多触发一次。</t>
  </si>
  <si>
    <t>平时毫无存在感，一到雷雨天摇身一变成为天空的主宰。</t>
  </si>
  <si>
    <t>CardElectro12.png</t>
  </si>
  <si>
    <t>[感电]户外蓄电池</t>
  </si>
  <si>
    <t>[电能]层数叠加上限由20层提升至30层；对敌人造成电属性伤害时，全队获得1层[电能]，1秒内最多触发一次。</t>
  </si>
  <si>
    <t>容量超大，重量也是如此。谁力气最大，谁就是野外露营时扛着蓄电池到处跑的倒霉孩子。</t>
  </si>
  <si>
    <t>CardElectro13.png</t>
  </si>
  <si>
    <t>[决斗]陶瓷花瓶</t>
  </si>
  <si>
    <t>敌人的失衡易伤倍率提升40%；满编行动时，可以对陷入失衡状态的敌人额外触发1次[连携技]。</t>
  </si>
  <si>
    <t>老电影中女主角常用的武器之一，当恋人与坏蛋搏斗至危机时刻，总能起到关键性的决胜一击。</t>
  </si>
  <si>
    <t>CardBlunt12.png</t>
  </si>
  <si>
    <t>[决斗]充气锤</t>
  </si>
  <si>
    <t>[冲击]层数叠加上限由4层提升至8层；使敌人进入失衡状态时，目标的失衡易伤倍率提升50%。</t>
  </si>
  <si>
    <t>写着1000T的锤子…当然只是用来吓唬人的。实际上不仅软绵绵，敲在身上还会发出滑稽玩具的响声。</t>
  </si>
  <si>
    <t>CardBlunt13.png</t>
  </si>
  <si>
    <t>[闪避]橄榄球</t>
  </si>
  <si>
    <t>触发[极限闪避]时，全队获得1层[灵巧]，造成的伤害提升30%，持续15秒。</t>
  </si>
  <si>
    <t>突破所有笨重的防守，在对手的地盘上发动决胜一击吧。</t>
  </si>
  <si>
    <t>CardSports13.png</t>
  </si>
  <si>
    <t>[闪避]磁吸飞镖</t>
  </si>
  <si>
    <t>[反击]状态下，[强化特殊技]和[闪避反击]的打断等级提升，代理人造成的伤害提升50%。</t>
  </si>
  <si>
    <t>头部装有强力磁铁的飞镖，闭着眼睛扔也能百分百命中靶心，只要没把飞镖扔到靶子外面。</t>
  </si>
  <si>
    <t>CardSports12.png</t>
  </si>
  <si>
    <t>[冻结]冰柱发射器</t>
  </si>
  <si>
    <t>触发[碎冰]效果时，在原地留下冰雾，持续10秒，10秒内最多触发一次；攻击冰雾中的敌人时，冰属性伤害的暴击伤害提升80%。</t>
  </si>
  <si>
    <t>能不断射出壮观的小型冰柱，但是很耗水。因此一到下雨天，就会有许多人带着它上街疯玩。</t>
  </si>
  <si>
    <t>CardFrozen12.png</t>
  </si>
  <si>
    <t>[冻结]冰温瓶</t>
  </si>
  <si>
    <t>触发[冰痕]时，不再消耗层数。</t>
  </si>
  <si>
    <t>材质特殊的小瓶子，即使里面什么也没装，也能感受到丝丝寒意正从纤细的瓶口中溢出。</t>
  </si>
  <si>
    <t>CardFrozen13.png</t>
  </si>
  <si>
    <t>[强袭]冲击电钻</t>
  </si>
  <si>
    <t>触发[强击]效果时，额外对目标造成等同于普通/精英/首领敌人50%/15%/3%生命值上限的伤害，伤害值不超过代理人初始攻击力的4000%。</t>
  </si>
  <si>
    <t>无比冷酷且精准的点对点攻击，深入核心直至彻底破坏！听呐，砖墙在哀嚎，邻居也在哀嚎。</t>
  </si>
  <si>
    <t>CardUtensil12.png</t>
  </si>
  <si>
    <t>[强袭]锯木盘</t>
  </si>
  <si>
    <t>触发[强击]效果时，可以直接击溃生命值低于70%/20%/10%的普通/精英/首领敌人。</t>
  </si>
  <si>
    <t>锋利得不讲道理，一旦旋转起来就会发出刺耳的噪音，仿佛在高喊：[别碰我！]</t>
  </si>
  <si>
    <t>CardUtensil13.png</t>
  </si>
  <si>
    <t>[支援]动态传感器</t>
  </si>
  <si>
    <t>发动[极限支援]时，全队暴击伤害提升48%，持续30秒，此外全队获得1层[敏锐]。</t>
  </si>
  <si>
    <t>记录目标行动轨迹并尝试进行预测的辅助观察设备，一旦预测成功就能抢占先机找到对方的破绽。</t>
  </si>
  <si>
    <t>CardMagic12.png</t>
  </si>
  <si>
    <t>[支援]战术分析仪</t>
  </si>
  <si>
    <t>触发[极限闪避]或发动[连携技]时，额外回复1点支援点数，代理人造成的伤害提升45%，持续12秒。</t>
  </si>
  <si>
    <t>曾配备于邦布商人身上的辅助工具，能自动搜索并分析周围以骸，为使用者提供行动建议。但因为每次都会向邦布商人提出[优势在我，全力出击！]的战斗建议而被弃用。</t>
  </si>
  <si>
    <t>CardMagic13.png</t>
  </si>
  <si>
    <t>[以太]废旧鱼叉枪</t>
  </si>
  <si>
    <t>对敌人施加[侵蚀]效果时，全队获得1层[活性]；[侵蚀]状态下，敌人的以太属性伤害抗性降低20%。</t>
  </si>
  <si>
    <t>盗洞客们使用以太技术改造的枪械，使用方法十分原始，但效果超乎预期。</t>
  </si>
  <si>
    <t>CardTech12.png</t>
  </si>
  <si>
    <t>[以太]紊乱麻醉弹</t>
  </si>
  <si>
    <t>攻击命中敌人并造成以太伤害时，属性异常效果对目标造成的伤害提升50%，持续10秒。</t>
  </si>
  <si>
    <t>通过缓慢破坏目标以太稳定性来起到限制行动的目的，基本只对空洞中的目标有效。</t>
  </si>
  <si>
    <t>CardTech13.png</t>
  </si>
  <si>
    <t>[协助]迷你雪橇</t>
  </si>
  <si>
    <t>邦布造成的伤害提升25%，[邦布连携技]造成的伤害额外提升50%。</t>
  </si>
  <si>
    <t>狗狗越多，车速越快。</t>
  </si>
  <si>
    <t>CardToy12.png</t>
  </si>
  <si>
    <t>[协助]木天蓼球</t>
  </si>
  <si>
    <t>邦布的暴击率提升24%，暴击伤害提升48%。</t>
  </si>
  <si>
    <t>只需抛出一个小小的球，就能收获激源源不断的热情和口水。</t>
  </si>
  <si>
    <t>CardToy13.png</t>
  </si>
  <si>
    <t>[顽强]指南针</t>
  </si>
  <si>
    <t>发动[强化特殊技]、[连携技]、[极限支援]或[终结技]时，代理人立刻损失4%当前生命值，并使全队获得1层[本能]；生命值低于20%时，上述效果不会使代理人损失生命值。</t>
  </si>
  <si>
    <t>指的不仅是方向，也是希望的所在地。</t>
  </si>
  <si>
    <t>CardTenacity12.png</t>
  </si>
  <si>
    <t>[顽强]求救对讲机</t>
  </si>
  <si>
    <t>[本能]层数叠加上限由5层提升至10层，每拥有一层增益效果，代理人造成的失衡值额外提升4%；[指南针]鸣徽效果中，不损失生命值的界线提升至30%。</t>
  </si>
  <si>
    <t>哪怕传来的只有杂音也是一种慰藉，只要还有电，就有希望。</t>
  </si>
  <si>
    <t>CardTenacity13.png</t>
  </si>
  <si>
    <t>装有代理人培养材料的容器。
    前人的成就是我们的阶梯，一截装在箱子里的折叠梯。</t>
  </si>
  <si>
    <t>装有代理人高级培养材料的容器。
    头脑是调查员最强大的武器，箱内装着这份武器的说明书。</t>
  </si>
  <si>
    <t>装有代理人最高级培养材料的容器。
    这里封藏着某位传奇调查员的峥嵘岁月。</t>
  </si>
  <si>
    <t>BangbooBreakthrough04.png</t>
  </si>
  <si>
    <t>代理人的能量和喧响值获得效率提升25%。</t>
  </si>
  <si>
    <t>每次移动增长的压力值降低100%。</t>
  </si>
  <si>
    <t>代理人的暴击伤害提升40%。</t>
  </si>
  <si>
    <t>敌人的失衡持续时间提升20%。</t>
  </si>
  <si>
    <t>还款数量降低30%。</t>
  </si>
  <si>
    <t>每次战斗结束，全队回复20%生命值。</t>
  </si>
  <si>
    <t>属性异常效果造成的伤害提升60%。</t>
  </si>
  <si>
    <t>[招架支援]造成的失衡值提升60%，[支援突击]造成的伤害提升100%。</t>
  </si>
  <si>
    <t>[出战]企鹅布</t>
  </si>
  <si>
    <t>[主动技]：招式发动时，舞动冰刀对敌人进行连续斩击，造成冰属性伤害并累积冰属性异常积蓄值。</t>
  </si>
  <si>
    <t>[邦布连携技]：对目标进行持续斩击，造成&lt;color=#98EFF0&gt;冰属性伤害并累积大量冰属性异常积蓄值。&lt;/color&gt;</t>
  </si>
  <si>
    <t>CardBangbooPenguinboo.png</t>
  </si>
  <si>
    <t>[出战]招财布</t>
  </si>
  <si>
    <t>[主动技]：招式发动时，投掷大量金币对敌人进行持续打击，造成物理伤害并累积物理异常积蓄值。</t>
  </si>
  <si>
    <t>CardBangbooLuckyboo.png</t>
  </si>
  <si>
    <t>[出战]寻宝布</t>
  </si>
  <si>
    <t>[主动技]：招式发动时，对附近地面进行探测与挖掘，完成时将基于自身属性值对角色施加随机增益效果：增益1：回复生命值；增益2：提供护盾值；增益3：能量自动回复提升。</t>
  </si>
  <si>
    <t>CardBangbooExploreboo.png</t>
  </si>
  <si>
    <t>[出战]扑击布</t>
  </si>
  <si>
    <t>[主动技]：招式发动时，向敌人跃起并进行下落打击，造成范围物理伤害；招式具有较强的打断能力。</t>
  </si>
  <si>
    <t>CardBangbooSumoboo.png</t>
  </si>
  <si>
    <t>[出战]纸壳布</t>
  </si>
  <si>
    <t>[主动技]：招式发动时，藏入纸盒进行伪装，伪装状态具有嘲讽效果；在伪装状态下受到敌方攻击或达到最大持续时间时，将会引发爆炸，造成范围物理伤害。</t>
  </si>
  <si>
    <t>[邦布连携技]：藏入纸盒并跳向目标，落地时引发爆炸，造成大范围&lt;color=#F0D12B&gt;物理伤害。&lt;/color&gt;</t>
  </si>
  <si>
    <t>CardBangbooPaperboo.png</t>
  </si>
  <si>
    <t>[出战]纸袋布</t>
  </si>
  <si>
    <t>[主动技]：招式发动时，使用双刀对敌人进行连续斩击，造成物理伤害。</t>
  </si>
  <si>
    <t>[邦布连携技]：对目标进行连续斩击，造成大量&lt;color=#F0D12B&gt;物理伤害。&lt;/color&gt;</t>
  </si>
  <si>
    <t>CardBangbooBagboo.png</t>
  </si>
  <si>
    <t>[出战]泪眼布</t>
  </si>
  <si>
    <t>[主动技]：招式发动时，向敌人投掷炸弹，造成火属性伤害并累积火属性异常积蓄值。</t>
  </si>
  <si>
    <t>[邦布连携技]：对目标投掷炸弹，造成&lt;color=#FF5521&gt;火属性伤害并累积大量火属性异常积蓄值。&lt;/color&gt;</t>
  </si>
  <si>
    <t>CardBangbooCryboo.png</t>
  </si>
  <si>
    <t>[出战]果核布</t>
  </si>
  <si>
    <t>[主动技]：招式发动时，向场上角色发射果汁弹，果汁弹未命中目标时将在地面停留一段时间；角色接触果汁弹时，可以为自身回复生命值，每场战斗中最多触发15次。</t>
  </si>
  <si>
    <t>CardBangbooAvocaboo.png</t>
  </si>
  <si>
    <t>[出战]飞靶布</t>
  </si>
  <si>
    <t>[主动技]：招式发动时，向敌人投射飞镖，造成物理伤害。</t>
  </si>
  <si>
    <t>[邦布连携技]：用弹弓发射自身，飞向目标并进行连续斩击，造成大量&lt;color=#F0D12B&gt;物理伤害。&lt;/color&gt;</t>
  </si>
  <si>
    <t>CardBangbooBoollseye.png</t>
  </si>
  <si>
    <t>[出战]电击布</t>
  </si>
  <si>
    <t>[主动技]：招式发动时，向敌人冲锋并进行多段电击，造成电属性伤害并累积电属性异常积蓄值。</t>
  </si>
  <si>
    <t>[邦布连携技]：对目标进行连续电击，造成&lt;color=#2EB6FF&gt;电属性伤害并累积大量电属性异常积蓄值。&lt;/color&gt;</t>
  </si>
  <si>
    <t>CardBangbooElectroboo.png</t>
  </si>
  <si>
    <t>[出战]磁力布</t>
  </si>
  <si>
    <t>[主动技]：招式发动时，持续牵引周围敌人，并对命中的所有敌人造成物理伤害。</t>
  </si>
  <si>
    <t>CardBangbooMagnetiboo.png</t>
  </si>
  <si>
    <t>[出战]气压布</t>
  </si>
  <si>
    <t>[主动技]：招式发动时，吹出以太气泡，以太气泡接触角色时，可以为其回复能量值。</t>
  </si>
  <si>
    <t>CardBangbooBooressure.png</t>
  </si>
  <si>
    <t>[出战]不良布</t>
  </si>
  <si>
    <t>[主动技]：招式发动时，使用火箭弹和燃烧瓶打击目标敌人，造成火属性伤害。</t>
  </si>
  <si>
    <t>[邦布连携技]：向前跳跃并发射火箭弹，对前方大范围敌人造成&lt;color=#FF5521&gt;火属性伤害。&lt;/color&gt;</t>
  </si>
  <si>
    <t>CardBangbooBaddieboo.png</t>
  </si>
  <si>
    <t>[出战]加班布</t>
  </si>
  <si>
    <t>[主动技]：招式发动时，推动电脑桌撞击目标敌人，造成物理伤害。</t>
  </si>
  <si>
    <t>CardBangbooOvertimeboo.png</t>
  </si>
  <si>
    <t>[出战]格斗布</t>
  </si>
  <si>
    <t>[主动技]：招式发动时，蓄力升空，进入[凌空]状态；在[凌空]状态期间，代理人重击命中敌人时，格斗布会发动俯冲攻击，对目标敌人造成火属性伤害。</t>
  </si>
  <si>
    <t>[邦布连携技]：跳跃至空中，连续打击前方大范围敌人，造成&lt;color=#FF5521&gt;火属性伤害。&lt;/color&gt;</t>
  </si>
  <si>
    <t>CardBangbooCombatboo.png</t>
  </si>
  <si>
    <t>[出战]圣剑布</t>
  </si>
  <si>
    <t>[主动技]：招式发动时，圣剑布尝试拔剑：若拔剑失败，将使用三连锤击，造成物理伤害；若拔剑成功，将使用剑斩击目标，造成大量物理伤害。</t>
  </si>
  <si>
    <t>[邦布连携技]：使用圣剑猛烈锤击前方敌人，造成大量&lt;color=#F0D12B&gt;物理伤害。&lt;/color&gt;</t>
  </si>
  <si>
    <t>CardBangbooExcaliboo.png</t>
  </si>
  <si>
    <t>[出战]骑士布</t>
  </si>
  <si>
    <t>[主动技]：招式发动时，骑乘白蹦蹦连续跳跃，并在周围召唤出3枚[骑士之星]；角色接触[骑士之星]时，可以为自身回复能量值。</t>
  </si>
  <si>
    <t>[邦布连携技]：召唤3只白蹦蹦，在前方范围内进行最多10次踩踏，每次踩踏对范围内的敌人造成&lt;color=#FE437E&gt;以太伤害。&lt;/color&gt;</t>
  </si>
  <si>
    <t>CardBangbooKnightboo.png</t>
  </si>
  <si>
    <t>[出战]乐玩布</t>
  </si>
  <si>
    <t>[主动技]：招式发动时，挥动法杖，使用积木将其组装成大锤抡向敌人，命中敌人四次或者挥动三轮大锤后，跃起下砸，会向四周爆出[积木地刺]；敌人接触[积木地刺]时，造成物理伤害。</t>
  </si>
  <si>
    <t>[邦布连携技]：全力挥动法杖，将面前的积木打出，造成大量&lt;color=#F0D12B&gt;物理伤害。&lt;/color&gt;</t>
  </si>
  <si>
    <t>CardBangbooBildNBoolok.png</t>
  </si>
  <si>
    <t>[出战]鲨牙布</t>
  </si>
  <si>
    <t>[主动技]：招式发动时，在原地设置追踪陷阱，触发时撕咬敌人并召唤鱼雷打击，造成冰属性伤害并累积冰属性异常积蓄值。</t>
  </si>
  <si>
    <t>[邦布连携技]：召唤追踪陷阱并跳向目标，落地时引发爆炸，造成&lt;color=#98EFF0&gt;冰属性伤害并累积大量冰属性异常积蓄值。&lt;/color&gt;</t>
  </si>
  <si>
    <t>CardBangbooSharkboo.png</t>
  </si>
  <si>
    <t>[出战]阿全</t>
  </si>
  <si>
    <t>[主动技]：招式发动时，进入驾驶状态向敌人冲撞，成功命中时将发动电钻攻击，造成物理伤害。</t>
  </si>
  <si>
    <t>[邦布连携技]：进入驾驶状态向目标冲撞，成功命中时将发动多段电钻攻击，造成大量&lt;color=#F0D12B&gt;物理伤害。&lt;/color&gt;</t>
  </si>
  <si>
    <t>CardBangbooSafety.png</t>
  </si>
  <si>
    <t>[出战]恶魔布</t>
  </si>
  <si>
    <t>[主动技]：招式发动时，进入飞行状态，持续对敌人发射追踪子弹，造成以太伤害并累积以太异常积蓄值。</t>
  </si>
  <si>
    <t>[邦布连携技]：向目标发射激光，随后进入协同状态，在角色攻击时同步向目标发射追踪子弹，造成&lt;color=#FE437E&gt;以太伤害并累积以太异常积蓄值，最多持续30秒或触发10次。&lt;/color&gt;</t>
  </si>
  <si>
    <t>CardBangbooDevilboo.png</t>
  </si>
  <si>
    <t>[出战]巴特勒</t>
  </si>
  <si>
    <t>[主动技]：招式发动时，立即着手制作爱心茶点，茶点完成并送达时，可以为目标角色回复能量值。</t>
  </si>
  <si>
    <t>[邦布连携技]：使用平底锅与松饼对目标进行远程攻击，造成大量&lt;color=#F0D12B&gt;物理伤害。&lt;/color&gt;</t>
  </si>
  <si>
    <t>CardBangbooButler.png</t>
  </si>
  <si>
    <t>[出战]艾米莉安</t>
  </si>
  <si>
    <t>[主动技]：招式发动时，在原地架设机枪对敌人进行持续射击，造成大量物理伤害。</t>
  </si>
  <si>
    <t>[邦布连携技]：使用机枪和终结机炮对目标进行压制射击，造成大量&lt;color=#F0D12B&gt;物理伤害。&lt;/color&gt;</t>
  </si>
  <si>
    <t>CardBangbooAmillion.png</t>
  </si>
  <si>
    <t>[出战]飚速布</t>
  </si>
  <si>
    <t>[主动技]：招式发动时，骑乘火箭向敌人发起冲锋，成功命中目标时引发爆炸，对范围内的敌人造成火属性伤害，并累积火属性异常积蓄值。</t>
  </si>
  <si>
    <t>[邦布连携技]：立即骑乘火箭向目标发起冲锋，成功命中时引发强力爆炸，对大范围内的敌人造成&lt;color=#FF5521&gt;火属性伤害并累积大量火属性异常积蓄值。&lt;/color&gt;</t>
  </si>
  <si>
    <t>CardBangbooRocketboo.png</t>
  </si>
  <si>
    <t>[出战]插头布</t>
  </si>
  <si>
    <t>[主动技]：招式发动时，对敌人发动电磁炮击，造成电属性伤害并累积电属性异常积蓄值。</t>
  </si>
  <si>
    <t>[邦布连携技]：对周身大范围敌人发动强力电属性攻击，造成&lt;color=#2EB6FF&gt;电属性伤害并累积大量电属性异常积蓄值。&lt;/color&gt;</t>
  </si>
  <si>
    <t>CardBangbooPlugboo.png</t>
  </si>
  <si>
    <t>[出战]共鸣布</t>
  </si>
  <si>
    <t>[主动技]：招式发动时，召唤以太黑洞，持续牵引周围敌人，并对命中的所有敌人造成以太伤害并累积以太异常积蓄值。</t>
  </si>
  <si>
    <t>[邦布连携技]：对目标投掷以太炸弹，造成&lt;color=#FE437E&gt;以太伤害并累积大量以太异常积蓄值。&lt;/color&gt;</t>
  </si>
  <si>
    <t>CardBangbooResonaboo.png</t>
  </si>
  <si>
    <t>[出战]赤红莫库斯</t>
  </si>
  <si>
    <t>[主动技]：招式发动时，驾驶摩托，将最远的敌人推至代理人身边，并造成物理伤害。</t>
  </si>
  <si>
    <t>[邦布连携技]：驾驶摩托碾压敌人并引发爆炸，造成大量&lt;color=#F0D12B&gt;物理伤害。&lt;/color&gt;</t>
  </si>
  <si>
    <t>CardBangbooRedMoccus.png</t>
  </si>
  <si>
    <t>[出战]阿崔巡查</t>
  </si>
  <si>
    <t>[主动技]：招式发动时，发动两段攻击，连续撕咬前方敌人，造成物理伤害。</t>
  </si>
  <si>
    <t>[邦布连携技]：连续撕咬前方范围内的敌人，造成大量&lt;color=#F0D12B&gt;物理伤害。&lt;/color&gt;</t>
  </si>
  <si>
    <t>CardBangbooOfficerCui.png</t>
  </si>
  <si>
    <t>[出战]左轮布</t>
  </si>
  <si>
    <t>[主动技]：随机使用一枚子弹，并根据子弹类型发动不同的招式：强力礼花弹：对敌人进行强力射击，造成大量物理伤害并累积大量物理异常积蓄值；普通礼花弹：对敌人进行射击，造成物理伤害并累积物理异常积蓄值；彩弹：射击失败，从枪口发射花瓣。</t>
  </si>
  <si>
    <t>[邦布连携技]：对目标进行连续射击，造成&lt;color=#F0D12B&gt;物理伤害并累积大量物理异常积蓄值。&lt;/color&gt;</t>
  </si>
  <si>
    <t>CardBangbooBangvolver.png</t>
  </si>
  <si>
    <t>[出战]格列佛探员</t>
  </si>
  <si>
    <t>[主动技]：招式发动时，向前方进行3段穿透射击，造成电属性伤害并累积电属性异常积蓄值。</t>
  </si>
  <si>
    <t>[邦布连携技]：向前方进行1段强力穿透射击，造成&lt;color=#2EB6FF&gt;电属性伤害并累积大量电属性异常积蓄值。&lt;/color&gt;</t>
  </si>
  <si>
    <t>CardBangbooAgentGulliver.png</t>
  </si>
  <si>
    <t>[出战]咔嚓仔</t>
  </si>
  <si>
    <t>[主动技]：招式发动时，擦拭镜头，获得3枚[胶卷]；咔嚓仔持有[胶卷]期间，代理人发动[闪避反击]、[快速支援]、[支援突击]时，咔嚓仔会消耗1枚[胶卷]进行抓拍，为代理人施加[巨星]状态，使代理人造成的伤害提升，持续10秒。</t>
  </si>
  <si>
    <t>[邦布连携技]：向前方进行1段强力穿透射击，造成&lt;color=#FE437E&gt;以太伤害并累积以太异常积蓄值。&lt;/color&gt;</t>
  </si>
  <si>
    <t>CardBangbooParazzi.png</t>
  </si>
  <si>
    <t>[出战]罗宾</t>
  </si>
  <si>
    <t>[主动技]：招式发动时，使用魔术枪连续发射随机卡牌，并根据卡牌类型造成不同的效果：[红心]，造成大量物理伤害；[黑桃]，造成物理伤害并累计大量失衡值；[皇冠]，造成以太伤害并累积以太异常积蓄值。</t>
  </si>
  <si>
    <t>[邦布连携技]：向前方投掷魔术手雷，造成&lt;color=#FE437E&gt;以太伤害并累积以太异常积蓄值。&lt;/color&gt;</t>
  </si>
  <si>
    <t>CardBangbooPhantomboo.png</t>
  </si>
  <si>
    <t>[出战]狮耶</t>
  </si>
  <si>
    <t>[主动技]：招式发动时，向敌人投射石球，石球会在敌人之间弹射，并对命中的所有敌人造成大量物理伤害。</t>
  </si>
  <si>
    <t>[邦布连携技]：旋转撞击前方敌人，造成大量&lt;color=#F0D12B&gt;物理伤害。&lt;/color&gt;</t>
  </si>
  <si>
    <t>CardBangbooBelion.png</t>
  </si>
  <si>
    <t>[出战]艾丝弥小姐</t>
  </si>
  <si>
    <t>[主动技]：招式发动时，变身进入飞行状态，连续随机召唤出3枚[幻泡]或[星莹]：角色接触[幻泡]时，可以为自身回复生命值；角色接触[星莹]时，可以为自身回复能量值；前场代理人当前生命值百分比越高，艾丝弥小姐召唤[星莹]的概率越高。</t>
  </si>
  <si>
    <t>[邦布连携技]：投掷一枚魔法炸弹，造成&lt;color=#F0D12B&gt;物理伤害并累积大量物理异常积蓄值。&lt;/color&gt;</t>
  </si>
  <si>
    <t>CardBangbooSailorBoo.png</t>
  </si>
  <si>
    <t>[出战]「墨丘利」</t>
  </si>
  <si>
    <t>[主动技]：招式发动时，「墨丘利」召唤载具进行驾驶，对敌人进行持续的火焰喷射，造成大量火属性伤害。</t>
  </si>
  <si>
    <t>[邦布连携技]：将自身作为炮弹装入载具中向敌人发射，命中敌人后产生爆炸，对敌人造成大量&lt;color=#FF5521&gt;火属性伤害。&lt;/color&gt;</t>
  </si>
  <si>
    <t>CardBangbooBattleboo.png</t>
  </si>
  <si>
    <t>[出战]比克布利克</t>
  </si>
  <si>
    <t>[主动技]：招式发动时，投掷出浮游炮，浮游炮可以发射最多3段激光，攻击目标敌人，造成物理伤害并累计大量失衡值。</t>
  </si>
  <si>
    <t>[邦布连携技]：使用浮游炮发射强力激光，对前方敌人造成大量&lt;color=#F0D12B&gt;物理伤害。&lt;/color&gt;</t>
  </si>
  <si>
    <t>CardBangbooBirkblick.png</t>
  </si>
  <si>
    <t>[出战]芽芽</t>
  </si>
  <si>
    <t>[主动技]：招式发动时，如果场上没有[剑]，芽芽会召唤六把飞剑攻击目标敌人，造成物理伤害并累积物理异常积蓄值；如果场上有[剑]，芽芽会进行踩剑蓄力，发动更为强力的连斩攻击，造成大量物理伤害并累积物理异常积蓄值。</t>
  </si>
  <si>
    <t>[邦布连携技]：召唤巨大的归一之剑，刺向前方敌人，造成大量&lt;color=#F0D12B&gt;物理伤害并累积物理异常积蓄值。&lt;/color&gt;</t>
  </si>
  <si>
    <t>CardBangbooYaYa.png</t>
  </si>
  <si>
    <t>[助战]企鹅布</t>
  </si>
  <si>
    <t>全队造成的冰属性伤害提升10%。
    [主动技]：招式发动时，舞动冰刀对敌人进行连续斩击，造成冰属性伤害并累积冰属性异常积蓄值。</t>
  </si>
  <si>
    <t>个头小小，功能很好，是绳匠在空洞内的好帮手</t>
  </si>
  <si>
    <t>[助战]招财布</t>
  </si>
  <si>
    <t>全队造成的物理伤害提升10%。
    [主动技]：招式发动时，投掷大量金币对敌人进行持续打击，造成物理伤害并累积物理异常积蓄值。</t>
  </si>
  <si>
    <t>[助战]寻宝布</t>
  </si>
  <si>
    <t>全队能量自动回复提升5%。
    [主动技]：招式发动时，对附近地面进行探测与挖掘，完成时将基于自身属性值对角色施加随机增益效果：增益1：回复生命值；增益2：提供护盾值；增益3：能量自动回复提升。</t>
  </si>
  <si>
    <t>[助战]扑击布</t>
  </si>
  <si>
    <t>全队暴击伤害提升16%。
    [主动技]：招式发动时，向敌人跃起并进行下落打击，造成范围物理伤害；招式具有较强的打断能力。</t>
  </si>
  <si>
    <t>[助战]纸壳布</t>
  </si>
  <si>
    <t>全队防御力提升10%。
    [主动技]：招式发动时，藏入纸盒进行伪装，伪装状态具有嘲讽效果；在伪装状态下受到敌方攻击或达到最大持续时间时，将会引发爆炸，造成范围物理伤害。</t>
  </si>
  <si>
    <t>[助战]纸袋布</t>
  </si>
  <si>
    <t>全队暴击伤害提升16%。
    [主动技]：招式发动时，使用双刀对敌人进行连续斩击，造成物理伤害。</t>
  </si>
  <si>
    <t>[助战]泪眼布</t>
  </si>
  <si>
    <t>全队造成的火属性伤害提升10%。
    [主动技]：招式发动时，向敌人投掷炸弹，造成火属性伤害并累积火属性异常积蓄值。</t>
  </si>
  <si>
    <t>[助战]果核布</t>
  </si>
  <si>
    <t>全队受到的伤害降低10%。
    [主动技]：招式发动时，向场上角色发射果汁弹，果汁弹未命中目标时将在地面停留一段时间；角色接触果汁弹时，可以为自身回复生命值，每场战斗中最多触发15次。</t>
  </si>
  <si>
    <t>[助战]飞靶布</t>
  </si>
  <si>
    <t>全队暴击率提升8%。
    [主动技]：招式发动时，向敌人投射飞镖，造成物理伤害。</t>
  </si>
  <si>
    <t>[助战]电击布</t>
  </si>
  <si>
    <t>全队造成的电属性伤害提升10%。
    [主动技]：招式发动时，向敌人冲锋并进行多段电击，造成电属性伤害并累积电属性异常积蓄值。</t>
  </si>
  <si>
    <t>[助战]磁力布</t>
  </si>
  <si>
    <t>全队暴击伤害提升16%。
    [主动技]：招式发动时，持续牵引周围敌人，并对命中的所有敌人造成物理伤害。</t>
  </si>
  <si>
    <t>[助战]气压布</t>
  </si>
  <si>
    <t>全队能量自动回复提升5%。
    [主动技]：招式发动时，吹出以太气泡，以太气泡接触角色时，可以为其回复能量值。</t>
  </si>
  <si>
    <t>[助战]不良布</t>
  </si>
  <si>
    <t>全队造成的火属性伤害提升10%。
    [主动技]：招式发动时，使用火箭弹和燃烧瓶打击目标敌人，造成火属性伤害。</t>
  </si>
  <si>
    <t>[助战]骑士布</t>
  </si>
  <si>
    <t>全队暴击伤害提升16%。
    [主动技]：招式发动时，骑乘白蹦蹦连续跳跃，并在周围召唤出3枚[骑士之星]；角色接触[骑士之星]时，可以为自身回复能量值。</t>
  </si>
  <si>
    <t>[助战]鲨牙布</t>
  </si>
  <si>
    <t>全队造成的冰属性伤害提升15%。
    [主动技]：招式发动时，在原地设置追踪陷阱，触发时撕咬敌人并召唤鱼雷打击，造成冰属性伤害并累积冰属性异常积蓄值。</t>
  </si>
  <si>
    <t>[助战]阿全</t>
  </si>
  <si>
    <t>全队暴击伤害提升24%。
    [主动技]：招式发动时，进入驾驶状态向敌人冲撞，成功命中时将发动电钻攻击，造成物理伤害。</t>
  </si>
  <si>
    <t>[助战]恶魔布</t>
  </si>
  <si>
    <t>全队造成的以太伤害提升15%。
    [主动技]：招式发动时，进入飞行状态，持续对敌人发射追踪子弹，造成以太伤害并累积以太异常积蓄值。</t>
  </si>
  <si>
    <t>[助战]巴特勒</t>
  </si>
  <si>
    <t>全队能量自动回复提升7.5%。
    [主动技]：招式发动时，立即着手制作爱心茶点，茶点完成并送达时，可以为目标角色回复能量值。</t>
  </si>
  <si>
    <t>[助战]艾米莉安</t>
  </si>
  <si>
    <t>全队暴击率提升12%。
    [主动技]：招式发动时，在原地架设机枪对敌人进行持续射击，造成大量物理伤害。</t>
  </si>
  <si>
    <t>[助战]飚速布</t>
  </si>
  <si>
    <t>全队造成的火属性伤害提升15%。
    [主动技]：招式发动时，骑乘火箭向敌人发起冲锋，成功命中目标时引发爆炸，对范围内的敌人造成火属性伤害，并累积火属性异常积蓄值。</t>
  </si>
  <si>
    <t>[助战]插头布</t>
  </si>
  <si>
    <t>全队造成的电属性伤害提升15%。
    [主动技]：招式发动时，对敌人发动电磁炮击，造成电属性伤害并累积电属性异常积蓄值。</t>
  </si>
  <si>
    <t>[助战]共鸣布</t>
  </si>
  <si>
    <t>全队造成的以太伤害提升15%。
    [主动技]：招式发动时，召唤以太黑洞，持续牵引周围敌人，并对命中的所有敌人造成以太伤害并累积以太异常积蓄值。</t>
  </si>
  <si>
    <t>[助战]赤红莫库斯</t>
  </si>
  <si>
    <t>全队造成的物理伤害提升15%。
    [主动技]：招式发动时，驾驶摩托，将最远的敌人推至代理人身边，并造成物理伤害。</t>
  </si>
  <si>
    <t>[助战]阿崔巡查</t>
  </si>
  <si>
    <t>全队暴击伤害提升24%。
    [主动技]：招式发动时，发动两段攻击，连续撕咬前方敌人，造成物理伤害。</t>
  </si>
  <si>
    <t>[助战]左轮布</t>
  </si>
  <si>
    <t>全队造成的物理伤害提升15%。
    [主动技]：随机使用一枚子弹，并根据子弹类型发动不同的招式：强力礼花弹：对敌人进行强力射击，造成大量物理伤害并累积大量物理异常积蓄值；普通礼花弹：对敌人进行射击，造成物理伤害并累积物理异常积蓄值；彩弹：射击失败，从枪口发射花瓣。</t>
  </si>
  <si>
    <t>引燃鸣徽补给</t>
  </si>
  <si>
    <t>内含3枚催化后的[引燃]流派随机鸣徽</t>
  </si>
  <si>
    <t>防卫军为执行闪击作战的队伍特别配发的鸣徽补给，请别责怪封装补给包的后勤兵眼神不好，他只是有些着急——或许，这也能带来惊喜？</t>
  </si>
  <si>
    <t>CardLootBoxEDrink.png</t>
  </si>
  <si>
    <t>能量鸣徽补给</t>
  </si>
  <si>
    <t>内含3枚催化后的[能量]流派随机鸣徽</t>
  </si>
  <si>
    <t>CardLootBoxDrink.png</t>
  </si>
  <si>
    <t>暴击鸣徽补给</t>
  </si>
  <si>
    <t>内含3枚催化后的[暴击]流派随机鸣徽</t>
  </si>
  <si>
    <t>CardLootBoxGun.png</t>
  </si>
  <si>
    <t>护盾鸣徽补给</t>
  </si>
  <si>
    <t>内含3枚催化后的[护盾]流派随机鸣徽</t>
  </si>
  <si>
    <t>CardLootBoxArmor.png</t>
  </si>
  <si>
    <t>感电鸣徽补给</t>
  </si>
  <si>
    <t>内含3枚催化后的[感电]流派随机鸣徽</t>
  </si>
  <si>
    <t>CardLootBoxElectro.png</t>
  </si>
  <si>
    <t>决斗鸣徽补给</t>
  </si>
  <si>
    <t>内含3枚催化后的[决斗]流派随机鸣徽</t>
  </si>
  <si>
    <t>CardLootBoxBlunt.png</t>
  </si>
  <si>
    <t>闪避鸣徽补给</t>
  </si>
  <si>
    <t>内含3枚催化后的[闪避]流派随机鸣徽</t>
  </si>
  <si>
    <t>CardLootBoxSports.png</t>
  </si>
  <si>
    <t>冻结鸣徽补给</t>
  </si>
  <si>
    <t>内含3枚催化后的[冻结]流派随机鸣徽</t>
  </si>
  <si>
    <t>CardLootBoxFrozen.png</t>
  </si>
  <si>
    <t>强袭鸣徽补给</t>
  </si>
  <si>
    <t>内含3枚催化后的[强袭]流派随机鸣徽</t>
  </si>
  <si>
    <t>CardLootBoxUtensil.png</t>
  </si>
  <si>
    <t>支援鸣徽补给</t>
  </si>
  <si>
    <t>内含3枚催化后的[支援]流派随机鸣徽</t>
  </si>
  <si>
    <t>CardLootBoxMagic.png</t>
  </si>
  <si>
    <t>以太鸣徽补给</t>
  </si>
  <si>
    <t>内含3枚催化后的[以太]流派随机鸣徽</t>
  </si>
  <si>
    <t>CardLootBoxTech.png</t>
  </si>
  <si>
    <t>协助鸣徽补给</t>
  </si>
  <si>
    <t>内含3枚催化后的[协助]流派随机鸣徽</t>
  </si>
  <si>
    <t>CardLootBoxToy.png</t>
  </si>
  <si>
    <t>顽强鸣徽补给</t>
  </si>
  <si>
    <t>内含3枚催化后的[顽强]流派随机鸣徽</t>
  </si>
  <si>
    <t>CardLootBoxTenacity.png</t>
  </si>
  <si>
    <t>「抗性衰弱」</t>
  </si>
  <si>
    <t>陷阱的惩罚增加了。</t>
  </si>
  <si>
    <t>身与心一同变得衰弱，渺小得如同空洞中的残骸。</t>
  </si>
  <si>
    <t>HallowBuff02.png</t>
  </si>
  <si>
    <t>「鸣徽斥性」</t>
  </si>
  <si>
    <t>选择鸣徽时，可选数量降低。</t>
  </si>
  <si>
    <t>有一种莫名的抵触感…这东西和以骸的气息太像了，不会是它们的胚胎吧？</t>
  </si>
  <si>
    <t>「震慑」</t>
  </si>
  <si>
    <t>压力过载时，全体队员会损失生命值。</t>
  </si>
  <si>
    <t>「完了，这下全完了！」「我刚才打了个喷嚏，是不是要死了？」</t>
  </si>
  <si>
    <t>「活化效应」</t>
  </si>
  <si>
    <t>敌人的失衡值会缓慢流失，但失衡易伤倍率提升。</t>
  </si>
  <si>
    <t>特殊而细微的以太环绕在队员周身挥之不去，这似乎对以骸有一定的活化作用。</t>
  </si>
  <si>
    <t>「斗志涣散」</t>
  </si>
  <si>
    <t>后场角色的能量值会逐渐流失。</t>
  </si>
  <si>
    <t>汹涌的斗志逐渐干涸，战斗变得只是为了活下去而已。</t>
  </si>
  <si>
    <t>「险恶共鸣」</t>
  </si>
  <si>
    <t>首领敌人的攻击有几率造成暴击。</t>
  </si>
  <si>
    <t>令人不敢轻易喘息。</t>
  </si>
  <si>
    <t>HallowBuff01.png</t>
  </si>
  <si>
    <t>「狐疑」</t>
  </si>
  <si>
    <t>压力值增长时，有一定概率不增长，或者增长更多。</t>
  </si>
  <si>
    <t>心中的不安左右摇摆，似有似无，愈演愈烈。</t>
  </si>
  <si>
    <t>「蛮横」</t>
  </si>
  <si>
    <t>邦布商人贩卖的商品价格降低，但数量减少。</t>
  </si>
  <si>
    <t>不知为何，大家的心性变得暴躁强硬了起来，连邦布商人都招架不住。</t>
  </si>
  <si>
    <t>「自我安慰」</t>
  </si>
  <si>
    <t>压力值增长时，会获得齿轮硬币，但齿轮硬币最多拥有3333枚。</t>
  </si>
  <si>
    <t>「别慌，别慌…」「只要手里还有齿轮硬币，就一定能在空洞里活下来…」</t>
  </si>
  <si>
    <t>「知觉同化」</t>
  </si>
  <si>
    <t>压力值增长量降低，但获得鸣徽时会损失一定生命值。</t>
  </si>
  <si>
    <t>你感觉适应了躁动以太带来的灼痛，正逐渐与空洞融为一体…而这往往是崩溃的前兆。</t>
  </si>
  <si>
    <t>「恶性依赖」</t>
  </si>
  <si>
    <t>战斗结束后会回复生命值，同时增长压力值。</t>
  </si>
  <si>
    <t>被击败的敌人爆散出强烈的以太，沐浴在其中就会感到前所未有的舒畅。代价是什么已经无所谓了，更多！还要更多的敌人…</t>
  </si>
  <si>
    <t>「虚弱」</t>
  </si>
  <si>
    <t>[闪避]的冷却时间提升。</t>
  </si>
  <si>
    <t>原本游刃有余的战斗招式…现在连回想起来都费劲。</t>
  </si>
  <si>
    <t>「疲乏」</t>
  </si>
  <si>
    <t>通过监视器探索时会损失生命值，在战斗中前场角色会逐渐流失生命值。</t>
  </si>
  <si>
    <t>以太侵蚀如空气一般，渗透进了每一个人的体内。不论是生命体还是机械，都难以逃脱。</t>
  </si>
  <si>
    <t>「惊骇阴影」</t>
  </si>
  <si>
    <t>死路屠夫造成的伤害提升20%，攻击命中我方角色时，死路屠夫将回复失衡值与少量生命值。</t>
  </si>
  <si>
    <t>惊恐在记忆的阴影中蛰伏着，沉睡着，并将随着下一次无法控制的剧烈心跳再次苏醒。</t>
  </si>
  <si>
    <t>「巨物恐惧」</t>
  </si>
  <si>
    <t>复合侵蚀体造成的伤害提升30%，受到我方攻击时不再累积失衡值，但其易损部位被破坏时将会累积大量失衡值。</t>
  </si>
  <si>
    <t>当彻底认识到自己的渺小后，躲避的步伐变得踉跄无力，进攻的尝试顿觉毫无意义。</t>
  </si>
  <si>
    <t>「恐怖谷」</t>
  </si>
  <si>
    <t>冥宁芙· 双子造成的伤害提升50%，复活速度大幅提升。</t>
  </si>
  <si>
    <t>因「相像」而犹疑，因「不是」而崩溃。</t>
  </si>
  <si>
    <t>「苛刻」</t>
  </si>
  <si>
    <t>邦布商人只会贩卖S级别的商品。</t>
  </si>
  <si>
    <t>「宽容」二字从脑袋中被剥离，看待一切事物的眼光都变得挑剔。</t>
  </si>
  <si>
    <t>「贪婪无度」</t>
  </si>
  <si>
    <t>遭遇齿轮硬币事件时，获得更多齿轮硬币，同时增长更多压力值。</t>
  </si>
  <si>
    <t>忘却节制，摆脱约束，不堪负重的压力只能靠豪夺来发泄。</t>
  </si>
  <si>
    <t>「过度谨慎」</t>
  </si>
  <si>
    <t>进入下一层和终点战斗前会收取300齿轮硬币并回复10%全队生命值，如果拒绝支付会立刻扣除15%全队生命值。</t>
  </si>
  <si>
    <t>不知不觉中，谨慎成为了畏惧前行的挡箭牌。在充满恶意的空洞中寻找着不存在的万全之策。</t>
  </si>
  <si>
    <t>「破坏欲」</t>
  </si>
  <si>
    <t>休息区和及时补给无法回复生命值，但每场战斗后全队回复3%生命值，进入下一层和终点战斗前全队回复10%生命值。</t>
  </si>
  <si>
    <t>无法遏制的破坏欲凌驾于理性之上，只有将其填满的瞬间才能获得一丝宽慰。</t>
  </si>
  <si>
    <t>「攫取狂热」</t>
  </si>
  <si>
    <t>在邦布商人处购买货物不再支付齿轮硬币，改为支付生命值。</t>
  </si>
  <si>
    <t>想要，目之所及的一切全都想要，代价已不重要。
    拿来，然后拿走。</t>
  </si>
  <si>
    <t>「原始恶意」</t>
  </si>
  <si>
    <t>「提丰· 重击者型」造成的伤害提升30%，并且免疫所有的属性异常状态。</t>
  </si>
  <si>
    <t>如同模仿人类使用武器的猩猩一般，隔绝理性的蛮兽熟练扣动着扳机，让人联想到身处蛮荒之地才会面临的原始恶意。</t>
  </si>
  <si>
    <t>「寄生异菌」</t>
  </si>
  <si>
    <t>代理人生命值高于50%时，生命值恢复效果大幅降低。代理人生命值低于50%时，生命值恢复效果大幅提升。</t>
  </si>
  <si>
    <t>在你茁壮时贪婪，在你虚弱时慈悲…</t>
  </si>
  <si>
    <t>拥有[斗志]的代理人对敌人施加[灼烧]效果时，[灼烧]伤害的触发间隔降低50%。</t>
  </si>
  <si>
    <t>[灼烧]效果造成的伤害提升60%。</t>
  </si>
  <si>
    <t>拥有[斗志]时，火属性伤害的穿透率提升25%。</t>
  </si>
  <si>
    <t>造成火属性伤害时，全队获得1层[斗志]，6秒内最多触发一次。</t>
  </si>
  <si>
    <t>代理人的火属性异常积蓄效率提升45%。</t>
  </si>
  <si>
    <t>发动[强化特殊技]时，全队获得2层[斗志]。</t>
  </si>
  <si>
    <t>对敌人施加[灼烧]效果时，全队获得2层[斗志]。</t>
  </si>
  <si>
    <t>代理人造成的火属性伤害提升25%。</t>
  </si>
  <si>
    <t>火属性伤害的暴击伤害提升30%。</t>
  </si>
  <si>
    <t>[灼烧]状态下，敌人的攻击力降低25%。</t>
  </si>
  <si>
    <t>[灼烧]效果的持续时间提升3秒。</t>
  </si>
  <si>
    <t>发动[强化特殊技]时，代理人造成的伤害提升15%，最多叠加5层，持续30秒，每层效果单独结算持续时间。</t>
  </si>
  <si>
    <t>进入战场时，随机1名代理人回复100%能量，全队造成的伤害提升10%。</t>
  </si>
  <si>
    <t>[终结技]造成的伤害提升45%，失衡值提升15%。</t>
  </si>
  <si>
    <t>发动[连携技]时，代理人回复8点能量。</t>
  </si>
  <si>
    <t>发动[终结技]时，全队回复12点能量。</t>
  </si>
  <si>
    <t>触发[极限闪避]时，代理人回复6点能量，5秒内最多触发一次。</t>
  </si>
  <si>
    <t>代理人的喧响值获得效率提升15%。</t>
  </si>
  <si>
    <t>[普通攻击]的能量获得效率提升30%。</t>
  </si>
  <si>
    <t>[强化特殊技]造成的伤害提升30%，失衡值提升8%。</t>
  </si>
  <si>
    <t>击败敌人时，全队回复8点能量，5秒内最多触发一次。</t>
  </si>
  <si>
    <t>发动[强化特殊技]时，代理人的暴击伤害提升30%，持续15秒。</t>
  </si>
  <si>
    <t>触发暴击时，代理人的暴击伤害提升6%，最多叠加10层，持续10秒，重复触发时刷新持续时间。</t>
  </si>
  <si>
    <t>进入战场时，全队获得3层[会心]；受到敌方攻击时，不再损失[会心]层数。</t>
  </si>
  <si>
    <t>每持有1枚[暴击]类型的基础鸣徽，代理人的暴击伤害提升8%，最高提升64%。</t>
  </si>
  <si>
    <t>触发暴击时，代理人造成的失衡值提升15%，持续3秒。</t>
  </si>
  <si>
    <t>触发[极限闪避]时，全队获得1层[会心]，不再具有冷却时间。</t>
  </si>
  <si>
    <t>代理人的暴击伤害提升35%。</t>
  </si>
  <si>
    <t>进入战场时，全队获得3层[会心]。</t>
  </si>
  <si>
    <t>击败敌人时，全队获得2层[会心]。</t>
  </si>
  <si>
    <t>攻击命中敌人并触发暴击时，目标的攻击力降低20%，持续10秒。</t>
  </si>
  <si>
    <t>从背后攻击命中敌人时，代理人的暴击伤害提升25%。</t>
  </si>
  <si>
    <t>攻击命中敌人时，如果没有触发暴击，代理人的暴击率提升6%，触发暴击后增益效果重置。</t>
  </si>
  <si>
    <t>拥有护盾时，代理人的抗打断等级提升，受到的伤害降低30%。</t>
  </si>
  <si>
    <t>[强化特殊技]命中敌人时，代理人获得15%生命值上限的护盾，10秒内最多触发一次。</t>
  </si>
  <si>
    <t>拥有护盾时，代理人的暴击伤害提升35%，异常掌控提升25点。</t>
  </si>
  <si>
    <t>进入战场时，全队获得等同于自身200%入战防御力的护盾。</t>
  </si>
  <si>
    <t>拥有护盾时，代理人对6米内的敌人造成的伤害提升30%。</t>
  </si>
  <si>
    <t>击败敌人时，全队获得12%生命值上限的护盾，持续10秒，15秒内最多触发一次。</t>
  </si>
  <si>
    <t>每持有1个[护盾]类型的基础鸣徽，代理人的防御力提升4.5%。</t>
  </si>
  <si>
    <t>代理人受到的伤害降低15%。</t>
  </si>
  <si>
    <t>受到敌方攻击时，如果生命值低于25%，立刻获得20%生命值上限的护盾，持续10秒（每名代理人每场战斗中最多触发1次）。</t>
  </si>
  <si>
    <t>代理人的防御力提升25%。</t>
  </si>
  <si>
    <t>触发[极限闪避]时，代理人获得12%生命值上限的护盾，持续5秒，5秒内最多触发一次。</t>
  </si>
  <si>
    <t>[感电]效果造成的伤害提升75%。</t>
  </si>
  <si>
    <t>对敌人施加[感电]效果时，全队回复15点能量，15秒内最多触发一次。</t>
  </si>
  <si>
    <t>拥有[电能]时，代理人造成的电属性伤害提升35%。</t>
  </si>
  <si>
    <t>攻击命中处于[感电]状态下的敌人时，获得7.5%喧响值，10秒内最多触发一次。</t>
  </si>
  <si>
    <t>[强化特殊技]命中敌人时，全队获得10层[电能]。</t>
  </si>
  <si>
    <t>对敌人施加[感电]效果时，全队获得15层[电能]。</t>
  </si>
  <si>
    <t>每拥有一层[电能]，代理人的电属性异常积蓄效率提升3%。</t>
  </si>
  <si>
    <t>对敌人造成电属性伤害时，全队获得1层[电能]，2秒内最多触发一次。</t>
  </si>
  <si>
    <t>[感电]效果的持续时间提升4.5秒。</t>
  </si>
  <si>
    <t>代理人造成的电属性伤害提升25%。</t>
  </si>
  <si>
    <t>攻击命中处于[感电]状态下的敌人时，代理人造成的伤害提升20%。</t>
  </si>
  <si>
    <t>每拥有一层[冲击]，代理人攻击命中处于失衡状态下的敌人时，属性异常积蓄效率提升15%。</t>
  </si>
  <si>
    <t>发动[连携技]时，获得10%喧响值。</t>
  </si>
  <si>
    <t>发动[连携技]时，全队获得1层[冲击]，招式命中敌人时，目标的失衡易伤倍率提升15%，最高提升45%</t>
  </si>
  <si>
    <t>使敌人进入失衡状态后，其失衡持续时间提升15%。</t>
  </si>
  <si>
    <t>使敌人进入属性异常状态时，全队获得1层[冲击]，若目标未处于失衡状态下，则会直接累积15%失衡值。</t>
  </si>
  <si>
    <t>使敌人进入失衡状态时，全队获得9%的喧响值，全队获得2层[冲击]，10秒内最多触发一次。</t>
  </si>
  <si>
    <t>[连携技]造成的伤害提升45%。</t>
  </si>
  <si>
    <t>[普通攻击]造成的失衡值提升15%。</t>
  </si>
  <si>
    <t>[强化特殊技]造成的失衡值提升15%。</t>
  </si>
  <si>
    <t>触发[极限闪避]时，代理人造成的失衡值提升25%，持续5秒。</t>
  </si>
  <si>
    <t>从失衡状态恢复时，敌人的攻击力降低20%，持续30秒。</t>
  </si>
  <si>
    <t>[闪避反击]造成的伤害提升75%，且造成的失衡值提升45%。</t>
  </si>
  <si>
    <t>[反击]状态下，属性异常积蓄效率提升30%，暴击伤害提升60%。</t>
  </si>
  <si>
    <t>触发[极限闪避]时，代理人获得2层[灵巧]，并进入[极限视域]，持续4秒，10秒内最多触发一次。</t>
  </si>
  <si>
    <t>触发[极限闪避]并进入[极限视域]时，[闪避]后发动的[冲刺攻击]变为[闪避反击]，可以重复发动6次。</t>
  </si>
  <si>
    <t>[反击]状态的持续时间提升8秒。</t>
  </si>
  <si>
    <t>[闪避]后发动的[冲刺攻击]变为[闪避反击]，3秒内最多触发一次；效果触发时，代理人获得1层[灵巧]。</t>
  </si>
  <si>
    <t>受到攻击后短时间内点按「闪避」，可以立即挣脱并回复本次承受伤害50%的生命值，4秒内最多触发一次。</t>
  </si>
  <si>
    <t>[闪避反击]造成的伤害提升50%。</t>
  </si>
  <si>
    <t>[闪避]时更容易触发[极限闪避]，[闪避反击]造成的伤害提升30%。</t>
  </si>
  <si>
    <t>发动[闪避反击]时，代理人回复7点能量。</t>
  </si>
  <si>
    <t>发动[闪避]时，代理人的防御力提升30%，持续5秒。</t>
  </si>
  <si>
    <t>「11号」已唤醒意象影画：[纵情燃烧]，在发动[冲刺攻击]或[闪避反击]之后，可以直接衔接[普通攻击]中顺位更加靠后的连段，额外获得[提神用干粮]效果（剩余{CReplaceCardParam:BattleCount_Card1100946,1,2}场战斗）。</t>
  </si>
  <si>
    <t>比利已唤醒意象影画：[游斗射术]，在发动[冲刺攻击]或[闪避反击]之后，可以直接衔接[普通攻击]中顺位更加靠后的连段，额外获得[星徽骑士的保养]效果（剩余{CReplaceCardParam:BattleCount_Card1100947,1,2}场战斗）。</t>
  </si>
  <si>
    <t>安东已唤醒意象影画：[热身运动]，在发动[冲刺攻击]或[闪避反击]之后，可以直接衔接[普通攻击]中顺位更加靠后的连段，额外获得[工业级干劲]效果（剩余{CReplaceCardParam:BattleCount_Card1100948,1,2}场战斗）。</t>
  </si>
  <si>
    <t>格莉丝已唤醒意象影画：[电致击穿]，在发动[冲刺攻击]或[闪避反击]之后，可以直接衔接[普通攻击]中顺位更加靠后的连段，额外获得[机械马杀鸡]效果（剩余{CReplaceCardParam:BattleCount_Card1100952,1,2}场战斗）。</t>
  </si>
  <si>
    <t>艾莲已唤醒意象影画：[冰洋掠食者]，在发动[冲刺攻击]或[闪避反击]之后，可以直接衔接[普通攻击]中顺位更加靠后的连段，额外获得[休息长一点也是为了更好地工作]效果（剩余{CReplaceCardParam:BattleCount_Card1100953,1,2}场战斗）。</t>
  </si>
  <si>
    <t>莱特已唤醒意象影画：[常胜冠军]，额外获得[完胜宣告]效果。</t>
  </si>
  <si>
    <t>赛斯已唤醒意象影画：[理想主义]，额外获得[银白锋线]效果。</t>
  </si>
  <si>
    <t>凯撒已唤醒意象影画：[楔式进军]，额外获得[冲击阵势]效果。</t>
  </si>
  <si>
    <t>柏妮思已唤醒意象影画：[加量不加价]，在发动[冲刺攻击]或[闪避反击]之后，可以直接衔接[普通攻击]中顺位更加靠后的连段，额外获得[无限续杯]效果。</t>
  </si>
  <si>
    <t>「知觉锐化」</t>
  </si>
  <si>
    <t>敌我双方的暴击率提升。</t>
  </si>
  <si>
    <t>时间仿佛被拉长，所有人的行动都变得迟缓愚钝，破绽也更为明显。</t>
  </si>
  <si>
    <t>「痛觉锐化」</t>
  </si>
  <si>
    <t>敌我双方的暴击伤害提升。</t>
  </si>
  <si>
    <t>感官变得越来越敏锐，直至超过能够承受的极限。世界的一切都变得过于脆弱，包括自己。</t>
  </si>
  <si>
    <t>「激进」</t>
  </si>
  <si>
    <t>敌我双方造成的伤害提升。</t>
  </si>
  <si>
    <t>一味沉迷于进攻，不再思考后果。
    不，并非不想思考，而是无法思考。</t>
  </si>
  <si>
    <t>「痂痕传染」</t>
  </si>
  <si>
    <t>敌人的属性异常积蓄抗性提升，但失衡抗性降低。</t>
  </si>
  <si>
    <t>具有高传播性的侵蚀症状，几乎对代理人没有影响，但会使吸附在感染目标体表的以太异常增殖并结痂，强化抵抗性的同时也会破坏整体稳定性。</t>
  </si>
  <si>
    <t>「硬化传染」</t>
  </si>
  <si>
    <t>敌人的失衡抗性提升，但防御力降低。</t>
  </si>
  <si>
    <t>具有高传播性的侵蚀症状，几乎对代理人没有影响，但会使感染目标肢体迅速僵直且过度硬化，抗冲击力得到增强，但也增加了断裂的风险。</t>
  </si>
  <si>
    <t>「应激传染」</t>
  </si>
  <si>
    <t>敌人的失衡持续时间降低，同时生命值上限降低。</t>
  </si>
  <si>
    <t>具有高传播性的侵蚀症状，几乎对代理人没有影响，但会使感染目标以提前消耗活性能量为代价，大幅提升动作协调和反应机能。</t>
  </si>
  <si>
    <t>「晶化传染」</t>
  </si>
  <si>
    <t>敌人的失衡易伤倍率降低，同时属性异常积蓄抗性降低。</t>
  </si>
  <si>
    <t>具有高传播性的侵蚀症状，几乎对代理人没有影响，但会使感染目标体内的以太异常结晶化并构成致密板结，增强抗击打性的同时也更容易传导化学能。</t>
  </si>
  <si>
    <t>触发[冰痕]时，代理人造成的冰属性伤害额外提升60%。</t>
  </si>
  <si>
    <t>[碎冰]效果造成的伤害提升75%；触发[碎冰]效果后，代理人攻击命中目标时冰属性异常积蓄效率提升30%，持续5秒。</t>
  </si>
  <si>
    <t>对敌人施加[冻结]效果时，全队暴击伤害提升60%，持续15秒。</t>
  </si>
  <si>
    <t>对敌人施加[冻结]效果时，全队获得18层[冰痕]。</t>
  </si>
  <si>
    <t>触发[冰痕]时，代理人的冰属性异常积蓄效率提升45%。</t>
  </si>
  <si>
    <t>触发[碎冰]效果时，若目标未处于失衡状态下，代理人对目标额外造成200%入战冲击力的失衡值。</t>
  </si>
  <si>
    <t>发动[终结技]命中敌人并造成冰属性伤害时，代理人获得48层[冰痕]。</t>
  </si>
  <si>
    <t>对敌人施加[冻结]效果时，代理人的防御力提升8%，最多叠加4层。</t>
  </si>
  <si>
    <t>[冻结]效果的持续时间提升3秒。</t>
  </si>
  <si>
    <t>发动[强化特殊技]时，代理人获得12层[冰痕]。</t>
  </si>
  <si>
    <t>代理人造成的冰属性伤害提升25%。</t>
  </si>
  <si>
    <t>触发[强击]效果时，代理人对目标额外造成7.5%失衡值上限+150点失衡值，每个敌人5秒内最多触发一次。</t>
  </si>
  <si>
    <t>触发[强击]效果时，代理人的暴击率提升12%，最多叠加3层。</t>
  </si>
  <si>
    <t>发动[强化特殊技]时，代理人物理伤害造成的失衡值提升30%，持续15秒。</t>
  </si>
  <si>
    <t>[强击]效果造成的伤害提升60%。</t>
  </si>
  <si>
    <t>触发[强击]效果时，代理人的暴击伤害提升12%，最多叠加3层。</t>
  </si>
  <si>
    <t>发动[极限支援]时，代理人造成的物理伤害提升45%，持续15秒。</t>
  </si>
  <si>
    <t>每持有1个[强袭]类型的基础鸣徽，代理人的物理异常积蓄效率提升6%，最高提升48%。</t>
  </si>
  <si>
    <t>发动[强化特殊技]时，代理人造成的物理伤害提升30%，持续12秒。</t>
  </si>
  <si>
    <t>触发[强击]效果时，代理人回复8点能量。</t>
  </si>
  <si>
    <t>触发[强击]效果时，目标的攻击力降低20%，持续30秒。</t>
  </si>
  <si>
    <t>代理人造成的物理伤害提升15%。</t>
  </si>
  <si>
    <t>[回避支援]触发的[极限视域]持续时间提升至7秒，[招架支援]造成的失衡值提升45%。</t>
  </si>
  <si>
    <t>[支援突击]造成的伤害提升100%。</t>
  </si>
  <si>
    <t>发动[极限支援]时，获得10%喧响值。</t>
  </si>
  <si>
    <t>发动[极限支援]时，全队属性异常积蓄效率提升30%，持续10秒。</t>
  </si>
  <si>
    <t>发动[极限支援]时，全队获得2层[冲击]。</t>
  </si>
  <si>
    <t>发动[极限支援]时，全队获得2层[会心]。</t>
  </si>
  <si>
    <t>[支援突击]命中后，全队穿透率提升15%，持续15秒。</t>
  </si>
  <si>
    <t>发动[极限支援]时，全队造成的伤害提升20%，持续10秒。</t>
  </si>
  <si>
    <t>发动[极限支援]时，代理人回复8点能量，5秒内最多触发一次。</t>
  </si>
  <si>
    <t>发动[极限支援]时，全队暴击伤害提升30%，持续10秒。</t>
  </si>
  <si>
    <t>发动[极限支援]时，代理人获得9%生命值上限的护盾，持续10秒。</t>
  </si>
  <si>
    <t>每拥有1点异常精通，代理人造成的以太伤害提升0.3%，最高提升45%。</t>
  </si>
  <si>
    <t>[侵蚀]效果造成的伤害提升60%。</t>
  </si>
  <si>
    <t>攻击命中处于[侵蚀]状态下的敌人时，代理人造成的伤害提升45%。</t>
  </si>
  <si>
    <t>[侵蚀]效果的持续时间提升3秒。</t>
  </si>
  <si>
    <t>发动[强化特殊技]时，全队获得2层[活性]。</t>
  </si>
  <si>
    <t>造成以太伤害时，全队获得1层[活性]，8秒内最多触发一次。</t>
  </si>
  <si>
    <t>每持有1个[以太]类型的基础鸣徽，代理人的以太异常积蓄效率提升6%，最高提升48%。</t>
  </si>
  <si>
    <t>代理人造成的以太伤害提升25%。</t>
  </si>
  <si>
    <t>代理人的以太异常积蓄效率提升20%。</t>
  </si>
  <si>
    <t>发动[连携技]时，全队异常精通提升35点，持续15秒。</t>
  </si>
  <si>
    <t>[侵蚀]状态下，敌人的攻击力降低20%。</t>
  </si>
  <si>
    <t>「超级回家」</t>
  </si>
  <si>
    <t>前方已无道路，只能离开空洞。</t>
  </si>
  <si>
    <t>回家，我要回家…已经不想再努力了！</t>
  </si>
  <si>
    <t>发动[邦布连携技]时，邦布造成的伤害提升60%，持续30秒</t>
  </si>
  <si>
    <t>每存在一只战斗邦布或助战邦布，邦布的攻击力提升15%。</t>
  </si>
  <si>
    <t>邦布释放[主动技]造成的伤害提升60%。</t>
  </si>
  <si>
    <t>发动[主动技]或[邦布连携技]时，邦布为当前操作中的代理人回复15点能量，10秒内最多触发一次。</t>
  </si>
  <si>
    <t>邦布攻击命中敌人时，代理人对目标造成的伤害提升30%，持续10秒。</t>
  </si>
  <si>
    <t>代理人发动[强化特殊技]时，邦布的暴击率提升18%，持续10秒。</t>
  </si>
  <si>
    <t>[邦布连携技]造成的伤害提升45%。</t>
  </si>
  <si>
    <t>邦布的攻击力提升30%。</t>
  </si>
  <si>
    <t>邦布的暴击伤害提升36%。</t>
  </si>
  <si>
    <t>邦布的属性异常积蓄效率提升45%。</t>
  </si>
  <si>
    <t>邦布的穿透率提升15%。</t>
  </si>
  <si>
    <t>每次压力过载时，回复5%生命值，全队造成的伤害提升5%（当前提升：{CReplaceCardParam:StressOverloadCount,0.01,2}%，最高提升：50%），额外获得[压力管理]效果。</t>
  </si>
  <si>
    <t>每消耗100齿轮硬币，全队造成的伤害提升0.5%（当前提升：{CReplaceCardParam:DamageShow,0.1,2}%，最高提升：50%），额外获得[马太效应]效果。</t>
  </si>
  <si>
    <t>代理人每缺失1%生命值，自身当前造成的伤害提升1%（当前提升：请查看鸣徽详情，最高提升：80%），额外获得[极限体能]效果。</t>
  </si>
  <si>
    <t>每缺失10%的生命值，代理人的暴击伤害提升12%。</t>
  </si>
  <si>
    <t>受到敌方攻击时，代理人受到的伤害由全队分摊，且受到的伤害降低10%，位于后场的代理人生命值低于10%时，将分摊伤害但不扣除生命值。</t>
  </si>
  <si>
    <t>每缺失10%的生命值，代理人造成的伤害提升7.5%。</t>
  </si>
  <si>
    <t>发动[极限支援]时或获得护盾时，代理人造成的伤害提升25%，持续20秒。</t>
  </si>
  <si>
    <t>发动[终结技]时，代理人获得30%已损失生命值的护盾。</t>
  </si>
  <si>
    <t>受到敌方攻击时，若代理人的生命值低于30%，承受伤害降低80%，持续20秒，每名代理人每场战斗中最多触发1次。</t>
  </si>
  <si>
    <t>攻击生命值百分比高于自身的敌人时，代理人造成的伤害提升30%；
    攻击生命值百分比低于自身的敌人时，代理人造成的伤害提升15%。</t>
  </si>
  <si>
    <t>受到敌方攻击或发动[极限支援]时，代理人回复8点能量，全队7秒内最多触发一次。</t>
  </si>
  <si>
    <t>进入战场时，代理人获得15%已损失生命值的护盾。</t>
  </si>
  <si>
    <t>生命值低于50%时，代理人造成的伤害提升20%；
    生命值高于50%时，代理人造成的伤害提升8%。</t>
  </si>
  <si>
    <t>代理人的生命值上限提升15%。</t>
  </si>
  <si>
    <t>「代谢受创」</t>
  </si>
  <si>
    <t>无法回复生命值。</t>
  </si>
  <si>
    <t>触碰晶体后，诡异的以太物质对身体的深层运作机制发起了进攻，身体的恢复力遭到了毁灭打击，无论何种治愈药剂都毫无作用。</t>
  </si>
  <si>
    <t>「贵金属过敏」</t>
  </si>
  <si>
    <t>无法获得齿轮硬币。</t>
  </si>
  <si>
    <t>触碰晶体后，身体开始对特定的金属构成成分产生强烈的排斥反应，很不幸，齿轮硬币也是会引起过敏的来源之一。</t>
  </si>
  <si>
    <t>「谵妄症」</t>
  </si>
  <si>
    <t>压力值增长量大幅提升。</t>
  </si>
  <si>
    <t>在活化结晶的影响下，逐渐出现幻听、幻觉、幻视等精神意识异常症状，在这种情况下探索压力倍增…</t>
  </si>
  <si>
    <t>战力增强·Ⅰ</t>
  </si>
  <si>
    <t>主角立刻 +20 生命，+2 攻击力</t>
  </si>
  <si>
    <t>妙手回春</t>
  </si>
  <si>
    <t>主角攻击消灭怪物时 +2 生命</t>
  </si>
  <si>
    <t>战力增强·Ⅱ</t>
  </si>
  <si>
    <t>暴击强化</t>
  </si>
  <si>
    <t>主角攻击怪物时 25% 暴击，造成 2 倍伤害</t>
  </si>
  <si>
    <t>战力激增</t>
  </si>
  <si>
    <t>主角立刻 +7 攻击力</t>
  </si>
  <si>
    <t>爆破续航</t>
  </si>
  <si>
    <t>立刻获得 8 个炸弹</t>
  </si>
  <si>
    <t>爆破经验</t>
  </si>
  <si>
    <t>炸弹对怪物的伤害 +10，爆炸长度 +2</t>
  </si>
  <si>
    <t>烈性炸药</t>
  </si>
  <si>
    <t>主角立刻 +50 生命</t>
  </si>
  <si>
    <t>愈炸愈勇</t>
  </si>
  <si>
    <t>炸弹改为立刻引爆，炸弹爆炸时，主角 +1 攻击力</t>
  </si>
  <si>
    <t>防爆装甲</t>
  </si>
  <si>
    <t>受到爆炸时不再受伤，改为恢复5生命</t>
  </si>
  <si>
    <t>遗产继承</t>
  </si>
  <si>
    <t>受到伤害时，产生 1~2 个50 金币的齿轮硬币格</t>
  </si>
  <si>
    <t>店铺升级</t>
  </si>
  <si>
    <t>商店老板 +20 攻击力，商店售卖商品数量翻倍</t>
  </si>
  <si>
    <t>意外横财</t>
  </si>
  <si>
    <t>尝试购买商品时，如果买不起，则自动消耗生命购买，每 50 金币消耗 1 生命</t>
  </si>
  <si>
    <t>广开财路</t>
  </si>
  <si>
    <t>在本层内立刻生成大量商品和金币</t>
  </si>
  <si>
    <t>财力转化</t>
  </si>
  <si>
    <t>拾取齿轮硬币时，主角 20% 概率 +1 攻击力</t>
  </si>
  <si>
    <t>福兮祸兮·Ⅰ</t>
  </si>
  <si>
    <t>首次踩上空格子时，40% +1 生命值</t>
  </si>
  <si>
    <t>福兮祸兮·Ⅱ</t>
  </si>
  <si>
    <t>主角攻击时 +5 经验，但下层开始，怪物 +10 生命</t>
  </si>
  <si>
    <t>福兮祸兮·Ⅲ</t>
  </si>
  <si>
    <t>与自律机器人交换物资时 +20 经验，但下层开始，怪物 +8 攻击力</t>
  </si>
  <si>
    <t>福兮祸兮·Ⅳ</t>
  </si>
  <si>
    <t>击杀怪物时 +40 经验，但下层开始，怪物 +20 生命</t>
  </si>
  <si>
    <t>高速学习</t>
  </si>
  <si>
    <t>+400% 获得经验</t>
  </si>
  <si>
    <t>呼朋引伴</t>
  </si>
  <si>
    <t>立刻获得一只随机邦布</t>
  </si>
  <si>
    <t>传说再现·Ⅰ</t>
  </si>
  <si>
    <t>一件黄框标记的神秘装备出现在本层随机位置，它被怪物团团包围</t>
  </si>
  <si>
    <t>传说再现·Ⅱ</t>
  </si>
  <si>
    <t>一件黄框标记的神秘装备出现在本层随机位置，它被尖刺密密围绕</t>
  </si>
  <si>
    <t>传说再现·Ⅲ</t>
  </si>
  <si>
    <t>一件黄框标记的神秘装备出现在本层随机位置，它需要被用力拔起</t>
  </si>
  <si>
    <t>剁剁益善</t>
  </si>
  <si>
    <t>立刻获得纸袋布</t>
  </si>
  <si>
    <t>钥匙</t>
  </si>
  <si>
    <t>能够开启一些封闭的大门。</t>
  </si>
  <si>
    <t>是谁丢在这里的吗？附近找找哪儿能插吧！</t>
  </si>
  <si>
    <t>ChessBoardItemIcon_Key.png</t>
  </si>
  <si>
    <t>鸣徽转换器</t>
  </si>
  <si>
    <t>更改鸣徽收集策略，重新选择一批新的鸣徽。</t>
  </si>
  <si>
    <t>这个看上去像是鸣徽收藏盒一样的装置能分析附着在鸣徽上的以太，并尝试扰乱这些以太的稳定性，以随机获得全新效果的鸣徽。</t>
  </si>
  <si>
    <t>CardShuffler.png</t>
  </si>
  <si>
    <t>笔记</t>
  </si>
  <si>
    <t>记录了部分讯息的笔记本，可以查看具体内容</t>
  </si>
  <si>
    <t>嗯，潦草的字迹，应该不是我写的。</t>
  </si>
  <si>
    <t>ChessBoardItemIcon_Note.png</t>
  </si>
  <si>
    <t>以太燃料</t>
  </si>
  <si>
    <t>能够为发电装置提供能源的罐装燃料。</t>
  </si>
  <si>
    <t>EtherFuel.png</t>
  </si>
  <si>
    <t>《抱邦布的男人》</t>
  </si>
  <si>
    <t>栩栩如生的肖像画，细腻的笔触中能够看出作者精妙的画技。</t>
  </si>
  <si>
    <t>知名艺术家金斯顿·伯德为芭莱大厦的两位创立者绘制的肖像画系列，此为其中之一。画的背面有一行小字：
    「没有邦布在此画绘制过程中受伤」。</t>
  </si>
  <si>
    <t>BuddysEmbrace.png</t>
  </si>
  <si>
    <t>导航数据</t>
  </si>
  <si>
    <t>消耗导航数据次数，可以对地图进行重设导航。</t>
  </si>
  <si>
    <t>Artifact023.png</t>
  </si>
  <si>
    <t>消耗生命值可在违规交易中兑换道具</t>
  </si>
  <si>
    <t>IconFund_Blood.png</t>
  </si>
  <si>
    <t>[终结]余音古筝</t>
  </si>
  <si>
    <t>发动[终结技]时，代理人有50%概率回复15%消耗的喧响值。</t>
  </si>
  <si>
    <t>CardDecibels03.png</t>
  </si>
  <si>
    <t>[终结]蓄势架子鼓</t>
  </si>
  <si>
    <t>[普通攻击]命中敌人时，代理人额外获得300点喧响值，30秒内最多触发一次。</t>
  </si>
  <si>
    <t>CardDecibels04.png</t>
  </si>
  <si>
    <t>[终结]重播合成器</t>
  </si>
  <si>
    <t>[终结技]命中敌人时，将对目标造成代理人2500%攻击力的伤害，30秒内最多触发一次。</t>
  </si>
  <si>
    <t>CardDecibels05.png</t>
  </si>
  <si>
    <t>[终结]重击鼓槌</t>
  </si>
  <si>
    <t>[终结技]造成的伤害提升20%；发动[终结技]时，代理人的暴击率提升10%，持续15秒。</t>
  </si>
  <si>
    <t>CardDecibels06.png</t>
  </si>
  <si>
    <t>[终结]绵延长笛</t>
  </si>
  <si>
    <t>[终结技]命中敌人时，将对目标造成20%攻击力每秒的持续伤害，持续10秒。</t>
  </si>
  <si>
    <t>CardDecibels07.png</t>
  </si>
  <si>
    <t>[终结]疗愈竖琴</t>
  </si>
  <si>
    <t>发动[终结技]时，代理人若拥有护盾，则回复5%生命值，若未拥有护盾，则获得15%生命值上限的护盾，持续7秒。</t>
  </si>
  <si>
    <t>CardDecibels08.png</t>
  </si>
  <si>
    <t>[机敏]先进底盘</t>
  </si>
  <si>
    <t>代理人获得一次额外的闪避次数；发动[闪避反击]时，代理人的攻击力提升300点，持续5秒。</t>
  </si>
  <si>
    <t>CardZone01.png</t>
  </si>
  <si>
    <t>[机敏]安全气囊</t>
  </si>
  <si>
    <t>[闪避反击]造成的伤害提升20%，造成的失衡值提升20%；发动[闪避反击]时，代理人将获得10%生命值上限的护盾。</t>
  </si>
  <si>
    <t>CardZone02.png</t>
  </si>
  <si>
    <t>[机敏]机敏档位</t>
  </si>
  <si>
    <t>触发[极限闪避]时，代理人的属性异常积蓄效率提升10%，冲击力提升5%，持续10秒，最多叠加3层，每层效果单独结算持续时间。</t>
  </si>
  <si>
    <t>CardZone03.png</t>
  </si>
  <si>
    <t>[机敏]智能缓冲器</t>
  </si>
  <si>
    <t>[强化特殊技]命中敌人时，代理人将获得5%生命值上限的护盾，持续10秒，护盾存在期间代理人造成的伤害提升10%。</t>
  </si>
  <si>
    <t>CardZone04.png</t>
  </si>
  <si>
    <t>[机敏]防护安全带</t>
  </si>
  <si>
    <t>代理人受到的伤害降低10%；拥有护盾时，代理人的能量自动回复提升10%。</t>
  </si>
  <si>
    <t>CardZone05.png</t>
  </si>
  <si>
    <t>[机敏]高效保险杠</t>
  </si>
  <si>
    <t>发动[极限支援]时，代理人的暴击率提升10%，暴击伤害提升15%，持续15秒。</t>
  </si>
  <si>
    <t>CardZone06.png</t>
  </si>
  <si>
    <t>[异常·击破]万能催化物</t>
  </si>
  <si>
    <t>造成失衡或对敌人施加属性异常效果时，全队暴击率提升8%，异常精通提升15点，最多叠加2层，持续20秒，每层效果单独结算持续时间。</t>
  </si>
  <si>
    <t>CardAnomaly01.png</t>
  </si>
  <si>
    <t>[异常·击破]爆裂试管</t>
  </si>
  <si>
    <t>[连携技]命中敌人时，目标的失衡易伤倍率提升25%，属性异常效果对目标造成的伤害提升25%，持续10秒。</t>
  </si>
  <si>
    <t>CardAnomaly02.png</t>
  </si>
  <si>
    <t>[异常·击破]成长培养基</t>
  </si>
  <si>
    <t>攻击命中敌人时，代理人造成的失衡值提升15%，累积的属性异常积蓄值提升15%。</t>
  </si>
  <si>
    <t>CardAnomaly03.png</t>
  </si>
  <si>
    <t>[异常·击破]研究显微镜</t>
  </si>
  <si>
    <t>全队冲击力提升10%，异常精通提升10点。</t>
  </si>
  <si>
    <t>CardAnomaly04.png</t>
  </si>
  <si>
    <t>[异常·击破]混沌量杯</t>
  </si>
  <si>
    <t>造成失衡或对敌人施加[紊乱]效果时，代理人将回复2.5%生命值，10点能量值并额外获得100点喧响值，20秒内最多触发一次。</t>
  </si>
  <si>
    <t>CardAnomaly06.png</t>
  </si>
  <si>
    <t>[异常·击破]化合刺激剂</t>
  </si>
  <si>
    <t>[连携技]造成的伤害提升15%，属性异常效果造成的伤害提升15%。</t>
  </si>
  <si>
    <t>CardAnomaly05.png</t>
  </si>
  <si>
    <t>[绝境]强效透析仪</t>
  </si>
  <si>
    <t>发动[终结技]时，代理人将回复10点能量值并消耗20%当前生命值，每消耗100点生命值，代理人造成的伤害提升1%，持续10秒。</t>
  </si>
  <si>
    <t>CardAdversity01.png</t>
  </si>
  <si>
    <t>[绝境]生命起搏器</t>
  </si>
  <si>
    <t>代理人的生命值上限提升25%。</t>
  </si>
  <si>
    <t>CardAdversity02.png</t>
  </si>
  <si>
    <t>[绝境]应急挡板</t>
  </si>
  <si>
    <t>损失生命值时，代理人造成的伤害提升20%，暴击率提升10%，抗打断等级提升，持续10秒，20秒内最多触发一次。</t>
  </si>
  <si>
    <t>CardAdversity03.png</t>
  </si>
  <si>
    <t>[绝境]双面注射器</t>
  </si>
  <si>
    <t>[特殊技]和[强化特殊技]造成的伤害提升15%，招式命中敌人时，代理人将回复5%生命值，20秒内最多触发一次。</t>
  </si>
  <si>
    <t>CardAdversity04.png</t>
  </si>
  <si>
    <t>[绝境]靶向抗体</t>
  </si>
  <si>
    <t>攻击生命值百分比高于自身的敌人时，代理人造成的伤害提升10%，累积的属性异常积蓄值提升10%。</t>
  </si>
  <si>
    <t>CardAdversity06.png</t>
  </si>
  <si>
    <t>[绝境]阵痛激素</t>
  </si>
  <si>
    <t>损失生命值时，代理人的攻击力提升10%，持续10秒；回复生命值时，代理人的属性异常积蓄效率提升10%，持续10秒。</t>
  </si>
  <si>
    <t>CardAdversity05.png</t>
  </si>
  <si>
    <t>[星见雅]无边飞雪</t>
  </si>
  <si>
    <t>触发[霜灼·破]后，星见雅下次发动的[强化特殊技]无需消耗能量，且对属性异常状态下的敌人造成的伤害提升50%，30秒内最多触发一次。</t>
  </si>
  <si>
    <t>CardMiyabi01.png</t>
  </si>
  <si>
    <t>[星见雅]冻炎不灭</t>
  </si>
  <si>
    <t>附着[冰焰]的敌人每秒将承受星见雅50%攻击力的烈霜伤害；触发[霜灼·破]后，星见雅可以忽略[霜灼]状态的限制，立即重新对敌人附着[冰焰]。</t>
  </si>
  <si>
    <t>CardMiyabi02.png</t>
  </si>
  <si>
    <t>[星见雅]霜月残雪</t>
  </si>
  <si>
    <t>发动[终结技：名残雪]时，星见雅将获得6点[落霜]；发动[普通攻击：霜月]时，星见雅将根据招式的蓄力段数，获得70/140/210点喧响值。</t>
  </si>
  <si>
    <t>CardMiyabi03.png</t>
  </si>
  <si>
    <t>[比利]火力压制</t>
  </si>
  <si>
    <t>比利在[普通攻击：火力全开]中发动射击累计命中敌人20次，或在[普通攻击：火力全开·改]中发动射击累计命中敌人5次时，下次发动的[强化特殊技]无需消耗能量，且招式造成的伤害提升100%。</t>
  </si>
  <si>
    <t>CardBilly01.png</t>
  </si>
  <si>
    <t>[比利]枪手时间</t>
  </si>
  <si>
    <t>比利发动[强化特殊技]命中敌人时，会对目标施加减益效果，使自身对目标造成的伤害提升60%，持续10秒。</t>
  </si>
  <si>
    <t>CardBilly02.png</t>
  </si>
  <si>
    <t>[比利]清场裁决</t>
  </si>
  <si>
    <t>发动[强化特殊技]时，可以长按「特殊攻击」 &lt;IconMap:Icon_SpecialReady&gt; 进行蓄力，提升招式的威力，使[强化特殊技]的伤害倍率提升至原本的200%，且必定触发暴击。</t>
  </si>
  <si>
    <t>CardBilly03.png</t>
  </si>
  <si>
    <t>[艾莲]雪暴修剪法</t>
  </si>
  <si>
    <t>拥有[急冻充能]时，会将[冲刺攻击：寒潮]替换为第三段[普通攻击：急冻修剪法]，招式发动期间获得20%生命值上限的护盾，拥有该护盾时艾莲的抗打断等级提升，受到的伤害降低60%；发动[闪避反击：暗礁]时，艾莲将获得1点[急冻充能]。</t>
  </si>
  <si>
    <t>CardEllen01.png</t>
  </si>
  <si>
    <t>[艾莲]永冬风迹</t>
  </si>
  <si>
    <t>发动[强化特殊技]、[连携技]或[终结技]时，艾莲会在地面留下一片[冰雾]，对敌人造成持续冰属性伤害，并使目标的冰属性伤害抗性降低30%，持续10秒；艾莲攻击命中处于[冰雾]中的敌人时，会额外触发一次[冰雾]的伤害。</t>
  </si>
  <si>
    <t>CardEllen02.png</t>
  </si>
  <si>
    <t>[艾莲]寻血厉齿</t>
  </si>
  <si>
    <t>拥有[狩猎背鳍]后，对敌人施加[巡猎]标记时，艾莲造成的伤害提升15%，持续15秒；目标被击败后，本局空洞内，当前武备的伤害提升效果额外提升5%，最多额外提升150%。</t>
  </si>
  <si>
    <t>CardEllen03.png</t>
  </si>
  <si>
    <t>[月城柳]月转天华</t>
  </si>
  <si>
    <t>每发动三次[连携技]，月城柳下一次发动的[连携技]将被替换为[终结技]。</t>
  </si>
  <si>
    <t>CardYanagi01.png</t>
  </si>
  <si>
    <t>[月城柳]流转自如</t>
  </si>
  <si>
    <t>[普通攻击：夜见尊神乐]发动期间，月城柳可以随时打断当前动作，衔接发动[特殊技：流转]。</t>
  </si>
  <si>
    <t>CardYanagi02.png</t>
  </si>
  <si>
    <t>[月城柳]月幻</t>
  </si>
  <si>
    <t>月城柳攻击命中敌人并触发[极性紊乱]时，目标的全属性伤害抗性降低16%，持续8秒。</t>
  </si>
  <si>
    <t>CardYanagi03.png</t>
  </si>
  <si>
    <t>[通用]瓶中幸运星</t>
  </si>
  <si>
    <t>发动[强化特殊技]时，代理人造成的伤害提升5%，最多叠加5层，持续30秒，每层效果单独结算持续时间。</t>
  </si>
  <si>
    <t>[通用]能量恢复器Ⅰ型</t>
  </si>
  <si>
    <t>发动[连携技]时，代理人将回复5点能量。</t>
  </si>
  <si>
    <t>CardChessboard53.png</t>
  </si>
  <si>
    <t>[通用]能量恢复器Ⅱ型</t>
  </si>
  <si>
    <t>[强化特殊技]造成的伤害提升15%，失衡值提升10%。</t>
  </si>
  <si>
    <t>CardChessboard54.png</t>
  </si>
  <si>
    <t>[通用]喷水枪</t>
  </si>
  <si>
    <t>触发暴击时，代理人的暴击伤害提升3%，最多叠加10层，持续10秒，重复触发时刷新持续时间。</t>
  </si>
  <si>
    <t>[通用]泡泡枪</t>
  </si>
  <si>
    <t>[通用]点赞枪</t>
  </si>
  <si>
    <t>[通用]星海陨灭铠甲</t>
  </si>
  <si>
    <t>[强化特殊技]命中敌人时，代理人将获得10%生命值上限的护盾，10秒内最多触发一次。</t>
  </si>
  <si>
    <t>[通用]究极光耀圣剑</t>
  </si>
  <si>
    <t>[通用]BUG盾</t>
  </si>
  <si>
    <t>受到敌方攻击时，如果生命值低于25%，将立刻获得15%生命值上限的护盾，持续10秒（每名代理人每场战斗中最多触发1次）。</t>
  </si>
  <si>
    <t>[通用]三相战斗陀螺</t>
  </si>
  <si>
    <t>发动[连携技]时，将获得10%喧响值。</t>
  </si>
  <si>
    <t>[通用]三枚玻璃弹珠</t>
  </si>
  <si>
    <t>[通用]三头玩具听诊器</t>
  </si>
  <si>
    <t>[通用]拆弹器</t>
  </si>
  <si>
    <t>[通用]破拆锤</t>
  </si>
  <si>
    <t>发动[极限支援]时，全队属性异常积蓄效率提升25%，持续10秒。</t>
  </si>
  <si>
    <t>[通用]冲击钻</t>
  </si>
  <si>
    <t>CardChessboard34.png</t>
  </si>
  <si>
    <t>[通用]无名之书</t>
  </si>
  <si>
    <t>[闪避反击]造成的伤害提升30%，且造成的失衡值提升15%。</t>
  </si>
  <si>
    <t>[通用]秘密档案</t>
  </si>
  <si>
    <t>CardChessboard55.png</t>
  </si>
  <si>
    <t>[通用]普通档案</t>
  </si>
  <si>
    <t>[闪避]时更容易触发[极限闪避]，[闪避反击]造成的伤害提升15%。</t>
  </si>
  <si>
    <t>CardChessboard56.png</t>
  </si>
  <si>
    <t>[通用]名刀图册</t>
  </si>
  <si>
    <t>[通用]昆虫图册</t>
  </si>
  <si>
    <t>[通用]植物图册</t>
  </si>
  <si>
    <t>射吸式焊炬-养气香囊</t>
  </si>
  <si>
    <t>神奇的道具，能够使藏品内的[终结][养气香囊]获得最大等级。</t>
  </si>
  <si>
    <t>CardChessboard61.png</t>
  </si>
  <si>
    <t>射吸式焊炬-律动节能器</t>
  </si>
  <si>
    <t>神奇的道具，能够使藏品内的[终结][律动节能器]获得最大等级。</t>
  </si>
  <si>
    <t>射吸式焊炬-五界天符</t>
  </si>
  <si>
    <t>神奇的道具，能够使藏品内的[机敏][五界天符]武备获得最大等级。</t>
  </si>
  <si>
    <t>射吸式焊炬-机敏蓄能盾</t>
  </si>
  <si>
    <t>神奇的道具，能够使藏品内的[机敏][机敏蓄能盾]武备获得最大等级。</t>
  </si>
  <si>
    <t>射吸式焊炬-溶剂弹射枪</t>
  </si>
  <si>
    <t>神奇的道具，能够使藏品内的[异常·击破][溶剂弹射枪]武备获得最大等级。</t>
  </si>
  <si>
    <t>射吸式焊炬-混元丹</t>
  </si>
  <si>
    <t>神奇的道具，能够使藏品内的[异常·击破][混元丹]武备获得最大等级。</t>
  </si>
  <si>
    <t>射吸式焊炬-战斗维生包</t>
  </si>
  <si>
    <t>神奇的道具，能够使藏品内的[绝境][战斗维生包]武备获得最大等级。</t>
  </si>
  <si>
    <t>射吸式焊炬-浩劫令牌</t>
  </si>
  <si>
    <t>神奇的道具，能够使藏品内的[绝境][浩劫令牌]武备获得最大等级。</t>
  </si>
  <si>
    <t>射吸式焊炬-敕令玄幡</t>
  </si>
  <si>
    <t>神奇的道具，能够使藏品内的[携游][敕令玄幡]武备获得最大等级。</t>
  </si>
  <si>
    <t>射吸式焊炬-破军鸣铎</t>
  </si>
  <si>
    <t>神奇的道具，能够使藏品内的[携游][破军鸣铎]武备获得最大等级。</t>
  </si>
  <si>
    <t>射吸式焊炬</t>
  </si>
  <si>
    <t>神奇的道具，能够使藏品内对应的通用武备获得最大等级。</t>
  </si>
  <si>
    <t>[携游]节能载具</t>
  </si>
  <si>
    <t>其他角色发动[追击支援]时，为当前操作中的角色回复5点能量、200点喧响值，对同一角色10秒内最多触发一次。</t>
  </si>
  <si>
    <t>CardSwitch01.png</t>
  </si>
  <si>
    <t>[携游]威猛拳拳</t>
  </si>
  <si>
    <t>[追击支援]将击溃生命值低于15%的普通敌人和精英敌人，触发后，全队攻击力提升10%，持续30秒。</t>
  </si>
  <si>
    <t>CardSwitch04.png</t>
  </si>
  <si>
    <t>[携游]旋转木马</t>
  </si>
  <si>
    <t>[追加攻击]造成的伤害提升20%、失衡值提升15%、累积的属性异常积蓄值提升30%。</t>
  </si>
  <si>
    <t>CardSwitch03.png</t>
  </si>
  <si>
    <t>[携游]充气泳圈</t>
  </si>
  <si>
    <t>[追击支援]命中敌人时，为当前操作中的角色回复5%生命值，对同一角色15秒内最多触发一次。</t>
  </si>
  <si>
    <t>CardSwitch02.png</t>
  </si>
  <si>
    <t>[携游]儿童餐盒</t>
  </si>
  <si>
    <t>当前操作中的角色能量获得效率提升10%，喧响值获取效率提升10%。</t>
  </si>
  <si>
    <t>CardSwitch05.png</t>
  </si>
  <si>
    <t>[携游]飓风飞椅</t>
  </si>
  <si>
    <t>[追击支援]命中敌人时，目标的防御力降低10%，持续10秒。</t>
  </si>
  <si>
    <t>CardSwitch06.png</t>
  </si>
  <si>
    <t>[耀嘉音]完美救场</t>
  </si>
  <si>
    <t>[普通攻击：璀璨时刻]造成的伤害将被视为&lt;color=#FFFFFF&gt;[强化特殊技]伤害&lt;/color&gt;，招式发动期间，全队暴击率提升18%。</t>
  </si>
  <si>
    <t>CardAstra01.png</t>
  </si>
  <si>
    <t>[耀嘉音]散落的旋律</t>
  </si>
  <si>
    <t>[咏叹华彩]状态下，能量足够时，释放或追加释放[震音]进行攻击时，会额外追加两段相同的[震音]伤害；耀嘉音发动[普通攻击：间奏]或[普通攻击：副歌]命中敌人时，有20%概率获得[灵感]效果，使耀嘉音下一次发动的[闪避]能够直接触发[极限闪避]，后继可衔接发动[普通攻击：副歌]，持续10秒。</t>
  </si>
  <si>
    <t>CardAstra02.png</t>
  </si>
  <si>
    <t>[耀嘉音]轻风之咏叹</t>
  </si>
  <si>
    <t>在[咏叹华彩]状态下，耀嘉音抗打断等级提升，受到伤害额外降低20%；全队穿透率提升15%，生命值缓慢回复。</t>
  </si>
  <si>
    <t>CardAstra03.png</t>
  </si>
  <si>
    <t>[伊芙琳]袖中捷刃</t>
  </si>
  <si>
    <t>发动[连携技]时，伊芙琳获得[捷刃]效果，使[连携技]造成的伤害提升20%，最多叠加3层，持续整场战斗。</t>
  </si>
  <si>
    <t>CardEvelyn01.png</t>
  </si>
  <si>
    <t>[伊芙琳]绳缚艺术</t>
  </si>
  <si>
    <t>伊芙琳与目标进入[牵缠禁制]时，自身攻击力提升20%，目标敌人的攻击力降低20%，退出[牵缠禁制]后，伊芙琳仍可继续保有增益，持续10秒；退出[牵缠禁制]时，会引爆目标敌人，造成额外的火属性伤害。</t>
  </si>
  <si>
    <t>CardEvelyn02.png</t>
  </si>
  <si>
    <t>[伊芙琳]特调能量饮料</t>
  </si>
  <si>
    <t>发动[终结技]时，伊芙琳将获得100%[燎火]和3点[燎索点]。</t>
  </si>
  <si>
    <t>CardEvelyn03.png</t>
  </si>
  <si>
    <t>[简]游戏时间</t>
  </si>
  <si>
    <t>触发[核心被动：洞察]的[强击]暴击效果时，有50%的概率使本次暴击的暴击伤害额外提升40%。</t>
  </si>
  <si>
    <t>CardJane01.png</t>
  </si>
  <si>
    <t>[简]格斗技巧</t>
  </si>
  <si>
    <t>[闪避反击]命中敌人时，目标的物理伤害抗性降低20%，持续10秒。</t>
  </si>
  <si>
    <t>CardJane02.png</t>
  </si>
  <si>
    <t>[简]顽劣追袭</t>
  </si>
  <si>
    <t>队伍中任意角色对敌人施加属性异常效果时，简额外获得40点喧响值，并使下次发动的[终结技]的暴击率提升5%，暴击伤害提升20%，最多叠加5层。</t>
  </si>
  <si>
    <t>CardJane03.png</t>
  </si>
  <si>
    <t>[可琳]女仆小碎步</t>
  </si>
  <si>
    <t>触发[极限闪避]时，将会回复25点能量值，6秒内最多触发一次。</t>
  </si>
  <si>
    <t>CardColine01.png</t>
  </si>
  <si>
    <t>[可琳]不幸的撕裂伤</t>
  </si>
  <si>
    <t>可琳使用电锯持续斩击命中敌人时，自身将获得1层充能，拥有10层充能后，下次斩击将对敌人施加[撕裂]效果，每3秒造成一次可琳20%攻击力的物理伤害，最多叠加10层，持续12秒， 重复触发时刷新持续时间。</t>
  </si>
  <si>
    <t>CardColine02.png</t>
  </si>
  <si>
    <t>[可琳]厄运破伤风</t>
  </si>
  <si>
    <t>[普通攻击]或[冲刺攻击]命中敌人时，目标的物理伤害抗性降低20%，持续15秒。</t>
  </si>
  <si>
    <t>CardColine03.png</t>
  </si>
  <si>
    <t>[杰佩托]稳定牵制</t>
  </si>
  <si>
    <t>每拥有100枚齿轮硬币，对杰佩托造成伤害时，获得增益效果，造成的伤害提升1%，能量获得效率提升0.5%。</t>
  </si>
  <si>
    <t>CardGeppetto01.png</t>
  </si>
  <si>
    <t>[杰佩托]以血还血</t>
  </si>
  <si>
    <t>对杰佩托造成部位破坏时，全队回复15%生命值。</t>
  </si>
  <si>
    <t>CardGeppetto02.png</t>
  </si>
  <si>
    <t>[杰佩托]近身突刺</t>
  </si>
  <si>
    <t>对杰佩托造成的伤害提升20%，受到来自杰佩托的伤害降低20%。</t>
  </si>
  <si>
    <t>CardGeppetto03.png</t>
  </si>
  <si>
    <t>[杰佩托]审判时刻</t>
  </si>
  <si>
    <t>对杰佩托造成部位破坏时，其防御力降低15%，最多叠加2次。</t>
  </si>
  <si>
    <t>CardGeppetto04.png</t>
  </si>
  <si>
    <t>[杰佩托]处决指令</t>
  </si>
  <si>
    <t>解除[悬丝]时，全队获得300点喧响值，并使每名角色下一次[终结技]造成的伤害提升30%，最多叠加3层。</t>
  </si>
  <si>
    <t>CardGeppetto05.png</t>
  </si>
  <si>
    <t>[终结]养气香囊</t>
  </si>
  <si>
    <t>全队喧响值上限提升至6000点。</t>
  </si>
  <si>
    <t>Relic004.png</t>
  </si>
  <si>
    <t>[终结]律动节能器</t>
  </si>
  <si>
    <t>发动[终结技]所需的喧响值降低至2000点。</t>
  </si>
  <si>
    <t>Relic005.png</t>
  </si>
  <si>
    <t>[机敏]五界天符</t>
  </si>
  <si>
    <t>触发[极限闪避]时，全队获得1层[机敏计数]，最多叠加3层；拥有3层[机敏计数]时，将消耗所有层数并进入[机敏状态]，持续9秒；[机敏状态]下，全队攻击力提升60%，攻击命中敌人时，会对目标施加[机敏诅咒]；[机敏诅咒]将在退出[机敏状态]时进行结算，对敌人造成[机敏诅咒]期间累积伤害量10%的额外伤害。</t>
  </si>
  <si>
    <t>Relic003.png</t>
  </si>
  <si>
    <t>[机敏]机敏蓄能盾</t>
  </si>
  <si>
    <t>接战状态下，全队每0.5秒获得1点[机敏充能]（上限32点）；受到敌方攻击并损失生命值时，将消耗所有[机敏充能]，消耗大于等于8/16/24点时，将会进入[机敏状态]，持续2/4/8秒；拥有32点[机敏充能]后，攻击命中敌人时，将消耗所有充能并进入[机敏状态]，持续16秒；[机敏状态]下，全队攻击力提升60%，攻击命中敌人时，会对目标施加[机敏诅咒]；[机敏诅咒]将在退出[机敏状态]时进行结算，对敌人造成[机敏诅咒]期间累积伤害量10%的额外伤害。</t>
  </si>
  <si>
    <t>Relic007.png</t>
  </si>
  <si>
    <t>[异常·击破]溶剂弹射枪</t>
  </si>
  <si>
    <t>全队造成的失衡值提升10%，异常精通提升30点；造成失衡或对敌人施加属性异常效果时，将会触发一次额外的打击效果，对目标及其周围敌人造成1100%攻击力的伤害。</t>
  </si>
  <si>
    <t>Relic011.png</t>
  </si>
  <si>
    <t>[异常·击破]混元丹</t>
  </si>
  <si>
    <t>造成失衡或对敌人施加[紊乱]效果时，代理人将从6种增益效果中随机抽取3~6次，每种增益效果最多叠加6层，可能的增益效果包括：能量自动回复提升0.02点/秒、防御力提升4%、受到的伤害降低2%、冲击力提升2%、异常精通提升3点、喧响值获得效率提升3%。</t>
  </si>
  <si>
    <t>Relic010.png</t>
  </si>
  <si>
    <t>[绝境]战斗维生包</t>
  </si>
  <si>
    <t>攻击命中敌人时，代理人将进入[燃血状态]，持续2秒；[燃血状态]下，代理人造成的伤害提升75%，受到的伤害降低10%，当前生命值高于20%时，每秒将消耗1%生命值。</t>
  </si>
  <si>
    <t>Relic008.png</t>
  </si>
  <si>
    <t>[绝境]浩劫令牌</t>
  </si>
  <si>
    <t>生命值从20%以上降低至20%以下时，代理人将获得20%生命值上限的护盾。</t>
  </si>
  <si>
    <t>Relic009.png</t>
  </si>
  <si>
    <t>[星见雅]花雪憩蜂</t>
  </si>
  <si>
    <t>将[冲刺攻击：冬蜂]替换为[冲刺攻击：冬蜂·极]，招式发动时，星见雅将向前突进并对敌人造成烈霜伤害；替换招式后，星见雅被重击退或被击飞时，在硬直期间点按「普通攻击」或「特殊攻击」，可以立即发动[冲刺攻击：冬蜂·极]，同时回复本次承受伤害70%的生命值并获得0.5秒的无敌效果。</t>
  </si>
  <si>
    <t>Relic012.png</t>
  </si>
  <si>
    <t>[星见雅]心间舞雀</t>
  </si>
  <si>
    <t>受到敌方攻击时，星见雅将自动回避本次攻击并触发[极限闪避]与[极限视域]，[极限视域]持续3秒，自动回避效果12秒内最多触发一次；效果触发时，星见雅造成的伤害提升80%，持续20秒。</t>
  </si>
  <si>
    <t>Relic013.png</t>
  </si>
  <si>
    <t>[星见雅]花间雀</t>
  </si>
  <si>
    <t>星见雅发动[闪避反击：寒雀]和[快速支援：花信风]后，将会自动衔接派生[霜碎雪]，爆发气浪攻击周围敌人并累积大量失衡值；使敌人失衡时，星见雅获得3点[落霜]，目标的失衡易伤倍率提升75%。</t>
  </si>
  <si>
    <t>Relic014.png</t>
  </si>
  <si>
    <t>[比利]爆裂子弹</t>
  </si>
  <si>
    <t>将[普通攻击：火力全开]替换为[普通攻击：火力全开·改]，降低射击频率以提升子弹威力，招式发动时，将直接进入蹲姿射击，触发[核心被动：稳定据枪]并使比利造成的伤害额外提升50%，进行移动、回到待机、被击退或被击飞时增益效果结束。</t>
  </si>
  <si>
    <t>Relic018.png</t>
  </si>
  <si>
    <t>[比利]旋转传动装置</t>
  </si>
  <si>
    <t>比利发动[强化特殊技]/[支援突击]/[连携技]/[终结技]时，获得2/2/4/4层充能（上限4层）；在[冲刺攻击：星-徽-制-裁]中向周身大范围区域进行穿透攻击后，点按「普通攻击」 &lt;IconMap:Icon_Normal&gt; ，可以消耗1层充能，重复发动招式，并使招式造成的伤害提升150%；效果触发时，比利的暴击率提升20%，持续10秒，最多叠加2层，重复触发时刷新持续时间。</t>
  </si>
  <si>
    <t>Relic019.png</t>
  </si>
  <si>
    <t>[比利]神秘变身器</t>
  </si>
  <si>
    <t>比利在[普通攻击]中进入蹲姿射击时，触发[核心被动：稳定据枪]并维持增益效果1.5秒后，将进入[星徽降临]状态，期间攻击命中敌人时无视目标50%物理伤害抗性，同时持续获得喧响值，从20点/秒逐渐提升至50点/秒，在3秒后达到最大值，直到自身被击退或被击飞。</t>
  </si>
  <si>
    <t>Relic020.png</t>
  </si>
  <si>
    <t>{AWAKEN_1191#[艾莲]冻霜刀刃·进界}{NOAWAKEN_1191#[艾莲]冻霜刀刃}</t>
  </si>
  <si>
    <t>{AWAKEN_1191#发动第三段[普通攻击：利齿修剪法]和[快速支援]后，也会自动发动[霜锋]，对前方大范围敌人造成多段冰属性伤害；[霜锋]命中敌人时，使目标的防御力降低30%，持续15秒；追加发动[霜锋]时，招式的暴击伤害提升25%，最多叠加3层，持续15秒，重复触发时刷新持续时间。}{NOAWAKEN_1191#第三段[普通攻击]、[强化特殊技：鲨卷风]、[闪避反击：暗礁]、[快速支援]、[支援突击]发动后，将额外追加一道[霜锋]，对前方大范围敌人造成冰属性伤害，并使目标的防御力降低30%，持续15秒；追加发动[霜锋]时，招式的暴击伤害提升25%，最多叠加3层，持续15秒，重复触发时刷新持续时间；追加发动[霜锋]不影响原本招式派生。}</t>
  </si>
  <si>
    <t>Relic001.png</t>
  </si>
  <si>
    <t>[艾莲]凶险轴承</t>
  </si>
  <si>
    <t>[巡游]状态下，艾莲每0.5秒会获得2点[急冻充能]和[快蓄]效果；在[冲刺攻击：冰渊潜袭]中，艾莲发动快速剪击或蓄力剪击命中敌人时，会在地面留下一片[冰雾]，对敌人造成持续冰属性伤害，并使目标的冰属性伤害抗性降低30%，持续10秒；艾莲在[冰雾]中时，抗打断等级提升，受到的伤害降低50%，离开[冰雾]后效果持续5秒。</t>
  </si>
  <si>
    <t>Relic002.png</t>
  </si>
  <si>
    <t>[艾莲]狩猎背鳍</t>
  </si>
  <si>
    <t>每间隔15秒，艾莲将会对场上随机敌人施加[巡猎]标记，持续15秒；发动[强化特殊技]或在[冲刺攻击：冰渊潜袭]中发动快速剪击或蓄力剪击命中被施加[巡猎]标记的敌人时，再次点按「普通攻击」 &lt;IconMap:Icon_Normal&gt; 或「特殊攻击」 &lt;IconMap:Icon_SpecialReady&gt; ，艾莲可以无消耗、无条件，直接再次发动该招式，并使招式的暴击伤害提升25%；目标被击败后，艾莲将立即对下一名敌人施加[巡猎]标记；获得[急冻充能]时，每溢出1点[急冻充能]，艾莲的攻击力提升5%，最多叠加9层，持续10秒，每层效果逐个结算持续时间。</t>
  </si>
  <si>
    <t>Relic006.png</t>
  </si>
  <si>
    <t>[月城柳]凌空月华</t>
  </si>
  <si>
    <t>在[强化特殊技：月华流转]中发动快速突刺后，月城柳将悬停在空中，持续向地面引导落雷攻击，造成电属性伤害，松开或再次点按「特殊攻击」 &lt;IconMap:Icon_SpecialReady&gt; 或到达持续时间上限后，月城柳将发动[强化特殊技：月华流转]中的下砸攻击。落雷攻击命中敌人时，将会使月城柳对目标造成的[紊乱]伤害提升3%，最多叠加20层，持续6秒，重复触发时刷新持续时间；[强化特殊技：月华流转]重击命中敌人时，会为月城柳提供等同于最大生命值20%的护盾，持续20秒，每20秒最多触发一次。</t>
  </si>
  <si>
    <t>Relic015.png</t>
  </si>
  <si>
    <t>[月城柳]翩飞神乐</t>
  </si>
  <si>
    <t>在[上弦]架势下发动第五段[普通攻击]或在[下弦]架势下发动第四段[普通攻击]时，连点或长按「普通攻击」 &lt;IconMap:Icon_Normal&gt; ，可以延长招式的持续时间，重复发动斩击；重复斩击命中敌人时，月城柳造成的电属性伤害提升4%，最多叠加15层，持续8秒，重复触发时刷新持续时间；重复发动斩击期间，月城柳受到的伤害降低40%，触发[快速流转]后，点按「普通攻击」 &lt;IconMap:Icon_Normal&gt; ，可以快速衔接另一架势的重复斩击。</t>
  </si>
  <si>
    <t>Relic016.png</t>
  </si>
  <si>
    <t>[月城柳]流转映镜</t>
  </si>
  <si>
    <t>发动[特殊技：流转]时，月城柳将获得1层充能（上限3层）；拥有3层充能时，月城柳触发[快速流转]后，点按「普通攻击」 &lt;IconMap:Icon_Normal&gt; ，可以消耗所有充能，直接衔接发动[连携技：星月相随]；若在[快速流转]发动期间成功格挡敌人的攻击，则在衔接发动[连携技：星月相随]时无需消耗充能层数，[连携技：星月相随]的伤害提升50%。</t>
  </si>
  <si>
    <t>Relic017.png</t>
  </si>
  <si>
    <t>[携游]敕令玄幡</t>
  </si>
  <si>
    <t>操作中的角色[支援突击]、[强化特殊技]、[终结技]重击命中敌人以及触发[极限闪避]时，将触发下一位角色的[追击支援]，此时点按 &lt;IconMap:Icon_Switch&gt;，下一位角色将会围绕敌人发动[快速支援]，[追击支援]不会切换当前操作角色，造成的伤害被视为[追加攻击]伤害。角色发动[追击支援]时，为全队提供一层[同袍]，最多叠加5层，持续20秒，重复触发时刷新持续时间。每层[同袍]会使[异常]特性的代理人的异常精通提升20点，异常积蓄效率提升10%；使[击破]特性代理人的冲击力提升4%；使[强攻]特性代理人的暴击率提升5%，暴击伤害提升10%；[支援]特性代理人的能量获取效率提升7.5%；使[防护]特性代理人施加护盾效率提升10%；使[命破]特性代理人的贯穿伤害提升7%。</t>
  </si>
  <si>
    <t>Relic033.png</t>
  </si>
  <si>
    <t>[携游]破军鸣铎</t>
  </si>
  <si>
    <t>操作中的角色[支援突击]、[强化特殊技]、[终结技]重击命中敌人以及触发[极限闪避]时，将触发下一位角色的[追击支援]，此时点按 &lt;IconMap:Icon_Switch&gt;，下一位角色将会围绕敌人发动[快速支援]，[追击支援]不会切换当前操作角色，造成的伤害被视为[追加攻击]伤害。[追击支援]造成的伤害提升200%、失衡值提升50%、累积的异常积蓄值提升100%。全队每发动3次[追击支援]，下一次发动[追击支援]时将会触发[极限视域]。</t>
  </si>
  <si>
    <t>Relic034.png</t>
  </si>
  <si>
    <t>[耀嘉音]璀璨时刻</t>
  </si>
  <si>
    <t>耀嘉音每累计消耗25点能量，则获得1层[星光]，最多叠加3层；[咏叹华彩]状态下，长按 &lt;IconMap:Icon_Normal&gt; 可发动[普通攻击：璀璨时刻]，持续引导能量光束攻击敌人；招式发动时，将消耗[星光]，每层[星光]会使招式的持续时间延长1秒；招式发动期间抗打断等级提升，受到伤害额外降低20%；招式命中敌人时，目标的防御力降低40%，持续15秒；拥有3层[星光]后，切换回耀嘉音时，将会自动衔接发动[普通攻击：璀璨时刻]。</t>
  </si>
  <si>
    <t>Relic023.png</t>
  </si>
  <si>
    <t>[耀嘉音]空洞交响曲</t>
  </si>
  <si>
    <t>耀嘉音每累计消耗25点能量，则获得1层[星光]，最多叠加3层，每拥有1层[星光]，[咏叹华彩]状态下释放和追加释放的&lt;color=#FFFFFF&gt;[震音]造成的伤害提升15%&lt;/color&gt;；长按 &lt;IconMap:Icon_Normal&gt; 发动[普通攻击：终曲]或[普通攻击：璀璨时刻]时，将消耗[星光]，每层[星光]会使招式造成的伤害提升15%，并为耀嘉音回复4点能量；耀嘉音发动[普通攻击：间奏]命中敌人时，将额外消耗25点能量，发动[普通攻击：副歌]命中敌人时，将额外回复4点能量。</t>
  </si>
  <si>
    <t>Relic022.png</t>
  </si>
  <si>
    <t>[耀嘉音]和声回响</t>
  </si>
  <si>
    <t>[咏叹华彩]状态下，全队暴击率提升20%，若暴击率高于100%，每超过1%暴击率会使暴击伤害提升2%，最高不超过100%；当前操作中的角色发动[强化特殊技]命中敌人时，耀嘉音将回复1点能量，并追加释放&lt;color=#FFFFFF&gt;[震音]进行攻击&lt;/color&gt;，能量回复效果1秒内最多触发一次。</t>
  </si>
  <si>
    <t>Relic021.png</t>
  </si>
  <si>
    <t>[伊芙琳]低燃点涂装</t>
  </si>
  <si>
    <t>伊芙琳消耗[燎索点]发动的[连携技：月辉丝·绊]将被替换为[连携技：月辉丝·萦牵]，招式时长大幅缩短；伊芙琳发动[连携技]命中敌人时，招式造成的伤害提升80%。</t>
  </si>
  <si>
    <t>Relic025.png</t>
  </si>
  <si>
    <t>[伊芙琳]便携式雷管</t>
  </si>
  <si>
    <t>伊芙琳退出[牵缠禁制]时，会进入[引燃预备时间]，持续20秒，期间发动的下一个[冲刺攻击：穿梭潜袭]将被替换为[冲刺攻击：潜袭爆破]，[冲刺攻击：潜袭爆破]被视为[连携技]；伊芙琳发动[普通攻击：绞勒式]时，将会退出[牵缠禁制]。</t>
  </si>
  <si>
    <t>Relic024.png</t>
  </si>
  <si>
    <t>[伊芙琳]最高应急预案</t>
  </si>
  <si>
    <t>伊芙琳受到来自正面的攻击，且即将进入受击硬直时，会消耗[支援点数]，自动发动[招架支援]，格挡敌人的攻击，且可以衔接派生[支援突击：轨迹干涉]；伊芙琳发动[招架支援]时，自身暴击伤害提升50%，最多叠加2层，持续20秒，每层效果单独结算持续时间。</t>
  </si>
  <si>
    <t>Relic026.png</t>
  </si>
  <si>
    <t>[简]诡步轻甲</t>
  </si>
  <si>
    <t>[普通攻击：萨霍夫跳]的持续攻击时间大幅提升，在即将受到攻击时发动终结一击，可以触发[极限闪避]，持续攻击时间达到最大或终结一击触发[极限闪避]时，会将终结一击强化为[萨霍夫跳·凌空]，发动该招式时，自身物理异常积蓄效率提升50%，持续10秒。</t>
  </si>
  <si>
    <t>Relic028.png</t>
  </si>
  <si>
    <t>[简]沸腾猎意</t>
  </si>
  <si>
    <t>触发[极限闪避]或发动[招架支援]时获得的[狂热心流]大幅提升，将[狂热]状态替换为[过载狂热]状态，该状态下简的攻击力额外提升35%，[狂热心流]会随时间自动降低，攻击命中敌人不再消耗[狂热心流]。</t>
  </si>
  <si>
    <t>Relic027.png</t>
  </si>
  <si>
    <t>[简]尖锋毒獠</t>
  </si>
  <si>
    <t>[狂热]或[过载狂热]状态下，[强化特殊技：掠空]会被强化为[强化特殊技：掠空-强袭]，发动该招式时，简会重新进入[狂热]或[过载狂热]状态，该招式命中敌人时，目标的全属性异常积蓄抗性降低40%，持续15秒。</t>
  </si>
  <si>
    <t>Relic029.png</t>
  </si>
  <si>
    <t>[可琳]锯片驾驶指南</t>
  </si>
  <si>
    <t>将[冲刺攻击：[断]]替换为[冲刺攻击：[断]改]，长按[普通攻击]&lt;IconMap:Icon_Normal&gt;可持续保持疾行形态，电锯连续斩击命中敌人30次或松开按键后结束。</t>
  </si>
  <si>
    <t>Relic031.png</t>
  </si>
  <si>
    <t>[可琳]过载驱动</t>
  </si>
  <si>
    <t>在[强化特殊技]发动期间，长按[特殊攻击] &lt;IconMap:Icon_SpecialReady&gt;持续斩击敌人超过0.5秒时，会触发[超频状态]，持续聚集敌人，且当斩击命中敌人10次时，将触发[超频过载]，额外造成一次可琳400%攻击力的物理伤害。</t>
  </si>
  <si>
    <t>Relic030.png</t>
  </si>
  <si>
    <t>[可琳]特型鼓风机</t>
  </si>
  <si>
    <t>在第一，二，三段[普通攻击]，[冲刺攻击]，[闪避反击]或[快速支援]发动期间，连点或长按[普通攻击]&lt;IconMap:Icon_Normal&gt;，可直接发动第四段[普通攻击]，并向前方施放高速气旋斩击敌人。</t>
  </si>
  <si>
    <t>Relic032.png</t>
  </si>
  <si>
    <t>讴歌喧响之唇</t>
  </si>
  <si>
    <t>全队能量获得效率降低15%，喧响值获得效率提升25%。</t>
  </si>
  <si>
    <t>Artifact001.png</t>
  </si>
  <si>
    <t>超频机敏模式</t>
  </si>
  <si>
    <t>全队攻击力提升30%，暴击伤害提升40%，受到敌方攻击并损失生命值时，该增益效果失效，下次进入区域时效果重置。</t>
  </si>
  <si>
    <t>Artifact002.png</t>
  </si>
  <si>
    <t>混沌异常之面</t>
  </si>
  <si>
    <t>全队攻击力降低15%；造成失衡或对敌人施加属性异常效果时，全队暴击伤害提升40%，异常精通提升40点，持续20秒。</t>
  </si>
  <si>
    <t>Artifact003.png</t>
  </si>
  <si>
    <t>超越绝境之志</t>
  </si>
  <si>
    <t>当前生命值高于80%时，代理人造成的伤害降低40%；当前生命值低于50%时，代理人造成的伤害提升40%；当前生命值低于20%时，代理人的暴击率额外提升15%，暴击伤害额外提升30%。</t>
  </si>
  <si>
    <t>Artifact004.png</t>
  </si>
  <si>
    <t>燃油饮分享装</t>
  </si>
  <si>
    <t>代理人受到的伤害提升20%，代理人发动[招架支援]和[回避支援]时不再消耗[支援点数]。</t>
  </si>
  <si>
    <t>Artifact009.png</t>
  </si>
  <si>
    <t>导航数据组</t>
  </si>
  <si>
    <t>增加3个[导航数据]，可在[挚交会谈]玛琳处进行[重设导航]。</t>
  </si>
  <si>
    <t>定位卡-理财</t>
  </si>
  <si>
    <t>可在[挚交会谈]玛琳处进行1次[定向迭换]，将地图刷新为齿轮硬币相关的区域地图。</t>
  </si>
  <si>
    <t>Artifact024.png</t>
  </si>
  <si>
    <t>定位卡-捷径</t>
  </si>
  <si>
    <t>可在[挚交会谈]玛琳处进行1次[定向迭换]，将地图刷新为路线极短的区域地图。</t>
  </si>
  <si>
    <t>Artifact025.png</t>
  </si>
  <si>
    <t>定位卡-力战</t>
  </si>
  <si>
    <t>可在[挚交会谈]玛琳处进行1次[定向迭换]，将地图刷新为[挑战]相关的区域地图。</t>
  </si>
  <si>
    <t>Artifact026.png</t>
  </si>
  <si>
    <t>定位卡-恶咒</t>
  </si>
  <si>
    <t>可在[挚交会谈]玛琳处进行1次[定向迭换]，将地图刷新为[代价之间]相关的区域地图。</t>
  </si>
  <si>
    <t>Artifact027.png</t>
  </si>
  <si>
    <t>定位卡-奇遇</t>
  </si>
  <si>
    <t>可在[挚交会谈]玛琳处进行1次[定向迭换]，将地图刷新为[偶遇事件]相关的区域地图。</t>
  </si>
  <si>
    <t>Artifact028.png</t>
  </si>
  <si>
    <t>定位卡-破雾</t>
  </si>
  <si>
    <t>可在[挚交会谈]玛琳处进行1次[定向迭换]，将地图刷新为含有迷雾区域的地图。
    每进入一个迷雾区域，本局空洞内，全队攻击力提升10%，暴击伤害提升20%，异常精通提升20点。</t>
  </si>
  <si>
    <t>Artifact029.png</t>
  </si>
  <si>
    <t>定位卡-索引</t>
  </si>
  <si>
    <t>佣兵队长误把地图数据送给了好心的解救者。可在[挚交会谈]玛琳处进行1次[定向迭换]，将地图刷新为指定的地图。</t>
  </si>
  <si>
    <t>Artifact030.png</t>
  </si>
  <si>
    <t>糊涂记账法</t>
  </si>
  <si>
    <t>每次离开[邦布商店]时，清空当前所有齿轮硬币；每购买藏品消耗100齿轮硬币，除首领外的敌人将降低0.5%生命值（最多降低30%）。</t>
  </si>
  <si>
    <t>Artifact041.png</t>
  </si>
  <si>
    <t>莽撞的勇士</t>
  </si>
  <si>
    <t>当前生命值超过生命值上限的10%时将被扣除至10%，全队受到的伤害提升50%，但攻击必定触发暴击，且攻击力提升100%，异常精通提升400点。</t>
  </si>
  <si>
    <t>Artifact042.png</t>
  </si>
  <si>
    <t>潮汐规律</t>
  </si>
  <si>
    <t>代理人会根据造成伤害为全队回复一定量生命值。</t>
  </si>
  <si>
    <t>Artifact043.png</t>
  </si>
  <si>
    <t>无畏炬火</t>
  </si>
  <si>
    <t>每进入一个[迷雾区域]，本局空洞内，全队攻击力提升5%，暴击伤害提升5%，异常精通提升10点。</t>
  </si>
  <si>
    <t>Artifact044.png</t>
  </si>
  <si>
    <t>金钱攻势·强化版</t>
  </si>
  <si>
    <t>每拥有100枚齿轮硬币， 全队造成的伤害提升1%，暴击率提升0.5%，暴击伤害提升1%，异常精通提升2点。</t>
  </si>
  <si>
    <t>Artifact045.png</t>
  </si>
  <si>
    <t>缝缝补补防御术</t>
  </si>
  <si>
    <t>每进入一个[非战斗区域]，本局空洞内，敌人对代理人造成的伤害降低2.5%，最多触发6次。</t>
  </si>
  <si>
    <t>Artifact037.png</t>
  </si>
  <si>
    <t>故友之踪迹</t>
  </si>
  <si>
    <t>每进入一个[非战斗区域]，获得200枚齿轮硬币。</t>
  </si>
  <si>
    <t>Artifact038.png</t>
  </si>
  <si>
    <t>静电现象</t>
  </si>
  <si>
    <t>每进入一个[非战斗区域]，本局空洞内，全队暴击率提升2%。</t>
  </si>
  <si>
    <t>Artifact039.png</t>
  </si>
  <si>
    <t>优厚分红·强化版</t>
  </si>
  <si>
    <t>齿轮硬币获得量提升50%。</t>
  </si>
  <si>
    <t>Artifact007.png</t>
  </si>
  <si>
    <t>开幕护盾（紊乱版）</t>
  </si>
  <si>
    <t>进入战斗区域时，敌方单位获得10%生命值上限的护盾。</t>
  </si>
  <si>
    <t>肾上腺素（紊乱版）</t>
  </si>
  <si>
    <t>生命值低于50%时，敌方单位造成的伤害提升20%。</t>
  </si>
  <si>
    <t>开幕雷击（紊乱版）</t>
  </si>
  <si>
    <t>进入战场时，代理人的生命值降低75%。</t>
  </si>
  <si>
    <t>三重缓冲（紊乱版）</t>
  </si>
  <si>
    <t>进入首领战斗区域后，前20秒内，首领敌人受到的伤害降低50%。</t>
  </si>
  <si>
    <t>「不动如山」马拉松</t>
  </si>
  <si>
    <t>经过5个区域后，若途中被击飞的总次数不超过5次，则会获得一次战术棱镜方案升级。挑战进度可在藏品界面查看。</t>
  </si>
  <si>
    <t>Artifact047.png</t>
  </si>
  <si>
    <t>「悭吝人」马拉松</t>
  </si>
  <si>
    <t>经过5个区域后，若途中没有在商店花费齿轮硬币购买商品，则会获得一次战术棱镜方案升级。挑战进度可在藏品界面查看。</t>
  </si>
  <si>
    <t>「凡人之躯」马拉松</t>
  </si>
  <si>
    <t>经过8个区域后，若途中获得过1个通用鸣徽，则会获得一次战术棱镜方案升级。挑战进度可在藏品界面查看。</t>
  </si>
  <si>
    <t>「挥金如土」马拉松</t>
  </si>
  <si>
    <t>经过8个区域后，若途中消耗的齿轮硬币大于等于500，则会获得一次战术棱镜方案升级。挑战进度可在藏品界面查看。</t>
  </si>
  <si>
    <t>「强风吹拂」马拉松</t>
  </si>
  <si>
    <t>经过5个区域后，若途中消耗的时长少于300秒（关卡时间为准），则会获得一次战术棱镜方案升级。挑战进度可在藏品界面查看。</t>
  </si>
  <si>
    <t>「符号学原理」马拉松</t>
  </si>
  <si>
    <t>经过8个区域后，若途中经过的「偶遇事件」大于等于1个，则会获得一次战术棱镜方案升级。挑战进度可在藏品界面查看。</t>
  </si>
  <si>
    <t>莽撞的勇士·强化版</t>
  </si>
  <si>
    <t>当前生命值超过生命值上限的30%时将被扣除至30%，全队受到的伤害提升50%，但攻击必定触发暴击，且攻击力提升100%，异常精通提升400点。溢出的暴击会等比例转换为爆伤，最多转换150%。</t>
  </si>
  <si>
    <t>金钱攻势·超级强化版</t>
  </si>
  <si>
    <t>每拥有100枚齿轮硬币， 全队造成的伤害提升1.5%，暴击率提升0.5%，暴击伤害提升1.5%，异常精通提升3点。</t>
  </si>
  <si>
    <t>大垄断家·变异版</t>
  </si>
  <si>
    <t>每次获得齿轮硬币时，20%概率额外获得150%，20%概率额外获得300%，20%概率仅获得50%，20%概率本次获得的齿轮硬币变为0枚，10%概率扣除当前持有的全部齿轮硬币的10%，10%概率扣除当前持有的全部齿轮硬币的20%。</t>
  </si>
  <si>
    <t>Artifact006.png</t>
  </si>
  <si>
    <t>无畏炬火·强化版</t>
  </si>
  <si>
    <t>每进入一个[迷雾区域]，本局空洞内，全队攻击力提升5%，暴击伤害提升10%，异常精通提升20点。</t>
  </si>
  <si>
    <t>一毛不拔·强化版</t>
  </si>
  <si>
    <t>进入[邦布商店]时，如果未消费，则离开商店时获得40%的齿轮硬币。</t>
  </si>
  <si>
    <t>Artifact033.png</t>
  </si>
  <si>
    <t>诡诈筹码</t>
  </si>
  <si>
    <t>可以在商店中以3倍价格卖出鸣徽或物品，每次卖出时有50%概率导致商店永久涨价10%。</t>
  </si>
  <si>
    <t>Artifact005.png</t>
  </si>
  <si>
    <t>大垄断家</t>
  </si>
  <si>
    <t>获得齿轮硬币时，有40%概率额外获得20%，5%概率额外获得50%，5%概率将本次获得的齿轮硬币变为1枚</t>
  </si>
  <si>
    <t>优厚分红</t>
  </si>
  <si>
    <t>金钱攻势</t>
  </si>
  <si>
    <t>Artifact008.png</t>
  </si>
  <si>
    <t>敛财手段</t>
  </si>
  <si>
    <t>立刻获得当前齿轮硬币数量30%的齿轮硬币。</t>
  </si>
  <si>
    <t>Artifact031.png</t>
  </si>
  <si>
    <t>真诚的赠品</t>
  </si>
  <si>
    <t>进入[邦布商店]时，10%概率有2个免费商品，但无法刷新商店。</t>
  </si>
  <si>
    <t>Artifact032.png</t>
  </si>
  <si>
    <t>一毛不拔</t>
  </si>
  <si>
    <t>进入[邦布商店]时，如果未消费，则离开商店时获得20%的齿轮硬币。</t>
  </si>
  <si>
    <t>贵宾的礼遇</t>
  </si>
  <si>
    <t>获得5次鸣徽转换器刷新机会。「特遣调查」中鸣徽转换器还可以用于刷新战术棱镜方案。</t>
  </si>
  <si>
    <t>Artifact034.png</t>
  </si>
  <si>
    <t>终结的决心</t>
  </si>
  <si>
    <t>不受伤害完成战斗区域时，本局空洞内，全队造成的伤害提升5%。</t>
  </si>
  <si>
    <t>Artifact035.png</t>
  </si>
  <si>
    <t>双面荆甲</t>
  </si>
  <si>
    <t>进入[战斗区域]时，全队损失20%当前生命值，全队生命上限提升10%，并获得10%生命值上限的护盾，本局空洞内该效果最多触发4次。</t>
  </si>
  <si>
    <t>Artifact036.png</t>
  </si>
  <si>
    <t>实验「副」产物</t>
  </si>
  <si>
    <t>将此卡牌带入[代价之间]，有意想不到的效果。</t>
  </si>
  <si>
    <t>Artifact040.png</t>
  </si>
  <si>
    <t>掠血夺心之印</t>
  </si>
  <si>
    <t>在{CReplaceCardParam:ProgressLeft,1,2}个战斗区域内，代理人的生命值上限降低30%。</t>
  </si>
  <si>
    <t>荆刺镣铐之印</t>
  </si>
  <si>
    <t>在{CReplaceCardParam:ProgressLeft,1,2}个战斗区域内，发动[强化特殊技]时将消耗4%生命值。</t>
  </si>
  <si>
    <t>Artifact010.png</t>
  </si>
  <si>
    <t>障目屏知之印</t>
  </si>
  <si>
    <t>在{CReplaceCardParam:ProgressLeft,1,2}个战斗区域内，敌人发动攻击时不再有金色闪光和红色闪光提示。</t>
  </si>
  <si>
    <t>Artifact011.png</t>
  </si>
  <si>
    <t>恶害追打之印</t>
  </si>
  <si>
    <t>在{CReplaceCardParam:ProgressLeft,1,2}个战斗区域内，代理人受到的伤害提升30%。</t>
  </si>
  <si>
    <t>Artifact012.png</t>
  </si>
  <si>
    <t>关窍显绽之印</t>
  </si>
  <si>
    <t>在{CReplaceCardParam:ProgressLeft,1,2}个战斗区域内，敌人的攻击有概率触发暴击。</t>
  </si>
  <si>
    <t>Artifact013.png</t>
  </si>
  <si>
    <t>异常封掩之印</t>
  </si>
  <si>
    <t>在{CReplaceCardParam:ProgressLeft,1,2}个战斗区域内，敌人的全属性异常积蓄抗性提升50%。</t>
  </si>
  <si>
    <t>Artifact014.png</t>
  </si>
  <si>
    <t>敌步稳健之印</t>
  </si>
  <si>
    <t>在{CReplaceCardParam:ProgressLeft,1,2}个战斗区域内，敌人的失衡恢复速度提升35%。</t>
  </si>
  <si>
    <t>Artifact015.png</t>
  </si>
  <si>
    <t>心灵复兴之印</t>
  </si>
  <si>
    <t>代理人受到的伤害降低20%。</t>
  </si>
  <si>
    <t>Artifact016.png</t>
  </si>
  <si>
    <t>能量献祭之印</t>
  </si>
  <si>
    <t>代理人的能量获得效率提升35%。</t>
  </si>
  <si>
    <t>Artifact017.png</t>
  </si>
  <si>
    <t>明亮觉醒之印</t>
  </si>
  <si>
    <t>[招架支援]造成的失衡值提升40%，[支援突击]造成的伤害提升80%。</t>
  </si>
  <si>
    <t>Artifact018.png</t>
  </si>
  <si>
    <t>致命回击之印</t>
  </si>
  <si>
    <t>代理人造成的伤害提升40%。</t>
  </si>
  <si>
    <t>Artifact019.png</t>
  </si>
  <si>
    <t>精准打击之印</t>
  </si>
  <si>
    <t>代理人的暴击伤害提升65%。</t>
  </si>
  <si>
    <t>Artifact020.png</t>
  </si>
  <si>
    <t>异常突破之印</t>
  </si>
  <si>
    <t>代理人属性异常效果造成的伤害提升50%。</t>
  </si>
  <si>
    <t>Artifact021.png</t>
  </si>
  <si>
    <t>失衡猎杀之印</t>
  </si>
  <si>
    <t>代理人对失衡状态下的敌人造成的伤害提升50%。</t>
  </si>
  <si>
    <t>Artifact022.png</t>
  </si>
  <si>
    <t>回复生命值</t>
  </si>
  <si>
    <t>全队回复20%生命值</t>
  </si>
  <si>
    <t>获得1份以太露滴，若队伍中有无法出战的代理人，则即刻使用</t>
  </si>
  <si>
    <t>Choice002.png</t>
  </si>
  <si>
    <t>获得鸣徽</t>
  </si>
  <si>
    <t>获得1枚鸣徽</t>
  </si>
  <si>
    <t>Choice003.png</t>
  </si>
  <si>
    <t>获得武备</t>
  </si>
  <si>
    <t>获得1个新的武备</t>
  </si>
  <si>
    <t>Choice004.png</t>
  </si>
  <si>
    <t>升级武备</t>
  </si>
  <si>
    <t>升级1次已有的武备</t>
  </si>
  <si>
    <t>Choice005.png</t>
  </si>
  <si>
    <t>有代价的齿轮硬币</t>
  </si>
  <si>
    <t>选择后可获得1200枚齿轮硬币，但离开当前区域时清空所有齿轮硬币。</t>
  </si>
  <si>
    <t>有回报的损失生命值</t>
  </si>
  <si>
    <t>选择后全队损失20%生命值，但可获得2枚鸣徽。</t>
  </si>
  <si>
    <t>Choice006.png</t>
  </si>
  <si>
    <t>获得225点零号业绩。队伍中存在携带[潜能激化]的代理人时，有小概率获得专属武备。</t>
  </si>
  <si>
    <t>获得星见雅的[专属武备]</t>
  </si>
  <si>
    <t>鸣徽组合·迷你装</t>
  </si>
  <si>
    <t>花费500齿轮硬币，获得1枚随机鸣徽。</t>
  </si>
  <si>
    <t>ChoiceCard07.png</t>
  </si>
  <si>
    <t>鸣徽组合·便携装</t>
  </si>
  <si>
    <t>花费1000齿轮硬币，获得2枚随机鸣徽。</t>
  </si>
  <si>
    <t>鸣徽组合·畅享装</t>
  </si>
  <si>
    <t>花费所有齿轮硬币，获得3枚随机鸣徽。</t>
  </si>
  <si>
    <t>紧急避险</t>
  </si>
  <si>
    <t>获得1枚随机[终结]鸣徽并立即离开。</t>
  </si>
  <si>
    <t>CardLootBoxDecibels.png</t>
  </si>
  <si>
    <t>获得1枚随机[机敏]鸣徽并立即离开。</t>
  </si>
  <si>
    <t>CardLootBoxZone.png</t>
  </si>
  <si>
    <t>获得1枚随机[异常·击破]鸣徽并立即离开。</t>
  </si>
  <si>
    <t>CardLootBoxAnomaly.png</t>
  </si>
  <si>
    <t>获得1枚随机[绝境]鸣徽并立即离开。</t>
  </si>
  <si>
    <t>CardLootBoxAdversity.png</t>
  </si>
  <si>
    <t>获得1枚随机[携游]鸣徽并立即离开。</t>
  </si>
  <si>
    <t>CardLootBoxSwitch.png</t>
  </si>
  <si>
    <t>自助索赔</t>
  </si>
  <si>
    <t>进入战斗，胜利后获得2枚对应类型的鸣徽。</t>
  </si>
  <si>
    <t>ChoiceCard06.png</t>
  </si>
  <si>
    <t>金牌调解师</t>
  </si>
  <si>
    <t>进入战斗，胜利后获得2个类型的鸣徽各1枚。</t>
  </si>
  <si>
    <t>获得225点零号业绩。有小概率获得一次鸣徽。</t>
  </si>
  <si>
    <t>获得225点零号业绩。有小概率获得一次协战武备。</t>
  </si>
  <si>
    <t>获得1枚随机[强攻]鸣徽并立即离开。</t>
  </si>
  <si>
    <t>获得1枚随机[击破]鸣徽并立即离开。</t>
  </si>
  <si>
    <t>获得1枚随机[异常]鸣徽并立即离开。</t>
  </si>
  <si>
    <t>获得1枚随机[支援]鸣徽并立即离开。</t>
  </si>
  <si>
    <t>获得1枚随机[防护]鸣徽并立即离开。</t>
  </si>
  <si>
    <t>获得1枚随机[命破]鸣徽并立即离开。</t>
  </si>
  <si>
    <t>黄铜镇纸</t>
  </si>
  <si>
    <t>代理人对[秽盾]的削减效率提升15%。</t>
  </si>
  <si>
    <t>CardChessboard62.png</t>
  </si>
  <si>
    <t>织锦香囊</t>
  </si>
  <si>
    <t>代理人受到怪物的[秽染]攻击而积蓄[秽息浸染]值时，积蓄值降低20%。</t>
  </si>
  <si>
    <t>CardChessboard63.png</t>
  </si>
  <si>
    <t>洒金墨锭</t>
  </si>
  <si>
    <t>代理人处于[秽浊流界]内时，造成的伤害提高30%。</t>
  </si>
  <si>
    <t>CardChessboard64.png</t>
  </si>
  <si>
    <t>全队回复5%生命值</t>
  </si>
  <si>
    <t>全队回复10%生命值</t>
  </si>
  <si>
    <t>全队回复15%生命值</t>
  </si>
  <si>
    <t>全队回复25%生命值</t>
  </si>
  <si>
    <t>全队回复30%生命值</t>
  </si>
  <si>
    <t>全队回复40%生命值</t>
  </si>
  <si>
    <t>全队回复50%生命值</t>
  </si>
  <si>
    <t>全队回复60%生命值</t>
  </si>
  <si>
    <t>全队回复70%生命值</t>
  </si>
  <si>
    <t>全队回复80%生命值</t>
  </si>
  <si>
    <t>全队回复90%生命值</t>
  </si>
  <si>
    <t>全队回复100%生命值</t>
  </si>
  <si>
    <t>全队回复35%生命值</t>
  </si>
  <si>
    <t>获得50枚齿轮硬币</t>
  </si>
  <si>
    <t>获得100枚齿轮硬币</t>
  </si>
  <si>
    <t>获得200枚齿轮硬币</t>
  </si>
  <si>
    <t>获得300枚齿轮硬币</t>
  </si>
  <si>
    <t>获得400枚齿轮硬币</t>
  </si>
  <si>
    <t>获得500枚齿轮硬币</t>
  </si>
  <si>
    <t>获得600枚齿轮硬币</t>
  </si>
  <si>
    <t>获得700枚齿轮硬币</t>
  </si>
  <si>
    <t>获得800枚齿轮硬币</t>
  </si>
  <si>
    <t>获得900枚齿轮硬币</t>
  </si>
  <si>
    <t>获得1000枚齿轮硬币</t>
  </si>
  <si>
    <t>获得1500枚齿轮硬币</t>
  </si>
  <si>
    <t>获得2000枚齿轮硬币</t>
  </si>
  <si>
    <t>获得2500枚齿轮硬币</t>
  </si>
  <si>
    <t>获得1100枚齿轮硬币</t>
  </si>
  <si>
    <t>获得1200枚齿轮硬币</t>
  </si>
  <si>
    <t>获得1300枚齿轮硬币</t>
  </si>
  <si>
    <t>获得1400枚齿轮硬币</t>
  </si>
  <si>
    <t>为「安比」使用「以太露滴」</t>
  </si>
  <si>
    <t>为「猫又」使用「以太露滴」</t>
  </si>
  <si>
    <t>为「妮可」使用「以太露滴」</t>
  </si>
  <si>
    <t>为「「11号」」使用「以太露滴」</t>
  </si>
  <si>
    <t>为「比利」使用「以太露滴」</t>
  </si>
  <si>
    <t>为「安东」使用「以太露滴」</t>
  </si>
  <si>
    <t>为「本」使用「以太露滴」</t>
  </si>
  <si>
    <t>为「苍角」使用「以太露滴」</t>
  </si>
  <si>
    <t>为「莱卡恩」使用「以太露滴」</t>
  </si>
  <si>
    <t>为「格莉丝」使用「以太露滴」</t>
  </si>
  <si>
    <t>为「艾莲」使用「以太露滴」</t>
  </si>
  <si>
    <t>为「丽娜」使用「以太露滴」</t>
  </si>
  <si>
    <t>为「可琳」使用「以太露滴」</t>
  </si>
  <si>
    <t>为「珂蕾妲」使用「以太露滴」</t>
  </si>
  <si>
    <t>为「朱鸢」使用「以太露滴」</t>
  </si>
  <si>
    <t>为「露西」使用「以太露滴」</t>
  </si>
  <si>
    <t>为「莱特」使用「以太露滴」</t>
  </si>
  <si>
    <t>为「派派」使用「以太露滴」</t>
  </si>
  <si>
    <t>为「青衣」使用「以太露滴」</t>
  </si>
  <si>
    <t>为「简」使用「以太露滴」</t>
  </si>
  <si>
    <t>为「赛斯」使用「以太露滴」</t>
  </si>
  <si>
    <t>为「凯撒」使用「以太露滴」</t>
  </si>
  <si>
    <t>为「柏妮思」使用「以太露滴」</t>
  </si>
  <si>
    <t>为「月城柳」使用「以太露滴」</t>
  </si>
  <si>
    <t>为「浅羽悠真」使用「以太露滴」</t>
  </si>
  <si>
    <t>为「星见雅」使用「以太露滴」</t>
  </si>
  <si>
    <t>为「耀嘉音」使用「以太露滴」</t>
  </si>
  <si>
    <t>为「伊芙琳」使用「以太露滴」</t>
  </si>
  <si>
    <t>为「零号·安比」使用「以太露滴」</t>
  </si>
  <si>
    <t>为「「扳机」」使用「以太露滴」</t>
  </si>
  <si>
    <t>为「波可娜」使用「以太露滴」</t>
  </si>
  <si>
    <t>为「薇薇安」使用「以太露滴」</t>
  </si>
  <si>
    <t>为「雨果」使用「以太露滴」</t>
  </si>
  <si>
    <t>为「仪玄」使用「以太露滴」</t>
  </si>
  <si>
    <t>为「橘福福」使用「以太露滴」</t>
  </si>
  <si>
    <t>为「潘引壶」使用「以太露滴」</t>
  </si>
  <si>
    <t>草莓</t>
  </si>
  <si>
    <t>雅课长最喜欢的口味，是「草莓」味！</t>
  </si>
  <si>
    <t>蜜瓜</t>
  </si>
  <si>
    <t>雅课长最喜欢的口味，是「蜜瓜」味！</t>
  </si>
  <si>
    <t>处理文书</t>
  </si>
  <si>
    <t>我知道，雅课长会在办公室里「处理文书」！</t>
  </si>
  <si>
    <t>保养佩刀</t>
  </si>
  <si>
    <t>我知道，雅课长会在办公室里「保养佩刀」！</t>
  </si>
  <si>
    <t>记住毕业照上同学的名字</t>
  </si>
  <si>
    <t>「记住毕业照上同学的名字」，听起来就像是雅课长喜欢的修行…</t>
  </si>
  <si>
    <t>坚持去述职会</t>
  </si>
  <si>
    <t>「坚持去述职会」，听起来就像是雅课长喜欢的修行…</t>
  </si>
  <si>
    <t>女王大人还没出道时自制的专辑，叫「天琴座」！</t>
  </si>
  <si>
    <t>水瓶座</t>
  </si>
  <si>
    <t>女王大人还没出道时自制的专辑，叫「水瓶座」！</t>
  </si>
  <si>
    <t>简约低调</t>
  </si>
  <si>
    <t>我知道，女王大人喜欢「简约低调」的饰品</t>
  </si>
  <si>
    <t>亮晶晶</t>
  </si>
  <si>
    <t>我知道，女王大人喜欢「亮晶晶」的饰品</t>
  </si>
  <si>
    <t>速度与亲情</t>
  </si>
  <si>
    <t>没记错的话，女王大人凭借「速度与亲情」拿到了影后荣誉</t>
  </si>
  <si>
    <t>十万次心跳</t>
  </si>
  <si>
    <t>没记错的话，女王大人凭借「十万次心跳」拿到了影后荣誉</t>
  </si>
  <si>
    <t>回答正确</t>
  </si>
  <si>
    <t>我就知道…我的「加饭」雷达果然不会有错！
    （回答正确，获得1000齿轮硬币）</t>
  </si>
  <si>
    <t>回答错误</t>
  </si>
  <si>
    <t>喂…我都还没问真正有难度的问题呢！
    （回答错误，获得500齿轮硬币）</t>
  </si>
  <si>
    <t>可恶，我对雅课长的爱，不会输给你们任何一个的！
    （回答正确，获得1000齿轮硬币）</t>
  </si>
  <si>
    <t>哼，真正了解雅课长的，果然还是我们这种一直追随在她身后的人…
    （回答错误，获得500齿轮硬币）</t>
  </si>
  <si>
    <t>为「爱丽丝」使用「以太露滴」</t>
  </si>
  <si>
    <t>为「柚叶」使用「以太露滴」</t>
  </si>
  <si>
    <t>为「席德」使用「以太露滴」</t>
  </si>
  <si>
    <t>奥菲丝&amp; 「鬼火」</t>
  </si>
  <si>
    <t>为「奥菲丝&amp; 『鬼火』」使用「以太露滴」</t>
  </si>
  <si>
    <t>为「伊德海莉」使用「以太露滴」</t>
  </si>
  <si>
    <t>为「卢西娅」使用「以太露滴」</t>
  </si>
  <si>
    <t>为「狛野真斗」使用「以太露滴」</t>
  </si>
  <si>
    <t>为「般岳」使用「以太露滴」</t>
  </si>
  <si>
    <t>为「琉音」使用「以太露滴」</t>
  </si>
  <si>
    <t>为「叶瞬光」使用「以太露滴」</t>
  </si>
  <si>
    <t>为「照」使用「以太露滴」</t>
  </si>
  <si>
    <t>为「爱芮」使用「以太露滴」</t>
  </si>
  <si>
    <t>CardDailyUse1501.png</t>
  </si>
  <si>
    <t>为「千夏」使用「以太露滴」</t>
  </si>
  <si>
    <t>CardDailyUse1491.png</t>
  </si>
  <si>
    <t>「听见了！」</t>
  </si>
  <si>
    <t>「伊埃斯伊埃斯，没有耳朵会怎么样？」
    「嗯呢？（戴不了眼镜？）」
    「…邦布的眼镜是那样戴的吗！？」</t>
  </si>
  <si>
    <t>RidubooPart_001_Head.png</t>
  </si>
  <si>
    <t>「围好了！」</t>
  </si>
  <si>
    <t>「伊埃斯伊埃斯，没有围巾会怎么样？」
    「嗯呢…（会露出水口…）」
    「对不起，我会再帮你打磨的…」</t>
  </si>
  <si>
    <t>RidubooPart_001_Scarf.png</t>
  </si>
  <si>
    <t>「抱住了！」</t>
  </si>
  <si>
    <t>「伊埃斯伊埃斯，没有衣服会怎么样？」
    「嗯呢！（被治安局逮捕！）」
    「这个不会吧…我可能会，但你应该不会。」</t>
  </si>
  <si>
    <t>RidubooPart_001_Body.png</t>
  </si>
  <si>
    <t>聆听欢乐</t>
  </si>
  <si>
    <t>RidubooPart_002_Head.png</t>
  </si>
  <si>
    <t>旋绕欢乐</t>
  </si>
  <si>
    <t>RidubooPart_002_Scarf.png</t>
  </si>
  <si>
    <t>拥抱欢乐</t>
  </si>
  <si>
    <t>RidubooPart_002_Body.png</t>
  </si>
  <si>
    <t>倾听野性</t>
  </si>
  <si>
    <t>RidubooPart_003_Head.png</t>
  </si>
  <si>
    <t>叠绕野性</t>
  </si>
  <si>
    <t>RidubooPart_003_Scarf.png</t>
  </si>
  <si>
    <t>紧抱野性</t>
  </si>
  <si>
    <t>RidubooPart_003_Body.png</t>
  </si>
  <si>
    <t>静听优雅</t>
  </si>
  <si>
    <t>RidubooPart_004_Head.png</t>
  </si>
  <si>
    <t>萦绕优雅</t>
  </si>
  <si>
    <t>RidubooPart_004_Scarf.png</t>
  </si>
  <si>
    <t>环抱优雅</t>
  </si>
  <si>
    <t>RidubooPart_004_Body.png</t>
  </si>
  <si>
    <t>视听科技</t>
  </si>
  <si>
    <t>RidubooPart_005_Head.png</t>
  </si>
  <si>
    <t>斜绕科技</t>
  </si>
  <si>
    <t>RidubooPart_005_Scarf.png</t>
  </si>
  <si>
    <t>轻抱科技</t>
  </si>
  <si>
    <t>RidubooPart_005_Body.png</t>
  </si>
  <si>
    <t>偷听童话</t>
  </si>
  <si>
    <t>RidubooPart_006_Head.png</t>
  </si>
  <si>
    <t>回绕童话</t>
  </si>
  <si>
    <t>RidubooPart_006_Scarf.png</t>
  </si>
  <si>
    <t>满抱童话</t>
  </si>
  <si>
    <t>RidubooPart_006_Body.png</t>
  </si>
  <si>
    <t>夜听运动</t>
  </si>
  <si>
    <t>RidubooPart_007_Head.png</t>
  </si>
  <si>
    <t>环绕运动</t>
  </si>
  <si>
    <t>RidubooPart_007_Scarf.png</t>
  </si>
  <si>
    <t>合抱运动</t>
  </si>
  <si>
    <t>RidubooPart_007_Body.png</t>
  </si>
  <si>
    <t>细听复古</t>
  </si>
  <si>
    <t>RidubooPart_008_Head.png</t>
  </si>
  <si>
    <t>缭绕复古</t>
  </si>
  <si>
    <t>RidubooPart_008_Scarf.png</t>
  </si>
  <si>
    <t>倚抱复古</t>
  </si>
  <si>
    <t>RidubooPart_008_Body.png</t>
  </si>
  <si>
    <t>独听潮流</t>
  </si>
  <si>
    <t>RidubooPart_009_Head.png</t>
  </si>
  <si>
    <t>乱绕潮流</t>
  </si>
  <si>
    <t>RidubooPart_009_Scarf.png</t>
  </si>
  <si>
    <t>回抱潮流</t>
  </si>
  <si>
    <t>RidubooPart_009_Body.png</t>
  </si>
  <si>
    <t>遥听田园</t>
  </si>
  <si>
    <t>RidubooPart_010_Head.png</t>
  </si>
  <si>
    <t>闲绕田园</t>
  </si>
  <si>
    <t>RidubooPart_010_Scarf.png</t>
  </si>
  <si>
    <t>围抱田园</t>
  </si>
  <si>
    <t>RidubooPart_010_Body.png</t>
  </si>
  <si>
    <t>幻听哥特</t>
  </si>
  <si>
    <t>RidubooPart_011_Head.png</t>
  </si>
  <si>
    <t>缠绕哥特</t>
  </si>
  <si>
    <t>RidubooPart_011_Scarf.png</t>
  </si>
  <si>
    <t>心抱哥特</t>
  </si>
  <si>
    <t>RidubooPart_011_Body.png</t>
  </si>
  <si>
    <t>近听假日</t>
  </si>
  <si>
    <t>RidubooPart_012_Head.png</t>
  </si>
  <si>
    <t>袅绕假日</t>
  </si>
  <si>
    <t>RidubooPart_012_Scarf.png</t>
  </si>
  <si>
    <t>怀抱假日</t>
  </si>
  <si>
    <t>RidubooPart_012_Body.png</t>
  </si>
  <si>
    <t>遥听星程</t>
  </si>
  <si>
    <t>RidubooPart_013_Head.png</t>
  </si>
  <si>
    <t>颂绕星程</t>
  </si>
  <si>
    <t>RidubooPart_013_Scarf.png</t>
  </si>
  <si>
    <t>挽抱星程</t>
  </si>
  <si>
    <t>RidubooPart_013_Body.png</t>
  </si>
  <si>
    <t>炫听绘梦</t>
  </si>
  <si>
    <t>RidubooPart_015_Head.png</t>
  </si>
  <si>
    <t>彩绕绘梦</t>
  </si>
  <si>
    <t>RidubooPart_015_Scarf.png</t>
  </si>
  <si>
    <t>漫抱绘梦</t>
  </si>
  <si>
    <t>RidubooPart_015_Body.png</t>
  </si>
  <si>
    <t>融听明灯</t>
  </si>
  <si>
    <t>RidubooPart_014_Head.png</t>
  </si>
  <si>
    <t>映绕明灯</t>
  </si>
  <si>
    <t>RidubooPart_014_Scarf.png</t>
  </si>
  <si>
    <t>迎抱明灯</t>
  </si>
  <si>
    <t>RidubooPart_014_Body.png</t>
  </si>
  <si>
    <t>纳听鸿运</t>
  </si>
  <si>
    <t>RidubooPart_016_Head.png</t>
  </si>
  <si>
    <t>瑞绕鸿运</t>
  </si>
  <si>
    <t>RidubooPart_016_Scarf.png</t>
  </si>
  <si>
    <t>满抱鸿运</t>
  </si>
  <si>
    <t>RidubooPart_016_Body.png</t>
  </si>
  <si>
    <t>「梦域装备」流星炽铳</t>
  </si>
  <si>
    <t>能够在塔莉胸前植装的机枪，会发射出强力弹丸，不过弹匣容量有限。在发射完弹匣内的所有子弹后会重新装填，装填完成可继续攻击。
    每次重新装填时，塔莉会根据队伍中随机一位代理人的属性类型，为机枪填装对应属性弹丸。
    可通过改装工坊获取的[弹丸]梦域鸣徽进行升级。</t>
  </si>
  <si>
    <t>「梦域装备」焰火双匣</t>
  </si>
  <si>
    <t>能够在塔莉双肩处植装的飞弹舱，舱体会发射出自动追踪敌人的导弹，进入战斗后，每隔一段时间会自动发射少量导弹。
    代理人发动[强化特殊技]时，会使用[全弹发射]发射大量导弹。
    可通过改装工坊获取的[逐影]梦域鸣徽进行升级。</t>
  </si>
  <si>
    <t>「梦域装备」熠梦光须</t>
  </si>
  <si>
    <t>能够将塔莉的耳朵改装为激光发射器，会从尖端发射出破坏性能量束进入战斗后，每隔一段时间会自动发射短时间能量束。
    敌人进入属性异常状态或失衡时，会使用[强化能量束]，发射长时间激光进行攻击；能量束命中敌人时，会为敌人施加[削弱]效果，使敌人受到的伤害效果增加
    可通过改装工坊获取的[锐芒]梦域鸣徽进行升级。</t>
  </si>
  <si>
    <t>加长弹匣</t>
  </si>
  <si>
    <t>「梦域装备」流星炽铳的弹匣容量每级提升1点，造成的伤害每级提升20%。
    「梦域装备」流星炽铳会持续发射子弹，直到弹匣打空后，停止发射并进入装填状态，装填结束后会继续发射子弹</t>
  </si>
  <si>
    <t>合金弹头</t>
  </si>
  <si>
    <t>「梦域装备」流星炽铳的弹匣容量每级提升1点，穿透率每级提升20%
    「梦域装备」流星炽铳会持续发射子弹，直到弹匣打空后，停止发射并进入装填状态，装填结束后会继续发射子弹</t>
  </si>
  <si>
    <t>定时炸药</t>
  </si>
  <si>
    <t>「梦域装备」流星炽铳的弹匣容量每级提升1点，异常积蓄效率每级提升45%
    「梦域装备」流星炽铳会持续发射子弹，直到弹匣打空后，停止发射并进入装填状态，装填结束后会继续发射子弹</t>
  </si>
  <si>
    <t>防爆眼镜</t>
  </si>
  <si>
    <t>命中敌人时，「梦域装备」流星炽铳对目标造成的伤害每级每10层提升0.5%，最多叠加50层</t>
  </si>
  <si>
    <t>狙击王牌</t>
  </si>
  <si>
    <t>命中敌人时，「梦域装备」流星炽铳的暴击伤害每级每10层提升0.6%，最多叠加50层；
    效果持续20秒，每层效果叠加时刷新持续时间</t>
  </si>
  <si>
    <t>消音手枪</t>
  </si>
  <si>
    <t>使敌人进入属性异常状态时，「梦域装备」流星炽铳造成伤害每级提升13%，持续10秒；
    重复触发时刷新持续时间</t>
  </si>
  <si>
    <t>除焰器</t>
  </si>
  <si>
    <t>「梦域装备」流星炽铳和「梦域装备」熠梦光须对处于属性异常状态的敌人造成的伤害提升40%</t>
  </si>
  <si>
    <t>聚焦镜</t>
  </si>
  <si>
    <t>「梦域装备」流星炽铳命中敌人时能够使削弱敌人，使敌人受到的异常和紊乱伤害每级增加4%，持续10秒</t>
  </si>
  <si>
    <t>催泪手雷</t>
  </si>
  <si>
    <t>「梦域装备」流星炽铳解锁额外枪管，每次发射时可额外发射1枚子弹，每级提升1枚，最多3枚</t>
  </si>
  <si>
    <t>炙热枪管</t>
  </si>
  <si>
    <t>「梦域装备」流星炽铳累计发射40次后，「梦域装备」流星炽铳将会进行一波连续攻击</t>
  </si>
  <si>
    <t>回忆记录仪</t>
  </si>
  <si>
    <t>「梦域装备」焰火双匣的暴击伤害每级提升44%，[全弹发射]额外发射2枚飞弹，每次等级提升增加2枚飞弹。
    代理人发动[强化特殊技]时，塔莉会使用[全弹发射]进行协战</t>
  </si>
  <si>
    <t>引电指环</t>
  </si>
  <si>
    <t>「梦域装备」焰火双匣造成的穿透率每级提升20%，代理人发动[强化特殊技]时，额外发射2枚飞弹，每次等级提升增加2枚飞弹。
    代理人发动[强化特殊技]时，塔莉会使用[全弹发射]进行协战</t>
  </si>
  <si>
    <t>波导管</t>
  </si>
  <si>
    <t>「梦域装备」焰火双匣的暴击率每级提升22%，代理人发动[强化特殊技]时，额外发射2枚飞弹，每次等级提升增加2枚飞弹。
    代理人发动[强化特殊技]时，塔莉会使用[全弹发射]进行协战</t>
  </si>
  <si>
    <t>星光雷达</t>
  </si>
  <si>
    <t>「梦域装备」焰火双匣在[全弹发射]时，有概率发射威力增强的巨型飞弹，扩大爆炸范围，造成的伤害提升144%</t>
  </si>
  <si>
    <t>充能电池</t>
  </si>
  <si>
    <t>「梦域装备」焰火双匣对失衡状态下的敌人造成的伤害每级提升26%</t>
  </si>
  <si>
    <t>粒子面具</t>
  </si>
  <si>
    <t>「梦域装备」焰火双匣暴击时，为目标施加一层[脆弱]，对其造成的伤害每级提升4.3%，持续10秒最多叠加10层
    减益效果重复施加时刷新持续时间</t>
  </si>
  <si>
    <t>缠电手表</t>
  </si>
  <si>
    <t>「梦域装备」焰火双匣暴击时，将会获得一层[过热]，每层[过热]能够使「梦域装备」焰火双匣造成的伤害每级提升6.5%，最多叠加20层
    增益效果持续10秒，重复触发时刷新持续时间</t>
  </si>
  <si>
    <t>电波机盒</t>
  </si>
  <si>
    <t>「梦域装备」焰火双匣进行攻击时，每次都有13%的概率额外发射1枚飞弹，每次等级提升增加1枚飞弹。</t>
  </si>
  <si>
    <t>聚光针</t>
  </si>
  <si>
    <t>「梦域装备」焰火双匣暴击时，「梦域装备」流星炽铳暴击率提升60%，异常积蓄效率提升50%，持续15秒</t>
  </si>
  <si>
    <t>银河通讯器</t>
  </si>
  <si>
    <t>「梦域装备」焰火双匣暴击时，「梦域装备」焰火双匣和「梦域装备」熠梦光须造成的伤害每级提高5%，暴击率每级提升3%，持续15秒，最多叠加10层
    增益效果重复触发时刷新持续时间</t>
  </si>
  <si>
    <t>心愿罐头</t>
  </si>
  <si>
    <t>「梦域装备」熠梦光须造成的伤害每级提升20%，触发异常或失衡时，[强化能量束]的持续发射时间每级提升0.34秒
    敌人进入属性异常状态或失衡时，塔莉会使用[强化能量束]进行协战</t>
  </si>
  <si>
    <t>兔耳八音盒</t>
  </si>
  <si>
    <t>「梦域装备」熠梦光须的穿透率每级提升20%，触发异常或失衡时，[强化能量束]的持续发射时间每级提升0.34秒
    敌人进入属性异常状态或失衡时，塔莉会使用[强化能量束]进行协战</t>
  </si>
  <si>
    <t>守梦床铃</t>
  </si>
  <si>
    <t>对敌人施加的[削弱]状态持续时间每级提升1秒，伤害增加效果每级提升2%，触发异常或失衡时，[强化能量束]的持续发射时间每级提升0.34秒
    敌人进入属性异常状态或失衡时，塔莉会使用[强化能量束]进行协战</t>
  </si>
  <si>
    <t>催眠不倒翁</t>
  </si>
  <si>
    <t>[削弱]状态在敌人身上持续3秒后，无人机对目标造成的伤害每级提升17%</t>
  </si>
  <si>
    <t>离心风扇</t>
  </si>
  <si>
    <t>使处于[削弱]状态下的敌人每秒受到一次激光伤害，该次激光伤害提升83%</t>
  </si>
  <si>
    <t>反射装置</t>
  </si>
  <si>
    <t>「梦域装备」熠梦光须对失衡状态敌人造成的伤害每级提升56%</t>
  </si>
  <si>
    <t>魔法礼帽</t>
  </si>
  <si>
    <t>「梦域装备」熠梦光须对[削弱]状态下的目标造成伤害时，造成的伤害每级提升13%</t>
  </si>
  <si>
    <t>溢彩飞盘</t>
  </si>
  <si>
    <t>每次发射激光时，激光造成伤害每级提升4.3%，持续20秒，最多叠加3层
    增益效果重复触发时，刷新持续时间</t>
  </si>
  <si>
    <t>噪声抓板</t>
  </si>
  <si>
    <t>「梦域装备」焰火双匣命中处于[削弱]状态的目标时暴击率加100%，并根据溢出暴击率的156%增加暴击伤害,每次等级提升转换率增加156%。</t>
  </si>
  <si>
    <t>识海潜艇</t>
  </si>
  <si>
    <t>「梦域装备」熠梦光须发射期间，「梦域装备」流星炽铳的射速翻倍，增益效果在停止发射2秒后结束</t>
  </si>
  <si>
    <t>废弃，看见找我</t>
  </si>
  <si>
    <t>浪花绅士</t>
  </si>
  <si>
    <t>冲浪入门者首选，拥有更准确的转向性能
    最高时速(公里/时)：183
    巡航时速(公里/时)：97</t>
  </si>
  <si>
    <t>IconEndlessSummerSurfboard01.png</t>
  </si>
  <si>
    <t>断海彗星</t>
  </si>
  <si>
    <t>拥有自然恢复动力值的功能，为更快的速度做好准备。
    最高时速(公里/时)：198
    巡航时速(公里/时)：104</t>
  </si>
  <si>
    <t>IconEndlessSummerSurfboard02.png</t>
  </si>
  <si>
    <t>潜影海蛇</t>
  </si>
  <si>
    <t>对布设的特殊挡板、减速感应带负面效果无视。
    最高时速(公里/时)：212
    巡航时速(公里/时)：115</t>
  </si>
  <si>
    <t>IconEndlessSummerSurfboard03.png</t>
  </si>
  <si>
    <t>仲夏热风</t>
  </si>
  <si>
    <t>吸附磁铁与燃油星生效时间从6秒延长至9秒。
    最高时速(公里/时)：230
    巡航时速(公里/时)：122</t>
  </si>
  <si>
    <t>IconEndlessSummerSurfboard04.png</t>
  </si>
  <si>
    <t>常规弹药</t>
  </si>
  <si>
    <t>弹药特点：单点精准打击
    命中范围：小
    射击速度：适中
    弹匣容量：25
    主动技能：持续数秒的无弹药消耗、射速提升状态。</t>
  </si>
  <si>
    <t>IconEndlessSummerMagazine01.png</t>
  </si>
  <si>
    <t>扩散弹药</t>
  </si>
  <si>
    <t>弹药特点：命中后产生范围爆炸
    命中范围：大
    射击速度：较慢
    弹匣容量：8
    主动技能：立刻清除屏幕内所有目标靶。</t>
  </si>
  <si>
    <t>IconEndlessSummerMagazine02.png</t>
  </si>
  <si>
    <t>条形弹药</t>
  </si>
  <si>
    <t>弹药特点：对一行或者一列进行打击，可穿透
    命中范围：大
    射击速度：较慢
    弹匣容量：8
    主动技能：下一发子弹改为横向发射，宽度变得更宽。</t>
  </si>
  <si>
    <t>IconEndlessSummerMagazine03.png</t>
  </si>
  <si>
    <t>充能弹药</t>
  </si>
  <si>
    <t>弹药特点：按压进行持续攻击，取消按压触发范围爆炸
    命中范围：适中
    射击速度：快速
    弹匣容量：120
    主动技能：持续数秒的无弹药消耗状态，同时增强覆盖范围，技能持续期内，可保持持续攻击。</t>
  </si>
  <si>
    <t>IconEndlessSummerMagazine04.png</t>
  </si>
  <si>
    <t>[星见雅]镜花匿影</t>
  </si>
  <si>
    <t>受到敌方攻击时，星见雅将自动回避本次攻击并触发[极限闪避]与[极限视域]，[极限视域]持续4秒，自动回避效果12秒内最多触发一次；效果触发时，星见雅造成的伤害提升40%，持续12秒。</t>
  </si>
  <si>
    <t>[星见雅]霜炎烈灼</t>
  </si>
  <si>
    <t>附着[冰焰]的敌人每秒将承受星见雅180%攻击力的烈霜伤害；触发[霜灼·破]后，星见雅可以忽略[霜灼]状态的限制，立即重新对敌人附着[冰焰]。</t>
  </si>
  <si>
    <t>[星见雅]秋水洄鸣</t>
  </si>
  <si>
    <t>队友发动[追加攻击]时，星见雅获得1层[决念]，[决念]最多叠加3层；在发动[普通攻击：霜月]后，点按「普通攻击」 &lt;IconMap:Icon_Normal&gt; 可消耗1层[决念]发动1次[霜刃追袭]，[霜刃追袭]为[追加攻击]，可消耗[决念]重复发动。</t>
  </si>
  <si>
    <t>[比利]裁决指令</t>
  </si>
  <si>
    <t>将[普通攻击：火力全开]替换为[普通攻击：火力全开·改]，降低射击频率以提升子弹威力，招式发动时，将直接进入蹲姿射击，触发[核心被动：稳定据枪]并使比利造成的伤害额外提升100%，进行移动、回到待机、被击退或被击飞时增益效果结束。</t>
  </si>
  <si>
    <t>[比利]彩弹环节</t>
  </si>
  <si>
    <t>比利发动[快速支援]/[强化特殊技]/[连携技]/[终结技]时，获得1/2/2/4层充能（上限4层）；在[冲刺攻击：星-徽-制-裁]中向周身大范围区域进行穿透攻击后，点按「普通攻击」 &lt;IconMap:Icon_Normal&gt; ，可以消耗1层充能，重复发动招式，发动时每次攻击命中使敌人防御降低4%，持续12秒，最多叠加12层，重复触发时刷新持续时间。</t>
  </si>
  <si>
    <t>[艾莲]冰渊巡猎</t>
  </si>
  <si>
    <t>每间隔15秒，艾莲将会对场上随机敌人施加[巡猎]标记，持续15秒；发动[强化特殊技]或在[冲刺攻击：冰渊潜袭]中发动快速剪击或蓄力剪击命中被施加[巡猎]标记的敌人时，再次点按「普通攻击」 &lt;IconMap:Icon_Normal&gt; 或「特殊攻击」 &lt;IconMap:Icon_Special&gt; ，艾莲可以无消耗、无条件，直接再次发动该招式；获得[急冻充能]时，每溢出1点[急冻充能]，艾莲的攻击力提升12%，最多叠加9层，持续10秒，每层效果逐个结算持续时间。</t>
  </si>
  <si>
    <t>[艾莲]霜锋缚杀</t>
  </si>
  <si>
    <t>{AWAKEN_1191#[普通攻击：霜锋]伤害倍率大幅提升；[快速支援：护卫鲛]、[强化特殊技：横扫]发动后，也会自动发动[普通攻击：霜锋]，对前方大范围敌人造成冰属性伤害，并使目标的防御力降低40%，持续8秒；发动[普通攻击：霜锋]时，艾莲将获得3点[急冻充能]。}{NOAWAKEN_1191#[快速支援：护卫鲛]、[强化特殊技：横扫]、[强化特殊技：鲨卷风]发动后，将自动发动[霜锋]，对前方大范围敌人造成冰属性伤害，并使目标的防御力降低40%，持续8秒；发动[霜锋]时，艾莲将获得3点[急冻充能]；追加发动[霜锋]不影响原本招式派生。}</t>
  </si>
  <si>
    <t>[艾莲]雾汐回涌</t>
  </si>
  <si>
    <t>发动[强化特殊技]、[连携技]或[终结技]时，艾莲会在地面留下一片[冰雾]，对敌人造成持续冰属性伤害，持续15秒；我方代理人在[冰雾]中时，抗打断等级提升，受到的伤害降低30%，离开[冰雾]后效果持续5秒；艾莲攻击命中处于[冰雾]中的敌人时，会额外触发一次[冰雾]的伤害。</t>
  </si>
  <si>
    <t>[月城柳]胧月清辉</t>
  </si>
  <si>
    <t>在[上弦]架势下发动第五段[普通攻击]或在[下弦]架势下发动第四段[普通攻击]时，连点或长按「普通攻击」 &lt;IconMap:Icon_Normal&gt; ，可以重复发动斩击，最多重复发动4次；每次重复发动斩击可使月城柳造成的电属性伤害提升12.5%，最多叠加4层，持续8秒，重复触发时刷新持续时间；重复发动斩击期间，月城柳受到的伤害降低40%，触发[快速流转]后，点按「普通攻击」 &lt;IconMap:Icon_Normal&gt; ，可以快速衔接另一架势的重复斩击。</t>
  </si>
  <si>
    <t>[月城柳]惊蛰月华</t>
  </si>
  <si>
    <t>队友使敌人进入属性异常状态时，可以触发月城柳的[快速支援]，6秒内最多触发1次；以这种方式触发[快速支援]后，月城柳将悬停在空中，持续向地面引导落雷攻击，造成电属性伤害，招式具有较高的电属性异常积蓄效率。</t>
  </si>
  <si>
    <t>[月城柳]月刃逐影</t>
  </si>
  <si>
    <t>队伍中任意角色触发[紊乱]效果时，月城柳获得1层[逐影]，[逐影]最多叠加3层；当前操作中的角色重击命中敌人时，若月城柳拥有[逐影]，则会自动消耗1层并对敌人发动1次[风华连舞]，[风华连舞]为[追加攻击]，1秒内最多触发1次。</t>
  </si>
  <si>
    <t>[简杜]诡影疾袭</t>
  </si>
  <si>
    <t>[普通攻击：萨霍夫跳]的持续攻击时间大幅提升，在即将受到攻击时发动终结一击，可以触发[极限闪避]，持续攻击时间达到最大或终结一击触发[极限闪避]时，会将终结一击强化为[萨霍夫跳·凌空]，发动该招式时，自身物理异常积蓄效率提升70%，持续15秒。</t>
  </si>
  <si>
    <t>[简杜]围猎时间</t>
  </si>
  <si>
    <t>[强化特殊技：掠空]会被强化为[强化特殊技：掠空-强袭]，该招式命中敌人时，会使目标进入[伤痕]状态，处于该状态的目标每秒受到一次等同于简60%攻击力的物理伤害并累积物理异常积蓄值，持续15秒，重复触发时刷新持续时间。</t>
  </si>
  <si>
    <t>[简杜]谑笑追戏</t>
  </si>
  <si>
    <t>队伍中其他角色触发[强击]时，简会围绕目标敌人发动[强化特殊技]，造成的伤害被视为[追加攻击]伤害，该效果每8秒最多触发一次。</t>
  </si>
  <si>
    <t>[可琳]高效清洁法</t>
  </si>
  <si>
    <t>在第一，二，三段[普通攻击]，[冲刺攻击]，[闪避反击]或[快速支援]发动期间，连点或长按[普通攻击]&lt;IconMap:Icon_Normal&gt;，可直接发动第四段[普通攻击]，并向前方施放高速气旋斩击敌人，可琳触发[极限闪避]时，为自身回复20点能量，该效果每10秒最多触发一次。</t>
  </si>
  <si>
    <t>[可琳]茶歇时间到</t>
  </si>
  <si>
    <t>可琳的[冲刺攻击]和[快速支援]]被替换为[冲刺攻击：[断]改]，长按[普通攻击]键可持续保持疾行形态，电锯连续斩击命中敌人30次或松开按键后结束。[冲刺攻击：[断]改]命中敌人时会使敌人的防御力降低3%，最多叠加10层，持续15秒，重复触发时刷新持续时间。</t>
  </si>
  <si>
    <t>[耀嘉音]虹霓协奏</t>
  </si>
  <si>
    <t>[咏叹华彩]状态下，[强攻]特性的角色暴击伤害提升30%，[异常]特性的角色异常精通提升60点，[命破]特性的角色造成的贯穿伤害提升15%；当前操作中的角色发动[强化特殊技]命中敌人时，耀嘉音将回复4点能量，并追加释放&lt;color=#FFFFFF&gt;[震音]进行攻击&lt;/color&gt;，能量回复效果1秒内最多触发一次。</t>
  </si>
  <si>
    <t>[耀嘉音]绯色鼓点</t>
  </si>
  <si>
    <t>[咏叹华彩]状态下，能量足够时，释放或追加释放[震音]进行攻击时，会额外追加两段相同的[震音]伤害；耀嘉音发动[普通攻击：间奏]或[普通攻击：副歌]命中敌人时，有20%概率获得[灵感]效果，使耀嘉音下一次发动的[闪避]能够直接触发[极限闪避]，后继可衔接发动[普通攻击：副歌]，持续30秒。</t>
  </si>
  <si>
    <t>[耀嘉音]星落圆舞曲</t>
  </si>
  <si>
    <t>耀嘉音每累计消耗25点能量，则获得1层[星光]，最多叠加3层；[咏叹华彩]状态下，长按 &lt;IconMap:Icon_Normal&gt; 可发动[普通攻击：璀璨时刻]，持续引导能量光束攻击敌人；招式发动时，将消耗[星光]，每层[星光]会使招式的持续时间延长1秒；招式发动期间抗打断等级提升，受到伤害额外降低20%；招式命中敌人时，目标的防御力降低20%，持续30秒；拥有3层[星光]后，切换回耀嘉音时，将会自动衔接发动[普通攻击：璀璨时刻]，耀嘉音发动[普通攻击：间奏]命中敌人时，将额外消耗25点能量，发动[普通攻击：副歌]命中敌人时，将额外回复5点能量。</t>
  </si>
  <si>
    <t>[伊芙琳]鎏金旋刃</t>
  </si>
  <si>
    <t>伊芙琳退出[牵缠禁制]时，会进入[引燃预备时间]，持续30秒，期间发动的下一个[冲刺攻击：穿梭潜袭]将被替换为[冲刺攻击：潜袭爆破]，[冲刺攻击：潜袭爆破]被视为[连携技]；伊芙琳发动[普通攻击：绞勒式]时，将会退出[牵缠禁制]。</t>
  </si>
  <si>
    <t>[伊芙琳]致命礼仪</t>
  </si>
  <si>
    <t>队伍中任意角色的[追加攻击]、[快速支援]、[极限支援]命中敌人时都会为伊芙琳回复[燎火]，伊芙琳消耗[燎索点]发动的[连携技：月辉丝·绊]将被替换为[连携技：月辉丝·萦牵]，招式时长大幅缩短；伊芙琳发动[连携技]命中敌人时，招式造成的伤害提升80%。</t>
  </si>
  <si>
    <t>[伊芙琳]失控焰影</t>
  </si>
  <si>
    <t>伊芙琳的[快速支援]、[支援突击]、[强化特殊技]、[普通攻击：绞勒式]和[连携技]重击命中敌人时会为敌人添加[爆裂]标记，持续8秒，重复触发时刷新持续时间，队伍中其他角色攻击命中[爆裂]标记时会额外造成一次等同于伊芙琳370%攻击力的火属性伤害，并为伊芙琳回复20%[燎火]，该效果每2秒最多触发一次，触发3次伤害之后敌人身上的[爆裂]标记会被移除。</t>
  </si>
  <si>
    <t>[仪玄]青鸾贯影</t>
  </si>
  <si>
    <t>仪玄受到敌人攻击时将自动回避本次攻击，触发极限视域并在原地留下大太极阵，点击[普通攻击]键后可衔接[普通攻击：青溟震击]，自动回避效果12秒内最多触发一次</t>
  </si>
  <si>
    <t>Relic035.png</t>
  </si>
  <si>
    <t>[仪玄]灵铢和鸣</t>
  </si>
  <si>
    <t>[快速支援]替换为[强化特殊技：青溟震击-破]；[普通攻击：青溟震击]命中敌人时、或发动[强化特殊技]、[终结技]后，仪玄的贯穿伤害额外提升20%，最多叠加3层，持续12秒，重复触发时刷新持续时间</t>
  </si>
  <si>
    <t>Relic036.png</t>
  </si>
  <si>
    <t>[仪玄]玄翎金箓</t>
  </si>
  <si>
    <t>[强化特殊技：墨痕化形]蓄力过程中均可触发完美格挡，触发完美格挡后，额外回复15术法值，获得18%增伤增益，持续15秒；每完美格挡一次敌人，使得下一次[终结技]造成的伤害额外提升20%，最多叠加3层</t>
  </si>
  <si>
    <t>Relic037.png</t>
  </si>
  <si>
    <t>[橘福福]山君破煞</t>
  </si>
  <si>
    <t>橘福福发动[连携技：虎釜震煞]后，若自身不为当前操作中角色，则会触发一次[追击支援]，发动时会围绕敌人发动第四段[普通攻击]，招式造成的伤害视为[追加攻击]伤害，造成的伤害提升75%，失衡值提升45%</t>
  </si>
  <si>
    <t>Relic038.png</t>
  </si>
  <si>
    <t>[橘福福]「风雷」之音</t>
  </si>
  <si>
    <t>橘福福发动[突击支援]或[强化特殊技]后，能快速衔接至第四段[普通攻击]并强化该招式，本次招式造成的失衡值提升60%，并在招式结束后，额外触发等同于发动一次第四段[普通攻击]的打击效果</t>
  </si>
  <si>
    <t>Relic039.png</t>
  </si>
  <si>
    <t>[橘福福]灵符虎魄</t>
  </si>
  <si>
    <t>橘福福的第三段[普通攻击]命中敌人时，获得3点[威风]；
    发动第四段[普通攻击]后，再次点按「普通攻击」可以发动[普通攻击：恶虎七式·燎身爪·炽意]，若此时「虎威」在场且[威风]高于100点，则会消耗100点[威风]，让「虎威」发动一次[连携技：虎釜震煞]</t>
  </si>
  <si>
    <t>Relic040.png</t>
  </si>
  <si>
    <t>[爱丽丝]决斗礼仪</t>
  </si>
  <si>
    <t>爱丽丝的[普通攻击]第五段、[强化特殊技]、[连携技]或[终结技]命中敌人时，积攒[标记]，攻击命中满[标记]的敌人时，消耗所有[标记]进度，触发特殊的[强击]效果[极性强击]，无视属性积蓄进度造成一次原本[强击]效果100%的伤害，并可以与包括物理属性异常效果在内的其他属性异常效果互相结算[紊乱]。</t>
  </si>
  <si>
    <t>Relic041.png</t>
  </si>
  <si>
    <t>[爱丽丝]迅刃回旋</t>
  </si>
  <si>
    <t>爱丽丝的[闪避反击]和[快速支援]被替换为[迅刃剑羽]，爱丽丝发动[迅刃剑羽]时，异常精通提升150点，持续15秒。</t>
  </si>
  <si>
    <t>Relic042.png</t>
  </si>
  <si>
    <t>[爱丽丝]霜芒重奏</t>
  </si>
  <si>
    <t>爱丽丝发动[强化特殊技：极光突刺·北十字]时，使全队暴击率提升10%，暴击伤害提升20%，持续20秒；发动[强化特殊技：极光突刺·南十字]时，使全队的异常积蓄效率提升35%，异常精通提升50点，持续20秒。</t>
  </si>
  <si>
    <t>Relic043.png</t>
  </si>
  <si>
    <t>[柚叶]灵巫御守</t>
  </si>
  <si>
    <t>柚叶发动[强化特殊技]或[终结技]时，自身的异常掌控提升40，持续30秒，重复触发时刷新持续时间；命中敌人时，使敌人的防御力降低18%，全属性伤害抗性降低15%，持续30秒，重复触发时刷新持续时间。</t>
  </si>
  <si>
    <t>Relic045.png</t>
  </si>
  <si>
    <t>[柚叶]秘技·伞槌！</t>
  </si>
  <si>
    <t>柚叶在[闪避反击]、在[快速支援]、[支援突击]、第五段[普通攻击]后点按&lt;IconMap:Icon_Normal&gt; 将发动[伞槌]攻击敌人，该攻击重击命中处于[糖果惊吓]状态的敌人时，会造成一次[普通攻击：彩糖花火·极]攻击，并使自身的攻击力提升20%，异常积蓄效率提升30%，持续20秒，重复触发时刷新持续时间；柚叶的第五段[普通攻击]命中敌人时会获得一个[甜度点]。</t>
  </si>
  <si>
    <t>Relic044.png</t>
  </si>
  <si>
    <t>[柚叶]狸影重重</t>
  </si>
  <si>
    <t>柚叶发动[极限支援]和[连携技]时，为全队回复5点能量和160点喧响值，该效果每12秒最多触发一次；[支援突击]重击攻击命中敌人时，使全队的伤害提升15%，持续20秒，重复触发时刷新持续时间；并会触发上一位角色的[快速支援]，该次[快速支援]会被升级为连携技，该效果每12秒最多触发一次。</t>
  </si>
  <si>
    <t>Relic046.png</t>
  </si>
  <si>
    <t>[卢西娅]溯梦涌流</t>
  </si>
  <si>
    <t>卢西娅发动招式升级或[追加攻击]时可获得1层[涌流]，最多叠加至4层；
    在退出[梦境]状态时，会消耗全部[涌流]，每消耗1层[涌流]自身回复10点能量</t>
  </si>
  <si>
    <t>Relic048.png</t>
  </si>
  <si>
    <t>[卢西娅]夜籁盈生</t>
  </si>
  <si>
    <t>卢西娅在[终结技]中生成的[星光汇聚之地]，持续时间延长至20秒，且范围更大；且发动[合唱]时额外获得200点喧响值。</t>
  </si>
  <si>
    <t>Relic047.png</t>
  </si>
  <si>
    <t>[卢西娅]幽魄凝心</t>
  </si>
  <si>
    <t>进入战场时，卢西娅基于自身基础最大生命值3%提升自身攻击力，且卢西娅的[合唱]对敌人造成的以太伤害提升40%。</t>
  </si>
  <si>
    <t>Relic049.png</t>
  </si>
  <si>
    <t>[伊德海莉]冽光傍身</t>
  </si>
  <si>
    <t>伊德海莉发动[普通攻击：霜寒拥覆]的3段蓄力攻击时，在旋转横挥期间，每次攻击命中敌人时，可获得[临时护盾]；伊德海莉发动本轮[普通攻击：霜寒拥覆]的终结下砸攻击，或在本轮蓄力中派生发动[强化特殊技：极寒重碾]时，会消耗所有[临时护盾]，并根据消耗的[临时护盾]量，使攻击造成的伤害提升最多240%。伊德海莉最多获得80%最大生命值的[临时护盾]，旋转横挥被打断时，清空所有[临时护盾]。</t>
  </si>
  <si>
    <t>Relic050.png</t>
  </si>
  <si>
    <t>[伊德海莉]凛霜彻骨</t>
  </si>
  <si>
    <t>伊德海莉消耗闪能发动[强化特殊技]后，获得4层[缠霜]：[普通攻击]命中敌人时，会消耗[缠霜]攻击目标敌人，每1秒最多触发1次。</t>
  </si>
  <si>
    <t>Relic051.png</t>
  </si>
  <si>
    <t>[伊德海莉]倾心铸梦</t>
  </si>
  <si>
    <t>成为接战状态下的当前操作角色时，立即开启[以太帷幕·涌泉]，180秒内最多触发1次，[以太帷幕·涌泉]的持续时间延长15秒，[以太帷幕·涌泉]期间，伊德海莉的贯穿力提升800。</t>
  </si>
  <si>
    <t>Relic052.png</t>
  </si>
  <si>
    <t>[琉音]亡语惊铃</t>
  </si>
  <si>
    <t>琉音拥有90点[好评]时，释放[强化特殊技：送客！]时会消耗90点[好评]直接替换为[终结技：拨打用户即刻停机]，[终结技：拨打用户即刻停机]命中失衡状态的敌人时会触发[决算]效果，额外造成等同于琉音2700%攻击力的伤害，且[终结技：拨打用户即刻停机]的伤害提升30%。</t>
  </si>
  <si>
    <t>Relic056.png</t>
  </si>
  <si>
    <t>[琉音]余响跹环</t>
  </si>
  <si>
    <t>发动[强化特殊技：石头]、[强化特殊技：剪刀]时，有50%概率获得1点[充能]，最多拥有2点[充能]，发动[强化特殊技：布！]时，若拥有[充能]，可消耗1点[充能]重复发动一次[强化特殊技：布！]。</t>
  </si>
  <si>
    <t>Relic058.png</t>
  </si>
  <si>
    <t>[琉音]殁相坠裁</t>
  </si>
  <si>
    <t>[好评]由90点以上变化为低于90点时，立刻回复60点[好评]，且回复队友750点喧响值，30秒最多触发一次。</t>
  </si>
  <si>
    <t>Relic057.png</t>
  </si>
  <si>
    <t>[般岳]断我执</t>
  </si>
  <si>
    <t>不处于[怒相]状态时，般岳发动[强化特殊技：狮子吼·怒]或[强化特殊技：山摇·怒]后，长按 &lt;IconMap:Icon_Normal&gt; 可以发动[连携技]；般岳的[连携技]造成的贯穿伤害提升60%。</t>
  </si>
  <si>
    <t>Relic055.png</t>
  </si>
  <si>
    <t>[般岳]修罗道</t>
  </si>
  <si>
    <t>般岳发动[强化特殊技]时获得等同于自身最大生命值35%的护盾，持续30秒，该效果每30秒最多触发一次，拥有护盾时，般岳的抗打断等级提升，造成的火属性伤害提升15%。</t>
  </si>
  <si>
    <t>Relic054.png</t>
  </si>
  <si>
    <t>[般岳]灼业身</t>
  </si>
  <si>
    <t>队伍中其他角色每消耗1点能量或闪能时，若般岳不处于[怒相]状态，则会回复0.3点[嗔火]，当[嗔火]大于等于120点时，般岳下一次换入前场将直接发动[快速支援]，若通过此方式入场时[嗔火]大于等于120点，般岳会直接进入[怒相]状态，并使自身的火属性伤害提升60%，持续20秒。</t>
  </si>
  <si>
    <t>Relic053.png</t>
  </si>
  <si>
    <t>[叶瞬光]剑引青霜</t>
  </si>
  <si>
    <t>进入[明心境]后，首次发动[普通攻击：明心境·斩流光 极]后，自动发动[连携技：明心境·掣惊雷]，并获得无视敌人物理属性伤害抗性45%效果，持续15秒。</t>
  </si>
  <si>
    <t>Relic063.png</t>
  </si>
  <si>
    <t>[叶瞬光]锵鸣琳琅</t>
  </si>
  <si>
    <t>叶瞬光开启[以太帷幕·决裁]后，全队角色攻击时，均计算帷幕易伤加成，不再计算失衡易伤加成，帷幕易伤加成上限降低85%，处于后场时[明心境]持续时间不再暂停。</t>
  </si>
  <si>
    <t>Relic062.png</t>
  </si>
  <si>
    <t>[叶瞬光]匣珥瞬光</t>
  </si>
  <si>
    <t>叶瞬光自身[青溟剑势]获取效率提高100%，[明心境]持续时间缩短至10秒。</t>
  </si>
  <si>
    <t>Relic064.png</t>
  </si>
  <si>
    <t>[照]月魄凛光</t>
  </si>
  <si>
    <t>照每有1000点初始最大生命值，提高2点冲击力；全队角色[终结技]和[强化特殊技]造成的失衡值提升12%。</t>
  </si>
  <si>
    <t>Relic067.png</t>
  </si>
  <si>
    <t>[照]岚霜扑朔</t>
  </si>
  <si>
    <t>[普通攻击：最终裁决]的蓄力时长达到1秒后，可以发动[普通攻击：最终裁决·霜辉]，发动时，暴击率提升15%、暴击伤害提升40%，持续15秒。</t>
  </si>
  <si>
    <t>Relic066.png</t>
  </si>
  <si>
    <t>[照]玉轮轧露</t>
  </si>
  <si>
    <t>照开启[以太帷幕]时，立即回复30点[霜寒值]，并使全队角色的攻击力提高25%，持续50秒。</t>
  </si>
  <si>
    <t>Relic065.png</t>
  </si>
  <si>
    <t>[爱芮]妄想辉光</t>
  </si>
  <si>
    <t>爱芮的[强化特殊技]攻击完成后，在场上生成的[应援能量]增加1个，并且[强化特殊技：光速入坑]不消耗能量。</t>
  </si>
  <si>
    <t>Relic074.png</t>
  </si>
  <si>
    <t>[爱芮]甜心一击</t>
  </si>
  <si>
    <t>爱芮的[蓄力攻击]暴击伤害提升20%，强化[蓄力攻击]暴击伤害额外提升20%；爱芮每拥有10点初始异常掌控，暴击率提升4%；第三级[蓄力攻击]命中目标会额外造成一次爱芮50%攻击力的以太伤害。</t>
  </si>
  <si>
    <t>Relic075.png</t>
  </si>
  <si>
    <t>[爱芮]聆听此刻</t>
  </si>
  <si>
    <t>爱芮在后台时，若敌人进入属性异常状态，会触发爱芮的&lt;color=#FFFFFF&gt;[快速支援:妄想和声]&lt;/color&gt;，[快速支援:妄想和声]可以触发核心被动的异放效果，且若附近的[应援能量]大于2个，在攻击后可快速发动第三级[蓄力攻击]，[快速支援:妄想和声]8秒内最多触发一次。</t>
  </si>
  <si>
    <t>Relic076.png</t>
  </si>
  <si>
    <t>[千夏]气泡星球</t>
  </si>
  <si>
    <t>[强化特殊技：泡泡糖轰炸]、[强化特殊技：特别拍照技巧]、[连携技：别惹猫咪]、[终结技：通通砸碎！]造成的伤害提升50%；泡泡发动的[普通攻击：坏猫出没]将会升格为[普通攻击：泡泡糖轰炸]，造成的伤害将被视为&lt;color=#FFFFFF&gt;[强化特殊技]伤害&lt;/color&gt;。</t>
  </si>
  <si>
    <t>Relic077.png</t>
  </si>
  <si>
    <t>[千夏]环游节拍</t>
  </si>
  <si>
    <t>[猫的凝视]触发所需的攻击次数减少；敌人被添加[猫的凝视]时，受到的异常积蓄效率提升20%，持续10秒；[猫的凝视]伤害命中处于以太异常状态、电属性异常状态、火属性异常状态、物理属性异常状态、冰属性异常状态的目标时，触发一次[异放]：额外结算一次属性异常伤害，相对于原属性异常伤害的比例为370%/192%/480%/30%/48%</t>
  </si>
  <si>
    <t>Relic078.png</t>
  </si>
  <si>
    <t>[千夏]梦幻声场</t>
  </si>
  <si>
    <t>Relic079.png</t>
  </si>
  <si>
    <t>玫瑰</t>
  </si>
  <si>
    <t>是心意，也是勇气。</t>
  </si>
  <si>
    <t>SLot1_1.png</t>
  </si>
  <si>
    <t>紫花地丁</t>
  </si>
  <si>
    <t>诚实而谦逊，如伫立于繁华之外的隐士。</t>
  </si>
  <si>
    <t>SLot1_3.png</t>
  </si>
  <si>
    <t>静谧月弧</t>
  </si>
  <si>
    <t>所有纷扰都会随月光散去。</t>
  </si>
  <si>
    <t>SLot1_6.png</t>
  </si>
  <si>
    <t>百合</t>
  </si>
  <si>
    <t>百合的清香，是对幸福美满的祝愿。</t>
  </si>
  <si>
    <t>SLot1_2.png</t>
  </si>
  <si>
    <t>蝴蝶兰</t>
  </si>
  <si>
    <t>幸福就如飞舞的蝶影，向你而来。</t>
  </si>
  <si>
    <t>SLot1_4.png</t>
  </si>
  <si>
    <t>帝王花</t>
  </si>
  <si>
    <t>花中的王者，让人不由自主地仰慕。</t>
  </si>
  <si>
    <t>SLot1_5.png</t>
  </si>
  <si>
    <t>雏菊</t>
  </si>
  <si>
    <t>雏菊总是带着初晨的露珠，天真而清新。</t>
  </si>
  <si>
    <t>SLot2_1.png</t>
  </si>
  <si>
    <t>桔梗</t>
  </si>
  <si>
    <t>桔梗是坚定的信念，诉说着不屈和守护。</t>
  </si>
  <si>
    <t>SLot2_2.png</t>
  </si>
  <si>
    <t>点灯枝</t>
  </si>
  <si>
    <t>点灯枝微微摇曳，好运就在不远处等待着你。</t>
  </si>
  <si>
    <t>SLot2_3.png</t>
  </si>
  <si>
    <t>焦糖梦境</t>
  </si>
  <si>
    <t>焦糖梦境，让人仿佛置身于童话般的甜蜜之中。</t>
  </si>
  <si>
    <t>SLot2_7.png</t>
  </si>
  <si>
    <t>混色芍药</t>
  </si>
  <si>
    <t>芍药是依依不舍的眷恋。</t>
  </si>
  <si>
    <t>SLot2_6.png</t>
  </si>
  <si>
    <t>向日葵</t>
  </si>
  <si>
    <t>向日葵总是追随太阳，就像忠诚的心从不离开。</t>
  </si>
  <si>
    <t>SLot2_4.png</t>
  </si>
  <si>
    <t>郁金香</t>
  </si>
  <si>
    <t>郁金香代表了宽容与和解。</t>
  </si>
  <si>
    <t>SLot2_5.png</t>
  </si>
  <si>
    <t>夕阳折伞</t>
  </si>
  <si>
    <t>当你需要片刻宁静，它会为你挡下风雨。</t>
  </si>
  <si>
    <t>SLot2_9.png</t>
  </si>
  <si>
    <t>栖念</t>
  </si>
  <si>
    <t>无法不为分离而叹息，就像无法停止思念一样。</t>
  </si>
  <si>
    <t>SLot2_8.png</t>
  </si>
  <si>
    <t>极致的美，往往危险而诱人。</t>
  </si>
  <si>
    <t>SLot2_10.png</t>
  </si>
  <si>
    <t>蓝星花</t>
  </si>
  <si>
    <t>蓝星花，表达那份无需言语的真挚信赖。</t>
  </si>
  <si>
    <t>SLot3_1.png</t>
  </si>
  <si>
    <t>脆星饼干</t>
  </si>
  <si>
    <t>脆星饼干，就像日常生活里最简单的快乐。</t>
  </si>
  <si>
    <t>SLot3_2.png</t>
  </si>
  <si>
    <t>萤火芝</t>
  </si>
  <si>
    <t>是踏入幻想的钥匙，黑夜变成了奇迹发生的舞台。</t>
  </si>
  <si>
    <t>SLot3_3.png</t>
  </si>
  <si>
    <t>睡莲</t>
  </si>
  <si>
    <t>它是浮于尘世之上的圣洁之美。</t>
  </si>
  <si>
    <t>SLot3_4.png</t>
  </si>
  <si>
    <t>金鱼草</t>
  </si>
  <si>
    <t>明亮的色彩，像是在用热情的生命拥抱世界。</t>
  </si>
  <si>
    <t>SLot3_5.png</t>
  </si>
  <si>
    <t>木质花盆</t>
  </si>
  <si>
    <t>温暖的木质底座，像是大地的怀抱。</t>
  </si>
  <si>
    <t>SLot4_3.png</t>
  </si>
  <si>
    <t>青花瓷盆</t>
  </si>
  <si>
    <t>质朴的青绿色，描绘着岁月的静谧与优雅。</t>
  </si>
  <si>
    <t>SLot4_1.png</t>
  </si>
  <si>
    <t>雕花底座</t>
  </si>
  <si>
    <t>刻印着深沉的韵味，低调却不失庄重。</t>
  </si>
  <si>
    <t>SLot4_4.png</t>
  </si>
  <si>
    <t>金属底座</t>
  </si>
  <si>
    <t>简约与现代相结合，没有多余的线条。</t>
  </si>
  <si>
    <t>SLot4_2.png</t>
  </si>
  <si>
    <t>红炎驱动</t>
  </si>
  <si>
    <t>MechBooModuleIcon04.png</t>
  </si>
  <si>
    <t>疾风连打</t>
  </si>
  <si>
    <t>MechBooModuleIcon21.png</t>
  </si>
  <si>
    <t>神威崩灭</t>
  </si>
  <si>
    <t>MechBooModuleIcon22.png</t>
  </si>
  <si>
    <t>蓄能轰拳</t>
  </si>
  <si>
    <t>MechBooModuleIcon01.png</t>
  </si>
  <si>
    <t>蓄厄吞星</t>
  </si>
  <si>
    <t>MechBooModuleIcon03.png</t>
  </si>
  <si>
    <t>烈风回踢</t>
  </si>
  <si>
    <t>MechBooModuleIcon05.png</t>
  </si>
  <si>
    <t>天坠轰击</t>
  </si>
  <si>
    <t>MechBooModuleIcon02.png</t>
  </si>
  <si>
    <t>矢量翼</t>
  </si>
  <si>
    <t>MechBooModuleIcon17.png</t>
  </si>
  <si>
    <t>聚能共振</t>
  </si>
  <si>
    <t>MechBooModuleIcon26.png</t>
  </si>
  <si>
    <t>空相解构</t>
  </si>
  <si>
    <t>MechBooModuleIcon25.png</t>
  </si>
  <si>
    <t>火翼燃料</t>
  </si>
  <si>
    <t>MechBooModuleIcon18.png</t>
  </si>
  <si>
    <t>超频驱动</t>
  </si>
  <si>
    <t>MechBooModuleIcon20.png</t>
  </si>
  <si>
    <t>脉冲连射</t>
  </si>
  <si>
    <t>MechBooModuleIcon10.png</t>
  </si>
  <si>
    <t>烈焰风暴</t>
  </si>
  <si>
    <t>MechBooModuleIcon11.png</t>
  </si>
  <si>
    <t>灼焰弹药</t>
  </si>
  <si>
    <t>MechBooModuleIcon08.png</t>
  </si>
  <si>
    <t>空翼模块</t>
  </si>
  <si>
    <t>MechBooModuleIcon07.png</t>
  </si>
  <si>
    <t>毁灭光束</t>
  </si>
  <si>
    <t>MechBooModuleIcon09.png</t>
  </si>
  <si>
    <t>焰潮追击</t>
  </si>
  <si>
    <t>MechBooModuleIcon12.png</t>
  </si>
  <si>
    <t>双域热元</t>
  </si>
  <si>
    <t>MechBooModuleIcon06.png</t>
  </si>
  <si>
    <t>脉枢盾</t>
  </si>
  <si>
    <t>MechBooModuleIcon23.png</t>
  </si>
  <si>
    <t>合金骨架</t>
  </si>
  <si>
    <t>MechBooModuleIcon16.png</t>
  </si>
  <si>
    <t>蚀命重构</t>
  </si>
  <si>
    <t>MechBooModuleIcon24.png</t>
  </si>
  <si>
    <t>后备能源</t>
  </si>
  <si>
    <t>MechBooModuleIcon13.png</t>
  </si>
  <si>
    <t>盾能爆泄</t>
  </si>
  <si>
    <t>MechBooModuleIcon15.png</t>
  </si>
  <si>
    <t>破盾标记插件</t>
  </si>
  <si>
    <t>攻击被标记的敌人时，可以穿透护盾</t>
  </si>
  <si>
    <t>MonsterFantasy_Item_Data_1.png</t>
  </si>
  <si>
    <t>噬魂者插件</t>
  </si>
  <si>
    <t>击杀敌人时，击杀者获得60点能量</t>
  </si>
  <si>
    <t>MonsterFantasy_Item_Data_2.png</t>
  </si>
  <si>
    <t>手速王插件</t>
  </si>
  <si>
    <t>瞬时交互成功后，可额外获得20点能量</t>
  </si>
  <si>
    <t>MonsterFantasy_Item_Data_3.png</t>
  </si>
  <si>
    <t>唯快不破插件</t>
  </si>
  <si>
    <t>速度最快的我方伙伴获得初始满能量</t>
  </si>
  <si>
    <t>MonsterFantasy_Item_Data_4.png</t>
  </si>
  <si>
    <t>再来一次插件</t>
  </si>
  <si>
    <t>标记被消除后，速度最快的我方怪物立刻再次行动。一轮仅限一次</t>
  </si>
  <si>
    <t>MonsterFantasy_Item_Data_5.png</t>
  </si>
  <si>
    <t>你的回合归我了插件</t>
  </si>
  <si>
    <t>击杀敌人后，击杀者可以立刻行动。一轮仅限一次</t>
  </si>
  <si>
    <t>MonsterFantasy_Item_Data_6.png</t>
  </si>
  <si>
    <t>削弱插件</t>
  </si>
  <si>
    <t>发动技能时，若目标为敌方，随机驱散核心目标身上一层属性提升增益</t>
  </si>
  <si>
    <t>MonsterFantasy_Item_Data_7.png</t>
  </si>
  <si>
    <t>净化插件</t>
  </si>
  <si>
    <t>我方伙伴获得属性提升增益时，驱散自己身上的标记</t>
  </si>
  <si>
    <t>MonsterFantasy_Item_Data_8.png</t>
  </si>
  <si>
    <t>吸血鬼插件</t>
  </si>
  <si>
    <t>击杀敌方单位后，击杀者获得一个回合开始时回血增益、持续2回合</t>
  </si>
  <si>
    <t>MonsterFantasy_Item_Data_9.png</t>
  </si>
  <si>
    <t>我为人人插件</t>
  </si>
  <si>
    <t>辅助伙伴释放添加增益的技能时，获得额外回合。一轮仅限一次</t>
  </si>
  <si>
    <t>MonsterFantasy_Item_Data_10.png</t>
  </si>
  <si>
    <t>潘妮遗失的笔记：代价</t>
  </si>
  <si>
    <t>始主的力量在多年来屡遭窃取，称颂会也不再遵循颂书的指引。他们分食着吉伯珥的残肢，在世间留下累累罪行。
    为何无人愿意放弃索取，转而为始主献上力量呢…</t>
  </si>
  <si>
    <t>ItemCoopClue.png</t>
  </si>
  <si>
    <t>火锅底料</t>
  </si>
  <si>
    <t>煮釜出品的微辣火锅底料，热腾腾的火锅配上各种鲜美食材，再冰冷的心都会被融化。
    同时持有[破时雷霆-常规]和[欢愉烈火-常规]的破序线索，可以解锁[苍白之息-常规]的秘密地点。</t>
  </si>
  <si>
    <t>空洞指路仪</t>
  </si>
  <si>
    <t>老式的空洞指路仪器，看制式似乎是防卫军早期列装的版本，包含基础的界限测量和路线规划功能。</t>
  </si>
  <si>
    <t>残破的鬼族面具</t>
  </si>
  <si>
    <t>一个残破的鬼族面具，面具上的纹饰展现着其主人过去颇高的地位。</t>
  </si>
  <si>
    <t>废弃邦布</t>
  </si>
  <si>
    <t>根据HAND的记录，曾有人通过该邦布向HAND发送过末日警报。但在情报部门与柳副课长研讨后，因为缺少证据选择暂时封存。</t>
  </si>
  <si>
    <t>请假条</t>
  </si>
  <si>
    <t>请假条上写满了各种理由（都已被驳回），包括但不限于：卫非地心理诊疗、写字扭到了食指、团建吃火锅导致舌头烫伤…</t>
  </si>
  <si>
    <t>识字大全</t>
  </si>
  <si>
    <t>识字大全的练习页上写着：「无事不登汉堡店」。下面还有一行娟秀的小字：「到底该怎么让苍角学习时不想着吃呢？」</t>
  </si>
  <si>
    <t>六课课长的日程表</t>
  </si>
  <si>
    <t>上面记录着星见雅的各种会议和事务安排，但似乎很多都被翘掉了。一旁还有一行星见雅写下的小字：开会，似乎是种收效很低的修行。</t>
  </si>
  <si>
    <t>未来的报纸</t>
  </si>
  <si>
    <t>来自未来的报纸，上面记录着人类终于成功战胜空洞的喜讯。</t>
  </si>
  <si>
    <t>潘妮遗失的笔记：盛宴</t>
  </si>
  <si>
    <t>无论是根据学会的资料还是解读颂书后发现的隐含之语，末日都不可避免。
    想来唯有以残躯入火，向祂献上世人的力量，才能加入祂的盛宴，成为被庇护的存在，并在末日后获得永生。</t>
  </si>
  <si>
    <t>燃油饮ultra fire特调</t>
  </si>
  <si>
    <t>添加了各种猛料的外环特制超浓缩燃油饮，感觉喝一滴就会瞬间开心起来。
    同时持有[破时雷霆-常规]和[欢愉烈火-常规]的破序线索，可以解锁[苍白之息-常规]的秘密地点。</t>
  </si>
  <si>
    <t>燃油饮乐园的设计图纸</t>
  </si>
  <si>
    <t>似乎是某人梦想中，想要在外环建设的燃油饮主题乐园，内部有各种古怪的游乐设计：巨型燃油饮罐、周期爆发的火焰陨石雨、装在电梯里的阵列音响。看起来十分危险…且有趣？</t>
  </si>
  <si>
    <t>温暖的毛球</t>
  </si>
  <si>
    <t>看起来很软，很温暖的毛球。从材质和颜色判断，似乎是从一个猫科希人身上收集到的…</t>
  </si>
  <si>
    <t>闪烁的灯球</t>
  </si>
  <si>
    <t>奇异的舞池灯球，感觉当这个灯球亮起时，每个人的脑中都会开始循环起维持一小时的动感旋律。</t>
  </si>
  <si>
    <t>神圣燃油桶</t>
  </si>
  <si>
    <t>似乎是柏妮思收藏的某种限定版燃油饮金桶。内部的燃油饮已然倒光，但即便是空桶，看起来也充满了外环的力量。</t>
  </si>
  <si>
    <t>卡丽诗德养护洗发露</t>
  </si>
  <si>
    <t>卡丽诗德30秒极致养护：尊贵养护，修复烫染损伤。光映广场有售。</t>
  </si>
  <si>
    <t>临时货运单</t>
  </si>
  <si>
    <t>「猪突猛进」物流公司的一张临时加急货运单，委托人：潘妮；承运人：柏妮思；收货地点：帕帕戈空洞东北侧…（后面更具体的位置信息似乎被涂改掉了）</t>
  </si>
  <si>
    <t>报刊亭的刮刮乐</t>
  </si>
  <si>
    <t>报刊亭售出的刮刮乐卡片，从涂层被刮开的地方看，似乎中了大奖「金色冰淇淋」。</t>
  </si>
  <si>
    <t>潘妮遗失的笔记：献祭</t>
  </si>
  <si>
    <t>根据导师耶什得亚的手记，死亡并非是终点。
    我愿以身为饵，将食粮引入神之迷宫的深渊。
    我愿舍弃肉体，将精神引向永生的乐园。
    愿一切归于始主，愿始主庇护我与世人。</t>
  </si>
  <si>
    <t>《苦情慢歌1000首》</t>
  </si>
  <si>
    <t>由高志娱乐发行的苦情慢歌全集CD，单看歌名列表就觉得背后发凉，感觉会播放出让人十分难过的旋律…
    持有后，可以解锁[欢愉烈火-常规]的秘密地点。</t>
  </si>
  <si>
    <t>黑枝破解插件</t>
  </si>
  <si>
    <t>带有黑枝标识的破解插件，下方还刻有一行小字：门禁控制机关的破解利器。
    持有后，可以解锁[破时雷霆-常规]的秘密地点。</t>
  </si>
  <si>
    <t>兔兔草</t>
  </si>
  <si>
    <t>草食系希人很喜欢吃的一款蔬菜。沙拉就很美味，如果火锅烫涮配上蘸料，更是鲜美异常。</t>
  </si>
  <si>
    <t>黑枝任务文件</t>
  </si>
  <si>
    <t>TOPS内部的任务文件，从未损毁的部分来看，行动负责人为黑枝成员照。而任务简报中着重提到了是名为潘妮的研究员提供了一些交易信息，才促成了此次行动立项。</t>
  </si>
  <si>
    <t>一丁尼</t>
  </si>
  <si>
    <t>似乎是某人的收藏物品，从表面磨损的痕迹来看似乎有些年头了。</t>
  </si>
  <si>
    <t>老式计时器</t>
  </si>
  <si>
    <t>在过去常用的，用来预告空洞灾害发生的计时器。看上面的标识，似乎和某个大家族的训练计划相关。</t>
  </si>
  <si>
    <t>深坑</t>
  </si>
  <si>
    <t>深邃黑暗的深坑，看一眼就会觉得十分压抑，仿佛马上就会掉下去一般。</t>
  </si>
  <si>
    <t>旧日的残影</t>
  </si>
  <si>
    <t>似乎是来自过去的残影，一直低声念叨着「家族」「价值」「小兔子」等词汇…</t>
  </si>
  <si>
    <t>辉岭石精炼物实验记录-I</t>
  </si>
  <si>
    <t>AntiqueCollectionIcon01.png</t>
  </si>
  <si>
    <t>第一研究所招收研究员通知</t>
  </si>
  <si>
    <t>辉岭石精炼物实验记录-II</t>
  </si>
  <si>
    <t>AI助手「小夜」的使用说明</t>
  </si>
  <si>
    <t>辉岭石精炼物实验记录-III</t>
  </si>
  <si>
    <t>研究备忘录：「以太真空」</t>
  </si>
  <si>
    <t>被撕坏的日记本</t>
  </si>
  <si>
    <t>事故报告</t>
  </si>
  <si>
    <t>第三辉瓷工厂管理手册</t>
  </si>
  <si>
    <t>遗落在工厂角落的传单</t>
  </si>
  <si>
    <t>异常病例报告</t>
  </si>
  <si>
    <t>致第三工厂所有工人的安全通告</t>
  </si>
  <si>
    <t>关于限制辉瓷民间流通的指令</t>
  </si>
  <si>
    <t>通缉令</t>
  </si>
  <si>
    <t>未寄出的家书</t>
  </si>
  <si>
    <t>某人遗落的手记-I</t>
  </si>
  <si>
    <t>某人遗落的手记-Ⅱ</t>
  </si>
  <si>
    <t>某人遗落的手记-Ⅲ</t>
  </si>
  <si>
    <t>闪光的食谱</t>
  </si>
  <si>
    <t>AntiqueCollectionIcon02.png</t>
  </si>
  <si>
    <t>第三辉瓷工厂安全须知</t>
  </si>
  <si>
    <t>走失的野兽</t>
  </si>
  <si>
    <t>第三辉瓷工厂工作守则</t>
  </si>
  <si>
    <t>行动记录I-03</t>
  </si>
  <si>
    <t>挽昼</t>
  </si>
  <si>
    <t>让祂降临-回声</t>
  </si>
  <si>
    <t>AntiqueCollectionIcon03.png</t>
  </si>
  <si>
    <t>关于「武器」-回声</t>
  </si>
  <si>
    <t>未曾说出口的-回声</t>
  </si>
  <si>
    <t>最小的代价-回声</t>
  </si>
  <si>
    <t>忏悔-回声</t>
  </si>
  <si>
    <t>大地光辉-回声</t>
  </si>
  <si>
    <t>凡人-回声</t>
  </si>
  <si>
    <t>不曾破晓-回声</t>
  </si>
  <si>
    <t>大停电之夜-回声</t>
  </si>
  <si>
    <t>最初的光辉-回声</t>
  </si>
  <si>
    <t>青溟剑的回答-回声</t>
  </si>
  <si>
    <t>武备获得概率UP！</t>
  </si>
  <si>
    <t>完成「最终之战-高危」后，有更高概率获得武备！</t>
  </si>
  <si>
    <t>ItemCoopEquip_Default.png</t>
  </si>
  <si>
    <t>通用武备-异常增幅</t>
  </si>
  <si>
    <t>装备后，代理人的属性异常积蓄效率提升10%，属性异常效果造成的伤害提升6%</t>
  </si>
  <si>
    <t>ItemCoopEquip_001.png</t>
  </si>
  <si>
    <t>装备后，代理人的属性异常积蓄效率提升25%，属性异常效果造成的伤害提升15%</t>
  </si>
  <si>
    <t>通用武备-破命之阵</t>
  </si>
  <si>
    <t>装备后，代理人造成的贯穿伤害提升3%，生命值上限提升3%</t>
  </si>
  <si>
    <t>ItemCoopEquip_002.png</t>
  </si>
  <si>
    <t>装备后，代理人造成的贯穿伤害提升8%，生命值上限提升7.5%</t>
  </si>
  <si>
    <t>通用武备-狂攻猛击</t>
  </si>
  <si>
    <t>装备后，代理人的暴击率提升4%，造成伤害时暴击伤害提升8%</t>
  </si>
  <si>
    <t>ItemCoopEquip_003.png</t>
  </si>
  <si>
    <t>装备后，代理人的暴击率提升10%，造成伤害时暴击伤害提升20%</t>
  </si>
  <si>
    <t>通用武备-昏昏倒地</t>
  </si>
  <si>
    <t>装备后，代理人的击破效率提升3%。在命中敌人时，会使敌人失衡易伤倍率提升8%，持续5秒</t>
  </si>
  <si>
    <t>ItemCoopEquip_004.png</t>
  </si>
  <si>
    <t>装备后，代理人的击破效率提升7.5%。在命中敌人时，会使敌人失衡易伤倍率提升18%，持续5秒</t>
  </si>
  <si>
    <t>通用武备-正当防卫</t>
  </si>
  <si>
    <t>发动[极限支援]或[强化特殊技]时，为全队提供等同于自身1%最大生命值的护盾，护盾存在期间，角色的抗打断能力提升，护盾最多持续12秒</t>
  </si>
  <si>
    <t>ItemCoopEquip_008.png</t>
  </si>
  <si>
    <t>发动[极限支援]或[强化特殊技]时，为全队提供等同于自身3%最大生命值的护盾，护盾存在期间，角色的抗打断能力提升，护盾最多持续12秒</t>
  </si>
  <si>
    <t>通用武备-能量回收器</t>
  </si>
  <si>
    <t>自身能量获得效率提升4%，发动[连携技]或[终结技]时，为全队回复1点能量</t>
  </si>
  <si>
    <t>ItemCoopEquip_006.png</t>
  </si>
  <si>
    <t>自身能量获得效率提升12.5%，发动[连携技]或[终结技]时，为全队回复3点能量</t>
  </si>
  <si>
    <t>通用武备-我来助你</t>
  </si>
  <si>
    <t>自身能量获得效率提升5%，发动[多人连携技]时，造成的伤害提升10%，持续20秒</t>
  </si>
  <si>
    <t>ItemCoopEquip_007.png</t>
  </si>
  <si>
    <t>自身能量获得效率提升12.5%，发动[多人连携技]时，造成的伤害提升25%，持续20秒</t>
  </si>
  <si>
    <t>进入[明心境]后，首次发动[普通攻击：明心境·斩流光 极]后，自动发动[连携技：明心境·掣惊雷]，并获得无视物理抗性45%效果，持续15秒。</t>
  </si>
  <si>
    <t>星见雅发动[闪避反击：寒雀]后，将会自动衔接派生[霜碎雪]，并提升冰属性伤害20%，持续8秒。</t>
  </si>
  <si>
    <t>[普通攻击：青溟震击]命中敌人时、或发动[强化特殊技]、[终结技]后，仪玄的贯穿伤害额外提升20%，最多叠加3层，持续12秒，重复触发时刷新持续时间</t>
  </si>
  <si>
    <t>每间隔15秒，艾莲将会对场上随机敌人施加[巡猎]标记，持续15秒；发动[强化特殊技]或在[冲刺攻击：冰渊潜袭]中发动快速剪击或蓄力剪击命中被施加[巡猎]标记的敌人时，再次点按「普通攻击」 或「特殊攻击」，艾莲可以无消耗、无条件，直接再次发动该招式；获得[急冻充能]时，每溢出1点[急冻充能]，艾莲的攻击力提升12%，最多叠加9层，持续10秒，每层效果逐个结算持续时间。</t>
  </si>
  <si>
    <t>[「11号」]火力镇压</t>
  </si>
  <si>
    <t>必定触发[火力镇压]状态下，在攻击即将结束时点按[普通攻击]会获得一次[自动格挡]，在攻击过程中受击会免除此次伤害并自动派生[普通攻击：火力迸发]，如果当前已有此效果则不会叠加次数。</t>
  </si>
  <si>
    <t>Relic061.png</t>
  </si>
  <si>
    <t>在[强化特殊技：月华流转]中发动快速突刺后，月城柳将悬停在空中，持续向地面引导落雷攻击，造成电属性伤害；落雷攻击命中敌人时，会使使月城柳对目标造成的[紊乱]伤害提升60%，持续6秒；[强化特殊技：月华流转]重击命中敌人时，会为月城柳提供20%生命值上限的护盾，持续20秒。</t>
  </si>
  <si>
    <t>[青衣]惊堂一棍</t>
  </si>
  <si>
    <t>[普通攻击：醉花月云转]终结一击命中敌人时，使自身造成的失衡值提升20%，持续8秒；青衣的[普通攻击：一煞][普通攻击：醉花云][普通攻击：醉花月云转]造成的暴击伤害提升15%。</t>
  </si>
  <si>
    <t>Relic059.png</t>
  </si>
  <si>
    <t>[莱特]KO之拳</t>
  </si>
  <si>
    <t>莱特[普通攻击：L式轰鸣拳]命中敌人时会获得一层[振奋]，每0.5秒最多获得一层，最多叠加20层，被击飞时会损失50%的[振奋]层数，每层[振奋]会使得莱特造成的失衡值提升5%；长按闪避可以发动[挑衅]，处于[挑衅]状态时，受到敌人攻击会触发[极限支援]，发动[极限支援]后，莱特的暴击伤害提升提升15%，持续20秒。</t>
  </si>
  <si>
    <t>Relic060.png</t>
  </si>
  <si>
    <t>卢西娅在[终结技]中生成的[星光汇聚之地]，持续时间延长，且范围更大；且发动[合唱]时为其他队友额外提供能量10点、闪能20点。</t>
  </si>
  <si>
    <t>[1]属性增伤插件</t>
  </si>
  <si>
    <t>代理人造成的伤害提升25%。
    攻击力提升15%，贯穿力提升300。
    受到的伤害降低10%。</t>
  </si>
  <si>
    <t>CoopCard26.png</t>
  </si>
  <si>
    <t>[1]属性击破插件</t>
  </si>
  <si>
    <t>代理人造成的伤害提升25%。
    冲击力提升15%。
    能量获得效率提升5%。</t>
  </si>
  <si>
    <t>CoopCard27.png</t>
  </si>
  <si>
    <t>[1]生命值提升插件</t>
  </si>
  <si>
    <t>代理人生命值提升6%。</t>
  </si>
  <si>
    <t>CoopCard16.png</t>
  </si>
  <si>
    <t>代理人生命值提升15%。</t>
  </si>
  <si>
    <t>[1]异常掌控提升插件</t>
  </si>
  <si>
    <t>代理人异常掌控提升8点。</t>
  </si>
  <si>
    <t>CoopCard19.png</t>
  </si>
  <si>
    <t>代理人异常掌控提升20点。</t>
  </si>
  <si>
    <t>[1]冲击力提升插件</t>
  </si>
  <si>
    <t>代理人冲击力提升6%。</t>
  </si>
  <si>
    <t>CoopCard10.png</t>
  </si>
  <si>
    <t>代理人冲击力提升15%。</t>
  </si>
  <si>
    <t>[1]攻击力提升插件</t>
  </si>
  <si>
    <t>代理人攻击力提升6%。</t>
  </si>
  <si>
    <t>CoopCard12.png</t>
  </si>
  <si>
    <t>代理人攻击力提升15%。</t>
  </si>
  <si>
    <t>[1]异常精通提升插件</t>
  </si>
  <si>
    <t>代理人异常精通提升30点。</t>
  </si>
  <si>
    <t>CoopCard18.png</t>
  </si>
  <si>
    <t>代理人异常精通提升75点。</t>
  </si>
  <si>
    <t>[1]贯穿力提升插件</t>
  </si>
  <si>
    <t>代理人贯穿力提升150。</t>
  </si>
  <si>
    <t>CoopCard13.png</t>
  </si>
  <si>
    <t>代理人贯穿力提升380。</t>
  </si>
  <si>
    <t>[1]防爆盾</t>
  </si>
  <si>
    <t>受到的伤害降低7.5%。</t>
  </si>
  <si>
    <t>受到的伤害降低15%。</t>
  </si>
  <si>
    <t>[1]停滞限时器</t>
  </si>
  <si>
    <t>以太属性伤害提升10%。</t>
  </si>
  <si>
    <t>以太属性伤害提升25%。</t>
  </si>
  <si>
    <t>[1]奢华火机</t>
  </si>
  <si>
    <t>火属性伤害提升10%。</t>
  </si>
  <si>
    <t>火属性伤害提升25%。</t>
  </si>
  <si>
    <t>[1]可爱冰垫</t>
  </si>
  <si>
    <t>冰属性伤害提升10%。</t>
  </si>
  <si>
    <t>冰属性伤害提升25%。</t>
  </si>
  <si>
    <t>[1]尖头铁锹</t>
  </si>
  <si>
    <t>物理伤害提升10%。</t>
  </si>
  <si>
    <t>物理伤害提升25%。</t>
  </si>
  <si>
    <t>[1]EMP手雷</t>
  </si>
  <si>
    <t>电属性伤害提升10%。</t>
  </si>
  <si>
    <t>电属性伤害提升25%。</t>
  </si>
  <si>
    <t>[2]精选咖啡</t>
  </si>
  <si>
    <t>[2]失衡充气锤</t>
  </si>
  <si>
    <t>造成的失衡值提升12%，异常精通提升40点；造成失衡或对敌人施加属性异常效果时，将会触发一次额外的打击效果，对目标及其周围敌人造成1100%攻击力的伤害。</t>
  </si>
  <si>
    <t>[2]红男爵隐藏款</t>
  </si>
  <si>
    <t>发动[强化特殊技]时，代理人造成的伤害提升2.5%，最多叠加5层，持续30秒，每层效果单独结算持续时间。</t>
  </si>
  <si>
    <t>发动[强化特殊技]时，代理人造成的伤害提升6%，最多叠加5层，持续30秒，每层效果单独结算持续时间。</t>
  </si>
  <si>
    <t>[2]炸毛牛磺酸</t>
  </si>
  <si>
    <t>[终结技]造成的伤害提升10%，失衡值提升7.5%。</t>
  </si>
  <si>
    <t>[终结技]造成的伤害提升20%，失衡值提升20%。</t>
  </si>
  <si>
    <t>[2]奶牛大尉</t>
  </si>
  <si>
    <t>代理人的喧响值获得效率提升20%。</t>
  </si>
  <si>
    <t>[2]红男爵·青柠味</t>
  </si>
  <si>
    <t>[强化特殊技]造成的伤害提升10%，失衡值提升5%。</t>
  </si>
  <si>
    <t>[强化特殊技]造成的伤害提升30%，失衡值提升12%。</t>
  </si>
  <si>
    <t>[2]尖笑</t>
  </si>
  <si>
    <t>[普通攻击]的能量获得效率提升10%。</t>
  </si>
  <si>
    <t>[普通攻击]的能量获得效率提升25%。</t>
  </si>
  <si>
    <t>[2]战术口罩</t>
  </si>
  <si>
    <t>触发[极限闪避]时，代理人获得1.6%生命值上限的护盾，持续10秒，10秒内最多触发一次。</t>
  </si>
  <si>
    <t>触发[极限闪避]时，代理人获得4%生命值上限的护盾，持续10秒，10秒内最多触发一次。</t>
  </si>
  <si>
    <t>[2]高频通讯器</t>
  </si>
  <si>
    <t>发动[极限支援]时，获得60点喧响值。</t>
  </si>
  <si>
    <t>发动[极限支援]时，获得150点喧响值。</t>
  </si>
  <si>
    <t>[2]活性传递装置</t>
  </si>
  <si>
    <t>发动[极限支援]时，全队造成的伤害提升8%，持续15秒。（全队效果唯一）</t>
  </si>
  <si>
    <t>发动[极限支援]时，全队造成的伤害提升18%，持续15秒。（全队效果唯一）</t>
  </si>
  <si>
    <t>[2]手动发电器</t>
  </si>
  <si>
    <t>发动[极限支援]时，代理人回复2.5点能量，10秒内最多触发一次。</t>
  </si>
  <si>
    <t>发动[极限支援]时，代理人回复6点能量，10秒内最多触发一次。</t>
  </si>
  <si>
    <t>[2]备用护盾发生器</t>
  </si>
  <si>
    <t>发动[极限支援]时，代理人获得1.6%生命值上限的护盾，持续10秒，每次触发时重置。</t>
  </si>
  <si>
    <t>发动[极限支援]时，代理人获得4%生命值上限的护盾，持续10秒，每次触发时重置。</t>
  </si>
  <si>
    <t>[2]弹性护膝</t>
  </si>
  <si>
    <t>[强化特殊技]命中敌人时，代理人获得1.6%生命值上限的护盾，10秒内最多触发一次。</t>
  </si>
  <si>
    <t>[强化特殊技]命中敌人时，代理人获得4%生命值上限的护盾，10秒内最多触发一次。</t>
  </si>
  <si>
    <t>[3]幻象加强针</t>
  </si>
  <si>
    <t>成功触发「爆燃」后获得持续30秒的强化效果：发动[多人连携技]或发动[强化特殊技]时，会触发一次「爆燃」效果，每15秒最多触发一次。
    触发「雷反」后获得持续18秒的强化效果：任意攻击命中敌人时会触发一道引雷攻击敌人，每10秒最多触发一次。
    触发「秽息克服」后自动恢复喧响值和能量，每20秒最多触发一次。</t>
  </si>
  <si>
    <t>CoopCard24.png</t>
  </si>
  <si>
    <t>[3]辉瓷防护服</t>
  </si>
  <si>
    <t>雷电对代理人造成的伤害降低，免除打断效果；触发「雷反」后获得持续15秒的护盾并提升抗打断等级，每15秒最多触发一次。
    火陨对代理人造成的伤害降低，免除打断效果；触发「爆燃」后获得持续15秒的护盾并提升抗打断等级，每15秒最多触发一次。
    秽息值增长的速度大幅降低；触发「秽息克服」后，持续恢复生命值。</t>
  </si>
  <si>
    <t>CoopCard25.png</t>
  </si>
  <si>
    <t>[3]以太露滴复制器</t>
  </si>
  <si>
    <t>使全队「以太露滴」的使用次数增加1次。</t>
  </si>
  <si>
    <t>CoopCard17.png</t>
  </si>
  <si>
    <t>使全队「以太露滴」的使用次数增加2次。</t>
  </si>
  <si>
    <t>[3]急救工具箱</t>
  </si>
  <si>
    <t>与处于「倒地状态」的代理人建立「治疗链接」时，救援速度提升15%</t>
  </si>
  <si>
    <t>CoopCard15.png</t>
  </si>
  <si>
    <t>与处于「倒地状态」的代理人建立「治疗链接」时，救援速度提升30%</t>
  </si>
  <si>
    <t>[3]连携延长</t>
  </si>
  <si>
    <t>「连携时刻」的持续时间额外延长1.5秒（该效果全队唯一）</t>
  </si>
  <si>
    <t>CoopCard21.png</t>
  </si>
  <si>
    <t>「连携时刻」的持续时间额外延长3秒（该效果全队唯一）</t>
  </si>
  <si>
    <t>[3]连携恢复</t>
  </si>
  <si>
    <t>处于「连携时刻」时，全队代理人生命值恢复效率提升20%</t>
  </si>
  <si>
    <t>CoopCard22.png</t>
  </si>
  <si>
    <t>处于「连携时刻」时，全队代理人生命值恢复效率提升50%</t>
  </si>
  <si>
    <t>[3]连携充能</t>
  </si>
  <si>
    <t>处于「连携时刻」时，全队代理人能量、闪能每秒增加0.6点，喧响值恢复效率提升10%</t>
  </si>
  <si>
    <t>CoopCard23.png</t>
  </si>
  <si>
    <t>处于「连携时刻」时，全队代理人能量、闪能每秒增加1.7点，喧响值恢复效率提升25%</t>
  </si>
  <si>
    <t>[3]多人连携辅助器</t>
  </si>
  <si>
    <t>连携值的恢复效率提升10%（自然恢复除外）</t>
  </si>
  <si>
    <t>CoopCard11.png</t>
  </si>
  <si>
    <t>连携值的恢复效率提升20%（自然恢复除外）</t>
  </si>
  <si>
    <t>[3]我说两句</t>
  </si>
  <si>
    <t>发送任意表情后，在场且非倒地状态的代理人增加90点喧响值、2.5点能量和2.5点闪能（每个区域最多1次）</t>
  </si>
  <si>
    <t>CoopCard08.png</t>
  </si>
  <si>
    <t>发送任意表情后，在场且非倒地状态的代理人增加220点喧响值、6点能量和6点闪能（每个区域最多1次）</t>
  </si>
  <si>
    <t>[3]还没说完</t>
  </si>
  <si>
    <t>代理人处于观战状态时，发送表情包「我们三个真是太强了」后，在场且非倒地状态的代理人增加100点生命值、50点喧响值、1点能量和1点闪能（每个区域最多1次）</t>
  </si>
  <si>
    <t>CoopCard09.png</t>
  </si>
  <si>
    <t>代理人处于观战状态时，发送表情包「我们三个真是太强了」后，在场且非倒地状态的代理人增加250点生命值、100点喧响值、2点能量和2点闪能（每个区域最多1次）</t>
  </si>
  <si>
    <t>[1]号槽位鸣徽获得概率UP！</t>
  </si>
  <si>
    <t>完成「破时雷霆-常规」/「破时雷霆-高危」后，有更高概率获得[1]号槽位鸣徽！</t>
  </si>
  <si>
    <t>CardCoop01.png</t>
  </si>
  <si>
    <t>[2]号槽位鸣徽获得概率UP！</t>
  </si>
  <si>
    <t>完成「欢愉烈火-常规」/「欢愉烈火-高危」后，有更高概率获得[2]号槽位鸣徽！</t>
  </si>
  <si>
    <t>CardCoop02.png</t>
  </si>
  <si>
    <t>[3]号槽位鸣徽获得概率UP！</t>
  </si>
  <si>
    <t>完成「苍白之息-常规」/「苍白之息-高危」后，有更高概率获得[3]号槽位鸣徽！</t>
  </si>
  <si>
    <t>CardCoop03.png</t>
  </si>
  <si>
    <t>[符号表情]向我看齐！</t>
  </si>
  <si>
    <t>可以在「神之迷宫·连携调查」中装配并使用。
    在「连携调查」中，可在关卡内通过右侧[表情]按钮向全队发送该表情。</t>
  </si>
  <si>
    <t>IconEmoji01.png</t>
  </si>
  <si>
    <t>[符号表情]超喜欢！</t>
  </si>
  <si>
    <t>IconEmoji02.png</t>
  </si>
  <si>
    <t>[符号表情]睁一只眼闭一只眼</t>
  </si>
  <si>
    <t>IconEmoji03.png</t>
  </si>
  <si>
    <t>[符号表情]游戏结束</t>
  </si>
  <si>
    <t>IconEmoji04.png</t>
  </si>
  <si>
    <t>[符号表情]无话可说</t>
  </si>
  <si>
    <t>IconEmoji05.png</t>
  </si>
  <si>
    <t>[符号表情]我要爆了</t>
  </si>
  <si>
    <t>IconEmoji06.png</t>
  </si>
  <si>
    <t>[符号表情]诶？什么情况！</t>
  </si>
  <si>
    <t>IconEmoji07.png</t>
  </si>
  <si>
    <t>[符号表情]啊…呃…嗯…</t>
  </si>
  <si>
    <t>IconEmoji08.png</t>
  </si>
  <si>
    <t>[符号表情]诶呀诶呀</t>
  </si>
  <si>
    <t>IconEmoji09.png</t>
  </si>
  <si>
    <t>[符号表情]行吧…</t>
  </si>
  <si>
    <t>IconEmoji10.png</t>
  </si>
  <si>
    <t>[符号表情]完了呀…</t>
  </si>
  <si>
    <t>IconEmoji11.png</t>
  </si>
  <si>
    <t>[符号表情]加油啊！</t>
  </si>
  <si>
    <t>IconEmoji12.png</t>
  </si>
  <si>
    <t>[符号表情]不要迷恋哥</t>
  </si>
  <si>
    <t>IconEmoji13.png</t>
  </si>
  <si>
    <t>[符号表情]我先吃</t>
  </si>
  <si>
    <t>IconEmoji14.png</t>
  </si>
  <si>
    <t>[符号表情]什么意思？</t>
  </si>
  <si>
    <t>IconEmoji15.png</t>
  </si>
  <si>
    <t>IconEmoji16.png</t>
  </si>
  <si>
    <t>[符号表情]我的我的</t>
  </si>
  <si>
    <t>IconEmoji17.png</t>
  </si>
  <si>
    <t>[符号表情]诶呀，不小心呢</t>
  </si>
  <si>
    <t>IconEmoji18.png</t>
  </si>
  <si>
    <t>[符号表情]我倒要看看</t>
  </si>
  <si>
    <t>IconEmoji19.png</t>
  </si>
  <si>
    <t>[符号表情]ZZZ</t>
  </si>
  <si>
    <t>IconEmoji20.png</t>
  </si>
  <si>
    <t>[符号表情]哦吼？</t>
  </si>
  <si>
    <t>IconEmoji21.png</t>
  </si>
  <si>
    <t>[符号表情]先笑为敬</t>
  </si>
  <si>
    <t>IconEmoji22.png</t>
  </si>
  <si>
    <t>[符号表情]难搞咯</t>
  </si>
  <si>
    <t>IconEmoji23.png</t>
  </si>
  <si>
    <t>[符号表情]朋友帮帮忙</t>
  </si>
  <si>
    <t>IconEmoji24.png</t>
  </si>
  <si>
    <t>[语音表情]我们三个真是太强了！</t>
  </si>
  <si>
    <t>会自动播放代理人对应语音的表情，可以在「神之迷宫·连携调查」中装配并使用，也可以在聊天中使用。
    在「连携调查」中，可在关卡内通过右侧[表情]按钮向全队发送该表情。</t>
  </si>
  <si>
    <t>IconEmoji20006.png</t>
  </si>
  <si>
    <t>[语音表情]请求集合</t>
  </si>
  <si>
    <t>IconEmoji20009.png</t>
  </si>
  <si>
    <t>[语音表情]你没事吧？</t>
  </si>
  <si>
    <t>IconEmoji20010.png</t>
  </si>
  <si>
    <t>[语音表情]让我摸摸嘛~</t>
  </si>
  <si>
    <t>IconEmoji20002.png</t>
  </si>
  <si>
    <t>[语音表情]救救我救救我！</t>
  </si>
  <si>
    <t>IconEmoji20003.png</t>
  </si>
  <si>
    <t>[语音表情]哦？还有高手</t>
  </si>
  <si>
    <t>IconEmoji20005.png</t>
  </si>
  <si>
    <t>[语音表情]啊？</t>
  </si>
  <si>
    <t>IconEmoji20007.png</t>
  </si>
  <si>
    <t>[语音表情]难道说？</t>
  </si>
  <si>
    <t>IconEmoji20004.png</t>
  </si>
  <si>
    <t>[语音表情]叭叭叭叭叭叭</t>
  </si>
  <si>
    <t>IconEmoji20008.png</t>
  </si>
  <si>
    <t>[语音表情]都让开！</t>
  </si>
  <si>
    <t>IconEmoji20001.png</t>
  </si>
  <si>
    <t>常规主题</t>
  </si>
  <si>
    <t>选择此项，您的功能导览界面将显示为常规主题。</t>
  </si>
  <si>
    <t>未佩戴</t>
  </si>
  <si>
    <t>选择此项，您的功能导览界面将不会佩戴任何挂坠。</t>
  </si>
  <si>
    <t>「霓虹遗迹」·主题</t>
  </si>
  <si>
    <t>导览套件，获得后可在「功能导览」中装配展示。</t>
  </si>
  <si>
    <t>磷光堆积的绿洲，霓虹闪烁的遗迹。</t>
  </si>
  <si>
    <t>IconWallpaperPiece01.png</t>
  </si>
  <si>
    <t>「霓虹遗迹」·挂坠</t>
  </si>
  <si>
    <t>IconPendantPiece01.png</t>
  </si>
  <si>
    <t>「玩乐主义」·主题</t>
  </si>
  <si>
    <t>按下任意键开始游戏。</t>
  </si>
  <si>
    <t>IconWallpaperPiece02.png</t>
  </si>
  <si>
    <t>「玩乐主义」·挂坠</t>
  </si>
  <si>
    <t>IconPendantPiece02.png</t>
  </si>
  <si>
    <t>「Random Play」·主题</t>
  </si>
  <si>
    <t>「丽都城募·典藏计划」纪念主题，获得后可在「功能导览」中装配展示。</t>
  </si>
  <si>
    <t>游离光影之间，重映昨日人生。</t>
  </si>
  <si>
    <t>IconWallpaperPiece03.png</t>
  </si>
  <si>
    <t>「Random Play」·挂坠</t>
  </si>
  <si>
    <t>「丽都城募·典藏计划」纪念挂坠，获得后可在「功能导览」中装配展示。</t>
  </si>
  <si>
    <t>IconPendantPiece03.png</t>
  </si>
  <si>
    <t>「三Z」·主题</t>
  </si>
  <si>
    <t>限时活动「点映返礼」限定主题，获得后可在「功能导览」中装配展示。</t>
  </si>
  <si>
    <t>涂鸦规则，划破界限。</t>
  </si>
  <si>
    <t>IconWallpaperPiece04.png</t>
  </si>
  <si>
    <t>「三Z」·挂坠</t>
  </si>
  <si>
    <t>限时活动「点映返礼」限定挂坠，获得后可在「功能导览」中装配展示。</t>
  </si>
  <si>
    <t>IconPendantPiece04.png</t>
  </si>
  <si>
    <t>「甜味白日梦」·主题</t>
  </si>
  <si>
    <t>「妄想天使」限定主题，获得后可在「功能导览」中装配展示。</t>
  </si>
  <si>
    <t>乘坐妄想号快车，闯进糖果搭成的梦境。</t>
  </si>
  <si>
    <t>IconWallpaperPiece06.png</t>
  </si>
  <si>
    <t>「甜味白日梦」·挂坠</t>
  </si>
  <si>
    <t>「妄想天使」限定挂坠，获得后可在「功能导览」中装配展示。</t>
  </si>
  <si>
    <t>IconPendantPiece06.png</t>
  </si>
  <si>
    <t>「红豆醉春风」·主题</t>
  </si>
  <si>
    <t>红豆醉春风，清茗暖良辰。
    一剪玲珑影，满盏岁华温。</t>
  </si>
  <si>
    <t>IconWallpaperPiece05.png</t>
  </si>
  <si>
    <t>「红豆醉春风」·挂坠</t>
  </si>
  <si>
    <t>IconPendantPiece05.png</t>
  </si>
  <si>
    <t>玛瑟尔涂装券</t>
  </si>
  <si>
    <t>可通过参与「玛瑟尔大冒险」限时玩法获取，用于兑换玩法内可用的伊埃斯服装。</t>
  </si>
  <si>
    <t>玛瑟尔集团特别出品，凭此券即可兑换最时兴的邦布装扮。</t>
  </si>
  <si>
    <t>ActivityMarcelRemake_BangbooSkinVoucher.png</t>
  </si>
  <si>
    <t>后台武备-鬼火</t>
  </si>
  <si>
    <t>[协战支援技]：奥菲丝&amp; 「鬼火」会随时间积攒能量。能量足够时，点按「协战支援技」召唤奥菲丝&amp; 「鬼火」发动[协战支援技]攻击敌人并使全队代理人获得[准星聚焦]效果，持续15秒，拥有[准星聚焦]效果的代理人攻击力提升500点，攻击无视敌人20%防御力。</t>
  </si>
  <si>
    <t>Relic072.png</t>
  </si>
  <si>
    <t>后台武备-雨果</t>
  </si>
  <si>
    <t>[协战支援技]：雨果会随时间积攒能量。能量足够时，点按「协战支援技」召唤雨果发动[协战支援技]攻击敌人，该招式必定暴击，且重击命中敌人时会触发[决算]效果，对普通敌人/精英敌人/首领敌人造成等同于其最大生命值100%/20%/10%的伤害；雨果的[协战支援技]命中处于失衡状态的敌人时会使敌人的失衡状态结束，并根据剩余失衡时间额外对精英敌人/首领敌人造成其最大生命值一定百分比的伤害，最多额外造成20%/10%。</t>
  </si>
  <si>
    <t>后台武备-柏妮丝</t>
  </si>
  <si>
    <t>[协战支援技]：柏妮思会随着时间积攒能量，初始获得75点充能。能量足够时，点按「协战支援技」召唤柏妮思发动[协战支援技]攻击敌人，命中敌人时对其施加[灼伤]效果，拥有[灼伤]效果的敌人全属性积蓄抗性降低42%，持续40秒。</t>
  </si>
  <si>
    <t>Relic071.png</t>
  </si>
  <si>
    <t>后台武备-薇薇安</t>
  </si>
  <si>
    <t>[协战支援技]：薇薇安会随时间积攒能量。能量足够时，点按「协战支援技」召唤薇薇安发动[协战支援技]攻击敌人，命中处于属性异常状态的敌人时，对其施加[异放]效果，额外结算一次属性异常伤害，相对于原属性异常伤害的比例为6129%/3040%/7600%/533%/760%。</t>
  </si>
  <si>
    <t>后台武备-莱特</t>
  </si>
  <si>
    <t>[协战支援技]：莱特会随时间积攒能量，初始获得75点充能。能量足够时，点按「协战支援技」召唤莱特发动[协战支援技]攻击敌人，命中敌人时对其施加[溃败]效果，拥有[溃败]效果的敌人失衡后的失衡时间延长3秒，从失衡状态恢复时其[溃败]效果结束；莱特的[协战支援技]命中普通敌人/精英敌人/首领敌人时直接累积100%/30%/15%失衡值。</t>
  </si>
  <si>
    <t>Relic068.png</t>
  </si>
  <si>
    <t>后台武备-扳机</t>
  </si>
  <si>
    <t>[协战支援技]：「扳机」会随时间积攒能量，初始获得75点充能。能量足够时，点按「协战支援技」召唤「扳机」发动[协战支援技]攻击敌人，命中敌人时对其施加[穿透]效果，拥有[穿透]效果的敌人失衡易伤倍率提高20%，失衡结束时其[穿透]效果结束；「扳机」的[协战支援技]命中普通敌人/精英敌人/首领敌人时直接累积100%/30%/15%失衡值。</t>
  </si>
  <si>
    <t>后台武备-丽娜</t>
  </si>
  <si>
    <t>[协战支援技]：丽娜不会随时间积攒能量，但会随队伍中任意代理人消耗能量/闪能而积攒能量。能量足够时，点按「协战支援技」召唤丽娜发动[协战支援技]攻击敌人并进入[极限视域]，[极限视域]期间全队代理人造成的伤害提升70%，持续10秒。</t>
  </si>
  <si>
    <t>Relic070.png</t>
  </si>
  <si>
    <t>后台武备-妮可</t>
  </si>
  <si>
    <t>[协战支援技]：妮可会随时间积攒能量。能量足够时，点按「协战支援技」召唤妮可发动[协战支援技]攻击敌人并进入[极限视域]，持续10秒，[极限视域]期间全队代理人无视敌人50%防御力。</t>
  </si>
  <si>
    <t>后台武备-真斗</t>
  </si>
  <si>
    <t>[协战支援技]：真斗会随时间积攒能量，当前操作中的角色生命值越低，真斗能量回复速率越快。能量足够时，点按「协战支援技」召唤真斗发动[协战支援技]攻击敌人，平分全队代理人生命值并回复20%生命值，全队代理人获得[熔锋]状态，[熔锋]状态下代理人暴击伤害提高50%，持续40秒。</t>
  </si>
  <si>
    <t>Relic073.png</t>
  </si>
  <si>
    <t>后台武备-凯撒</t>
  </si>
  <si>
    <t>[协战支援技]：凯撒会随着时间积攒能量，初始获得75点充能。能量足够时，点按「协战支援技」召唤凯撒发动[协战支援技]攻击敌人并使全队代理人获得3500点护盾[荣光之盾]，代理人拥有[荣光之盾]时[招架支援]点数无限，造成的伤害提高35%，单次受到的伤害不会超过护盾值。</t>
  </si>
  <si>
    <t>Relic069.png</t>
  </si>
  <si>
    <t>后台武备-赛斯</t>
  </si>
  <si>
    <t>征伐阔斧</t>
  </si>
  <si>
    <t>进入战斗时，获得3层[强化]，每层[强化]使得代理人获得16%暴击伤害，受到攻击后移除1层[强化]。</t>
  </si>
  <si>
    <t>CardAttackS201.png</t>
  </si>
  <si>
    <t>翻花蝴蝶</t>
  </si>
  <si>
    <t>[闪避]后发动的[冲刺攻击]变为[闪避反击]，5秒内最多触发一次。</t>
  </si>
  <si>
    <t>CardAttackS202.png</t>
  </si>
  <si>
    <t>割草除根</t>
  </si>
  <si>
    <t>代理人无视敌人20%防御力。</t>
  </si>
  <si>
    <t>CardAttackS203.png</t>
  </si>
  <si>
    <t>锐利指节</t>
  </si>
  <si>
    <t>代理人的暴击伤害提升24%。</t>
  </si>
  <si>
    <t>CardAttackS204.png</t>
  </si>
  <si>
    <t>拳下刃风</t>
  </si>
  <si>
    <t>代理人的攻击力提升270点。</t>
  </si>
  <si>
    <t>CardAttackS205.png</t>
  </si>
  <si>
    <t>左右开刀</t>
  </si>
  <si>
    <t>代理人的暴击率提升12%。</t>
  </si>
  <si>
    <t>CardAttackS206.png</t>
  </si>
  <si>
    <t>微型手锯</t>
  </si>
  <si>
    <t>使敌人失衡时，敌人的失衡易伤倍率提升37.5%。</t>
  </si>
  <si>
    <t>CardStunS201.png</t>
  </si>
  <si>
    <t>便携角磨机</t>
  </si>
  <si>
    <t>使敌人进入失衡状态时，全队代理人获得5点能量或6点闪能。</t>
  </si>
  <si>
    <t>CardStunS202.png</t>
  </si>
  <si>
    <t>多功能圆锯</t>
  </si>
  <si>
    <t>代理人对失衡状态下的敌人造成的伤害提高45%。</t>
  </si>
  <si>
    <t>CardStunS203.png</t>
  </si>
  <si>
    <t>高转电锯</t>
  </si>
  <si>
    <t>使敌人进入失衡状态时，其失衡持续时间提升10%。</t>
  </si>
  <si>
    <t>CardStunS204.png</t>
  </si>
  <si>
    <t>工程炸药</t>
  </si>
  <si>
    <t>代理人造成的失衡值提升10%。</t>
  </si>
  <si>
    <t>CardStunS205.png</t>
  </si>
  <si>
    <t>强力冲击钻</t>
  </si>
  <si>
    <t>从失衡状态恢复时，敌人累积10%失衡值。</t>
  </si>
  <si>
    <t>CardStunS206.png</t>
  </si>
  <si>
    <t>战术震爆弹</t>
  </si>
  <si>
    <t>施加[紊乱]效果时，全队异常精通提升25点，最多叠加3层，持续15秒，重复触发时刷新持续时间。</t>
  </si>
  <si>
    <t>CardAnomalyS201.png</t>
  </si>
  <si>
    <t>重型喷火枪</t>
  </si>
  <si>
    <t>代理人攻击处于属性异常状态下的敌人时，穿透率提升20%。</t>
  </si>
  <si>
    <t>CardAnomalyS202.png</t>
  </si>
  <si>
    <t>强效胡椒喷雾</t>
  </si>
  <si>
    <t>施加属性异常效果时为全队代理人恢复7点能量或恢复9点闪能，5秒内最多触发一次。</t>
  </si>
  <si>
    <t>CardAnomalyS203.png</t>
  </si>
  <si>
    <t>捕网发射器</t>
  </si>
  <si>
    <t>代理人的异常掌控提升60点。</t>
  </si>
  <si>
    <t>CardAnomalyS204.png</t>
  </si>
  <si>
    <t>高压电击枪</t>
  </si>
  <si>
    <t>代理人的异常精通提升45点。</t>
  </si>
  <si>
    <t>CardAnomalyS205.png</t>
  </si>
  <si>
    <t>电磁干扰仪</t>
  </si>
  <si>
    <t>代理人造成的所有属性异常伤害和[紊乱]伤害提升18%。</t>
  </si>
  <si>
    <t>CardAnomalyS206.png</t>
  </si>
  <si>
    <t>幸运饼干</t>
  </si>
  <si>
    <t>代理人发动[终结技]时，全队获得17点能量或21点闪能，20秒内最多触发一次。</t>
  </si>
  <si>
    <t>CardSupseriesS201.png</t>
  </si>
  <si>
    <t>营养罐头</t>
  </si>
  <si>
    <t>发动[强化特殊技]时，代理人造成的伤害提升5%，持续10秒，最多叠加5次，重复触发时刷新持续时间。</t>
  </si>
  <si>
    <t>CardSupseriesS202.png</t>
  </si>
  <si>
    <t>能量汽水</t>
  </si>
  <si>
    <t>[强化特殊技]造成的伤害提升44%，[终结技]造成的伤害提升44%。</t>
  </si>
  <si>
    <t>CardSupseriesS203.png</t>
  </si>
  <si>
    <t>星光棒棒糖</t>
  </si>
  <si>
    <t>喧响值的获取效率提升23%。</t>
  </si>
  <si>
    <t>CardSupseriesS204.png</t>
  </si>
  <si>
    <t>速热火锅</t>
  </si>
  <si>
    <t>能量与闪能的获取效率提升18%。</t>
  </si>
  <si>
    <t>CardSupseriesS205.png</t>
  </si>
  <si>
    <t>无糖巧克力</t>
  </si>
  <si>
    <t>CardSupseriesS206.png</t>
  </si>
  <si>
    <t>持之以恒</t>
  </si>
  <si>
    <t>代理人的生命值低于70%时，暴击伤害提升60%。</t>
  </si>
  <si>
    <t>CardRuptureS201.png</t>
  </si>
  <si>
    <t>势大力沉</t>
  </si>
  <si>
    <t>代理人的生命值低于70%时，造成的伤害提升37.5%。</t>
  </si>
  <si>
    <t>CardRuptureS202.png</t>
  </si>
  <si>
    <t>攻守平衡</t>
  </si>
  <si>
    <t>发动[强化特殊技]时，全队代理人回复4%生命值，10秒内最多触发一次。</t>
  </si>
  <si>
    <t>CardRuptureS203.png</t>
  </si>
  <si>
    <t>冠军凭证</t>
  </si>
  <si>
    <t>CardRuptureS204.png</t>
  </si>
  <si>
    <t>整装待发</t>
  </si>
  <si>
    <t>损失生命值时，命破代理人的贯穿力提升270点，非命破代理人的攻击力提升324点，持续5秒，重复触发时刷新持续时间。</t>
  </si>
  <si>
    <t>CardRuptureS205.png</t>
  </si>
  <si>
    <t>腾挪步法</t>
  </si>
  <si>
    <t>损失生命值时，代理人的暴击伤害提升30%，持续20秒，重复触发时刷新持续时间。</t>
  </si>
  <si>
    <t>CardRuptureS206.png</t>
  </si>
  <si>
    <t>制式警棍</t>
  </si>
  <si>
    <t>拥有护盾时，代理人造成的伤害提升25%。</t>
  </si>
  <si>
    <t>CardDefenseS201.png</t>
  </si>
  <si>
    <t>MX7战术手套</t>
  </si>
  <si>
    <t>拥有护盾时，代理人造成的暴击伤害提升40%。</t>
  </si>
  <si>
    <t>CardDefenseS202.png</t>
  </si>
  <si>
    <t>Ⅲ型战斗头盔</t>
  </si>
  <si>
    <t>发动[极限支援]时，全队获得150点喧响值，5秒内最多触发一次。</t>
  </si>
  <si>
    <t>CardDefenseS203.png</t>
  </si>
  <si>
    <t>军用防毒面具</t>
  </si>
  <si>
    <t>[招架支援]造成的失衡值提升25%。</t>
  </si>
  <si>
    <t>CardDefenseS204.png</t>
  </si>
  <si>
    <t>第四代防爆盾</t>
  </si>
  <si>
    <t>进入接战状态时，全队获得等同于自身10%生命值的护盾。</t>
  </si>
  <si>
    <t>CardDefenseS205.png</t>
  </si>
  <si>
    <t>轻型防弹护甲</t>
  </si>
  <si>
    <t>触发[极限闪避]时，代理人获得3%生命值的护盾，5秒内最多触发一次，重复触发时刷新护盾量。</t>
  </si>
  <si>
    <t>CardDefenseS206.png</t>
  </si>
  <si>
    <t>10级绳网礼盒</t>
  </si>
  <si>
    <t>Testgift.png</t>
  </si>
  <si>
    <t>20级绳网礼盒</t>
  </si>
  <si>
    <t>30级绳网礼盒</t>
  </si>
  <si>
    <t>40级绳网礼盒</t>
  </si>
  <si>
    <t>50级绳网礼盒</t>
  </si>
  <si>
    <t>特训资源补给</t>
  </si>
  <si>
    <t>TestgiftA.png</t>
  </si>
  <si>
    <t>音擎能源补给</t>
  </si>
  <si>
    <t>TestgiftB.png</t>
  </si>
  <si>
    <t>《绝区零》预购礼包</t>
  </si>
  <si>
    <t>使用后可获得：
    原装母带*2，资深调查员记录*20，正式调查员记录*80，音擎能源模块*10，变频音擎电源*40，丁尼*150000</t>
  </si>
  <si>
    <t>SonyPreorderBundle.png</t>
  </si>
  <si>
    <t>《绝区零》入城礼包</t>
  </si>
  <si>
    <t>使用后可获得：
    原装母带*2，正式调查员记录*80，变频音擎电源*40，丁尼*150000</t>
  </si>
  <si>
    <t>SonyOnlyBundle.png</t>
  </si>
  <si>
    <t>绝区零PlayStation®Plus优惠</t>
  </si>
  <si>
    <t>优惠包含以下奖励：菲林*160，以太电池*4，资深调查员记录*20，音擎能源模块*30，丁尼*150000</t>
  </si>
  <si>
    <t>「丽都迎新」礼盒</t>
  </si>
  <si>
    <t>「诚挚邀约」礼盒</t>
  </si>
  <si>
    <t>「青睐邀约」礼盒</t>
  </si>
  <si>
    <t>「独家邀约」礼盒</t>
  </si>
  <si>
    <t>「经典再映」观影礼盒</t>
  </si>
  <si>
    <t>家庭装能量特饮</t>
  </si>
  <si>
    <t>荣勋历练补给</t>
  </si>
  <si>
    <t>音擎调试补给</t>
  </si>
  <si>
    <t>「星芒邀约」限定礼盒</t>
  </si>
  <si>
    <t>「砺世邀约」限定礼盒</t>
  </si>
  <si>
    <t>50级进阶补给</t>
  </si>
  <si>
    <t>50级音擎补给</t>
  </si>
  <si>
    <t>「天籁邀约」限定礼盒</t>
  </si>
  <si>
    <t>购买可获得丁尼*100000，并获赠加密母带*10。</t>
  </si>
  <si>
    <t>「菲林盈门」福袋</t>
  </si>
  <si>
    <t>《绝区零》Xbox新手礼包</t>
  </si>
  <si>
    <t>XboxPreorderBundle.png</t>
  </si>
  <si>
    <t>XboxOnlyBundle.png</t>
  </si>
  <si>
    <t>绝区零Xbox Game Pass Ultimate奖励</t>
  </si>
  <si>
    <t>奖励包含以下奖励：菲林*80，以太电池*2，资深调查员记录*10，音擎能源模块*15，丁尼*75000</t>
  </si>
  <si>
    <t>「云岿邀约」限定礼盒</t>
  </si>
  <si>
    <t>「绮梦邀约」限定礼盒</t>
  </si>
  <si>
    <t>「银幕拾遗」观影礼盒</t>
  </si>
  <si>
    <t>购买可获得丁尼*100000，并获赠原装母带*10。</t>
  </si>
  <si>
    <t>维多利亚家政券补给</t>
  </si>
  <si>
    <t>超出持有上限的道具将通过邮件发放，邮件有效期30天。</t>
  </si>
  <si>
    <t>「遐游邀约」限定礼盒</t>
  </si>
  <si>
    <t>「溯光邀约」限定礼盒</t>
  </si>
  <si>
    <t>「鎏弦邀约」限定礼盒</t>
  </si>
  <si>
    <t>「绮声邀约」限定礼盒</t>
  </si>
  <si>
    <t>蛋糕「特别定制款」</t>
  </si>
  <si>
    <t>由最专业的甜点类智能构造体纯手工制作的可爱小蛋糕。
    使用后可获得[以太电池]*1及蛋糕纪念品*1</t>
  </si>
  <si>
    <t>随赠一张未署名的卡片：
    献给最重要的你
    只要有你在，世界永不剧终。</t>
  </si>
  <si>
    <t>PlayerBirthdayCake.png</t>
  </si>
  <si>
    <t>由最专业的甜点类智能构造体纯手工制作的可爱小蛋糕，据说吃一口就能领略到新艾利都的极致美味哦！</t>
  </si>
  <si>
    <t>冰爽能量特饮</t>
  </si>
  <si>
    <t>使用后可获得100电量。</t>
  </si>
  <si>
    <t>只需一口，就能让人在炎炎夏日充满能量！
    秘诀是柠檬汁、调和完美的矿物盐，以及「绝不允许以常温形式出售」。</t>
  </si>
  <si>
    <t>SummerBattery.png</t>
  </si>
  <si>
    <t>冰爽特饮纪念罐</t>
  </si>
  <si>
    <t>冰爽能量特饮限定版纪念罐；炙热中的一缕清凉，陪伴你的每一个夏天。</t>
  </si>
  <si>
    <t>纪念价值主要来自厂商承诺：「集齐6只连号罐可以兑换金条」。
    为此大家纷纷入手六连罐家庭装，但从未有人见到过编号结尾是0或者5的罐子。</t>
  </si>
  <si>
    <t>SummerBatteryToken.png</t>
  </si>
  <si>
    <t>调查员特别礼盒</t>
  </si>
  <si>
    <t>为完成特别调查任务的绳匠准备的礼物，使用后可以获得60电量</t>
  </si>
  <si>
    <t>随礼盒附上来自H.A.N.D.的信息： 作为对空六课最为青睐的独立调查员，愿您在与空洞的对阵中，永远所向披靡、战无不胜！</t>
  </si>
  <si>
    <t>Appleenergy.png</t>
  </si>
  <si>
    <t>调查员礼盒·特别纪念装</t>
  </si>
  <si>
    <t>为完成特别调查任务的绳匠准备的礼物，具有珍贵的纪念价值</t>
  </si>
  <si>
    <t>「绝世玩家」专属手柄</t>
  </si>
  <si>
    <t>「盖世小鸡x绝区零」联动活动专属奖励；使用后可以获得60电量。</t>
  </si>
  <si>
    <t>为空洞深潜系统特制的操作手柄，自带充足电量，在「金手指」电玩店和玛瑟尔迷宫等环境下都同样适用；根据Fairy计算，该手柄充满电量后，可以帮助伊埃斯在「玛瑟尔迷宫」中完成一整天的闯关。</t>
  </si>
  <si>
    <t>ChickenGamepad.png</t>
  </si>
  <si>
    <t>「绝世玩家」定制手柄</t>
  </si>
  <si>
    <t>「盖世小鸡x绝区零」联动活动纪念奖励。</t>
  </si>
  <si>
    <t>为空洞深潜系统特制的操作手柄，深受所有家庭成员的喜爱；因此，对于「昨晚是谁用完手柄没充电」这件事，一楼的工作间内总是会传来争论——不知为何，其中还夹杂着人工智能的辩驳和「嗯呢嗯呢」的响声。</t>
  </si>
  <si>
    <t>ChickenGamepad_Mark.png</t>
  </si>
  <si>
    <t>焦糖酱切片蛋糕</t>
  </si>
  <si>
    <t>由「法厄同生日预备联合会」制作的切片蛋糕；使用后可获得[以太电池]*1及[纪念款切片蛋糕]*1。</t>
  </si>
  <si>
    <t>当你看到这块蛋糕的时候——你已经错过了伊埃斯、小六子和小18一只叠一只地站起来够到厨房用具，并在Fairy的指导下惊险地完成了蛋糕的烤制，还守护了厨房完整性的精彩画面。
    不过，{M#铃}{F#哥哥}那里似乎留下了录像，现在去问问…说不定还能找到？</t>
  </si>
  <si>
    <t>PlayerBirthdayCake_2nd.png</t>
  </si>
  <si>
    <t>纪念款切片蛋糕</t>
  </si>
  <si>
    <t>由「法厄同生日预备联合会」制作的切片蛋糕；其精确的烹饪技法，由丽都最强人工智能管家检索比对后制定。</t>
  </si>
  <si>
    <t>「橙味芬达」饮料罐</t>
  </si>
  <si>
    <t>「芬达x绝区零」联动活动专属奖励；使用后可以获得60电量。</t>
  </si>
  <si>
    <t>广受好评的经典碳酸饮料，摄入多巴胺与能量的绝佳选择！
    作为竞争对手，圣霖公司饮品研发部负责人喝完后表示「不过如此」，却被目击到偷偷往家中囤了好几箱同款饮料。</t>
  </si>
  <si>
    <t>FentaIcon.png</t>
  </si>
  <si>
    <t>「橙味芬达」纪念罐</t>
  </si>
  <si>
    <t>「芬达x绝区零」联动活动纪念奖励。</t>
  </si>
  <si>
    <t>广受好评的经典碳酸饮料，让快乐立刻迸发的绝佳选择！
    小道消息称，对空六课的月城副科长已经将其写入了物资需求清单，并同时标注为工位饮料、团建饮料…和加班补给。</t>
  </si>
  <si>
    <t>FentaIcon_Mark.png</t>
  </si>
  <si>
    <t>「金绳奖」盛典奖杯</t>
  </si>
  <si>
    <t>「金绳奖年度盛典」活动专属奖励；使用后可以获得60电量。</t>
  </si>
  <si>
    <t>金光闪闪的奖杯，代表了来自朋友们的肯定和认可；显然，Fairy和伊埃斯强烈要求出镜——不止是在激动人心的直播盛典中，还在之后每一次回顾的时刻。</t>
  </si>
  <si>
    <t>GoldProxyTrophy.png</t>
  </si>
  <si>
    <t>「金绳奖」纪念奖杯</t>
  </si>
  <si>
    <t>「金绳奖年度盛典」活动纪念奖励。</t>
  </si>
  <si>
    <t>「所有的故事，都是因为有你，才得以发生。」</t>
  </si>
  <si>
    <t>GoldProxyTrophy_Mark.png</t>
  </si>
  <si>
    <t>「美味速攻」能量果冻</t>
  </si>
  <si>
    <t>「美味大作战」全球联动活动纪念奖励；使用后可以获得60电量。</t>
  </si>
  <si>
    <t>由滋滋脆脆美食铺为庆祝美食节而特别推出的能量果冻；在原有的能量补给配方基础上，融入了新艾利都人民喜爱的口味，因此大受欢迎；无论是日常运动健身，还是在空洞中需要临时跑过以骸，这款果冻都能够发挥它的价值。</t>
  </si>
  <si>
    <t>EnergyJelly.png</t>
  </si>
  <si>
    <t>「美味大作战」全球联动活动纪念奖励。</t>
  </si>
  <si>
    <t>由滋滋脆脆美食铺为庆祝美食节而特别推出的能量果冻；据Fairy检测，只需一包，就足以让一个普通市民在光映广场上风驰电掣五圈；也因此，在夜晚误食这种果冻的后果，通常是精神亢奋到与家里的邦布面面相觑到天亮。</t>
  </si>
  <si>
    <t>EmptyEnergyJelly.png</t>
  </si>
  <si>
    <t>「茶百道」珍珠茶奶</t>
  </si>
  <si>
    <t>「茶百道x绝区零」联动活动专属奖励；使用后可以获得60电量。</t>
  </si>
  <si>
    <t>享受一缕茶香和一口香醇，不需要任何理由！
    尝尝这杯，连汀曼咖啡和哩查茶奶都尝试研究的美味配方——蓝白色的可爱脑袋，现已征服新艾利都的众多市民！</t>
  </si>
  <si>
    <t>Chapanda.png</t>
  </si>
  <si>
    <t>「茶百道」茶奶纪念章</t>
  </si>
  <si>
    <t>「茶百道x绝区零」联动活动纪念奖励。</t>
  </si>
  <si>
    <t>享受一缕茶香和一口香醇，不需要任何理由！
    本纪念章精巧美观，适用于家居装饰、痛包点缀、彰显对饮品口味的追求与理解、标记自家邦布免于与其他邦布混淆等等；小道消息称，部分批次还具备鸣徽效果，但请谨慎尝试！</t>
  </si>
  <si>
    <t>Chapanda_Mark.png</t>
  </si>
  <si>
    <t>「游园熠刻」入场券</t>
  </si>
  <si>
    <t>购买「2025绝区零FES」门票后获得；使用后可以获得60电量。</t>
  </si>
  <si>
    <t>「世界全剧终，欢迎来到新艾利都！」
    忘记空洞、忘记委托——在末日与音乐织就的乐园里，倾听欢乐的、绝望的、紧张的、忧郁的…狂热的鼓点吧！</t>
  </si>
  <si>
    <t>ZZZFesTicket.png</t>
  </si>
  <si>
    <t>「游园熠刻」纪念票</t>
  </si>
  <si>
    <t>「2025绝区零FES」活动纪念奖励。</t>
  </si>
  <si>
    <t>兢兢业业处理绳网委托、勤勤恳恳拯救新艾利都的时候——重新翻出这张票根，记忆中那阵狂热的鼓点就会再次敲响。
    「世界全剧终，欢迎来到新艾利都！」</t>
  </si>
  <si>
    <t>ZZZFesTicket_Mark.png</t>
  </si>
  <si>
    <t>「荷美尔」牛肉干</t>
  </si>
  <si>
    <t>「荷美尔」联动活动专属奖励；使用后可以获得60电量。</t>
  </si>
  <si>
    <t>随时随地，臻享唇齿留香！
    外出郊游？吃这个！工作头晕？吃这个！
    看剧嘴馋？吃这个！半夜饿醒？吃这个！
    修身健体必备精品，福福大师姐倾力推荐！</t>
  </si>
  <si>
    <t>HormelTest.png</t>
  </si>
  <si>
    <t>「荷美尔」纪念挂饰</t>
  </si>
  <si>
    <t>「荷美尔」联动活动纪念奖励。</t>
  </si>
  <si>
    <t>随时随地，臻享唇齿留香！
    随包装附赠的纪念挂饰，明明没有气味，看起来却很香。
    于是小小的回忆浮现——沁鼻的鲜香，满足的味蕾，以及差点把挂饰当成牛肉干塞进嘴里的大师姐。</t>
  </si>
  <si>
    <t>HormelTest_Mark.png</t>
  </si>
  <si>
    <t>「梦想家」应援礼盒</t>
  </si>
  <si>
    <t>「妄想天使」亲自参与设计的应援礼盒，使用后可以获得60电量</t>
  </si>
  <si>
    <t>礼盒底部附有「妄想天使」三位成员的亲笔赠语：致最最亲爱的梦想家，希望你无论在哪里，都始终保有「妄想」的勇气！</t>
  </si>
  <si>
    <t>AppStore2-1.png</t>
  </si>
  <si>
    <t>「梦想家」礼盒·特别纪念装</t>
  </si>
  <si>
    <t>「妄想天使」亲自参与设计的应援礼盒，具有珍贵的纪念价值</t>
  </si>
  <si>
    <t>AppStore2-2.png</t>
  </si>
  <si>
    <t>衔瑞金箩</t>
  </si>
  <si>
    <t>「妄想天使」的拓金日礼物，使用后可获得60电量。</t>
  </si>
  <si>
    <t>「萝卜」是绳匠的象征之一，显然天使们十分认可店长的「副业」。正如妄想天使不会忘记与梦想家的约定，世上最好的绳匠自然守望着未竟的妄想。</t>
  </si>
  <si>
    <t>2_6_BatteryMail_1.png</t>
  </si>
  <si>
    <t>衔瑞金箩·纪念配饰</t>
  </si>
  <si>
    <t>「妄想天使」的拓金日礼物，具有珍贵的纪念价值</t>
  </si>
  <si>
    <t>2_6_BatteryMail_2.png</t>
  </si>
  <si>
    <t>遗存贮备</t>
  </si>
  <si>
    <t>使用后，可以从[腥风之握]、[活态驱动]、[终幕舞鞋]、[猩红引擎]和[狂信之塑]中自选一件获取。</t>
  </si>
  <si>
    <t>稀有形态以太凝结物的保存环境极其严苛，眼前的设备已是如今最完美的「储存方案」——持有者可以从中择取力量纳为己用，只要确保自己能够驾驭…而非被驾驭。</t>
  </si>
  <si>
    <t>BigBossSelectBox.png</t>
  </si>
  <si>
    <t>遗存秘藏</t>
  </si>
  <si>
    <t>使用后，可以从[稀有遗存]中自选一件获取。</t>
  </si>
  <si>
    <t>这些蠢蠢欲动的高浓度以骸凝结物，永远在等待着咆哮「出笼」的时刻——只要出价合适，它们随时准备着成为使用者力量的一部分…
    但是否足够温顺服从，就另当别论了。</t>
  </si>
  <si>
    <t>BigBossSelectBox2.png</t>
  </si>
  <si>
    <t>音擎4选1礼盒</t>
  </si>
  <si>
    <t>使用后，可以从音擎[聚宝箱]、[德玛拉电池Ⅱ型]、[仿制星徽引擎]和[家政员]中任选一件获取。</t>
  </si>
  <si>
    <t>全城畅销的音擎定制礼盒，众多商品评价中甚至有几个熟悉的ID；如果找这些朋友聊聊选择音擎的品味…说不定会有共鸣呢！</t>
  </si>
  <si>
    <t>GiftpackWegine.png</t>
  </si>
  <si>
    <t>基础养成礼包</t>
  </si>
  <si>
    <t>兑换后获得3盘资深调查员记录，2支以太镀剂，2枚邦布算法模块，3000丁尼</t>
  </si>
  <si>
    <t>NAPGPPLAYPOINT01.png</t>
  </si>
  <si>
    <t>进阶养成礼包</t>
  </si>
  <si>
    <t>兑换后获得5盘资深调查员记录，3支以太镀剂，2枚邦布系统控件，5000丁尼</t>
  </si>
  <si>
    <t>NAPGPPLAYPOINT02.png</t>
  </si>
  <si>
    <t>重启A级武器自选箱</t>
  </si>
  <si>
    <t>在仓库使用后，可从以下A级音擎中自选一个获取：贵重骨核、雨林饕客、星徽引擎、时光切片、正版变身器</t>
  </si>
  <si>
    <t>专为欲重启事业者准备的音擎订制礼盒，对谋求新的事业进展的人而言，这即是最具性价比的助力。</t>
  </si>
  <si>
    <t>GiftPack_BackWeaponSelect_A.png</t>
  </si>
  <si>
    <t>A级代理人联络信</t>
  </si>
  <si>
    <t>在仓库使用后，可从以下A级代理人中自选一位加入队伍：
    安比、妮可、可琳、比利、安东、本、苍角、露西、赛斯、派派</t>
  </si>
  <si>
    <t>在仓库使用后，可从以下A级音擎中自选一个获取：贵重骨核、雨林饕客、星徽引擎、时光切片、正版变身器、幻变魔方</t>
  </si>
  <si>
    <t>GiftPack_BackWeaponSelect_A_02.png</t>
  </si>
  <si>
    <t>「即刻邀约」礼盒</t>
  </si>
  <si>
    <t>可从以下A级代理人中自选一位加入队伍：
    安比、妮可、可琳、比利、安东、本、苍角、露西、派派、赛斯、波可娜</t>
  </si>
  <si>
    <t>OptionalGift_Avatar_A_01.png</t>
  </si>
  <si>
    <t>「特邀邦手」礼盒</t>
  </si>
  <si>
    <t>可从以下A级邦布中自选一布加入队伍：
    企鹅布、寻宝布、纸壳布、扑击布、纸袋布、泪眼布、果核布、飞靶布、电击布、磁力布、恶魔布、不良布</t>
  </si>
  <si>
    <t>OptionalGift_Bangboo_A_01.png</t>
  </si>
  <si>
    <t>战术棱镜自选方案</t>
  </si>
  <si>
    <t>战术棱镜的客制化自选方案
    HAND开发部基于战术棱镜方案开发的自选型装备箱。可以根据使用者的选择，生成其所需的战术棱镜方案。</t>
  </si>
  <si>
    <t>ItemCoopEquipPackage.png</t>
  </si>
  <si>
    <t>鸣徽自选箱</t>
  </si>
  <si>
    <t>客制化鸣徽自选箱，绳匠可以基于自身需求选择一项鸣徽。
    学会基于鸣徽系统开发的自选型鸣徽箱。可根据使用者的选择，生成其所需的鸣徽。</t>
  </si>
  <si>
    <t>「编织者」月历礼盒</t>
  </si>
  <si>
    <t>使用后使「绳网会员」生效时长增加30日。</t>
  </si>
  <si>
    <t>「编织者」会员的入会赠礼与权益凭证，也是绳匠之间流行的礼物；为避免隐私泄露，请自行确认赠送者或受赠者是否值得信任。</t>
  </si>
  <si>
    <t>MonthCard.png</t>
  </si>
  <si>
    <t>「编织者」拓金礼盒</t>
  </si>
  <si>
    <t>限定月历礼盒，获取后可激活30日「绳网会员-节日版」权益。</t>
  </si>
  <si>
    <t>为了迎合拓金日氛围，也感谢会员们一直以来的支持，绳网推出了会员特供的定制版月历礼盒——据说该礼盒会带来特别的好运。
    由于为节日特供版，该礼盒附赠的会员时长与常规「绳网会员」时长互不叠加，二者分别独立计算。</t>
  </si>
  <si>
    <t>CheckinGame25.png</t>
  </si>
  <si>
    <t>「畅行空洞」补给</t>
  </si>
  <si>
    <t>纪念日惊喜奖券</t>
  </si>
  <si>
    <t>购买该商品并在购买后21天内完成10天的累计登录任务，可获得240[菲林底片]、760[菲林]、60[原装芯片]和360000[丁尼]。</t>
  </si>
  <si>
    <t>启明寻光奖券</t>
  </si>
  <si>
    <t>「成长计划」银猪罐</t>
  </si>
  <si>
    <t>使用后解锁当期「丽都城募·成长计划」。</t>
  </si>
  <si>
    <t>丽都城募特供小猪罐，存放着价值不菲的奖励；但想要获得其中全部「硬币」，所需的努力远远超过打开一个普通储蓄罐。</t>
  </si>
  <si>
    <t>BPAdvance.png</t>
  </si>
  <si>
    <t>「典藏计划」金猪罐</t>
  </si>
  <si>
    <t>使用后解锁当期「丽都城募·典藏计划」。</t>
  </si>
  <si>
    <t>丽都城募特供金色小猪罐，存放着价值不菲的奖励；为了便于尊贵的用户取得专属礼物，其开启难度已经被大大降低。</t>
  </si>
  <si>
    <t>BPluxury.png</t>
  </si>
  <si>
    <t>BP进阶道具</t>
  </si>
  <si>
    <t>BP进阶道具描述</t>
  </si>
  <si>
    <t>BP进阶道具背景</t>
  </si>
  <si>
    <t>城募经验</t>
  </si>
  <si>
    <t>累计达到一定数额后，丽都城募的等级随之升级。</t>
  </si>
  <si>
    <t>丽都城募企划方认为，市民们认真生活的每一步足迹，都让这座城市更加伟大；而其中一些擅长计算的成员表示，精细的量化标准依然是很有必要的。</t>
  </si>
  <si>
    <t>BPExp.png</t>
  </si>
  <si>
    <t>「伟大建设者」凭证</t>
  </si>
  <si>
    <t>获得后激活城募赠礼。激活城募赠礼后可从音擎[电波漫步]、[加农转子]、[左轮转子]、[触电唇彩]、[逍遥游球]、[春日融融]中任选一件获取。</t>
  </si>
  <si>
    <t>丽都城募企划方准备的核心奖品领取凭证。既是奖池的门票，也是矜矜业业参与丽都城募计划的证明——辛苦了，伟大的新艾利都核心建设者！</t>
  </si>
  <si>
    <t>BPWeaponSelect.png</t>
  </si>
  <si>
    <t>BPSelect04.png</t>
  </si>
  <si>
    <t>一点点俏皮</t>
  </si>
  <si>
    <t>妮可的时装。</t>
  </si>
  <si>
    <t>狡兔屋老大的经典穿搭，隐藏了几分灵动的小心机，俏皮又可爱。</t>
  </si>
  <si>
    <t>狡黠甜心</t>
  </si>
  <si>
    <t>粉色！粉色！粉色！粉色就是妮可的本命色，心动了吗？</t>
  </si>
  <si>
    <t>Skin_NostradamusCunningCutie.png</t>
  </si>
  <si>
    <t>剪刀手艾鲨鲨</t>
  </si>
  <si>
    <t>艾莲的时装。</t>
  </si>
  <si>
    <t>维多利亚家政的锐利剪刀手，如果没打瞌睡的话…</t>
  </si>
  <si>
    <t>从周一到周五</t>
  </si>
  <si>
    <t>尾巴与校服不兼容，但只需要一点点的缝纫改造，就会变得更可爱！</t>
  </si>
  <si>
    <t>Skin_EllenOnCampus.png</t>
  </si>
  <si>
    <t>夜隐阑珊</t>
  </si>
  <si>
    <t>简的时装。</t>
  </si>
  <si>
    <t>无需模仿变装时，犯罪顾问的日常装扮。或许，这也不过是她千重面相的其中一副。夜色为她披上外衣，假面是她不变的真名。</t>
  </si>
  <si>
    <t>漪光夜曲</t>
  </si>
  <si>
    <t>海滨漫步何须阳光作陪？于真名不详的潜伏者而言，夜色才是最忠实的伙伴。「无名氏」小姐说，夜晚的大海埋藏着不可言说的秘密——这句话是真相，还是谎言？</t>
  </si>
  <si>
    <t>Skin_JaneDoeNocturneofLight.png</t>
  </si>
  <si>
    <t>绯红摇滚</t>
  </si>
  <si>
    <t>耀嘉音的时装。</t>
  </si>
  <si>
    <t>红色的张扬只为点燃内心深处的自由。舞台之上，没有什么能掩盖她的光芒。</t>
  </si>
  <si>
    <t>水晶灯下</t>
  </si>
  <si>
    <t>黑白相间的小礼服在光影间闪烁，她的每一丝微笑，仿佛沉入夜色的流光，成为永不过时的经典。</t>
  </si>
  <si>
    <t>Skin_AstraChandelier.png</t>
  </si>
  <si>
    <t>堇色蹁跹</t>
  </si>
  <si>
    <t>薇薇安的时装。</t>
  </si>
  <si>
    <t>保持优雅，薇薇安小姐，从伞尖直到裙摆。保持勇气，薇薇安小姐，无论昨夜的孑然独行或今天的与我同在。</t>
  </si>
  <si>
    <t>鸢花池畔</t>
  </si>
  <si>
    <t>飞鸟坠入星河，鸢尾绽放池畔。这烂漫的月夜即使短暂，也请在我绽放的时分，让我看到你眼睛里的流连期盼。</t>
  </si>
  <si>
    <t>Skin_VivianIrisoftheShore.png</t>
  </si>
  <si>
    <t>观云同岿</t>
  </si>
  <si>
    <t>仪玄的时装。</t>
  </si>
  <si>
    <t>身为云岿山宗主，穿搭和饰品只需自然随心，率性而为即可。</t>
  </si>
  <si>
    <t>墨形影踪</t>
  </si>
  <si>
    <t>墨色基调的定制服饰，行踪如影，倏而即逝。</t>
  </si>
  <si>
    <t>Skin_YiXuanTrailsofInk.png</t>
  </si>
  <si>
    <t>圣星裁仪</t>
  </si>
  <si>
    <t>爱丽丝的时装。</t>
  </si>
  <si>
    <t>少女的完全对称美学，唯有在佩戴校徽时会稍作让步。这便是优雅且高尚的泰姆菲尔德精神。</t>
  </si>
  <si>
    <t>百里香之海</t>
  </si>
  <si>
    <t>尽管并非完全对称，来自挚友的礼物却意外地让少女没那么抗拒。
    少女推开紧闭的门扉，行走在骤雨停歇后的粉色沙滩上，有点冰凉的海浪刚好能没过脚踝。已再没有什么未知能让她感到恐惧。</t>
  </si>
  <si>
    <t>Skin_AliceSeaofThyme.png</t>
  </si>
  <si>
    <t>伞下梦貉</t>
  </si>
  <si>
    <t>柚叶的时装。</t>
  </si>
  <si>
    <t>猜猜伞下所遮住的是什么…狸猫，陷阱，鬼怪，抑或少女狡黠而活泼的笑容？</t>
  </si>
  <si>
    <t>晴空化狸</t>
  </si>
  <si>
    <t>怪谈并非只在阴影中诞生，不信请与这位嬉笑着戏水的少女对视…你的心绪会被她占据，你手里的饮料也会被阿釜顺走。</t>
  </si>
  <si>
    <t>Skin_YuzuhaTanukiinBroadDaylight.png</t>
  </si>
  <si>
    <t>食引百味</t>
  </si>
  <si>
    <t>潘引壶的时装。</t>
  </si>
  <si>
    <t>云岿山现存最大款式的弟子服饰，既容师兄肚量，又容百味调料，头顶铁锅乃一种首创。但…刚炒完菜的锅放在头上，真的不烫吗？</t>
  </si>
  <si>
    <t>馔玉烹金</t>
  </si>
  <si>
    <t>师哥也曾梦想成为一名伟大的厨子，但这世道里，总有想砸你锅碗瓢盆的歹人。
    ——「你砸一个试试？」</t>
  </si>
  <si>
    <t>Skin_CulinaryJewel.png</t>
  </si>
  <si>
    <t>流云照影</t>
  </si>
  <si>
    <t>叶瞬光的时装。</t>
  </si>
  <si>
    <t>云纹织锦，剑光照影，衣着亦如其人。
    到底是谁选中了这套衣裙，是自己，亦或是内心更深处的…那个她？</t>
  </si>
  <si>
    <t>暖霞拾光</t>
  </si>
  <si>
    <t>霞光温柔，微风和煦，而你们在街道上行走，期待着下一次邂逅。</t>
  </si>
  <si>
    <t>Skin_YeShunguangTouchofDawnlight.png</t>
  </si>
  <si>
    <t>赤心荒魂</t>
  </si>
  <si>
    <t>狛野真斗的时装。</t>
  </si>
  <si>
    <t>泅珑围地区非官方调解人的常用装束，足以震慑宵小之徒。
    不过，偶尔也会吸引一些飘忽的目光。</t>
  </si>
  <si>
    <t>白心旧影</t>
  </si>
  <si>
    <t>幼年的真斗与自己立下孤独的盟誓——于是，溺想中诞生了一只苍青的茕影。
    模仿他的装扮，能使原本就出众的威慑力更添一筹。</t>
  </si>
  <si>
    <t>Skin_WhiteHeartSilhouette.png</t>
  </si>
  <si>
    <t>妄念环响</t>
  </si>
  <si>
    <t>千夏的时装。</t>
  </si>
  <si>
    <t>只要穿上少女心目中最可爱的衣服，就能逃离人群的包围，躲进妄想的回声里。</t>
  </si>
  <si>
    <t>午后茶歇</t>
  </si>
  <si>
    <t>新鲜出炉的蛋糕、醇香芬芳的咖啡、还有午后温煦的暖阳…
    在所有温柔环绕的时刻，开启今日茶歇时光。</t>
  </si>
  <si>
    <t>Skin_SunnaAfternoonTeaBreak.png</t>
  </si>
  <si>
    <t>不协和音</t>
  </si>
  <si>
    <t>爱芮的时装</t>
  </si>
  <si>
    <t>爱芮在特别演出中的表演服装，出场次数屈指可数。
    纯白的「天使」，披上了「恶魔」的羽翼。深呼吸，准备好…聚光灯亮起之后，就是属于「妄想天使」的叛逆时间！</t>
  </si>
  <si>
    <t>Skin_AriaDiscordantNote.png</t>
  </si>
  <si>
    <t>头像1</t>
  </si>
  <si>
    <t>测试</t>
  </si>
  <si>
    <t>头像2</t>
  </si>
  <si>
    <t>头像3</t>
  </si>
  <si>
    <t>头像4</t>
  </si>
  <si>
    <t>头像5</t>
  </si>
  <si>
    <t>头像6</t>
  </si>
  <si>
    <t>头像7</t>
  </si>
  <si>
    <t>头像8</t>
  </si>
  <si>
    <t>头像9</t>
  </si>
  <si>
    <t>头像10</t>
  </si>
  <si>
    <t>头像11</t>
  </si>
  <si>
    <t>「丽都大亨」</t>
  </si>
  <si>
    <t>「丽都城募·典藏计划」纪念头像。</t>
  </si>
  <si>
    <t>「丽都城募」企划方唯一公开过的创始人形象。
    尽管被「金币」淹没的造型很容易引人嫉妒，但谁能拒绝丽都城募的丰厚收益…和金光闪闪的尊贵头像呢？</t>
  </si>
  <si>
    <t>ItemProfile1001.png</t>
  </si>
  <si>
    <t>高效避暑方案</t>
  </si>
  <si>
    <t>绝对难以抗拒的高效避暑方案——享受海洋的拥抱，让燥热随水流而去！
    另：邦布潜水用具火热发售中，欢迎关注潮流品牌「城市囚徒」。</t>
  </si>
  <si>
    <t>ItemProfile1002.png</t>
  </si>
  <si>
    <t>「隐藏结局」</t>
  </si>
  <si>
    <t>几乎没有人注意到有一只普通的社会服务型邦布擅离职守，除了它的猫——
    能回溯数据记录的，是程序错误…还是「爱」？</t>
  </si>
  <si>
    <t>ItemProfile1003.png</t>
  </si>
  <si>
    <t>首席古典乐DJ</t>
  </si>
  <si>
    <t>与埃珐交好的一位DJ，虽然头戴最新款耳机，但唯独钟爱古典乐；它将与倾听者一起在旋律里畅游…直到双方都酣然入睡。</t>
  </si>
  <si>
    <t>ItemProfile1004.png</t>
  </si>
  <si>
    <t>温暖的游戏</t>
  </si>
  <si>
    <t>飘雪的冬日，温暖依旧跃动在咕嘟作响的热汤、傍晚点燃的壁炉，还有铃妹搓热的手心里。
    但如果搓热的手心捂上了松软的雪球，再紧紧攥住，再多揉上几层…</t>
  </si>
  <si>
    <t>ItemProfile1005.png</t>
  </si>
  <si>
    <t>烟花的倒影</t>
  </si>
  <si>
    <t>穿越距离、看破空洞的眼睛，在此时，只倒映绚烂的烟花。
    丢下委托、忘却以骸、甩掉末日——年岁交替的那一刻，只你共我。</t>
  </si>
  <si>
    <t>ItemProfile1006.png</t>
  </si>
  <si>
    <t>「我爱你的心」</t>
  </si>
  <si>
    <t>「我不在乎其他人的看法，正如我不在乎天空是否会崩塌，明天是否还存在…」
    「我在乎的东西唯有一个，那就是此时此刻，那个名字的所有者是否也在乎着我。」</t>
  </si>
  <si>
    <t>ItemProfile1007.png</t>
  </si>
  <si>
    <t>携手漫游</t>
  </si>
  <si>
    <t>无论在哪一个世界，与我携手漫游、跨越无尽空间的人，始终都是你。
    无论是哪一次漫游，忘记做好计划、最终手忙脚乱的人…始终还是你。</t>
  </si>
  <si>
    <t>ItemProfile1008.png</t>
  </si>
  <si>
    <t>「急需武指！」</t>
  </si>
  <si>
    <t>云岿山的师姐推荐反派演员时，强调这位老乡的武艺与演技同样出色，看似凶猛但颇有耐心。
    …师姐能不能再推荐一位同样出色的武术指导，来救救两位惊慌失措的主演啊！！</t>
  </si>
  <si>
    <t>ItemProfile1009.png</t>
  </si>
  <si>
    <t>水下观光之旅</t>
  </si>
  <si>
    <t>回家检查拍摄成果的时候——
    从哲的相机内存中，找到了鲜艳的珊瑚、活泼灵动的鱼群，和姿态优雅的铃。
    从铃的相机内存中，找到了粼粼的白光、无法辨认的生物，和面目模糊的哲。</t>
  </si>
  <si>
    <t>ItemProfile1010.png</t>
  </si>
  <si>
    <t>荷下清梦</t>
  </si>
  <si>
    <t>在仿佛无尽长的夏日里，有些荣光加身、命悬一线、力挽狂澜、功成身退…属于法厄同。
    还有些澄溪轻漪、清荷悠光、长日闲梦、睡眼惺忪…只属于铃与哲。</t>
  </si>
  <si>
    <t>ItemProfile1011.png</t>
  </si>
  <si>
    <t>酣梦浮于轻絮</t>
  </si>
  <si>
    <t>「哥哥…那只邦布…能找到回家的路吗…」
    「…好困啊。要不，故事的结尾就等我们醒了之后再读吧？」
    「哥哥可不要忘了…」</t>
  </si>
  <si>
    <t>ItemProfile1012.png</t>
  </si>
  <si>
    <t>枫月闲憩</t>
  </si>
  <si>
    <t>「一丁尼布」寄来了明信片：它和你为它救回的小猫朋友过得很好。
    更好的是，现在它们已经有家了！先拥抱深秋的暖阳与枫叶吧——家里还有满格的电池和美味的罐头，在等它们享用呢。</t>
  </si>
  <si>
    <t>ItemProfile1013.png</t>
  </si>
  <si>
    <t>专属应援</t>
  </si>
  <si>
    <t>「丽都城募·成长计划」纪念头像。</t>
  </si>
  <si>
    <t>「哥哥，荧光棒是要跟着节奏挥~起来的！光举着可不算数哦！」
    「左右左、上左下下…铃？你刚刚说什么？给我一分钟，马上就把动作捋清楚了。」</t>
  </si>
  <si>
    <t>ItemProfile1014.png</t>
  </si>
  <si>
    <t>魔术皆为奇迹</t>
  </si>
  <si>
    <t>世界总喜欢藏起重要的东西，又热衷在某个猝不及防的瞬间，将其轻轻推到跟前。
    指尖翻转，掌声未落，目光一瞬交汇，奇迹如期而至。</t>
  </si>
  <si>
    <t>ItemProfile1015.png</t>
  </si>
  <si>
    <t>芬芳侵染</t>
  </si>
  <si>
    <t>零号空洞调查执照达到指定等级后，获得的奖励头像。</t>
  </si>
  <si>
    <t>也许你已经收到了零号空洞赠予的花种？只要付出一点生命力作为养料，它就能依偎在你的身上吐露芬芳——多么公平的交易。</t>
  </si>
  <si>
    <t>ItemProfile2001.png</t>
  </si>
  <si>
    <t>式舆防卫·应变</t>
  </si>
  <si>
    <t>「式舆防卫战·剧变节点」全S纪念头像。</t>
  </si>
  <si>
    <t>在剧变之中，唯有你是永恒的锚点。</t>
  </si>
  <si>
    <t>ItemProfileHadalZone.png</t>
  </si>
  <si>
    <t>无尽攀登·坦途</t>
  </si>
  <si>
    <t>「拟真鏖战试炼」特定层数纪念头像。</t>
  </si>
  <si>
    <t>力破重围、鏖战登峰，则四顾皆为坦途。</t>
  </si>
  <si>
    <t>ItemProfileTower.png</t>
  </si>
  <si>
    <t>危局强袭·破阵</t>
  </si>
  <si>
    <t>「危局强袭战」满星挑战纪念头像。</t>
  </si>
  <si>
    <t>空洞即迷阵，非精研战阵者，有去无回，有死无生。</t>
  </si>
  <si>
    <t>ItemProfile2005.png</t>
  </si>
  <si>
    <t>最后一剂</t>
  </si>
  <si>
    <t>「零号空洞·迷失之地」调查进度达到指定等级的纪念头像。</t>
  </si>
  <si>
    <t>收下这件来自阴影之中的礼物，也许就能振奋精神，脱离「迷失」。
    但更大的可能性是：神志清醒地继续困兽之斗…最终加入所面对的敌人，成为阴影中的下一声嘶吼。</t>
  </si>
  <si>
    <t>ItemProfile2006.png</t>
  </si>
  <si>
    <t>无边末路·穷途</t>
  </si>
  <si>
    <t>「鏖战试炼：末路」特定层数纪念头像。</t>
  </si>
  <si>
    <t>末路穷途，生机一线；白刃破障，别有洞天。</t>
  </si>
  <si>
    <t>ItemProfile2007.png</t>
  </si>
  <si>
    <t>攫掠炽芯</t>
  </si>
  <si>
    <t>它那枯瘦而尖利的手指，始终紧攥着操控整个「迷失之地」的钥匙。
    注视太久的话…也许会在无知无觉中加入被操纵者的行列哦。</t>
  </si>
  <si>
    <t>ItemProfile2008.png</t>
  </si>
  <si>
    <t>「凝望」的时刻</t>
  </si>
  <si>
    <t>限时活动「庆典专属频道」奖励头像。
    活动限时获取。</t>
  </si>
  <si>
    <t>不知不觉间，有一道视线已经注视你很久了——等等，只有一道视线的注视…还真挺少见的？
    「异议。『眼睛』只是程序运行的显示形式。在这段时间里，我并非仅在注视——新艾利都最强人工智能助手的全部代码，都在为主人运转。」</t>
  </si>
  <si>
    <t>ItemProfile2009.png</t>
  </si>
  <si>
    <t>荣耀所眷·冠冕</t>
  </si>
  <si>
    <t>「鏖战试炼：荣耀」特定分数纪念头像。</t>
  </si>
  <si>
    <t>强者，以鏖战的荣耀，为自己加冕。</t>
  </si>
  <si>
    <t>BabelTowerS3_Legend.png</t>
  </si>
  <si>
    <t>殊途千变</t>
  </si>
  <si>
    <t>「临界推演：歧路回响」纪念头像。</t>
  </si>
  <si>
    <t>踏上殊途，历险千变。</t>
  </si>
  <si>
    <t>VoidFrontRecord_001.png</t>
  </si>
  <si>
    <t>三Z·永不落幕</t>
  </si>
  <si>
    <t>限时活动「点映返礼」纪念头像。</t>
  </si>
  <si>
    <t>过往的每一卷胶片，都映着你的身影。
    未来的每一个故事，也期待有你同在。
    新艾利都，永不落幕！</t>
  </si>
  <si>
    <t>ItemProfile2012.png</t>
  </si>
  <si>
    <t>寻真探义</t>
  </si>
  <si>
    <t>「临界推演：千面终局」纪念头像。</t>
  </si>
  <si>
    <t>在数据的经纬上，测算那条唯一的真实之路。</t>
  </si>
  <si>
    <t>VoidFrontRecord_002.png</t>
  </si>
  <si>
    <t>不熄之心</t>
  </si>
  <si>
    <t>若仍在求索的道途，那这颗心脏便不曾熄灭。</t>
  </si>
  <si>
    <t>VoidFrontRecord_003.png</t>
  </si>
  <si>
    <t>麦小布嗯呢嗯呢</t>
  </si>
  <si>
    <t>麦当劳联动活动纪念头像。</t>
  </si>
  <si>
    <t>轻松欢乐的聚会时间！BFF们悉数到齐…现在，	
    大家还在期待谁的出现呢?
    噔噔！麦小布正在门外一一丰盛美味即刻送达！</t>
  </si>
  <si>
    <t>ItemProfileActivityCollaboration01.png</t>
  </si>
  <si>
    <t>轻摇wink</t>
  </si>
  <si>
    <t>社区活动奖励头像。</t>
  </si>
  <si>
    <t>查收到一封来自光映广场的邀约——
    此时风轻云淡，阳光正好…何不暂且忘却空洞、以骸与工作，一同在这惬意的午后，面对人流，悠闲摇摆？</t>
  </si>
  <si>
    <t>ItemProfile4001.png</t>
  </si>
  <si>
    <t>来罐芬达！</t>
  </si>
  <si>
    <t>芬达联动活动纪念头像。</t>
  </si>
  <si>
    <t>来罐芬达，快乐迸发~
    当惬意的气泡跃动浮起，将芬达的彩色多巴胺注入此刻——就现在，缤纷一下！</t>
  </si>
  <si>
    <t>ItemProfileActivityCollaboration02.png</t>
  </si>
  <si>
    <t>风味归途</t>
  </si>
  <si>
    <t>限时联动活动「美味大作战」奖励头像。
    活动限时获取。</t>
  </si>
  <si>
    <t>美食拼盘，温暖抵达家门。不论哪种滋味，总能唤起那一份藏在心底最初的感动，就像童年饭桌边的一句轻声呼唤，唤回了整个世界的温柔。</t>
  </si>
  <si>
    <t>ItemProfileActivityCollaboration03.png</t>
  </si>
  <si>
    <t>闪耀丽都时间！</t>
  </si>
  <si>
    <t>「2025绝区零FES」纪念头像。</t>
  </si>
  <si>
    <t>多亏了Fairy贴心的安排，才得以从繁忙的日程中抽身——
    今天最重要的委托，就是跟随节拍、闪耀新艾利都！</t>
  </si>
  <si>
    <t>ItemProfile7001.png</t>
  </si>
  <si>
    <t>代理人头像·安比</t>
  </si>
  <si>
    <t>ItemProfileGeneral.png</t>
  </si>
  <si>
    <t>代理人头像·妮可</t>
  </si>
  <si>
    <t>代理人头像·可琳</t>
  </si>
  <si>
    <t>代理人头像·比利</t>
  </si>
  <si>
    <t>代理人头像·安东</t>
  </si>
  <si>
    <t>代理人头像·本</t>
  </si>
  <si>
    <t>代理人头像·苍角</t>
  </si>
  <si>
    <t>代理人头像·露西</t>
  </si>
  <si>
    <t>代理人头像·赛斯</t>
  </si>
  <si>
    <t>代理人头像·派派</t>
  </si>
  <si>
    <t>代理人头像·猫又</t>
  </si>
  <si>
    <t>代理人头像·「11号」</t>
  </si>
  <si>
    <t>代理人头像·珂蕾妲</t>
  </si>
  <si>
    <t>代理人头像·莱卡恩</t>
  </si>
  <si>
    <t>代理人头像·格莉丝</t>
  </si>
  <si>
    <t>代理人头像·丽娜</t>
  </si>
  <si>
    <t>代理人头像·伊德海莉</t>
  </si>
  <si>
    <t>代理人头像·凯撒</t>
  </si>
  <si>
    <t>代理人头像·雅</t>
  </si>
  <si>
    <t>代理人头像·莱特</t>
  </si>
  <si>
    <t>代理人头像·柏妮思</t>
  </si>
  <si>
    <t>代理人头像·艾莲</t>
  </si>
  <si>
    <t>代理人头像·悠真</t>
  </si>
  <si>
    <t>代理人头像·月城柳</t>
  </si>
  <si>
    <t>代理人头像·朱鸢</t>
  </si>
  <si>
    <t>代理人头像·青衣</t>
  </si>
  <si>
    <t>代理人头像·简</t>
  </si>
  <si>
    <t>代理人头像·奥菲丝&amp;「鬼火」</t>
  </si>
  <si>
    <t>代理人头像·耀嘉音</t>
  </si>
  <si>
    <t>代理人头像·伊芙琳</t>
  </si>
  <si>
    <t>代理人头像·照</t>
  </si>
  <si>
    <t>代理人头像·爱丽丝</t>
  </si>
  <si>
    <t>代理人头像·柚叶</t>
  </si>
  <si>
    <t>代理人头像·叶瞬光</t>
  </si>
  <si>
    <t>代理人头像·狛野真斗</t>
  </si>
  <si>
    <t>代理人头像·卢西娅</t>
  </si>
  <si>
    <t>代理人头像·「席德」</t>
  </si>
  <si>
    <t>代理人头像·般岳</t>
  </si>
  <si>
    <t>代理人头像·琉音</t>
  </si>
  <si>
    <t>代理人头像·千夏</t>
  </si>
  <si>
    <t>代理人头像·爱芮</t>
  </si>
  <si>
    <t>荣誉市民</t>
  </si>
  <si>
    <t>绳网用户的默认名片。</t>
  </si>
  <si>
    <t>矗立于空洞的阴影之外，我们所为之奋斗和为之骄傲的——就是新艾利都。</t>
  </si>
  <si>
    <t>幸运启程</t>
  </si>
  <si>
    <t>「丽都城募·典藏计划」纪念名片。</t>
  </si>
  <si>
    <t>嗷呜在等你——到街对面领取一份小幸运，开启新一天的丽都生活吧！</t>
  </si>
  <si>
    <t>Callingcard03.png</t>
  </si>
  <si>
    <t>奔向热浪</t>
  </si>
  <si>
    <t>《丽都导览》评选，蝉联榜首10年的最佳夏日度假胜地——入选理由：「阳光永不过时」。</t>
  </si>
  <si>
    <t>Callingcard05.png</t>
  </si>
  <si>
    <t>迷你款探险故事</t>
  </si>
  <si>
    <t>电影《7710和他的猫》纪念名片。
    想要打破「第四堵墙」的观众收获了充满遗憾的故事；生活与影片，本就有天壤之别…吗？</t>
  </si>
  <si>
    <t>Callingcard07.png</t>
  </si>
  <si>
    <t>午后吟游</t>
  </si>
  <si>
    <t>「吟游唱针」店铺会员卡。
    在阳光轻盈的午后，同一位姿容优雅的女士分享音乐，实在令人愉快；但唱针的跳跃是否能让人如愿以偿…还得静待前奏响起。</t>
  </si>
  <si>
    <t>Callingcard09.png</t>
  </si>
  <si>
    <t>兄友妹恭</t>
  </si>
  <si>
    <t>「好喜欢和哥哥一起打雪仗！谁赢了就可以在对方身上放邦布雪球，他总会让着我~」
    「铃团的雪球打人特别疼，真不知道她是怎么做到的…每次都只能赶紧投降躺下，不然就完了。」</t>
  </si>
  <si>
    <t>Callingcard11.png</t>
  </si>
  <si>
    <t>不可缺席的日程</t>
  </si>
  <si>
    <t>本次家庭日活动轮值摄影师兼家庭保卫处负责布，小六子，为您记录美好时刻：
    最重要的活动、绝不可缺席的日程——哪怕刘海起飞、哪怕被雪团砸到的伤口还没痊愈，也要一起出门看烟花！</t>
  </si>
  <si>
    <t>Callingcard15.png</t>
  </si>
  <si>
    <t>雨霁的绮梦</t>
  </si>
  <si>
    <t>如果余生只能重复早已录制的台词，那么幸好还能一遍遍讲述「爱你」。
    劫后重逢的那天太仓促…待到雨霁春明，鲜花总可以从容绽放，然后被送到「爱人」的手中。</t>
  </si>
  <si>
    <t>Callingcard16.png</t>
  </si>
  <si>
    <t>像素世界历险记</t>
  </si>
  <si>
    <t>驯服噬魂犬、挑战贪吃蛇、翻越涡轮出租车…在像素世界里，「法厄同」依然所向披靡！
    且战且胜中，补给时间到！等等——刚才出门之前说好的…是谁带电池？</t>
  </si>
  <si>
    <t>Callingcard17.png</t>
  </si>
  <si>
    <t>《伏虎传说》</t>
  </si>
  <si>
    <t>「传说云岿山瘴气弥漫，一只斑斓猛虎盘踞其中，众人苦之久矣。一对英勇的兄妹挺身而出——他们仔细地把自己伪装成老虎，悄悄接近…」
    「等等！！导演！你不是说我们的动作戏全都用绿幕合成吗？！啊啊啊！」</t>
  </si>
  <si>
    <t>Callingcard19.png</t>
  </si>
  <si>
    <t>特约浮潜摄影</t>
  </si>
  <si>
    <t>来到了某位大家族继承人推荐的，全新艾利都最棒的浮潜地点！但婉拒了她推荐的浮潜摄影师。
    也许…面对陌生的缤纷世界，没有比好奇心更好的摄影师；面对朝夕相处的亲人，也没有比耐心和爱更好的摄影技巧。
    ——不是说就能保证成果很美丽的意思。</t>
  </si>
  <si>
    <t>Callingcard23.png</t>
  </si>
  <si>
    <t>倦后不知天在水</t>
  </si>
  <si>
    <t>「盛夏的午后，躺在荷花和荷叶下的水面上乘凉…就像是童话故事里小动物们的生活！」
    「唔…如果『小动物』是说这些比我们还困的水豚；那荷花和荷叶，不会是指铃你刚才从饰品店里带回来的赠品发卡吧…」
    「不过，为什么是我戴花？」</t>
  </si>
  <si>
    <t>Callingcard26.png</t>
  </si>
  <si>
    <t>此刻枕风眠云</t>
  </si>
  <si>
    <t>手机里没有敲敲的提示音、门外没有代理人们礼貌或急切的问候、街头也没有来自治安局的紧急疏散通告；连Fairy的演算声，都像微风掠过云间一样轻盈柔和…
    是时候睡个好觉了。</t>
  </si>
  <si>
    <t>Callingcard27.png</t>
  </si>
  <si>
    <t>一丁尼的秋游</t>
  </si>
  <si>
    <t>在所有关于秋天的故事里，我收藏金黄的落叶、松软的草坪、燃烧的红笺；但我还是最享受…你靠在我外壳上的时候。
    邦布的逻辑核心只是一枚机械，但在这样毛茸茸的时刻，我似乎能听见它在我胸膛中鼓动的声响。</t>
  </si>
  <si>
    <t>Callingcard30.png</t>
  </si>
  <si>
    <t>偶像新生计划</t>
  </si>
  <si>
    <t>「丽都城募·成长计划」纪念名片。</t>
  </si>
  <si>
    <t>「早就跟哥哥说啦，像我这样元气可爱的录像店长和聪明勇敢的绳匠！一定也可以成为光彩夺目的偶像…」
    「诶？哥哥——你还好吗？！」
    「铃，换、换一首歌吧…这首的拍子太快了…」
    为最后的安可曲完成应援后，哲坐在地上，拿出最后的力气又甩了两下荧光棒。</t>
  </si>
  <si>
    <t>Callingcard33.png</t>
  </si>
  <si>
    <t>白鸽与烟火之间</t>
  </si>
  <si>
    <t>业余魔术师声称自己的礼帽深不见底，足够装下世间一切奇迹。也许是跃然翻飞的白鸽，也许是等待燃起的烟火——
    也许，是笑着向我挥手的你。
    「这…根本就不算魔术吧？」
    「小时候，让我藏在她帽子底下的某人，当初可不是这么想的哦。」</t>
  </si>
  <si>
    <t>Callingcard37.png</t>
  </si>
  <si>
    <t>「另一面」</t>
  </si>
  <si>
    <t>绳匠生日赠礼。</t>
  </si>
  <si>
    <t>「祝新艾利都最出色的绳匠，也是最棒的录像店店长——我的{M#哥哥}{F#妹妹}，生日快乐！」</t>
  </si>
  <si>
    <t>Callingcard02.png</t>
  </si>
  <si>
    <t>「你真棒噗」</t>
  </si>
  <si>
    <t>限时活动获取。</t>
  </si>
  <si>
    <t>绘有治安局唯一指定代言人形象的好市民认证——从拥有者数量看，喵吉长官眼中没有坏市民。</t>
  </si>
  <si>
    <t>Callingcard06.png</t>
  </si>
  <si>
    <t>人气赠品</t>
  </si>
  <si>
    <t>《丽都导览》杂志活动赠品之赠品…考虑到读者需要购买合订本全册才能获得，每一张都证明着杂志社在本次活动中收获颇丰。</t>
  </si>
  <si>
    <t>Callingcard08.png</t>
  </si>
  <si>
    <t>BFF友谊麦岁！</t>
  </si>
  <si>
    <t>麦当劳联动活动纪念名片。</t>
  </si>
  <si>
    <t>无论身在何处，点份BFF麦麦拼盘，就能想起曾经一起分享炸鸡的BFF好友。
    也许生活让我们分开，但友谊与回忆将永远如炸鸡一般炙热多汁、外脆里嫩！</t>
  </si>
  <si>
    <t>CallingcardActivityCollaboration01.png</t>
  </si>
  <si>
    <t>格列佛报到</t>
  </si>
  <si>
    <t>「星流霆击」1.4版本预约活动奖励名片。</t>
  </si>
  <si>
    <t>在此为您介绍，对空六课为本次特别委托派遣到来的联络员。
    它目光如炬、射术精湛，它稳重细致、友善可靠；它就是——格列佛探员！</t>
  </si>
  <si>
    <t>Callingcard13.png</t>
  </si>
  <si>
    <t>「激战！」</t>
  </si>
  <si>
    <t>限时活动「小邦布大战坏以骸」活动奖励名片。
    活动限时获取。</t>
  </si>
  <si>
    <t>「嗯呢，呢！（坏以骸，吃我一脚！）」
    ——本影像资料拍摄于玛瑟尔集团旗下「战斗邦布资格测试」现场，出镜考生：大坚果。</t>
  </si>
  <si>
    <t>Callingcard14.png</t>
  </si>
  <si>
    <t>助理导演工牌</t>
  </si>
  <si>
    <t>限时活动「乘上春日的影像」活动奖励名片。
    活动限时获取。</t>
  </si>
  <si>
    <t>助理导演体验卡，现已到账！场记板标记完成、扩音喇叭充电完成、监视器摆放完成！
    趁春风和煦，看春光正好，朋友们也纷纷走入镜头——「Action！」</t>
  </si>
  <si>
    <t>Callingcard18.png</t>
  </si>
  <si>
    <t>「一触即发」</t>
  </si>
  <si>
    <t>限时活动「钢魂：黄金之绊」活动奖励名片。
    活动限时获取。</t>
  </si>
  <si>
    <t>我们各自心怀守护，也各有必须争夺的理由。纵使重装铁拳轰然落下，亦难以抹灭那颗闪耀黄金意志的心。</t>
  </si>
  <si>
    <t>Callingcard20.png</t>
  </si>
  <si>
    <t>特别的一天</t>
  </si>
  <si>
    <t>这也许并不算是一份惊喜，毕竟你我都知道——岁岁年年，它都将如约而至。
    但即便如此，最好还是不要打扰伊埃斯的排练！如果没有安排好弹射角度，说不定会撞倒昂贵又脆弱的绝版录像带…</t>
  </si>
  <si>
    <t>Callingcard21.png</t>
  </si>
  <si>
    <t>「食」光深处</t>
  </si>
  <si>
    <t>限时联动活动「美味大作战」奖励名片。
    活动限时获取。</t>
  </si>
  <si>
    <t>是否存在这样一个世界，它的每一片砖瓦都由简单与经典的美食堆砌而成。
    而在这个世界的中央，静静留下的，是曾经无忧无虑的我们。</t>
  </si>
  <si>
    <t>CallingcardActivityCollaboration02.png</t>
  </si>
  <si>
    <t>多巴胺假日计划</t>
  </si>
  <si>
    <t>芬达联动活动纪念名片。</t>
  </si>
  <si>
    <t>理想的假日计划，包含很多日程：热闹的聚餐、惬意的漫步、轻松的休憩…
    所有日程里都需要的，正是一罐芬达——趁现在，拉开拉环，让橙色的快乐在假日里喷涌成浪花！</t>
  </si>
  <si>
    <t>CallingcardActivityCollaboration03.png</t>
  </si>
  <si>
    <t>音「跃」派对</t>
  </si>
  <si>
    <t>限时活动「音跃狂潮」活动奖励名片。
    活动限时获取。</t>
  </si>
  <si>
    <t>各位来宾们，欢迎进入派对时刻~
    我们不负责任地承诺，将会让你在派对中彻底远离日常的烦嚣，释放出所有的自我，你可以尽情向工作人员诉说你平时难以透露的真心话，哪怕是邦布对主人的吐槽——我们保证听过以后就会忘记。</t>
  </si>
  <si>
    <t>Callingcard25.png</t>
  </si>
  <si>
    <t>空洞闪耀计划</t>
  </si>
  <si>
    <t>限时活动「咔嚓！闪耀大进击」活动奖励名片。
    活动限时获取。</t>
  </si>
  <si>
    <t>咔咔咔！以骸闻风丧胆！
    咔咔咔！空洞尽闻威名！
    各位市民，让我们对尊敬的「以骸终结者」、「空洞救世主」——咔爷——致以最真诚的赞美和最热烈的掌声！</t>
  </si>
  <si>
    <t>Callingcard28.png</t>
  </si>
  <si>
    <t>「未完待续」</t>
  </si>
  <si>
    <t>限时活动「新黄金魔神战士」活动奖励名片。 
    活动限时获取。</t>
  </si>
  <si>
    <t>替未完成的妄想画上羽翼，静候它在夜空下化作流星；对懵懂时的自己夸下海口，发誓要见到最灿烂的黎明。
    回过头，金色的梦想仍在地平线尽头守望——原来我们还没有跑出童年。
    「黄金魔神号，屹立于大地之上！」</t>
  </si>
  <si>
    <t>Callingcard31.png</t>
  </si>
  <si>
    <t>游园熠刻</t>
  </si>
  <si>
    <t>「2025绝区零FES」纪念名片。</t>
  </si>
  <si>
    <t>因为收到了不止一位朋友的热情邀请，绳匠兄妹准时准点出现在了「全新艾利都最好听的地方」。
    意料之外的是，铃与哲成为了全场最闪耀的观众——毕竟，很少有人的应援棒能闪烁出整场拼盘音乐会全部出演人员的应援色。</t>
  </si>
  <si>
    <t>Callingcard32.png</t>
  </si>
  <si>
    <t>三Z·星火不熄</t>
  </si>
  <si>
    <t>限时活动「点映返礼」纪念名片。</t>
  </si>
  <si>
    <t>「从最初的星火出发，你我已然留下燎原的轨迹，但这远不是终点——只要胸中的火焰依旧欢欣雀跃，故事便不会谢幕。」
    「接下来的路，希望也能有你同行。出发吧，与我们携手，点亮新艾利都的下一幕！」
    ——三Z STUDIO</t>
  </si>
  <si>
    <t>「迷宫出口」</t>
  </si>
  <si>
    <t>限时活动「连携调查：神之迷宫」活动奖励名片。
    活动限时获取。</t>
  </si>
  <si>
    <t>关于「神之迷宫」的连携调查告一段落。在多位代理人的协助下，大家击破了帕帕戈的迷境，完成了HAND的委托。但无论是初入空洞的诡异之音，还是乍然重现的旧日之影，这些未解之谜无不预示着这次的结束，可能还只是个开始。</t>
  </si>
  <si>
    <t>Callingcard35.png</t>
  </si>
  <si>
    <t>妄想的形状</t>
  </si>
  <si>
    <t>限时活动「妄想天使训练中」活动奖励名片。
    活动限时获取。</t>
  </si>
  <si>
    <t>少女们捉住妄想，像拎起一只淘气的小猫，顺着轮廓线描绘出它的形状…它拥有笨拙而柔和的弧度，如同能搭筑为任意形状的方块积木。
    跟「助教」在一起的时间里，这些方块层层堆叠，垒出漂亮的舞台与城堡…踩着轻快的旋律拾阶而上，她们把生活变成了小小的音乐剧。</t>
  </si>
  <si>
    <t>Callingcard36.png</t>
  </si>
  <si>
    <t>美味即刻出发</t>
  </si>
  <si>
    <t>荷美尔联动活动纪念名片。</t>
  </si>
  <si>
    <t>天晴气朗心情爽，踏青郊游走一趟。
    三两好友同分享，惬意美味好时光！
    来一场说走就走的郊游——美味，即刻出发！</t>
  </si>
  <si>
    <t>CallingcardActivityCollaboration04.png</t>
  </si>
  <si>
    <t>映叙圆满</t>
  </si>
  <si>
    <t>「引力映叙时光」纪念名片。</t>
  </si>
  <si>
    <t>「引力映叙时光」的票根见证了一段与重要之人共度的、名为「陪伴」的时光。
    拓金日的观影故事写下了圆满的注脚，这份由「引力」编织的回忆，将永远闪耀。</t>
  </si>
  <si>
    <t>Callingcard38.png</t>
  </si>
  <si>
    <t>荼蘼萦骸</t>
  </si>
  <si>
    <t>零号空洞调查执照等级奖励名片。</t>
  </si>
  <si>
    <t>零号空洞的礼物，不容拒绝——运气好的话，受赠者余生都将被「花香」萦绕。</t>
  </si>
  <si>
    <t>Callingcard04.png</t>
  </si>
  <si>
    <t>所能确信的事</t>
  </si>
  <si>
    <t>「零号空洞·迷失之地」调查执照等级奖励名片。</t>
  </si>
  <si>
    <t>「这里沉眠着埃洛温。或许，她有着我们所不知道的过去，但我们所能确信的是：她，一定是我们的朋友。」一段纪念埃洛温的铭文，铭文边，开着一朵小小的花。</t>
  </si>
  <si>
    <t>Callingcard10.png</t>
  </si>
  <si>
    <t>「木偶匠」来信</t>
  </si>
  <si>
    <t>在「迷失之地」牵丝引线的「木偶匠」尚还蛰伏于阴影之中，只有这份诡异的来信，传递它的邀请。
    交出支配身体的权力，它将许诺你在此游荡的资格…直到理智消散、直到永远。</t>
  </si>
  <si>
    <t>Callingcard12.png</t>
  </si>
  <si>
    <t>千愿流霞</t>
  </si>
  <si>
    <t>在「凋荣十载随便一观」中提升随便观的复兴等级的纪念名片。</t>
  </si>
  <si>
    <t>每一道折痕，都是飞笺藏匿着的尘世絮语，在遥望中浮沉舒展，直到消失不见。
    待晚风卷走最后一缕霞光，心跳汇成的潮汐渐次平息，人们才恍然察觉——那些未说出口的「平安」与「归来」，早已被流云悄然翻阅千遍万遍。</t>
  </si>
  <si>
    <t>Callingcard22.png</t>
  </si>
  <si>
    <t>享受搦战时刻</t>
  </si>
  <si>
    <t>「鏖战试炼：荣耀」特定分数纪念名片。</t>
  </si>
  <si>
    <t>无论刚才是否在「鏖战高塔」的试炼中，由于层出不穷的敌人们而姿态狼狈、咬紧牙关，甚至奄奄一息…
    现在，请享受获胜的这一刻，骄傲地喊出——「一个能打的都没有！」</t>
  </si>
  <si>
    <t>Callingcard24.png</t>
  </si>
  <si>
    <t>终弈之局</t>
  </si>
  <si>
    <t>「临界推演：歧路回响」纪念名片。</t>
  </si>
  <si>
    <t>在「临界推演」中探寻所有可能的道路，让深藏已久的秘密在迷雾中逐渐浮现。
    请谨慎作出每个抉择，但也永远不要失去前行的勇气。</t>
  </si>
  <si>
    <t>Callingcard29.png</t>
  </si>
  <si>
    <t>安比的名片</t>
  </si>
  <si>
    <t>解锁安比意象影画[训练有素]后获取。</t>
  </si>
  <si>
    <t>印有狡兔屋中坚成员形象的卡片。
    拨打名片上的号码会听到电影插曲；为了确保大家都能听完安比喜欢的曲目，她有时会故意晚一点接通。</t>
  </si>
  <si>
    <t>猫又的名片</t>
  </si>
  <si>
    <t>解锁猫又意象影画[好奇的左尾]后获取。</t>
  </si>
  <si>
    <t>印有狡兔屋新成员形象的卡片。
    多一个人发名片，就多一分接到优质委托的希望！怀揣着这样的憧憬，新成员认真地设计了名片，并在名片一角画了个小小的铃铛。</t>
  </si>
  <si>
    <t>妮可的名片</t>
  </si>
  <si>
    <t>解锁妮可意象影画[狡兔智慧]后获取。</t>
  </si>
  <si>
    <t>印有狡兔屋主理人形象的卡片。
    现在就拨通名片上的联系方式吗？建议先确认所使用的联系设备已经提前关闭了所有自动扣款服务。</t>
  </si>
  <si>
    <t>「11号」的名片</t>
  </si>
  <si>
    <t>解锁「11号」意象影画[精锐士兵]后获取。</t>
  </si>
  <si>
    <t>印有奥波勒斯小队主攻手形象的卡片。
    用名片上的方式联系「11号」当然会被防卫军的系统获知，但这也是最高效和稳定的路径——她承诺永远会及时赶到。</t>
  </si>
  <si>
    <t>伊德海莉的名片</t>
  </si>
  <si>
    <t>解锁伊德海莉意象影画[无人聆听的故事]后获取。</t>
  </si>
  <si>
    <t>印有怪啖屋投稿作者伊德海莉形象的名片。
    这张名片独一无二，是为了她在意的人专门制作，而名片背面的设计更是别出心裁——
    除了伊德海莉精心手写的名字与联系方式，还有一些像是吸盘的印痕，这是来自其身后几个「小家伙」的联合签名！</t>
  </si>
  <si>
    <t>可琳的名片</t>
  </si>
  <si>
    <t>解锁可琳意象影画[初级女仆]后获取。</t>
  </si>
  <si>
    <t>印有维多利亚家政腼腆女仆形象的卡片。
    一开始，可琳认真写上了所有可提供的家政服务；被联系太多次之后，不得不把服务价格也直接标明。</t>
  </si>
  <si>
    <t>凯撒的名片</t>
  </si>
  <si>
    <t>解锁凯撒意象影画[绝对信任]后获取。</t>
  </si>
  <si>
    <t>印有「猪突猛进」物流公司安全顾问形象的卡片。
    看起来非常商务、严谨周全的名片——如果能忽视联系方式的最后一位数字是用水笔补上的；看来，这位「安全顾问」经常需要一些细心的朋友从旁襄助。</t>
  </si>
  <si>
    <t>比利的名片</t>
  </si>
  <si>
    <t>解锁比利意象影画[星徽骑士的教导]后获取。</t>
  </si>
  <si>
    <t>印有狡兔屋高智能战术构造体形象的卡片。
    设计风格明显地模仿了「星徽骑士」的官方卡片，连防伪证明部分都进行了一比一还原…低配但尽力的一比一还原。</t>
  </si>
  <si>
    <t>星见雅的名片</t>
  </si>
  <si>
    <t>解锁星见雅意象影画[武者修养]后获取。</t>
  </si>
  <si>
    <t>印有对空六课课长形象的卡片。
    几乎无法起到联系作用——毕竟空洞内外的通信万分艰难——但依然被持有者视作无上荣耀的卡片；双面都绘制着古朴优雅的纹路，不过图案和「星见」家没什么关系。</t>
  </si>
  <si>
    <t>珂蕾妲的名片</t>
  </si>
  <si>
    <t>解锁珂蕾妲意象影画[「别惹我！」]后获取。</t>
  </si>
  <si>
    <t>印有白祇重工社长形象的卡片。
    优秀的名片是社长的必需品——不是这张，这张是专为朋友们准备的；但由于社长的工作量，「朋友专线」的接通概率也不太高。</t>
  </si>
  <si>
    <t>安东的名片</t>
  </si>
  <si>
    <t>解锁安东意象影画[轮岗培训]后获取。</t>
  </si>
  <si>
    <t>印有白祇重工工地负责人形象的卡片。
    友情建议在拨通名片上的号码后立刻稍微远离听筒，除非已经对工地的噪音和「兄弟」的轰鸣都做好了准备。</t>
  </si>
  <si>
    <t>本的名片</t>
  </si>
  <si>
    <t>解锁本意象影画[精打细算]后获取。</t>
  </si>
  <si>
    <t>印有白祇重工财务负责人形象的卡片。
    全白祇重工使用率最高的名片之一；为了保证重要合作事宜和回款时间能被及时获知，本在名片上印了4个备用号码。</t>
  </si>
  <si>
    <t>苍角的名片</t>
  </si>
  <si>
    <t>解锁苍角意象影画[出勤餐补]后获取。</t>
  </si>
  <si>
    <t>印有对空六课成员形象的卡片。
    很有纪念意义，但几乎没有实际使用场合的名片；即使真的联系到了苍角，队内的「监护人」也会再次筛选她接取的委托。</t>
  </si>
  <si>
    <t>莱卡恩的名片</t>
  </si>
  <si>
    <t>解锁莱卡恩意象影画[执事教养]后获取。</t>
  </si>
  <si>
    <t>印有维多利亚家政执事形象的卡片。
    极少数的委托人会收到这张优雅内敛的名片；它象征着狼希人的认可，可以看作是压在手背上一个轻轻的爪印。</t>
  </si>
  <si>
    <t>露西的名片</t>
  </si>
  <si>
    <t>解锁露西意象影画[铁腕监护人]后获取。</t>
  </si>
  <si>
    <t>印有「猪突猛进」物流公司猪希人监护人形象的卡片。
    触感非凡、设计精巧的名片，制作工艺像是来自索恩区；但目前，这张名片只能联系到外环的小野猪们前来提供物流服务。</t>
  </si>
  <si>
    <t>莱特的名片</t>
  </si>
  <si>
    <t>解锁莱特意象影画[佣兵团长]后获取。</t>
  </si>
  <si>
    <t>印有「猪突猛进」物流公司空洞事务顾问形象的卡片。
    卡片边缘有被火烤过的焦黄色，好在没有挡住任何一条事务报价；上面还写着…「承诺呈现有观赏性的殴打过程」？！这是正经空洞事务吗？</t>
  </si>
  <si>
    <t>柏妮思的名片</t>
  </si>
  <si>
    <t>解锁柏妮思意象影画[天性乐观]后获取。</t>
  </si>
  <si>
    <t>印有「猪突猛进」物流公司市场顾问形象的卡片。
    涂鸦一般的名片，书写联系方式的笔迹也十分…潇洒；背面横七竖八地记着不少饮料的名字，但只有燃油饮上画了个大大的圈，还特别标注了「一打起送」。</t>
  </si>
  <si>
    <t>格莉丝的名片</t>
  </si>
  <si>
    <t>解锁格莉丝意象影画[首席机械师]后获取。</t>
  </si>
  <si>
    <t>印有白祇重工技术工程师形象的卡片。
    为了避免打扰，格莉丝随机发出了一些特殊名片，上面的号码只能联系到她最擅长聊天的「孩子」…别担心，面前这张不是。</t>
  </si>
  <si>
    <t>艾莲的名片</t>
  </si>
  <si>
    <t>解锁艾莲意象影画[永不加班]后获取。</t>
  </si>
  <si>
    <t>印有维多利亚家政懒散女仆形象的卡片。
    在专业执事和女仆长的嘱咐下不得不「用心」准备的名片；除委托人之外，还有一些发给了小组作业的合作同学。</t>
  </si>
  <si>
    <t>浅羽悠真的名片</t>
  </si>
  <si>
    <t>解锁浅羽悠真意象影画[白色谎言]后获取。</t>
  </si>
  <si>
    <t>印有对空六课成员形象的卡片。
    印刷过两种版本的卡片，区别在联系方式；其中一个版本的持有者拨打卡片上的号码只会听到空号提醒…小道消息称，「受害人」大多为对空部高层。</t>
  </si>
  <si>
    <t>丽娜的名片</t>
  </si>
  <si>
    <t>解锁丽娜意象影画[女仆长的专长]后获取。</t>
  </si>
  <si>
    <t>印有维多利亚家政女仆长形象的卡片。
    带着这张名片就能找到温柔美丽的女仆长；但如果并非直接受赠者…建议在喝下她招待客人的咖啡之前，就乖乖坦白哦~</t>
  </si>
  <si>
    <t>月城柳的名片</t>
  </si>
  <si>
    <t>解锁月城柳意象影画[月城氏管理学]后获取。</t>
  </si>
  <si>
    <t>印有对空六课副课长形象的卡片。
    被对空部探员们视为「来自六课的友谊与承诺」的珍贵卡片；名片上除了有常规的联系方式，还仔细标注了多种紧急状况下的求助手段。</t>
  </si>
  <si>
    <t>朱鸢的名片</t>
  </si>
  <si>
    <t>解锁朱鸢意象影画[治安官特训]后获取。</t>
  </si>
  <si>
    <t>印有治安局某部门刑侦特勤组组长形象的卡片。
    理论来说，所有治安官共享同一个代表着安全与责任的联系方式；但朱鸢在这张卡片上手写了自己的私人号码。</t>
  </si>
  <si>
    <t>青衣的名片</t>
  </si>
  <si>
    <t>解锁青衣意象影画[多喝热水]后获取。</t>
  </si>
  <si>
    <t>印有刑侦特勤组优秀治安官形象的卡片。
    治安局内部的「硬通货」；拥有这张名片，就相当于拥有了可能随机掉落的支援力量——无论是证物检查还是案情分析，都相当可靠。</t>
  </si>
  <si>
    <t>简的名片</t>
  </si>
  <si>
    <t>解锁简意象影画[无名氏]后获取。</t>
  </si>
  <si>
    <t>印有犯罪行为学专家形象的卡片。
    说是名片，却没有写明任何有效联系方式…无论是对谁来说，想找到「那位女士」都不是件容易的事情。</t>
  </si>
  <si>
    <t>赛斯的名片</t>
  </si>
  <si>
    <t>解锁赛斯意象影画[钝感力]后获取。</t>
  </si>
  <si>
    <t>印有刑侦特勤组实习治安官形象的卡片。
    治安局通用格式的名片，简洁明朗；在拍摄「证件照」时，赛斯治安官被要求确认自己蓬松的头发不会遮住耳朵。</t>
  </si>
  <si>
    <t>派派的名片</t>
  </si>
  <si>
    <t>解锁派派意象影画[卡车专家]后获取。</t>
  </si>
  <si>
    <t>印有「猪突猛进」物流公司卡车司机形象的卡片。
    可靠老司机，路线跨越空洞、范围覆盖外环；如需远程货运，敬请联系——友情提示：不建议交付易碎物品。</t>
  </si>
  <si>
    <t>雨果的名片</t>
  </si>
  <si>
    <t>解锁雨果意象影画[毒树之果]后获取。</t>
  </si>
  <si>
    <t>印有某位知名怪盗形象的卡片。
    背后有一行大字：「全新艾利都仅此一张」，附赠一个笔锋浮夸的亲笔签名。
    说的也是，如果人人都认识这位怪盗先生的脸…他或许只能在光影交错的舞台上永不停歇地变换身份了。</t>
  </si>
  <si>
    <t>奥菲丝&amp; 「鬼火」的名片</t>
  </si>
  <si>
    <t>解锁奥菲丝&amp; 「鬼火」意象影画[《战术手册》]后获取。</t>
  </si>
  <si>
    <t>印有枪械智能构造体「鬼火」与持枪人奥菲丝形象的名片。
    姓名、军衔、所属小队、联系方式等个人信息，均被整齐地陈列在这张名片之上，其排版细致与内容严谨的程度，体现了持有者认真的性格。
    但翻过来，卡片的背面被油性笔画了一只…正在喷火的红色大暴龙？</t>
  </si>
  <si>
    <t>耀嘉音的名片</t>
  </si>
  <si>
    <t>解锁耀嘉音意象影画[交错五线谱]后获取。</t>
  </si>
  <si>
    <t>印有丽都巨星形象的名片。
    众所周知，这位大明星名片上的任何号码，都只能联系到一位仿佛只会按照程序设定、自动回复的经纪人；但如果是她亲自递出的这张…也许就不太一样呢？</t>
  </si>
  <si>
    <t>伊芙琳的名片</t>
  </si>
  <si>
    <t>解锁伊芙琳意象影画[破茧]后获取。</t>
  </si>
  <si>
    <t>印有丽都非著名安全顾问形象的名片。
    对于那些愿意一掷千金购买安保服务的人来说，这张简洁清晰的名片代表着他们可以攥紧的第二条生命；但很遗憾，久负盛名的「生命保障服务」近期将不再对外出售。</t>
  </si>
  <si>
    <t>薇薇安的名片</t>
  </si>
  <si>
    <t>解锁薇薇安意象影画[《另一个，同一个》]后获取。</t>
  </si>
  <si>
    <t>印有反舌鸟全能助手薇薇安照片的名片。
    反舌鸟的名片从未在市面上流传，假如放在私人拍卖会上，想必会成为收藏家们争相竞价的拍品之一。
    这张名片明没有标明联络方式，但据传，如果你拥有该名片，那么不出太久，这位优雅又神秘的助手小姐将会以你意想不到的方式，亲自来与你见面。</t>
  </si>
  <si>
    <t>照的名片</t>
  </si>
  <si>
    <t>解锁照意象影画[霜婵冰刃]后获取。</t>
  </si>
  <si>
    <t>印有可爱兔希人形象的名片。
    名片有着浓厚的「坎卜斯黑枝」风格，工整、专业，附上了一大堆电话号码…从黑枝的法务咨询到投诉客服专线，应有尽有。不过翻看背面，有一行手写的字和电话号码。「别打那些号码，打这个找我就行。」</t>
  </si>
  <si>
    <t>波可娜的名片</t>
  </si>
  <si>
    <t>解锁波可娜意象影画[领地意识]后获取。</t>
  </si>
  <si>
    <t>印有原外环雇佣兵现「猪突猛进」物流公司员工形象的卡片。
    「猪突猛进」物流公司员工使用的通用名片，但在卡片背面有一行文字：「承接私人业务」，据说其他人的名片都发得很慢，唯独这张名片在第一个月就加印了两次。</t>
  </si>
  <si>
    <t>「扳机」的名片</t>
  </si>
  <si>
    <t>解锁「扳机」意象影画[《归乡》]后获取。</t>
  </si>
  <si>
    <t>印有奥波勒斯小队狙击手形象的卡片。
    除了卡片上印着的联系方式，还用清秀的手写字体写满了备用联系方式、紧急联系方式、最终紧急联系方式、遇到危险时可以使用的暗号以及常用的几款求助摩斯密码。她似乎真的很害怕与你失去联络。</t>
  </si>
  <si>
    <t>仪玄的名片</t>
  </si>
  <si>
    <t>解锁仪玄意象影画[阴阳相生]后获取。</t>
  </si>
  <si>
    <t>印有云岿山仪玄形象的卡片，上面还标注了空洞调查协会特殊调查员的身份。
    据说仪玄师父平日难得一见，只有有缘者才能得到其指点一二。说不定这张卡片可以成为拜入山门的契机。</t>
  </si>
  <si>
    <t>零号·安比的名片</t>
  </si>
  <si>
    <t>解锁零号·安比意象影画[旧日荣光]后获取。</t>
  </si>
  <si>
    <t>印有陌生的熟悉之人形象的名片。
    在这座城市，谁会没有一两个小秘密，两三段不欲人知的过往？或许不必逾越那道界限，在漫漫寒夜中，我们仍能彼此温暖。</t>
  </si>
  <si>
    <t>橘福福的名片</t>
  </si>
  <si>
    <t>解锁橘福福意象影画[仗义行侠少年郎]后获取。</t>
  </si>
  <si>
    <t>印有云岿山大师姐形象的名片。
    比起一通电话，唤来云岿山弟子更快的方式是山中独有的传音术。
    因而上头除了联系方式，还留下了能招来「超级可怕大老虎」的咒语：
    大师姐，师父被以骸抓走了！</t>
  </si>
  <si>
    <t>爱丽丝的名片</t>
  </si>
  <si>
    <t>解锁爱丽丝意象影画[对称主义]后获取。</t>
  </si>
  <si>
    <t>印有泰姆菲尔德家族千金形象的名片。
    无数上层人士对这个名门望族的联系方式趋之若鹜，多数时候却只能拿到一张印满了对称图案、连个电话号码都没留的所谓「名片」。但这张不同…上面用隽秀的字迹写着大小姐的姓名，还画了只对称而可爱的Q版兔子，无不体现着主人对递交名片对象的重视。</t>
  </si>
  <si>
    <t>浮波柚叶的名片</t>
  </si>
  <si>
    <t>解锁浮波柚叶意象影画[幽城童话]后获取。</t>
  </si>
  <si>
    <t>释诡斋的店铺名片，卡片背面用手写字写上了浮波柚叶的名字和电话号码。
    拨通电话的定制回铃音是宝荣叔浑厚响亮的问候，虽然每次都会吓一跳，但据柚叶说这并非恶作剧，而是防止推销电话的有效手段。</t>
  </si>
  <si>
    <t>潘引壶的名片</t>
  </si>
  <si>
    <t>解锁潘引壶意象影画[经外奇穴]后获取。</t>
  </si>
  <si>
    <t>印有云岿山御用大厨形象的名片。
    在市井小贩的眼中，它是精明的熊猫希人讨价还价时用的筹码；在资深食客的眼中，它是神秘的顶尖大厨限量发放的见面会门票；在困苦百姓的眼中，它是坚毅的云岿修者心系苍生而留下的救命稻草。</t>
  </si>
  <si>
    <t>叶瞬光的名片</t>
  </si>
  <si>
    <t>解锁叶瞬光意象影画[剑客行]后获取。</t>
  </si>
  <si>
    <t>印有新晋虚狩叶瞬光形象的名片。
    这张名片并不在市面上流传，据说唯有少数「有缘人」可以得到它，拥有后即可得到一次「虚狩襄助」的机会。
    背面有一张手绘的头像涂鸦，以及一行清秀的手写字迹：
    「不管什么时候，只要你需要，都请随时来找我…能帮上忙的话，我会很开心的！」</t>
  </si>
  <si>
    <t>狛野真斗的名片</t>
  </si>
  <si>
    <t>解锁狛野真斗意象影画[踏入怪谈世界]后获取。</t>
  </si>
  <si>
    <t>印有泅珑围「非官方调解人」形象的卡片。
    这张名片能解决不少小问题，但使用范围限于卫非地的部分区域；在真斗留校补考期间，仅具备基础的引荐作用。
    不知是谁用蜡笔在背面画上了「威风凛凛」的犬希人速写，使其威慑意味略打折扣。</t>
  </si>
  <si>
    <t>卢西娅的名片</t>
  </si>
  <si>
    <t>解锁卢西娅意象影画[最佳搭档]后获取。</t>
  </si>
  <si>
    <t>印有「夜魔使者」形象的名片。
    探索某个城市边缘的空洞时，调查协会捡到了这张名片。它被摆放在以骸的巢穴深处，背面绘有魔女挥舞法杖的涂鸦。
    「最开始我们还以为这是某种求助信号，后来才发现它确实只是个名片…到底什么人才会把这种东西塞给以骸啊！」</t>
  </si>
  <si>
    <t>「席德」的名片</t>
  </si>
  <si>
    <t>解锁「席德」意象影画[「抽芽说」]后获取。</t>
  </si>
  <si>
    <t>印有奥波勒斯小队火炮手形象的卡片。
    上面散发着淡淡的花香味，没有名字，没有联系方式，没有任何有效信息——除了一些像是主人随手写上的、根本无法进行解读的笔记与涂鸦。无论是想向少女请教机械发明原理的大型企业，还是被大机甲唐突创飞后企图愤而追责的军方官老爷，都休想通过这张卡片联系到她。
    如果读着卡片时，涌入鼻腔的花香味突然变浓了，还请抬头看看近旁是不是多了个像水精灵一样的女孩。遇到真的感兴趣的对象时，她自己就会出现的。</t>
  </si>
  <si>
    <t>般岳的名片</t>
  </si>
  <si>
    <t>解锁般岳意象影画[痴愚如锁]后获取。</t>
  </si>
  <si>
    <t>印有黑枝新晋裁决官兼武馆馆长般岳形象的名片。
    风格质朴，拿在手中的分量感似乎都比别的名片厚重一筹。
    背面以刀刻斧凿般的遒劲气魄落下了般岳的姓名。</t>
  </si>
  <si>
    <t>琉音的名片</t>
  </si>
  <si>
    <t>解锁琉音意象影画[空洞来电]后获取。</t>
  </si>
  <si>
    <t>印有黑枝裁决官兼TOPS客服琉音形象的名片。
    琉音的每个工作日都会接到无数通电话，但这张名片上特别留下的号码，只有一个人可以拨通。</t>
  </si>
  <si>
    <t>千夏的名片</t>
  </si>
  <si>
    <t>解锁千夏意象影画[《变身苹果》]后获取。</t>
  </si>
  <si>
    <t>印有「妄想天使」成员千夏形象的名片。
    薄荷绿和卵石白交织的底图，上面点缀着桃粉色的蕾丝纹路。拥有如此可爱名片的主人，想必也像这张淡色卡纸一样，能够令人联想起清新的夏日吧？</t>
  </si>
  <si>
    <t>爱芮的名片</t>
  </si>
  <si>
    <t>解锁爱芮意象影画[梦想家]后获取。</t>
  </si>
  <si>
    <t>印有妄想天使主唱形象的卡片。
    作为「梦想家」们钟爱的收藏，拨打名片上的号码便可以听到妄想天使最新发布的曲目，接通后还可查询妄想天使近期的演出信息。</t>
  </si>
  <si>
    <t>「片尾曲」</t>
  </si>
  <si>
    <t>解锁安比意象影画[充能电场]后获取。</t>
  </si>
  <si>
    <t>印有安比私人照片的卡片。
    「我在听什么？唔，是一首很棒的片尾曲哦…」
    「就是我们上次一起看的那部电影…总觉得你那次好像偷偷哭了。」</t>
  </si>
  <si>
    <t>「猫的耐心」</t>
  </si>
  <si>
    <t>解锁猫又意象影画[捕食者血统]后获取。</t>
  </si>
  <si>
    <t>印有猫又私人照片的卡片。
    「喵~！真~的不陪我一起玩吗？我已经等很久了喵——」
    「你知道猫咪用尾巴拍地是什么意思，对喵？」</t>
  </si>
  <si>
    <t>「准确对焦」</t>
  </si>
  <si>
    <t>解锁妮可意象影画[侵蚀能量场]后获取。</t>
  </si>
  <si>
    <t>印有妮可私人照片的卡片。
    「快帮我看看这张！还不错吧…看着是不是特别柔弱可爱？」
    「没拍到你选的邦布挂件？呀，是有点失焦…重来一张！」</t>
  </si>
  <si>
    <t>「性命相托」</t>
  </si>
  <si>
    <t>解锁「11号」意象影画[炽热心流]后获取。</t>
  </si>
  <si>
    <t>印有「11号」私人照片的卡片。
    「我的『忠诚』只归属于防卫军…」
    「但作为彼此认定的战友，我可以把『生命』交托于你。」</t>
  </si>
  <si>
    <t>「绝无仅有」</t>
  </si>
  <si>
    <t>解锁伊德海莉意象影画[终逢安宁之梦]后获取。</t>
  </si>
  <si>
    <t>印有伊德海莉私人照片的卡片。
    「从在那片虚妄中望见你的眼睛开始，我就明白了…」
    「往后的我不用再担心思绪会沉沦在虚无，也不用再顾忌自我会迷失在深渊。」
    「因为我已经在虚幻之间拥有了可供我注视的、绝无仅有的真实。」</t>
  </si>
  <si>
    <t>「好朋友」</t>
  </si>
  <si>
    <t>解锁可琳意象影画[厚积薄发]后获取。</t>
  </si>
  <si>
    <t>印有可琳私人照片的卡片。
    「绳、绳匠{M#先生}{F#小姐}！您、您问我的小熊吗？」
    「这是我的好朋友…不、不，和您不一样，您、您是…」</t>
  </si>
  <si>
    <t>「鏖战之后」</t>
  </si>
  <si>
    <t>解锁凯撒意象影画[霸主之志]后获取。</t>
  </si>
  <si>
    <t>印有凯撒私人照片的卡片。
    「走吧绳匠，这儿的『麻烦』都已经解决了——不过，你能先帮我擦一下药吗？」
    「我可是老大！才不想回去被他们几个问东问西的…」</t>
  </si>
  <si>
    <t>「完美POSE」</t>
  </si>
  <si>
    <t>解锁比利意象影画[星徽-英雄时刻]后获取。</t>
  </si>
  <si>
    <t>印有比利私人照片的卡片。
    「绳匠！我的完美POSE怎…喂喂喂快拍快拍我保持不了很久——啊！」
    「拍到了吗拍到了吗？拍到我的高密度合金腹肌了吗？」</t>
  </si>
  <si>
    <t>「今日修行」</t>
  </si>
  <si>
    <t>解锁星见雅意象影画[天资卓越]后获取。</t>
  </si>
  <si>
    <t>印有星见雅私人照片的卡片。
    「能扶我一把吗？今天的修行似乎…有点超标了。」
    「不是挥刀练习的问题——好吧，是第35只侵蚀体…它的骨头比我想的要硬一点。」</t>
  </si>
  <si>
    <t>「粉色小熊」</t>
  </si>
  <si>
    <t>解锁珂蕾妲意象影画[饱和爆破]后获取。</t>
  </si>
  <si>
    <t>印有珂蕾妲私人照片的卡片。
    「喂，别那么看着我——我可不是那种要人心疼的小孩子！」
    「粉红色的小熊创口贴怎么了…」</t>
  </si>
  <si>
    <t>「一起燃烧」</t>
  </si>
  <si>
    <t>解锁安东意象影画[突破极限]后获取。</t>
  </si>
  <si>
    <t>印有安东私人照片的卡片。
    「喂，兄弟！一起燃烧起来吧！」
    「不好好做热身的话，运动起来可能会受伤啊！」</t>
  </si>
  <si>
    <t>「严肃思考」</t>
  </si>
  <si>
    <t>解锁本意象影画[野性斗志]后获取。</t>
  </si>
  <si>
    <t>印有本私人照片的卡片。
    「啊？我的表情看起来很严肃吗？」
    「是有点难办…上个月账上不知哪里差了26丁尼，现在还没搞明白…」</t>
  </si>
  <si>
    <t>「休息一下」</t>
  </si>
  <si>
    <t>解锁苍角意象影画[朔风侵袭]后获取。</t>
  </si>
  <si>
    <t>印有苍角私人照片的卡片。
    「再躺一会儿嘛，就一小会儿…」
    「早饭只吃了那么一点儿，真的很容易累啊！我再休息一下…」</t>
  </si>
  <si>
    <t>「感谢指名」</t>
  </si>
  <si>
    <t>解锁莱卡恩意象影画[冷酷猎手]后获取。</t>
  </si>
  <si>
    <t>印有莱卡恩私人照片的卡片。
    「绳匠？你来帮我绑绷带吗…」
    「好…再使劲一点…不会痛的，绑得更紧才不容易受伤。」</t>
  </si>
  <si>
    <t>「给你小猪」</t>
  </si>
  <si>
    <t>解锁露西意象影画[獠牙堪烈火]后获取。</t>
  </si>
  <si>
    <t>印有露西私人照片的卡片。
    「想要这个小猪玩偶？那你自己来拿吧…」
    「好不容易找到个舒服的姿势，我可不想动了。」</t>
  </si>
  <si>
    <t>「黑拳套」</t>
  </si>
  <si>
    <t>解锁莱特意象影画[幸存者]后获取。</t>
  </si>
  <si>
    <t>印有莱特私人照片的卡片。
    「有事需要帮忙，又不想你那些『正经人』朋友知道的话…就联系我吧。」
    「我会处理干净的——保证不会有什么漏网之鱼还能打扰你。」</t>
  </si>
  <si>
    <t>「邀请…还是挑衅？」</t>
  </si>
  <si>
    <t>解锁柏妮思意象影画[盛焰邀约]后获取。</t>
  </si>
  <si>
    <t>印有柏妮思私人照片的卡片。
    「我出门前可是计划好了，今天要跟你喝个痛快！」
    「让我回想一下你前几次的『表现』…那就先来五杯燃油饮，热热身吧！」</t>
  </si>
  <si>
    <t>「保证不拆」</t>
  </si>
  <si>
    <t>解锁格莉丝意象影画[起爆扳机]后获取。</t>
  </si>
  <si>
    <t>印有格莉丝私人照片的卡片。
    「像你这样有趣的人，有时候真想拆开研究一下…」
    「别担心，我可不会这么做…万一丢了什么『零件』，我会心痛的！」</t>
  </si>
  <si>
    <t>「会搞定的」</t>
  </si>
  <si>
    <t>解锁艾莲意象影画[盛宴时分]后获取。</t>
  </si>
  <si>
    <t>印有艾莲私人照片的卡片。
    「啧，听起来很麻烦啊…」
    「真拿你没办法…作为『朋友』的话，我会搞定你说的那些事情的。但作为交换，你下次帮我去开家长会…没问题吧？」</t>
  </si>
  <si>
    <t>「羽刃骤临」</t>
  </si>
  <si>
    <t>解锁浅羽悠真意象影画[会心]后获取。</t>
  </si>
  <si>
    <t>印有浅羽悠真私人照片的卡片。
    「咳咳…我可不是那种坚韧强壮、灵敏迅捷、千里奔袭都不在话下的斥候啊…」
    「好在我的箭还不算太慢，唔…应该能比想要夺走你生命的任何东西都快。」</t>
  </si>
  <si>
    <t>「真心话」</t>
  </si>
  <si>
    <t>解锁丽娜意象影画[雷雨夜惊魂]后获取。</t>
  </si>
  <si>
    <t>印有丽娜私人照片的卡片。
    「您完全可以相信我哦…您的心愿，就是我的使命~」
    「心愿！心愿！」「使命！使命！」</t>
  </si>
  <si>
    <t>「最终应急方案」</t>
  </si>
  <si>
    <t>解锁月城柳意象影画[非人之血]后获取。</t>
  </si>
  <si>
    <t>印有月城柳私人照片的卡片。
    「虽然很想作出那种帅气的承诺——『无论陷入怎样的绝境，请相信对空六课！』」
    「但对于更多人来说，永远都用不到我们的联系方式…才是最幸运的吧。」</t>
  </si>
  <si>
    <t>「正义与秩序」</t>
  </si>
  <si>
    <t>解锁朱鸢意象影画[扩容能源包-叁型]后获取。</t>
  </si>
  <si>
    <t>印有朱鸢私人照片的卡片。
    「无论是治安局还是刑侦特勤组，都是为了守护正义和秩序而存在的。」
    「我也是。」</t>
  </si>
  <si>
    <t>「多喝热水」</t>
  </si>
  <si>
    <t>解锁青衣意象影画[奇经八脉]后获取。</t>
  </si>
  <si>
    <t>印有青衣私人照片的卡片。
    「早上好啊！在找水杯吗？」
    「实在找不到的话，就带我这个保温杯出门吧？」</t>
  </si>
  <si>
    <t>「无名氏」</t>
  </si>
  <si>
    <t>解锁简意象影画[「肮脏」技巧]后获取。</t>
  </si>
  <si>
    <t>印有简私人照片的卡片。
    「『没有名字的人』递给了你一张名片，不觉得很有意思吗？」
    「但上面确实有找到我的方式哦，信不信由你~」</t>
  </si>
  <si>
    <t>「交给我吧」</t>
  </si>
  <si>
    <t>解锁赛斯意象影画[理想主义]后获取。</t>
  </si>
  <si>
    <t>印有赛斯私人照片的卡片。
    「我一定会成为最优秀的治安官！」
    「嘶！就算是安抚猫咪这样的事情…交给我也完全没问题！嘶！」</t>
  </si>
  <si>
    <t>「节目品味」</t>
  </si>
  <si>
    <t>解锁派派意象影画[轻度兴奋]后获取。</t>
  </si>
  <si>
    <t>印有派派私人照片的卡片。
    「哈…我可不是你这样的年轻人，已经有点累了呢。」
    「为了避免疲劳驾驶，来听点有意思的吧…『丽都幸运星』怎么样？」</t>
  </si>
  <si>
    <t>「共谋者」</t>
  </si>
  <si>
    <t>解锁雨果意象影画[荆棘王冠]后获取。</t>
  </si>
  <si>
    <t>印有雨果私人照片的卡片。
    「所有被诅咒的王冠终将碎裂为星。」
    「在此，请允许我邀请你一同跃入——这片布满荆棘与鲜花的迷雾。」</t>
  </si>
  <si>
    <t>「桃子味消焰器」</t>
  </si>
  <si>
    <t>解锁奥菲丝&amp; 「鬼火」意象影画[魔法种子]后获取。</t>
  </si>
  <si>
    <t>印有奥菲丝和「鬼火」私人照片的名片。
    「我还要跟你分享一个秘密…其实『鬼火』姐也很喜欢和绳匠待在一起哦！」
    「奥菲丝，我以后注意自己的说话方式还不行吗！所以别说了——还有，这根桃粉色丝带也给我取下来！」</t>
  </si>
  <si>
    <t>「掌心火彩」</t>
  </si>
  <si>
    <t>解锁耀嘉音意象影画[我们即是世界]后获取。</t>
  </si>
  <si>
    <t>印有耀嘉音私人照片的卡片。
    「选择宝石的标准？当然不是什么净度、工艺或者重量之类俗气的数字啦~」
    「但如果你害羞到…都不敢和我对视的话，又怎么能知道它们被送给你的原因呢？」</t>
  </si>
  <si>
    <t>「即兴格斗演练」</t>
  </si>
  <si>
    <t>解锁伊芙琳意象影画[光与影的牵绊]后获取。</t>
  </si>
  <si>
    <t>印有伊芙琳私人照片的卡片。
    「我当然会保持警惕…等等，你是觉得我现在正赤手空拳、毫无防备吗？」
    「唔，切磋一下？就现在——在被我按进那张沙发之前，我可以给你三秒准备时间。」</t>
  </si>
  <si>
    <t>「花束般的眷恋」</t>
  </si>
  <si>
    <t>解锁薇薇安意象影画[《薇薇安》]后获取。</t>
  </si>
  <si>
    <t>印有薇薇安私人照片的名片。
    「要怎么才能描述你呢…你像夜半的雾，像晴日的风，像水面的光斑，像…薇薇安喜欢的一切。」
    「薇薇安很喜欢当下这一刻…因为你的眼中，只有我。」</t>
  </si>
  <si>
    <t>「非工作名片」</t>
  </si>
  <si>
    <t>解锁照意象影画[无价亦是价值]后获取。</t>
  </si>
  <si>
    <t>印有小照私人照片的卡片。
    「为什么…会想要这样的卡片？从价值角度来判断，其实它还不如员工名片有用…」
    「珍藏？嗯…好吧，你喜欢就好，但不许带出门哦。」
    「包括我的同事在内，谁都没有看过这张照片呢。」</t>
  </si>
  <si>
    <t>「无防备的时刻」</t>
  </si>
  <si>
    <t>解锁波可娜意象影画[面具之下]后获取。</t>
  </si>
  <si>
    <t>印有波可娜私人照片的卡片。
    「什么，第一次看见我的鼻子？啊，说的也是，一起去餐馆的时候我都是把面罩从下面拉起一点吃饭的。」
    「猫希人的鼻子是不是和真正的猫一样是潮湿的？问这个干嘛。算…算是吧，所以戴上面罩也能有助于保持鼻子健康。」</t>
  </si>
  <si>
    <t>「幽华漫放」</t>
  </si>
  <si>
    <t>解锁「扳机」意象影画[冥河彼岸]后获取。</t>
  </si>
  <si>
    <t>印有「扳机」私人照片的卡片。
    「绳匠，请离我再近一点…近到你不会从我的指间消失的程度。」
    「我想记住与我相互托付后背之人的轮廓…这样算是一种任性吗？如果算的话，那就让我稍微任性一回吧。」</t>
  </si>
  <si>
    <t>「摒除杂念」</t>
  </si>
  <si>
    <t>解锁仪玄意象影画[动静相宜]后获取。</t>
  </si>
  <si>
    <t>印有仪玄私人照片的名片。
    「修者无论何时何地，都要守得内心澄澈，不可心生杂念。」
    「对你而言，应该很简单就能做到吧…但如果你不知道其中诀窍，我倒是可以慢慢教你。」
    「既然是你的师父…那你想学什么，为师都毫不保留地依你便是了。」</t>
  </si>
  <si>
    <t>「银盐轮舞」</t>
  </si>
  <si>
    <t>解锁零号·安比意象影画[前传主角]后获取。</t>
  </si>
  <si>
    <t>印有零号·安比私人照片的卡片。
    「绳匠。续集或前传，你认为哪个成为烂片的概率更大？」
    「…是这样吗。我也有些好奇…你成为今天的你，之前的那些日子。」</t>
  </si>
  <si>
    <t>「超级可怕大老虎」</t>
  </si>
  <si>
    <t>解锁橘福福意象影画[知我心中虎啸声]后获取。</t>
  </si>
  <si>
    <t>「斑尾卷云翻经帙，焰花点将作虎符。
    威风摇落山上月，气宇踏平洞中窟。」
    ——云岿山最威风最疼你的大师姐所作。</t>
  </si>
  <si>
    <t>「在异色的双瞳间」</t>
  </si>
  <si>
    <t>解锁爱丽丝意象影画[心中的百里香]后获取。</t>
  </si>
  <si>
    <t>印有爱丽丝私人照片的卡片。
    「那个…看着我。我这双不对称的眼睛…会很奇怪吗？」
    「不奇怪？那为什么你不自觉地挪开了视线呢…好好注视我。」
    「从你的瞳孔里，能看到我的倒影。所以，能多和你这样对视的话…或许我也会慢慢习惯吧。」</t>
  </si>
  <si>
    <t>「伙伴的证明」</t>
  </si>
  <si>
    <t>解锁浮波柚叶意象影画[落地生根]后获取。</t>
  </si>
  <si>
    <t>印有浮波柚叶名字和照片的学生证，在学校更换了带有芯片的学生证后，这张卡片就被淘汰了。
    「虽然换了学生证，但我们学校管得很松，大家都是两张卡混用的啦。拿着它，你就可以大摇大摆地混进我们学校了。其实我很想试试和你当一天的同学呢。」</t>
  </si>
  <si>
    <t>「大隐隐于市」</t>
  </si>
  <si>
    <t>解锁潘引壶意象影画[气穴论]后获取。</t>
  </si>
  <si>
    <t>印有潘引壶私人照片的卡片。
    「呃…我刚刚睡着了？原来刚刚那些都是做梦…」
    「…不，没什么，就是梦见自己得到了传说级别的厨具，用它们拯救世界而已。」
    「反正现在用术法维护一方和平，倒也没差。」</t>
  </si>
  <si>
    <t>「另一个自己」</t>
  </si>
  <si>
    <t>解锁叶瞬光意象影画[明灯愿]后获取。</t>
  </si>
  <si>
    <t>印有叶瞬光私人照片的名片。
    「在那条黯淡无光的旅途中，也曾有另一个『自己』与我同行…」
    「…现在，我们已经融合啦。」
    「『我们』会共同珍藏那些关于过去，还有…关于你的回忆。」</t>
  </si>
  <si>
    <t>「最初的安全屋」</t>
  </si>
  <si>
    <t>解锁狛野真斗意象影画[越过昔年梦]后获取。</t>
  </si>
  <si>
    <t>印有狛野真斗私人照片的卡片。
    「这间安全屋，是我八岁时给自己准备的第一间避难所。」
    「虽然那时说了些『不需要朋友』之类的傻话，但冥冥之中…我似乎还是相信自己会和谁一起坐在这里。」
    「不错，还有些上次没用完的绷带——绳匠稍等，我简单处理一下就好…唔！」</t>
  </si>
  <si>
    <t>「故事仍在继续」</t>
  </si>
  <si>
    <t>解锁卢西娅意象影画[永不结束的旅途]后获取。</t>
  </si>
  <si>
    <t>印有卢西娅私人照片的卡片。
    「好了，天要亮啦，夜魔使者小课堂就先到此为止…」
    「想要了解细节，还有后续故事？」
    「没问题！每晚十二点，六分街录像店二楼窗台，敬请期待！」</t>
  </si>
  <si>
    <t>「水色可怜之花」</t>
  </si>
  <si>
    <t>解锁「席德」意象影画[「有心论」]后获取。</t>
  </si>
  <si>
    <t>印有「席德」私人照片的卡片。
    「两个人一起进驾驶舱果然还是太窄了吗…绳匠，不可以乱动哦。」
    「接下来，我会把驾驶舱的灯光调到最暗的…等我说『可以』再睁开眼睛！」
    「可以了…绳匠，看到什么都不要惊讶哦…」
    「…看这盆荧光的花朵，是我在空洞发现的新物种~我们一起给这孩子起个名字吧~」</t>
  </si>
  <si>
    <t>「前路无回」</t>
  </si>
  <si>
    <t>解锁般岳意象影画[降世明王]后获取。</t>
  </si>
  <si>
    <t>印有般岳私人照片的卡片。
    「贪欲如火，嗔恨如刀，痴愚如锁…」
    「我曾为宿命与犹疑所困…」
    「如今这些都不再是蒙蔽我的理由。」</t>
  </si>
  <si>
    <t>「见我一面吧」</t>
  </si>
  <si>
    <t>解锁琉音意象影画[真言]后获取。</t>
  </si>
  <si>
    <t>印有琉音私人照片的卡片。
    「听见你声音的时候，总比听见别人的声音时更加开心哦~」
    「但是比起在电话里想象你心情的涨落…」
    「还是来见我一面吧，出现在我的面前吧。」</t>
  </si>
  <si>
    <t>「泪滴项链」</t>
  </si>
  <si>
    <t>解锁千夏意象影画[《空洞大爆炸》]后获取。</t>
  </si>
  <si>
    <t>印有千夏私人照片的卡片。
    「在故事中，女孩的那颗泪滴让项链成型，将雨水还给了整个王国。」
    「所以作为爱哭鬼的我…是不是某天也能发挥这样强大的作用呢？」</t>
  </si>
  <si>
    <t>「妄想天国」</t>
  </si>
  <si>
    <t>解锁爱芮意象影画[构造体之梦]后获取。</t>
  </si>
  <si>
    <t>印有爱芮私人照片的卡片。
    「这首歌献给你们！所有的梦想家！」
    「有烦恼的话，或许可以问问伟大的许愿精灵？」</t>
  </si>
  <si>
    <t>动态壁纸·{0}</t>
  </si>
  <si>
    <t>动态壁纸，获取后可在主界面进行显示和更换。</t>
  </si>
  <si>
    <t>和{0}关系变好之后获得的一段影像，已经被制作成了动态壁纸。想念{0}的时候就多看看吧。</t>
  </si>
  <si>
    <t>LiveWallpaper01.png</t>
  </si>
  <si>
    <t>LiveWallpaper02.png</t>
  </si>
  <si>
    <t>LiveWallpaper06.png</t>
  </si>
  <si>
    <t>LiveWallpaper03.png</t>
  </si>
  <si>
    <t>LiveWallpaper04.png</t>
  </si>
  <si>
    <t>LiveWallpaper05.png</t>
  </si>
  <si>
    <t>LiveWallpaper16.png</t>
  </si>
  <si>
    <t>LiveWallpaper07.png</t>
  </si>
  <si>
    <t>LiveWallpaper09.png</t>
  </si>
  <si>
    <t>LiveWallpaper10.png</t>
  </si>
  <si>
    <t>LiveWallpaper08.png</t>
  </si>
  <si>
    <t>LiveWallpaper14.png</t>
  </si>
  <si>
    <t>LiveWallpaper12.png</t>
  </si>
  <si>
    <t>LiveWallpaper11.png</t>
  </si>
  <si>
    <t>LiveWallpaper13.png</t>
  </si>
  <si>
    <t>LiveWallpaper15.png</t>
  </si>
  <si>
    <t>LiveWallpaper18.png</t>
  </si>
  <si>
    <t>LiveWallpaper20.png</t>
  </si>
  <si>
    <t>LiveWallpaper19.png</t>
  </si>
  <si>
    <t>LiveWallpaper23.png</t>
  </si>
  <si>
    <t>LiveWallpaper24.png</t>
  </si>
  <si>
    <t>LiveWallpaper21.png</t>
  </si>
  <si>
    <t>LiveWallpaper22.png</t>
  </si>
  <si>
    <t>LiveWallpaper27.png</t>
  </si>
  <si>
    <t>LiveWallpaper25.png</t>
  </si>
  <si>
    <t>LiveWallpaper28.png</t>
  </si>
  <si>
    <t>LiveWallpaper26.png</t>
  </si>
  <si>
    <t>LiveWallpaper29.png</t>
  </si>
  <si>
    <t>LiveWallpaper30.png</t>
  </si>
  <si>
    <t>LiveWallpaper31.png</t>
  </si>
  <si>
    <t>LiveWallpaper32.png</t>
  </si>
  <si>
    <t>LiveWallpaper33.png</t>
  </si>
  <si>
    <t>LiveWallpaper34.png</t>
  </si>
  <si>
    <t>LiveWallpaper36.png</t>
  </si>
  <si>
    <t>LiveWallpaper35.png</t>
  </si>
  <si>
    <t>LiveWallpaper38.png</t>
  </si>
  <si>
    <t>LiveWallpaper37.png</t>
  </si>
  <si>
    <t>LiveWallpaper39.png</t>
  </si>
  <si>
    <t>LiveWallpaper41.png</t>
  </si>
  <si>
    <t>LiveWallpaper40.png</t>
  </si>
  <si>
    <t>LiveWallpaper42.png</t>
  </si>
  <si>
    <t>LiveWallpaper43.png</t>
  </si>
  <si>
    <t>LiveWallpaper44.png</t>
  </si>
  <si>
    <t>LiveWallpaper46.png</t>
  </si>
  <si>
    <t>LiveWallpaper45.png</t>
  </si>
  <si>
    <t>LiveWallpaper47.png</t>
  </si>
  <si>
    <t>LiveWallpaper48.png</t>
  </si>
  <si>
    <t>LiveWallpaper50.png</t>
  </si>
  <si>
    <t>LiveWallpaper49.png</t>
  </si>
  <si>
    <t>LiveWallpaper52.png</t>
  </si>
  <si>
    <t>LiveWallpaper51.png</t>
  </si>
  <si>
    <t>动态壁纸·邦布钓友会</t>
  </si>
  <si>
    <t>在厄匹斯港拍摄的邦布们享受休闲时光的影像，已经被制作成了动态壁纸。如此治愈的景象，一有时间就会拿出来看几眼。</t>
  </si>
  <si>
    <t>LiveWallpaperBangbooFishing.png</t>
  </si>
  <si>
    <t>动态壁纸·圆滚滚集会</t>
  </si>
  <si>
    <t>「嗯呢嗯呢！（瞄准，弹击——抓住你！）」
    「嗯呢、嗯嗯呢！（…笨蛋…碰不到！）」
    邦布们在暖融融晴天的修行嬉戏，被镜头记录进了动态壁纸中。</t>
  </si>
  <si>
    <t>LiveWallpaperBangboo01.png</t>
  </si>
  <si>
    <t>动态壁纸·妄想进行时</t>
  </si>
  <si>
    <t>「最后再加一个音节，用和音来收尾，应该就没问题了…」
    「哇…那我要先试唱一下！从中间这个音符开始——」
    「南宫，你、你先别逗千夏啦…刚刚她心跳的速度，一下子就快了好多！」</t>
  </si>
  <si>
    <t>LiveWallpaperAngelsOfDelusion.png</t>
  </si>
  <si>
    <t>邦布减肥计划</t>
  </si>
  <si>
    <t>值得留念的某个瞬间，可装饰在房间中。</t>
  </si>
  <si>
    <t>「不对不对！送反了！快回来！」拍摄自一同送货的盗洞客。因为看到邦布在传送带上努力往回跑的样子太可爱了而忘了搭把手。</t>
  </si>
  <si>
    <t>Snapshot.png</t>
  </si>
  <si>
    <t>BOOM！</t>
  </si>
  <si>
    <t>在空洞内实验爆炸物时留下的纪念照。真正老练的盗洞客，从来不会回头看身后的爆炸。</t>
  </si>
  <si>
    <t>请勿接听…</t>
  </si>
  <si>
    <t>人生中应该错过的两件事：徒留遗憾的爱情，以及午夜街头突然响起的电话铃。</t>
  </si>
  <si>
    <t>摸摸「肚肚」</t>
  </si>
  <si>
    <t>小猫「肚肚」的特写照片。每当看到它时，总会如同条件反射一样忍不住说出那句话：给我摸摸！快给我摸摸！</t>
  </si>
  <si>
    <t>小黑与你同在</t>
  </si>
  <si>
    <t>和{NPC_103174203}的合影，由{M#铃}{F#哥哥}帮忙拍摄。是领养{NPC_103174203}不久后留下的珍贵影像。照片里的{NPC_103174203}眼神是如此的清澈又智慧，让人看了就想狠狠揉搓一通。摸不到猫的时候，就看看这张照片解馋吧。</t>
  </si>
  <si>
    <t>照片：兄妹合照</t>
  </si>
  <si>
    <t>照片背景描述</t>
  </si>
  <si>
    <t>照片：兄妹搬来六分街</t>
  </si>
  <si>
    <t>照片：兄妹小时候合绘的简笔画</t>
  </si>
  <si>
    <t>照片：在六分街里拍摄的猫猫照片</t>
  </si>
  <si>
    <t>照片：哲拍摄的景物照片</t>
  </si>
  <si>
    <t>「好机会！阿扑！」</t>
  </si>
  <si>
    <t>抓拍自「邦布联盟」，向卫冕冠军发起决胜一击的关键瞬间。</t>
  </si>
  <si>
    <t>「和本人相比哪个帅？」</t>
  </si>
  <si>
    <t>杰兰特在被勒令搬走立牌前，缠着乔普师傅帮忙拍下的纪念照。说实话…立牌比本人帅。</t>
  </si>
  <si>
    <t>「首次登台」</t>
  </si>
  <si>
    <t>曾经的芭蕾舞明星「双子舞者」的训练照。虽然随着岁月流逝，照片已经有些模糊，但那份优雅的美感似乎依旧留存在照片之中。</t>
  </si>
  <si>
    <t>「好可怕啊啊啊啊！」</t>
  </si>
  <si>
    <t>主播阿琪的粉丝特典照片。内容为她在直播时的招牌动作：「好可怕啊啊啊啊！」</t>
  </si>
  <si>
    <t>欢宴一隅</t>
  </si>
  <si>
    <t>大老爹拍摄的照片，记录了「芝托邦」餐厅内的宴会盛景。短短数天内，这间废弃的餐馆就重新焕发了生机，想必野火镇将来也会变得越来越热闹吧。</t>
  </si>
  <si>
    <t>特别聚餐日</t>
  </si>
  <si>
    <t>珍贵的纪念照，可装饰在「往昔珍藏」中。</t>
  </si>
  <si>
    <t>维多利亚家政也会对三明治感兴趣吗？
    不过，「用简单的食材和简单的烹饪方式制作美味的食物」这件事…也许正是大家对女仆长的期待之一吧。</t>
  </si>
  <si>
    <t>难忘今宵</t>
  </si>
  <si>
    <t>拓金日那天，原本想和大家一起拍张合照，可来来去去，总也没找到人齐的时候。
    后半夜回到家中，Fairy静静点亮了屏幕，拉出了一整个文件夹的——「借用」光映广场监控设备拍下的照片。从中找出了人最多的一张，冲印了出来…
    谢谢Fairy！这次是真心的。</t>
  </si>
  <si>
    <t>谜域掠影</t>
  </si>
  <si>
    <t>「迷失之地」的「木偶匠」终于显露了真容——但它究竟是否拥有操控以骸的「智慧」，又是否为实验的产物或谁的精心安排…一切尚无结论。
    空洞，从来没有坦诚的义务。</t>
  </si>
  <si>
    <t>被珍藏的花</t>
  </si>
  <si>
    <t>珍藏一种鲜花的理由，也许是它柔美的形态与芬芳的气息，也许是赠花人的心意，也许是观赏时的心境…
    但也可能只是因为——它超贵的。</t>
  </si>
  <si>
    <t>夏夜的一刻</t>
  </si>
  <si>
    <t>绮梦音乐节结束后，特蕾莎用相机捕捉下来的一幕。老朋友、新伙伴，还有最重要的亲人…夏夜终会过去，但我们的笑容将永远定格在这段最美好的夏日回忆中。</t>
  </si>
  <si>
    <t>Snapshot_3600030.png</t>
  </si>
  <si>
    <t>荒野的祝福</t>
  </si>
  <si>
    <t>由卡吕冬之子的几位成员亲手编织并绘制图案的阳燧。虽然从工艺来讲并不复杂，但大家为了制作它一定花了不少时间。传说中坠入火海的英雄因为获得神明的庇佑而获救…如果那片违背常律的空间真的存在神明，祂会是人类的敌人，朋友，还只是冷眼注视着世间万物呢？</t>
  </si>
  <si>
    <t>PhotowallDecoration1.png</t>
  </si>
  <si>
    <t>针芒与花蕊</t>
  </si>
  <si>
    <t>解决「汇流之地」的危机后，兰寄来了回礼。
    娇嫩的花蕊和顽固的棘刺，传递来自荒野的友谊；天衣无缝的「哑谜」之下，是一段惊心动魄的冒险。</t>
  </si>
  <si>
    <t>PhotowallDecoration2.png</t>
  </si>
  <si>
    <t>嗯呢新星奖章</t>
  </si>
  <si>
    <t>别具一格的纪念品，可装饰在「往昔珍藏」中。</t>
  </si>
  <si>
    <t>阿星教练对兼职助教的工作成果赞不绝口，并向集团培训部申请了一枚奖章…很遗憾申请失败了，所以这枚奖章是它自制的。
    只是作为友谊的证明也很好，对吧？</t>
  </si>
  <si>
    <t>PhotowallDecoration3.png</t>
  </si>
  <si>
    <t>美梦延续的剪影</t>
  </si>
  <si>
    <t>铃发在聚餐群里的合影照片，是出发前众人在录像店集合时拍下的。除了险些爽约的人是自己外，无疑是和梦中一样的美好光景。
    *备注，您永远可以相信新艾利都最强智能管家。</t>
  </si>
  <si>
    <t>一钓千金</t>
  </si>
  <si>
    <t>某个宁静的夜晚，一场不为人知的较量正在炬光灯塔附近的礁石岛上演！这艘沉寂多年后终于浮出水面的潜艇，或许将成为在场所有人这辈子钓到的最值钱的目标。</t>
  </si>
  <si>
    <t>损坏的数据卡</t>
  </si>
  <si>
    <t>蕾的实验数据卡，里面的数据已经损坏，似乎只剩下了象征意义。
    「放心，里面只有一些损毁的文档而已。」
    「把它带离哨站，随手丢到某个角落里吧…越远越好。」</t>
  </si>
  <si>
    <t>星星手链</t>
  </si>
  <si>
    <t>「启明星」亲手制作的手链，仅凭这点就足以将它好好珍藏起来了。</t>
  </si>
  <si>
    <t>PhotowallDecoration4.png</t>
  </si>
  <si>
    <t>麦麦薯条灯</t>
  </si>
  <si>
    <t>一件别有意趣的藏品，可装饰在房间中。</t>
  </si>
  <si>
    <t>「请问您要小份、中份还是大份薯条？活动特供超大份薯薯，会发光——快和BFF分享吧！」</t>
  </si>
  <si>
    <t>Collection.png</t>
  </si>
  <si>
    <t>「等待消融」</t>
  </si>
  <si>
    <t>有人将这只黑色的邦布解读为：「我们终将消融于无尽的以太侵蚀中」。
    也有人认为，设计师意在提醒大家不要将手办存放在温度过高的地方。</t>
  </si>
  <si>
    <t>「等待风化」</t>
  </si>
  <si>
    <t>有人将这只灰色的邦布解读为：「我们对世界的改变，最终悄然风化」。
    也有人认为，设计师意在提醒大家不要将手办存放在露天环境中。</t>
  </si>
  <si>
    <t>格莱特的恋人</t>
  </si>
  <si>
    <t>根据格莱特保存的「真白君」影像资料制作。
    它不只是一座建筑质量堪忧的烂尾楼，还是掘进机的爱人——尽管它本人…本楼，对此缄默不言。</t>
  </si>
  <si>
    <t>三Z潮音·鼓点</t>
  </si>
  <si>
    <t>原型是设计师乙的合作乐队中的鼓手，也是「三Z设计工作室」旗下邦布服装品牌的代言布之一。
    由于乐器大小限制，每次演出时，比人类鼓手多需要一台扩音设备。</t>
  </si>
  <si>
    <t>三Z潮音·叠奏</t>
  </si>
  <si>
    <t>原型是设计师乙的合作乐队中的唱片骑士，也是「三Z设计工作室」旗下邦布服装品牌的代言布之一。
    在鼓手和贝斯手的协力帮助下，才能穿上乙设计的恐龙表演服。</t>
  </si>
  <si>
    <t>三Z潮音·低吟</t>
  </si>
  <si>
    <t>原型是设计师乙的合作乐队中的贝斯手，也是「三Z设计工作室」旗下邦布服装品牌的代言布之一。
    由于太过内向不想被认出，所以手办形象中的胡子是现贴的。</t>
  </si>
  <si>
    <t>「沙盘」的一角</t>
  </si>
  <si>
    <t>想要指挥小邦布战胜坏以骸，就要先做好战术布置！阿星教练的朋友留下了一个沙盘，请妥善使用。
    如果尊敬的战斗助教需要一件纪念品…那从沙盘上拆下「战局激烈」的一角带走，也无可厚非。</t>
  </si>
  <si>
    <t>「4WD-赤红彗星」</t>
  </si>
  <si>
    <t>氮气兄弟/邦布四驱车/竞速系列
    「那天你在赛道所见的赤色流星，不过是我的尾灯在你挡风玻璃上留下的划痕。」</t>
  </si>
  <si>
    <t>「4WD-街道传说」</t>
  </si>
  <si>
    <t>氮气兄弟/邦布四驱车/竞速系列
    「我不是车手，只是被黑心豆腐店老板驱策的外送员而已。」</t>
  </si>
  <si>
    <t>「4WD-荒丘骑士」</t>
  </si>
  <si>
    <t>氮气兄弟/邦布四驱车/越野系列
    「碾过对手和碾过砂砾时同样平稳，这是属于荒野的骑士精神。」</t>
  </si>
  <si>
    <t>「等待拨通」</t>
  </si>
  <si>
    <t>有人将这只公用电话模样的邦布解读为：「我们的真实面目注定消解于通信媒体的讯号之中」。
    也有人认为，设计师只是喜欢煲电话粥而已。</t>
  </si>
  <si>
    <t>如愿遂心</t>
  </si>
  <si>
    <t>「心想事成」「万事遂意」，即使是不可能实现的愿望，每逢新年，仍然一次次从无数人口中听闻。
    …或许，这其实并非「不能实现的愿望」呢？说到底，愿望是对未来的一种预言。对吧，伊埃斯？</t>
  </si>
  <si>
    <t>璀璨流金</t>
  </si>
  <si>
    <t>在梦中，我变成了拥有金手指的国王，得到无穷无尽的财富，又用财富换得无穷无尽的幸福…直到那一天，我的手指碰到了伊埃斯！
    …停，对家人请说实话，这明明就是之前定做的伊埃斯纪念品的异色版吧？你多花了多少钱…这不可能是真金吧？？？</t>
  </si>
  <si>
    <t>游侠骑士之盔</t>
  </si>
  <si>
    <t>来自「游侠骑士阿吉」亲自颁发的认可，戴上了它，就是一名合格的骑士了！但…这么小的头盔谁能戴得上啊…</t>
  </si>
  <si>
    <t>「0WD-雪域刀锋」</t>
  </si>
  <si>
    <t>氮气兄弟/邦布特种车/雪地系列
    「有人说，人眼捕捉的上限是60帧每秒，而我，只需要一个眨眼瞬间，便能消失于茫茫雪原。」</t>
  </si>
  <si>
    <t>「1WD-城市猎人」</t>
  </si>
  <si>
    <t>氮气兄弟/邦布摩托车/城市系列
    「漂移、穿梭、超车，你所追求的极限，不过是我每天生活的日常。」</t>
  </si>
  <si>
    <t>闪味奇盘</t>
  </si>
  <si>
    <t>滋滋脆脆美食铺推出的限定餐盘，灵感来源于滋脆布热情接客的形象。据说只要把菜肴装在餐盘上，整道菜都会闪闪发光，但仔细看...这光好像是托架自带的灯光效果吧？</t>
  </si>
  <si>
    <t>甘甜夏日</t>
  </si>
  <si>
    <t>邦布蔬果国度·甘甜夏日
    「三Z STUDIO」新推出的设计品系列，设计灵感源自日常的水果和蔬菜。
    菠萝布、西瓜布、椰布的组合令人遐想，夏日时光的记忆，总是充满时令水果的甘甜。</t>
  </si>
  <si>
    <t>健康计划</t>
  </si>
  <si>
    <t>邦布蔬果国度·健康计划
    「三Z STUDIO」新推出的设计品系列，设计灵感源自日常的水果和蔬菜。
    西兰布、番茄布、玉米布的组合引人深思，除了健康饮食，今天你练了吗？</t>
  </si>
  <si>
    <t>蔬菜天团</t>
  </si>
  <si>
    <t>邦布蔬果国度·蔬菜天团
    「三Z STUDIO」新推出的设计品系列，设计灵感源自日常的水果和蔬菜。
    白菜布，茄子布，萝布的组合使人自省，均衡饮食，每天的蔬菜必不可少。</t>
  </si>
  <si>
    <t>生瓷有道·邦我发财</t>
  </si>
  <si>
    <t>据设计师所言，他并非创造了这只邦布，而是从作为材料的矿物中发现了它的形貌。
    它阖目静坐于彼，既是进宝香炉，也是招财摆件，诞生于一个坚持不懈的呼唤——
    「小邦布，小邦布，快快帮我发财！」</t>
  </si>
  <si>
    <t>桌上丽都·嗯呢钟（午夜黑）</t>
  </si>
  <si>
    <t>还有什么是比被小邦布的「嗯呢嗯呢」闹醒，摸索到它的小耳朵将它关闭，再做个被邦布包围的回笼觉更幸福的事呢？</t>
  </si>
  <si>
    <t>桌上丽都·邦哥大（檀木黑）</t>
  </si>
  <si>
    <t>电话接通后如果从另一边传来「嗯呢嗯呢」的声音，请不必感到惊讶，那是前往邦布王国的提示音。</t>
  </si>
  <si>
    <t>桌上丽都·嗯呢钟（白昼橙）</t>
  </si>
  <si>
    <t>桌上丽都·邦哥大（象牙白）</t>
  </si>
  <si>
    <t>称号 「{0}」</t>
  </si>
  <si>
    <t>绳网称号，获取后可在绳网的个人信息和好友列表中展示</t>
  </si>
  <si>
    <t>TitleIcon.png</t>
  </si>
  <si>
    <t>[考核限定]考生证件</t>
  </si>
  <si>
    <t>一位新的考生向你递交了自己的证件！带上它一起参加考核，帮它拿到光荣的「空洞作战资格证书」吧！</t>
  </si>
  <si>
    <t>IconBangbooDefenseUnknown.png</t>
  </si>
  <si>
    <t>寻宝布训练笔记</t>
  </si>
  <si>
    <t>面对紧张严肃的考场，即使是再有准备的小邦布也可能发挥失常；但如果能带上一份训练笔记，它们就能发挥得更好哦！</t>
  </si>
  <si>
    <t>企鹅布训练笔记</t>
  </si>
  <si>
    <t>插头布训练笔记</t>
  </si>
  <si>
    <t>纸壳布训练笔记</t>
  </si>
  <si>
    <t>飞靶布训练笔记</t>
  </si>
  <si>
    <t>果核布训练笔记</t>
  </si>
  <si>
    <t>烘烤模式启动芯片</t>
  </si>
  <si>
    <t>阿星教练的朋友留下了一些芯片，可以在考核中为小邦布们提供帮助；至于玛瑟尔集团是否知情…那应该是知道的吧？</t>
  </si>
  <si>
    <t>考场资源整合芯片</t>
  </si>
  <si>
    <t>TransformDilatation01.png</t>
  </si>
  <si>
    <t>环境适应辅助芯片</t>
  </si>
  <si>
    <t>节能模式启动芯片</t>
  </si>
  <si>
    <t>TransformShock01.png</t>
  </si>
  <si>
    <t>烈性充能</t>
  </si>
  <si>
    <t>在「击退的艺术」特训期间，受训代理人的强化特殊技能量和终结技喧响值回复效率会提升。</t>
  </si>
  <si>
    <t>高压过载</t>
  </si>
  <si>
    <t>电网造成的伤害提升。</t>
  </si>
  <si>
    <t>TransformChain01.png</t>
  </si>
  <si>
    <t>岩球补给</t>
  </si>
  <si>
    <t>每次刷新「赫斯克球」时，都会额外出现两只「赫斯克球」，其造成的伤害有所提升。</t>
  </si>
  <si>
    <t>弹射狂潮</t>
  </si>
  <si>
    <t>球形赫斯克龙撞击次数和伤害提升。</t>
  </si>
  <si>
    <t>燃罐补给</t>
  </si>
  <si>
    <t>每次刷新「以太动力罐」时，都会额外出现两只「以太动力罐」，击飞以后爆炸产生的伤害有所提升。</t>
  </si>
  <si>
    <t>爆燃强化</t>
  </si>
  <si>
    <t>击飞煤气罐后爆炸产生的伤害提升。</t>
  </si>
  <si>
    <t>高频再生</t>
  </si>
  <si>
    <t>伴随出现的敌对目标、「赫斯克球」、「以太动力罐」的刷新频率提升。</t>
  </si>
  <si>
    <t>制敌增速</t>
  </si>
  <si>
    <t>在「击退的艺术」特训期间，敌对目标阵亡，会回复受训代理人的强化特殊技能量和终结技喧响值。</t>
  </si>
  <si>
    <t>道具名称</t>
  </si>
  <si>
    <t>道具的描述</t>
  </si>
  <si>
    <t>喵吉的「六分街」笔记（1）</t>
  </si>
  <si>
    <t>喵吉长官的便笺本，记载着六分街需要帮助的邦布信息。完成任务「白色怪客」后可以解锁对应的委托。</t>
  </si>
  <si>
    <t>里面记载了从各处搜集来的邦布求助信息。</t>
  </si>
  <si>
    <t>PoliceOfficerLetter01.png</t>
  </si>
  <si>
    <t>喵吉的「六分街」笔记（2）</t>
  </si>
  <si>
    <t>喵吉长官的便笺本，记载着六分街需要帮助的邦布信息。</t>
  </si>
  <si>
    <t>PoliceOfficerLetter02.png</t>
  </si>
  <si>
    <t>喵吉的「工地近郊」笔记</t>
  </si>
  <si>
    <t>喵吉长官的便笺本，记载着工地近郊需要帮助的邦布信息。</t>
  </si>
  <si>
    <t>PoliceOfficerLetter03.png</t>
  </si>
  <si>
    <t>喵吉的「芭莱大厦前」笔记</t>
  </si>
  <si>
    <t>喵吉长官的便笺本，记载着芭莱大厦需要帮助的邦布信息。</t>
  </si>
  <si>
    <t>PoliceOfficerLetter06.png</t>
  </si>
  <si>
    <t>喵吉的「光映广场」笔记（1）</t>
  </si>
  <si>
    <t>喵吉长官的便笺本，记载着光映广场需要帮助的邦布信息。</t>
  </si>
  <si>
    <t>PoliceOfficerLetter04.png</t>
  </si>
  <si>
    <t>喵吉的「光映广场」笔记（2）</t>
  </si>
  <si>
    <t>PoliceOfficerLetter05.png</t>
  </si>
  <si>
    <t>沾着露水的卡片</t>
  </si>
  <si>
    <t>通常用来写下祝语的小卡片，与一束鲜花一同出现在录像店门口的唱片箱里。</t>
  </si>
  <si>
    <t>看起来是以某家花店口吻写下的赠言卡片，但意有所指的措辞和卡片上附带的绳网加密地址，都证明了这其实是一封来自中间商的委托信。</t>
  </si>
  <si>
    <t>RallyLetter01.png</t>
  </si>
  <si>
    <t>来自「朝露」的卡片</t>
  </si>
  <si>
    <t>看起来是以某家花店口吻写下的赠言卡片。这一次卡片上留下了一家花店的地址，一直以来向我们介绍拉力委托的中间商就藏身于那里吗…</t>
  </si>
  <si>
    <t>染着花香的卡片</t>
  </si>
  <si>
    <t>战术爆弹</t>
  </si>
  <si>
    <t>此炸弹以倒计时形式引爆，可造成十字型范围伤害，并且它不会对使用者造成伤害，但仍处于实验阶段。</t>
  </si>
  <si>
    <t>重锤</t>
  </si>
  <si>
    <t>拿在手上等待充能结束就会自动产生圆形爆炸，神奇的是它并不会对使用者造成伤害，造价十分昂贵。</t>
  </si>
  <si>
    <t>定向弹</t>
  </si>
  <si>
    <t>拿在手上等待才能结束就会自动产生单一方向爆炸，神奇的是它并不会对使用者造成伤害，造价十分昂贵。</t>
  </si>
  <si>
    <t>部署并引爆一枚能产生十字形交叉爆炸的炸弹，对全队造成15%最大生命值的伤害，清除爆炸范围内的大部分事件格，普通和精英级敌人将会掉落鸣徽。</t>
  </si>
  <si>
    <t>强力爆破</t>
  </si>
  <si>
    <t>部署并引爆一枚能产生圆形范围爆炸的炸弹，清除爆炸范围内的绝大部分事件格，大型或复杂的精英级别敌人、首领级别敌人不受爆炸影响，普通和精英级敌人将会掉落鸣徽。</t>
  </si>
  <si>
    <t>派遣迷你邦布引燃高爆型活性以太炸弹，瞬间扫清周围所有碍事的东西。炸弹范围可控，不会对伊埃斯造成影响。</t>
  </si>
  <si>
    <t>「零号银行」规则说明</t>
  </si>
  <si>
    <t>一本简易的小册子，上面印有「零号银行」积分福利规则的详细说明。</t>
  </si>
  <si>
    <t>「为了您的权益和福利，请仔细阅读全文，最终解释权归零号银行所有。」除了这几个醒目的大字，剩下的全是密密麻麻，让人看得头晕目眩的小字，明明它们才是最重要的部分。</t>
  </si>
  <si>
    <t>喵吉的「野火镇」笔记</t>
  </si>
  <si>
    <t>喵吉长官的便笺本，记载着野火镇需要帮助的邦布信息。</t>
  </si>
  <si>
    <t>PoliceOfficerLetter07.png</t>
  </si>
  <si>
    <t>《扑托扑托！》童谣</t>
  </si>
  <si>
    <t>喵吉的「厄匹斯港」笔记</t>
  </si>
  <si>
    <t>喵吉长官的便笺本，记载着厄匹斯港需要帮助的邦布信息。</t>
  </si>
  <si>
    <t>里面记载了从各处搜集来的邦布求助信息。只要还有邦布需要帮助，喵吉的脚步就不会停下。</t>
  </si>
  <si>
    <t>PoliceOfficerLetter08.png</t>
  </si>
  <si>
    <t>雅的「行动报告」</t>
  </si>
  <si>
    <t>来自雅的「公文信函」，随时可以取阅。</t>
  </si>
  <si>
    <t>雅的手写信，装在对空部的档案袋里头充作「公文信函」。拓着讲究花纹的信封上所系的丝绳，与雅腰间常佩的流苏是同样的材质。</t>
  </si>
  <si>
    <t>UnagiLetter01.png</t>
  </si>
  <si>
    <t>规则说明</t>
  </si>
  <si>
    <t>厄匹斯极钓大师赛</t>
  </si>
  <si>
    <t>HIATowerLetter.png</t>
  </si>
  <si>
    <t>漂流瓶NO.1</t>
  </si>
  <si>
    <t>漂流瓶中纸条的内容好像来自一位身患重疾的青年，他似乎想与我们分享某个秘密。纸条下有一些形状奇怪的花纹，也许它们指向什么线索…</t>
  </si>
  <si>
    <t>承载着期待与心愿的瓶子，在浩渺的水波间流浪，直到被拦截在你的故事里。</t>
  </si>
  <si>
    <t>UltimateAnglerLetter01.png</t>
  </si>
  <si>
    <t>漂流瓶NO.2</t>
  </si>
  <si>
    <t>漂流瓶NO.3</t>
  </si>
  <si>
    <t>神秘信件</t>
  </si>
  <si>
    <t>致波可娜的一封信</t>
  </si>
  <si>
    <t>一封柏妮思送给波可娜的手写信。</t>
  </si>
  <si>
    <t>波可娜帮助卡吕冬之子的大家前往各个地方购买东西后，柏妮思写了一封手写信向波可娜解释这一切的缘由。</t>
  </si>
  <si>
    <t>RallyLetter02.png</t>
  </si>
  <si>
    <t>来自「海巫师」的寻梦瓶</t>
  </si>
  <si>
    <t>由「海巫师」送还的寻梦瓶，瓶身上还留有礁石磕碰的痕迹。</t>
  </si>
  <si>
    <t>作为「海巫师」给「海神之子」的回信，倘若他俩顺利归位，这个瓶子一定能升值很多…吧？</t>
  </si>
  <si>
    <t>MessageWishBottle.png</t>
  </si>
  <si>
    <t>没有署名的寻梦瓶</t>
  </si>
  <si>
    <t>这封信字迹清秀、气味芬芳，闻起来令人心旷神怡。</t>
  </si>
  <si>
    <t>来自「夜魔使者」的寻梦瓶</t>
  </si>
  <si>
    <t>除却纸条，瓶里还有一个小小的吊坠，看形状似乎是「死路屠夫」——怎么会有商家做以骸风格的玩具啊！</t>
  </si>
  <si>
    <t>《踏雪独行》</t>
  </si>
  <si>
    <t>《松巅望月》</t>
  </si>
  <si>
    <t>《青溟剑歌》</t>
  </si>
  <si>
    <t>某人遗落的手记·其一</t>
  </si>
  <si>
    <t>某人遗落的手记·其二</t>
  </si>
  <si>
    <t>某人遗落的手记·其三</t>
  </si>
  <si>
    <t>失踪开发者的密信</t>
  </si>
  <si>
    <t>从凯莉那获得的奇怪书信</t>
  </si>
  <si>
    <t>从凯莉处收到的，第一个通关拟真鏖战试炼者的奖励。
    简洁而工整的信封，仍处于未开封的完好状态。除了你和作者，没人会知道里面写着什么——而那名素未谋面的作者，如今已经消失在了空洞深处。</t>
  </si>
  <si>
    <t>陈旧的日记 第一页</t>
  </si>
  <si>
    <t>陈旧的日记 第二页</t>
  </si>
  <si>
    <t>陈旧的日记 第三页</t>
  </si>
  <si>
    <t>使周围8格中的空格变为可获得200枚齿轮硬币的事件格。</t>
  </si>
  <si>
    <t>使所有的空格变为可获得200枚齿轮硬币的事件格。</t>
  </si>
  <si>
    <t>小光来信</t>
  </si>
  <si>
    <t>叶瞬光曾在澄辉坪遗落一些旧物，幸而有你的帮助，将它们一一找回。为表感谢，小光特意留下一封信，介绍这些旧物的出处，似乎有些特别的话想对你说...</t>
  </si>
  <si>
    <t>随信一起附上的，还有一根纤软的鸟羽、一张云岿山众人的合照、一枚断裂的平安结、一张反复涂改的食谱、一本手写的云岿山新人指南、一盏燃尽的浮灯…这些旧物承载着小光在云岿山难以割舍的回忆，希望你能替她守护。</t>
  </si>
  <si>
    <t>2.5Preregistration.png</t>
  </si>
  <si>
    <t>[游历]观测布</t>
  </si>
  <si>
    <t>在随便观协助制造、售卖，或派遣游历的邦布。</t>
  </si>
  <si>
    <t>CardBangbooObservaboo.png</t>
  </si>
  <si>
    <t>[游历]墨墩墩-Ⅰ型</t>
  </si>
  <si>
    <t>CardBangbooPudding.png</t>
  </si>
  <si>
    <t>[游历]墨墩墩-Ⅱ型</t>
  </si>
  <si>
    <t>[游历]墨墩墩-Ⅲ型</t>
  </si>
  <si>
    <t>摆布</t>
  </si>
  <si>
    <t>[制造]煤团子-Ⅰ型</t>
  </si>
  <si>
    <t>[制造]煤团子-Ⅱ型</t>
  </si>
  <si>
    <t>[制造]煤团子-Ⅲ型</t>
  </si>
  <si>
    <t>[售卖]乌乌糖-Ⅰ型</t>
  </si>
  <si>
    <t>[售卖]乌乌糖-Ⅱ型</t>
  </si>
  <si>
    <t>[售卖]乌乌糖-Ⅲ型</t>
  </si>
  <si>
    <t>[游历]骑士布-Ⅰ型</t>
  </si>
  <si>
    <t>[游历]骑士布-Ⅱ型</t>
  </si>
  <si>
    <t>[游历]骑士布-Ⅲ型</t>
  </si>
  <si>
    <t>[游历]扑击布-Ⅰ型</t>
  </si>
  <si>
    <t>[游历]扑击布-Ⅱ型</t>
  </si>
  <si>
    <t>[游历]扑击布-Ⅲ型</t>
  </si>
  <si>
    <t>[游历]格斗布-Ⅰ型</t>
  </si>
  <si>
    <t>[游历]格斗布-Ⅱ型</t>
  </si>
  <si>
    <t>[游历]格斗布-Ⅲ型</t>
  </si>
  <si>
    <t>[游历]飞靶布-Ⅰ型</t>
  </si>
  <si>
    <t>[游历]飞靶布-Ⅱ型</t>
  </si>
  <si>
    <t>[游历]飞靶布-Ⅲ型</t>
  </si>
  <si>
    <t>[游历]纸壳布-Ⅰ型</t>
  </si>
  <si>
    <t>[游历]纸壳布-Ⅱ型</t>
  </si>
  <si>
    <t>[游历]纸壳布-Ⅲ型</t>
  </si>
  <si>
    <t>[制造]电击布-Ⅰ型</t>
  </si>
  <si>
    <t>[制造]电击布-Ⅱ型</t>
  </si>
  <si>
    <t>[制造]电击布-Ⅲ型</t>
  </si>
  <si>
    <t>[制造]磁力布-Ⅰ型</t>
  </si>
  <si>
    <t>[制造]磁力布-Ⅱ型</t>
  </si>
  <si>
    <t>[制造]磁力布-Ⅲ型</t>
  </si>
  <si>
    <t>[制造]企鹅布-Ⅰ型</t>
  </si>
  <si>
    <t>[制造]企鹅布-Ⅱ型</t>
  </si>
  <si>
    <t>[制造]企鹅布-Ⅲ型</t>
  </si>
  <si>
    <t>[制造]不良布-Ⅰ型</t>
  </si>
  <si>
    <t>[制造]不良布-Ⅱ型</t>
  </si>
  <si>
    <t>[制造]不良布-Ⅲ型</t>
  </si>
  <si>
    <t>[售卖]加班布-Ⅰ型</t>
  </si>
  <si>
    <t>[售卖]加班布-Ⅱ型</t>
  </si>
  <si>
    <t>[售卖]加班布-Ⅲ型</t>
  </si>
  <si>
    <t>[售卖]果核布-Ⅰ型</t>
  </si>
  <si>
    <t>[售卖]果核布-Ⅱ型</t>
  </si>
  <si>
    <t>[售卖]果核布-Ⅲ型</t>
  </si>
  <si>
    <t>[售卖]泪眼布-Ⅰ型</t>
  </si>
  <si>
    <t>[售卖]泪眼布-Ⅱ型</t>
  </si>
  <si>
    <t>[售卖]泪眼布-Ⅲ型</t>
  </si>
  <si>
    <t>[售卖]纸袋布-Ⅰ型</t>
  </si>
  <si>
    <t>[售卖]纸袋布-Ⅱ型</t>
  </si>
  <si>
    <t>[售卖]纸袋布-Ⅲ型</t>
  </si>
  <si>
    <t>[游历]运仔</t>
  </si>
  <si>
    <t>[游历]兜仔</t>
  </si>
  <si>
    <t>[游历]飙仔</t>
  </si>
  <si>
    <t>[游历]派小鲨</t>
  </si>
  <si>
    <t>[游历]摸鱼鲨</t>
  </si>
  <si>
    <t>[游历]胖哒鲨</t>
  </si>
  <si>
    <t>[游历]冒险崽</t>
  </si>
  <si>
    <t>[游历]寻宝崽</t>
  </si>
  <si>
    <t>[游历]标记崽</t>
  </si>
  <si>
    <t>[游历]闪闪弹</t>
  </si>
  <si>
    <t>[制造]小满</t>
  </si>
  <si>
    <t>[制造]小萤</t>
  </si>
  <si>
    <t>[制造]小浣</t>
  </si>
  <si>
    <t>[制造]小朔</t>
  </si>
  <si>
    <t>[制造]啾啾</t>
  </si>
  <si>
    <t>[制造]斑斑</t>
  </si>
  <si>
    <t>[制造]绒绒</t>
  </si>
  <si>
    <t>[制造]泡泡</t>
  </si>
  <si>
    <t>[制造]阿福</t>
  </si>
  <si>
    <t>[制造]阿圆</t>
  </si>
  <si>
    <t>[制造]阿松</t>
  </si>
  <si>
    <t>[制造]阿宁</t>
  </si>
  <si>
    <t>[制造]阿全</t>
  </si>
  <si>
    <t>[售卖]红糖角</t>
  </si>
  <si>
    <t>[售卖]焰奶酥</t>
  </si>
  <si>
    <t>[售卖]绒翼团</t>
  </si>
  <si>
    <t>[售卖]魔豆包</t>
  </si>
  <si>
    <t>[售卖]金卯</t>
  </si>
  <si>
    <t>[售卖]元宝</t>
  </si>
  <si>
    <t>[售卖]福铢</t>
  </si>
  <si>
    <t>[售卖]添金</t>
  </si>
  <si>
    <t>曦色玲珑</t>
  </si>
  <si>
    <t>术法自然，璇玑翩跹。云岿山弟子铃，前来拜见！</t>
  </si>
  <si>
    <t>Skin_WiseSuibianguan.png</t>
  </si>
  <si>
    <t>夏日晴空</t>
  </si>
  <si>
    <t>浪花拍打小腿，阳光划过帽檐。少女的征程可是星辰大海！</t>
  </si>
  <si>
    <t>Skin_PlayerSwimwear.png</t>
  </si>
  <si>
    <t>晴澜双迹套装</t>
  </si>
  <si>
    <t>绳匠的海滨主题时装，可在绳匠时装界面中穿戴。</t>
  </si>
  <si>
    <t>[晴澜双迹套装]包含时装[哲·浪影闲庭]、时装[铃·夏日晴空]。</t>
  </si>
  <si>
    <t>丽都漫行</t>
  </si>
  <si>
    <t>传奇绳匠的经典穿搭。即刻出发，漫游丽都。</t>
  </si>
  <si>
    <t>鹤唳青霄</t>
  </si>
  <si>
    <t>术法自然，神霄流转。云岿山门下弟子哲，拜会。</t>
  </si>
  <si>
    <t>浪影闲庭</t>
  </si>
  <si>
    <t>漫漫海风，信步其中。所谓夏天，就该是沙滩、海浪、冰西瓜！</t>
  </si>
  <si>
    <t>元气店长</t>
  </si>
  <si>
    <t>是店长才不是助理，还是有秘密身份的元气少女！</t>
  </si>
  <si>
    <t>Skin_BelleSuibianguan.png</t>
  </si>
  <si>
    <t>适性符</t>
  </si>
  <si>
    <t>随便观制造、售卖的探索空洞特制仪器。</t>
  </si>
  <si>
    <t>测试以太适性的符箓，云岿山迄今还保有此以太适性测试法的专利。</t>
  </si>
  <si>
    <t>SuibianProspectingProduct02.png</t>
  </si>
  <si>
    <t>清神益气囊</t>
  </si>
  <si>
    <t>随便观制造、售卖的特制本草方剂。</t>
  </si>
  <si>
    <t>随身佩戴有驱散疲惫、增益精气之效的手工香囊。</t>
  </si>
  <si>
    <t>SuibianRemedyProduct06.png</t>
  </si>
  <si>
    <t>以太罗盘</t>
  </si>
  <si>
    <t>指示空洞中以太浓度较低方向的手持装置，可在缺乏数据时应急逃生使用。</t>
  </si>
  <si>
    <t>SuibianProspectingProduct06.png</t>
  </si>
  <si>
    <t>璃光甑</t>
  </si>
  <si>
    <t>随便观制造、售卖的炊具。</t>
  </si>
  <si>
    <t>以稀土为胎的饭甑，甑体表层浮动着新谷般的微光。</t>
  </si>
  <si>
    <t>SuibianTastesProduct01.png</t>
  </si>
  <si>
    <t>辟秽散</t>
  </si>
  <si>
    <t>云岿山古法研制的药粉，口服能在一定时间内减轻秽息对人的侵蚀性。</t>
  </si>
  <si>
    <t>SuibianRemedyProduct01.png</t>
  </si>
  <si>
    <t>调息蒲榻</t>
  </si>
  <si>
    <t>随便观制造、售卖的修行辅助用品。</t>
  </si>
  <si>
    <t>以蒲草手工编织的蒲团，上刻「清心道自生，松涛入定来」。</t>
  </si>
  <si>
    <t>SuibianWayseekProduct01.png</t>
  </si>
  <si>
    <t>滤净瓶</t>
  </si>
  <si>
    <t>经云岿山改良的、用于过滤空洞中受污染水源的专业滤水设备。</t>
  </si>
  <si>
    <t>SuibianProspectingProduct03.png</t>
  </si>
  <si>
    <t>雪芽钵</t>
  </si>
  <si>
    <t>随便观制造、售卖的茶具。</t>
  </si>
  <si>
    <t>玄武岩手工打凿成的粗砺茶钵，天然孔洞渗着雪水冷香。</t>
  </si>
  <si>
    <t>SuibianTastesProduct02.png</t>
  </si>
  <si>
    <t>百露雾剂</t>
  </si>
  <si>
    <t>云岿山古法研制的喷雾，采朝露百花所炼，是护肤养颜的不二选择。</t>
  </si>
  <si>
    <t>SuibianRemedyProduct02.png</t>
  </si>
  <si>
    <t>动爻缓释贴</t>
  </si>
  <si>
    <t>云岿山古法研制的药贴，在调控穴位滞气，缓解筋骨劳损上有奇效。</t>
  </si>
  <si>
    <t>SuibianRemedyProduct03.png</t>
  </si>
  <si>
    <t>心斋镇纸</t>
  </si>
  <si>
    <t>以白玉潜心雕琢的镇纸，寓「墨引天机，笔落乾坤」之意。</t>
  </si>
  <si>
    <t>SuibianWayseekProduct02.png</t>
  </si>
  <si>
    <t>归藏靴</t>
  </si>
  <si>
    <t>随便观制造、售卖的衣物。</t>
  </si>
  <si>
    <t>云岿山弟子平日里常穿的鞋履，也十分适合空洞探索。</t>
  </si>
  <si>
    <t>SuibianAttireProduct01.png</t>
  </si>
  <si>
    <t>洞明镜</t>
  </si>
  <si>
    <t>云岿山秘法所制手持镜，空洞探索时能在小范围内破除虚饰、鉴伪存真。</t>
  </si>
  <si>
    <t>SuibianProspectingProduct04.png</t>
  </si>
  <si>
    <t>天青杵</t>
  </si>
  <si>
    <t>随便观制造、售卖的药具。</t>
  </si>
  <si>
    <t>枣木打磨的药杵，杵首装点着天青釉色，似将半阙月夜凝在斑驳木痕间。</t>
  </si>
  <si>
    <t>SuibianTastesProduct03.png</t>
  </si>
  <si>
    <t>谐振锚</t>
  </si>
  <si>
    <t>经云岿山改良，以共振频段实现空间锚定、位置信息共享的便携装置。</t>
  </si>
  <si>
    <t>SuibianProspectingProduct05.png</t>
  </si>
  <si>
    <t>金粟渡</t>
  </si>
  <si>
    <t>随便观制造、售卖的节庆用品。</t>
  </si>
  <si>
    <t>不灭的莲花水灯。有放灯人曾说，看见灯影里似有稻穗低垂的彼岸……</t>
  </si>
  <si>
    <t>SuibianFestivalProduct01.png</t>
  </si>
  <si>
    <t>存思清铃</t>
  </si>
  <si>
    <t>以青铜铸骨的风铃，有清心涤尘、抑燥助思的功用。</t>
  </si>
  <si>
    <t>SuibianWayseekProduct03.png</t>
  </si>
  <si>
    <t>太素袍</t>
  </si>
  <si>
    <t>云岿山弟子平日里常穿的衣袍，也十分适合空洞探索。</t>
  </si>
  <si>
    <t>SuibianAttireProduct02.png</t>
  </si>
  <si>
    <t>辰砂碾</t>
  </si>
  <si>
    <t>匠心浇铸的丹霞色药碾，药渍浸成暗朱绺痕，幽光里犹见流火碎金闪烁。</t>
  </si>
  <si>
    <t>SuibianTastesProduct04.png</t>
  </si>
  <si>
    <t>相位桩</t>
  </si>
  <si>
    <t>经云岿山改良，临时稳固空洞内不稳定区域的便携装置，但作用有限。</t>
  </si>
  <si>
    <t>SuibianProspectingProduct07.png</t>
  </si>
  <si>
    <t>松烟釜</t>
  </si>
  <si>
    <t>烧制多日的圆润锅具，恍惚似能闻见数种香料小火慢炖的温厚气息。</t>
  </si>
  <si>
    <t>SuibianTastesProduct05.png</t>
  </si>
  <si>
    <t>守一玄佩</t>
  </si>
  <si>
    <t>以墨石雕琢的玄佩，惟愿「心如墨沉，抱元守一」。</t>
  </si>
  <si>
    <t>SuibianWayseekProduct04.png</t>
  </si>
  <si>
    <t>静笃护腕</t>
  </si>
  <si>
    <t>云岿山弟子配备的护腕，蕴藏着对门下弟子「致虚极，守静笃」的教诲。</t>
  </si>
  <si>
    <t>SuibianAttireProduct03.png</t>
  </si>
  <si>
    <t>云魄琴炉</t>
  </si>
  <si>
    <t>以沉香木打造的密布云纹的琴炉，焦尾余韵、青烟缭绕间似有鹤唳。</t>
  </si>
  <si>
    <t>SuibianWayseekProduct05.png</t>
  </si>
  <si>
    <t>云门叠</t>
  </si>
  <si>
    <t>总有幼童在暮色偷敲一响——老人说那是岁月层层漫过随便观石阶的回音。</t>
  </si>
  <si>
    <t>SuibianFestivalProduct02.png</t>
  </si>
  <si>
    <t>醒心促愈素</t>
  </si>
  <si>
    <t>云岿山古法研制的药丸，可清除郁结、回复精神、加速创口愈生。</t>
  </si>
  <si>
    <t>SuibianRemedyProduct04.png</t>
  </si>
  <si>
    <t>镇厄面</t>
  </si>
  <si>
    <t>彩漆金边描绘的木质面具，岁岁年年为这烟火人间驱散噩梦魇气。</t>
  </si>
  <si>
    <t>SuibianFestivalProduct03.png</t>
  </si>
  <si>
    <t>异构抗凝膏</t>
  </si>
  <si>
    <t>云岿山古法研制的药膏，可活血化瘀、消炎镇痛、改善局部血液循环。</t>
  </si>
  <si>
    <t>SuibianRemedyProduct05.png</t>
  </si>
  <si>
    <t>[精淬]适性符</t>
  </si>
  <si>
    <t>随便观精淬后的探索空洞特制仪器。</t>
  </si>
  <si>
    <t>[精淬]清神益气囊</t>
  </si>
  <si>
    <t>随便观精淬后的特制本草方剂。</t>
  </si>
  <si>
    <t>[精淬]以太罗盘</t>
  </si>
  <si>
    <t>[精淬]璃光甑</t>
  </si>
  <si>
    <t>随便观精淬后的炊具。</t>
  </si>
  <si>
    <t>[精淬]辟秽散</t>
  </si>
  <si>
    <t>[精淬]调息蒲榻</t>
  </si>
  <si>
    <t>随便观精淬后的修行辅助用品。</t>
  </si>
  <si>
    <t>[精淬]滤净瓶</t>
  </si>
  <si>
    <t>[精淬]雪芽钵</t>
  </si>
  <si>
    <t>随便观精淬后的茶具。</t>
  </si>
  <si>
    <t>[精淬]百露雾剂</t>
  </si>
  <si>
    <t>[精淬]动爻缓释贴</t>
  </si>
  <si>
    <t>[精淬]心斋镇纸</t>
  </si>
  <si>
    <t>[精淬]归藏靴</t>
  </si>
  <si>
    <t>随便观精淬后的衣物。</t>
  </si>
  <si>
    <t>[精淬]洞明镜</t>
  </si>
  <si>
    <t>[精淬]天青杵</t>
  </si>
  <si>
    <t>随便观精淬后的药具。</t>
  </si>
  <si>
    <t>[精淬]谐振锚</t>
  </si>
  <si>
    <t>[精淬]金粟渡</t>
  </si>
  <si>
    <t>随便观精淬后的节庆用品。</t>
  </si>
  <si>
    <t>[精淬]存思清铃</t>
  </si>
  <si>
    <t>[精淬]太素袍</t>
  </si>
  <si>
    <t>[精淬]辰砂碾</t>
  </si>
  <si>
    <t>[精淬]相位桩</t>
  </si>
  <si>
    <t>[精淬]松烟釜</t>
  </si>
  <si>
    <t>[精淬]守一玄佩</t>
  </si>
  <si>
    <t>[精淬]静笃护腕</t>
  </si>
  <si>
    <t>[精淬]云魄琴炉</t>
  </si>
  <si>
    <t>[精淬]云门叠</t>
  </si>
  <si>
    <t>[精淬]醒心促愈素</t>
  </si>
  <si>
    <t>[精淬]镇厄面</t>
  </si>
  <si>
    <t>[精淬]异构抗凝膏</t>
  </si>
  <si>
    <t>藤纸</t>
  </si>
  <si>
    <t>制造「适性符」所需要的原材料。</t>
  </si>
  <si>
    <t>藤类植物纤维捣浆制成的纸张。</t>
  </si>
  <si>
    <t>SuibianProspectingMaterial02.png</t>
  </si>
  <si>
    <t>[凡品]辉瓷粗矿</t>
  </si>
  <si>
    <t>制造探索空洞特制仪器所需要的通用原材料。</t>
  </si>
  <si>
    <t>零散、形状不规则、处于初步加工阶段的辉岭石。</t>
  </si>
  <si>
    <t>SuibianProspectingMaterial07.png</t>
  </si>
  <si>
    <t>钴磁</t>
  </si>
  <si>
    <t>制造「以太罗盘」所需要的原材料。</t>
  </si>
  <si>
    <t>一种耐高温的高性能永磁材料。</t>
  </si>
  <si>
    <t>SuibianProspectingMaterial01.png</t>
  </si>
  <si>
    <t>[良品]辉瓷粗矿</t>
  </si>
  <si>
    <t>制造探索空洞特制器具所需要的通用原材料。</t>
  </si>
  <si>
    <t>稀土</t>
  </si>
  <si>
    <t>制造「璃光甑」所需要的原材料。</t>
  </si>
  <si>
    <t>提取工艺复杂、极小添加量就能显著改变材料性能的特殊元素。</t>
  </si>
  <si>
    <t>SuibianTastesMaterial01.png</t>
  </si>
  <si>
    <t>[凡品]生铁</t>
  </si>
  <si>
    <t>制造炊具、茶具、药具所需要的通用原材料。</t>
  </si>
  <si>
    <t>铁矿石经高炉冶炼后得到的质地硬而脆的铁。</t>
  </si>
  <si>
    <t>SuibianTastesMaterial06.png</t>
  </si>
  <si>
    <t>珍珠粉</t>
  </si>
  <si>
    <t>制造「辟秽散」所需要的原材料。</t>
  </si>
  <si>
    <t>天然珍珠研磨成的精细粉末。</t>
  </si>
  <si>
    <t>SuibianRemedyMaterial01.png</t>
  </si>
  <si>
    <t>[凡品]温和以太结晶</t>
  </si>
  <si>
    <t>制造本草方剂所需要的通用原材料。</t>
  </si>
  <si>
    <t>稳定、温和的以太结晶碎块。</t>
  </si>
  <si>
    <t>SuibianRemedyMaterial06.png</t>
  </si>
  <si>
    <t>蒲草</t>
  </si>
  <si>
    <t>制造「调息蒲榻」所需要的原材料。</t>
  </si>
  <si>
    <t>一种环保透气的干燥茎叶。</t>
  </si>
  <si>
    <t>SuibianWayseekMaterial01.png</t>
  </si>
  <si>
    <t>[凡品]粗麻</t>
  </si>
  <si>
    <t>制造修行辅助用品所需要的通用原材料。</t>
  </si>
  <si>
    <t>由天然麻纤维简单加工制成的粗糙线材。</t>
  </si>
  <si>
    <t>SuibianWayseekMaterial06.png</t>
  </si>
  <si>
    <t>石英砂</t>
  </si>
  <si>
    <t>制造「滤净瓶」所需要的原材料。</t>
  </si>
  <si>
    <t>能够截留和吸附水中杂质，提升水质透明度的天然矿物。</t>
  </si>
  <si>
    <t>SuibianProspectingMaterial03.png</t>
  </si>
  <si>
    <t>[珍品]辉瓷粗矿</t>
  </si>
  <si>
    <t>玄武岩</t>
  </si>
  <si>
    <t>制造「雪芽钵」所需要的原材料。</t>
  </si>
  <si>
    <t>一种常见的、黑色或深灰色火山岩。</t>
  </si>
  <si>
    <t>SuibianTastesMaterial02.png</t>
  </si>
  <si>
    <t>[良品]生铁</t>
  </si>
  <si>
    <t>乙醇</t>
  </si>
  <si>
    <t>制造「百露雾剂」所需要的原材料。</t>
  </si>
  <si>
    <t>常见的消毒剂。</t>
  </si>
  <si>
    <t>SuibianRemedyMaterial02.png</t>
  </si>
  <si>
    <t>[良品]温和以太结晶</t>
  </si>
  <si>
    <t>桐油</t>
  </si>
  <si>
    <t>制造「动爻缓释贴」所需要的天然材料。</t>
  </si>
  <si>
    <t>从油桐树种子中榨取的、防水防腐的天然植物油。</t>
  </si>
  <si>
    <t>SuibianRemedyMaterial03.png</t>
  </si>
  <si>
    <t>[珍品]温和以太结晶</t>
  </si>
  <si>
    <t>白玉</t>
  </si>
  <si>
    <t>制造「心斋镇纸」所需要的原材料。</t>
  </si>
  <si>
    <t>一种颜色脂白的矿物。</t>
  </si>
  <si>
    <t>SuibianWayseekMaterial02.png</t>
  </si>
  <si>
    <t>[良品]粗麻</t>
  </si>
  <si>
    <t>皮革</t>
  </si>
  <si>
    <t>制造「归藏靴」所需要的原材料。</t>
  </si>
  <si>
    <t>经过鞣制加工后的柔软耐用皮质材料。</t>
  </si>
  <si>
    <t>SuibianAttireMaterial01.png</t>
  </si>
  <si>
    <t>[凡品]丝帛</t>
  </si>
  <si>
    <t>制造衣物所需要的通用原材料。</t>
  </si>
  <si>
    <t>由蚕丝织成的精细纺织衣料。</t>
  </si>
  <si>
    <t>SuibianAttireMaterial04.png</t>
  </si>
  <si>
    <t>水晶</t>
  </si>
  <si>
    <t>制造「洞明镜」所需要的原材料。</t>
  </si>
  <si>
    <t>天然形成的无色或彩色的透明矿物。</t>
  </si>
  <si>
    <t>SuibianProspectingMaterial04.png</t>
  </si>
  <si>
    <t>[凡品]辉瓷精矿</t>
  </si>
  <si>
    <t>形状规则完整、处在深度加工阶段的辉岭石。</t>
  </si>
  <si>
    <t>SuibianProspectingMaterial08.png</t>
  </si>
  <si>
    <t>枣木</t>
  </si>
  <si>
    <t>制造「天青杵」所需要的原材料。</t>
  </si>
  <si>
    <t>枣树的木材。</t>
  </si>
  <si>
    <t>SuibianTastesMaterial03.png</t>
  </si>
  <si>
    <t>[珍品]生铁</t>
  </si>
  <si>
    <t>生漆</t>
  </si>
  <si>
    <t>制造「谐振锚」所需要的原材料。</t>
  </si>
  <si>
    <t>从漆树的汁液中提取的天然涂料。</t>
  </si>
  <si>
    <t>SuibianProspectingMaterial05.png</t>
  </si>
  <si>
    <t>[良品]辉瓷精矿</t>
  </si>
  <si>
    <t>莲台</t>
  </si>
  <si>
    <t>制造「金粟渡」所需要的原材料。</t>
  </si>
  <si>
    <t>防水材料制成的仿莲花造型托盘底座。</t>
  </si>
  <si>
    <t>SuibianFestivalMaterial01.png</t>
  </si>
  <si>
    <t>[凡品]媒染剂</t>
  </si>
  <si>
    <t>制造节庆用品所需要的通用原材料。</t>
  </si>
  <si>
    <t>从植物、动物、矿物中提取的着色天然物质。</t>
  </si>
  <si>
    <t>SuibianFestivalMaterial04.png</t>
  </si>
  <si>
    <t>青铜</t>
  </si>
  <si>
    <t>制造「存思清铃」所需要的原材料。</t>
  </si>
  <si>
    <t>一种抗腐性很强的合金。</t>
  </si>
  <si>
    <t>SuibianWayseekMaterial03.png</t>
  </si>
  <si>
    <t>[珍品]粗麻</t>
  </si>
  <si>
    <t>艾草</t>
  </si>
  <si>
    <t>制造「太素袍」所需要的原材料。</t>
  </si>
  <si>
    <t>一种可用于入药、驱虫的草本植物。</t>
  </si>
  <si>
    <t>SuibianAttireMaterial02.png</t>
  </si>
  <si>
    <t>[良品]丝帛</t>
  </si>
  <si>
    <t>煤精</t>
  </si>
  <si>
    <t>制造「辰砂碾」所需要的原材料。</t>
  </si>
  <si>
    <t>一种稀有的优质有机原料。</t>
  </si>
  <si>
    <t>SuibianTastesMaterial04.png</t>
  </si>
  <si>
    <t>[良品]铸铁</t>
  </si>
  <si>
    <t>用生铁重新熔炼后浇铸成型的、硬度大脆性强的铁制品。</t>
  </si>
  <si>
    <t>SuibianTastesMaterial07.png</t>
  </si>
  <si>
    <t>松脂</t>
  </si>
  <si>
    <t>制造「相位桩」所需要的原材料。</t>
  </si>
  <si>
    <t>松树树干分泌的黏稠琥珀色树脂。</t>
  </si>
  <si>
    <t>SuibianProspectingMaterial06.png</t>
  </si>
  <si>
    <t>[珍品]辉瓷精矿</t>
  </si>
  <si>
    <t>紫金土</t>
  </si>
  <si>
    <t>制造「松烟釜」所需要的原材料。</t>
  </si>
  <si>
    <t>一种含铁量很高的天然矿物黏土。</t>
  </si>
  <si>
    <t>SuibianTastesMaterial05.png</t>
  </si>
  <si>
    <t>[珍品]铸铁</t>
  </si>
  <si>
    <t>墨石</t>
  </si>
  <si>
    <t>制造「守一玄佩」所需要的原材料。</t>
  </si>
  <si>
    <t>一种颜色深沉的矿石。</t>
  </si>
  <si>
    <t>SuibianWayseekMaterial04.png</t>
  </si>
  <si>
    <t>[良品]精线</t>
  </si>
  <si>
    <t>通过精梳工艺去除短纤维杂质后的细密纱线。</t>
  </si>
  <si>
    <t>SuibianWayseekMaterial07.png</t>
  </si>
  <si>
    <t>橡胶</t>
  </si>
  <si>
    <t>制造「静笃护腕」所需要的原材料。</t>
  </si>
  <si>
    <t>高弹性、分散压力的天然橡胶。</t>
  </si>
  <si>
    <t>SuibianAttireMaterial03.png</t>
  </si>
  <si>
    <t>[珍品]丝帛</t>
  </si>
  <si>
    <t>沉香</t>
  </si>
  <si>
    <t>制造「云魄琴炉」所需要的原材料。</t>
  </si>
  <si>
    <t>一种珍贵的天然香料。</t>
  </si>
  <si>
    <t>SuibianWayseekMaterial05.png</t>
  </si>
  <si>
    <t>[珍品]精线</t>
  </si>
  <si>
    <t>晶粒</t>
  </si>
  <si>
    <t>制造「云门叠」所需要的原材料。</t>
  </si>
  <si>
    <t>高韧性、音质清脆的矿物晶粒。</t>
  </si>
  <si>
    <t>SuibianFestivalMaterial02.png</t>
  </si>
  <si>
    <t>[良品]媒染剂</t>
  </si>
  <si>
    <t>旱金莲</t>
  </si>
  <si>
    <t>制造「醒心促愈素」所需要的天然材料。</t>
  </si>
  <si>
    <t>散发淡淡辛香味，能驱赶某些害虫的观赏兼食用植物。</t>
  </si>
  <si>
    <t>SuibianRemedyMaterial04.png</t>
  </si>
  <si>
    <t>[良品]菁纯以太结晶</t>
  </si>
  <si>
    <t>进一步萃取提纯的以太结晶。</t>
  </si>
  <si>
    <t>SuibianRemedyMaterial07.png</t>
  </si>
  <si>
    <t>雷击木</t>
  </si>
  <si>
    <t>制造「镇厄面」所需要的原材料。</t>
  </si>
  <si>
    <t>被雷电击中后存活或部分烧焦的树木木材。</t>
  </si>
  <si>
    <t>SuibianFestivalMaterial03.png</t>
  </si>
  <si>
    <t>[珍品]媒染剂</t>
  </si>
  <si>
    <t>煅石膏</t>
  </si>
  <si>
    <t>制造「异构抗凝膏」所需要的原材料。</t>
  </si>
  <si>
    <t>天然石膏矿石经加热煅烧、脱水后制成的粉状材料。</t>
  </si>
  <si>
    <t>SuibianRemedyMaterial05.png</t>
  </si>
  <si>
    <t>[珍品]菁纯以太结晶</t>
  </si>
  <si>
    <t>测试描述文本</t>
  </si>
  <si>
    <t>世界观描述文本</t>
  </si>
  <si>
    <t>媒染剂-S级</t>
  </si>
  <si>
    <t>开物秘卷「适性符」</t>
  </si>
  <si>
    <t>制造「适性符」所需要的开物秘卷。</t>
  </si>
  <si>
    <t>云岿山承山门秘传汲民间精华编录的工艺百科全书。天工开悟，辨材不惑阴阳理，万象归铸，斫器方知混沌功。</t>
  </si>
  <si>
    <t>SuibianRecipeBook.png</t>
  </si>
  <si>
    <t>开物秘卷「清神益气囊」</t>
  </si>
  <si>
    <t>制造「清神益气囊」所需要的开物秘卷。</t>
  </si>
  <si>
    <t>开物秘卷「以太罗盘」</t>
  </si>
  <si>
    <t>制造「以太罗盘」所需要的开物秘卷。</t>
  </si>
  <si>
    <t>开物秘卷「璃光甑 」</t>
  </si>
  <si>
    <t>制造「璃光甑 」所需要的开物秘卷。</t>
  </si>
  <si>
    <t>开物秘卷「辟秽散」</t>
  </si>
  <si>
    <t>制造「辟秽散」所需要的开物秘卷。</t>
  </si>
  <si>
    <t>开物秘卷「调息蒲榻」</t>
  </si>
  <si>
    <t>制造「调息蒲榻」所需要的开物秘卷。</t>
  </si>
  <si>
    <t>开物秘卷「滤净瓶」</t>
  </si>
  <si>
    <t>制造「滤净瓶」所需要的开物秘卷。</t>
  </si>
  <si>
    <t>开物秘卷「雪芽钵」</t>
  </si>
  <si>
    <t>制造「雪芽钵」所需要的开物秘卷。</t>
  </si>
  <si>
    <t>开物秘卷「百露雾剂」</t>
  </si>
  <si>
    <t>制造「百露雾剂」所需要的开物秘卷。</t>
  </si>
  <si>
    <t>开物秘卷「动爻缓释贴」</t>
  </si>
  <si>
    <t>制造「动爻缓释贴」所需要的开物秘卷。</t>
  </si>
  <si>
    <t>开物秘卷「心斋镇纸」</t>
  </si>
  <si>
    <t>制造「心斋镇纸」所需要的开物秘卷。</t>
  </si>
  <si>
    <t>开物秘卷「归藏靴」</t>
  </si>
  <si>
    <t>制造「归藏靴」所需要的开物秘卷。</t>
  </si>
  <si>
    <t>开物秘卷「洞明镜」</t>
  </si>
  <si>
    <t>制造「洞明镜」所需要的开物秘卷。</t>
  </si>
  <si>
    <t>开物秘卷「天青杵」</t>
  </si>
  <si>
    <t>制造「天青杵」所需要的开物秘卷。</t>
  </si>
  <si>
    <t>开物秘卷「谐振锚」</t>
  </si>
  <si>
    <t>制造「谐振锚」所需要的开物秘卷。</t>
  </si>
  <si>
    <t>开物秘卷「金粟渡」</t>
  </si>
  <si>
    <t>制造「金粟渡」所需要的开物秘卷。</t>
  </si>
  <si>
    <t>开物秘卷「存思清铃」</t>
  </si>
  <si>
    <t>制造「存思清铃」所需要的开物秘卷。</t>
  </si>
  <si>
    <t>开物秘卷「太素袍」</t>
  </si>
  <si>
    <t>制造「太素袍」所需要的开物秘卷。</t>
  </si>
  <si>
    <t>开物秘卷「辰砂碾」</t>
  </si>
  <si>
    <t>制造「辰砂碾」所需要的开物秘卷。</t>
  </si>
  <si>
    <t>开物秘卷「相位桩」</t>
  </si>
  <si>
    <t>制造「相位桩」所需要的开物秘卷。</t>
  </si>
  <si>
    <t>开物秘卷「松烟釜」</t>
  </si>
  <si>
    <t>制造「松烟釜」所需要的开物秘卷。</t>
  </si>
  <si>
    <t>开物秘卷「守一玄佩」</t>
  </si>
  <si>
    <t>制造「守一玄佩」所需要的开物秘卷。</t>
  </si>
  <si>
    <t>开物秘卷「静笃护腕」</t>
  </si>
  <si>
    <t>制造「静笃护腕」所需要的开物秘卷。</t>
  </si>
  <si>
    <t>开物秘卷「云魄琴炉」</t>
  </si>
  <si>
    <t>制造「云魄琴炉」所需要的开物秘卷。</t>
  </si>
  <si>
    <t>开物秘卷「云门叠」</t>
  </si>
  <si>
    <t>制造「云门叠」所需要的开物秘卷。</t>
  </si>
  <si>
    <t>开物秘卷「醒心促愈素」</t>
  </si>
  <si>
    <t>制造「醒心促愈素」所需要的开物秘卷。</t>
  </si>
  <si>
    <t>开物秘卷「镇厄面」</t>
  </si>
  <si>
    <t>制造「镇厄面」所需要的开物秘卷。</t>
  </si>
  <si>
    <t>开物秘卷「异构抗凝膏」</t>
  </si>
  <si>
    <t>制造「异构抗凝膏」所需要的开物秘卷。</t>
  </si>
  <si>
    <t>淬材宝撰「适性符」</t>
  </si>
  <si>
    <t>升级「适性符」所需要的淬材宝撰。</t>
  </si>
  <si>
    <t>上有云岿山秘传符纹篆刻的匠道宝撰，千锤不移淬形炼气，九转方成本真之身。</t>
  </si>
  <si>
    <t>SuibianUpgradeBook.png</t>
  </si>
  <si>
    <t>淬材宝撰「清神益气囊」</t>
  </si>
  <si>
    <t>升级「清神益气囊」所需要的淬材宝撰。</t>
  </si>
  <si>
    <t>淬材宝撰「以太罗盘」</t>
  </si>
  <si>
    <t>升级「以太罗盘」所需要的淬材宝撰。</t>
  </si>
  <si>
    <t>淬材宝撰「璃光甑 」</t>
  </si>
  <si>
    <t>升级「璃光甑 」所需要的淬材宝撰。</t>
  </si>
  <si>
    <t>淬材宝撰「辟秽散」</t>
  </si>
  <si>
    <t>升级「辟秽散」所需要的淬材宝撰。</t>
  </si>
  <si>
    <t>淬材宝撰「调息蒲榻」</t>
  </si>
  <si>
    <t>升级「调息蒲榻」所需要的淬材宝撰。</t>
  </si>
  <si>
    <t>淬材宝撰「滤净瓶」</t>
  </si>
  <si>
    <t>升级「滤净瓶」所需要的淬材宝撰。</t>
  </si>
  <si>
    <t>淬材宝撰「雪芽钵」</t>
  </si>
  <si>
    <t>升级「雪芽钵」所需要的淬材宝撰。</t>
  </si>
  <si>
    <t>淬材宝撰「百露雾剂」</t>
  </si>
  <si>
    <t>升级「百露雾剂」所需要的淬材宝撰。</t>
  </si>
  <si>
    <t>淬材宝撰「动爻缓释贴」</t>
  </si>
  <si>
    <t>升级「动爻缓释贴」所需要的淬材宝撰。</t>
  </si>
  <si>
    <t>淬材宝撰「心斋镇纸」</t>
  </si>
  <si>
    <t>升级「心斋镇纸」所需要的淬材宝撰。</t>
  </si>
  <si>
    <t>淬材宝撰「归藏靴」</t>
  </si>
  <si>
    <t>升级「归藏靴」所需要的淬材宝撰。</t>
  </si>
  <si>
    <t>淬材宝撰「洞明镜」</t>
  </si>
  <si>
    <t>升级「洞明镜」所需要的淬材宝撰。</t>
  </si>
  <si>
    <t>淬材宝撰「天青杵」</t>
  </si>
  <si>
    <t>升级「天青杵」所需要的淬材宝撰。</t>
  </si>
  <si>
    <t>淬材宝撰「谐振锚」</t>
  </si>
  <si>
    <t>升级「谐振锚」所需要的淬材宝撰。</t>
  </si>
  <si>
    <t>淬材宝撰「金粟渡」</t>
  </si>
  <si>
    <t>升级「金粟渡」所需要的淬材宝撰。</t>
  </si>
  <si>
    <t>淬材宝撰「存思清铃」</t>
  </si>
  <si>
    <t>升级「存思清铃」所需要的淬材宝撰。</t>
  </si>
  <si>
    <t>淬材宝撰「太素袍」</t>
  </si>
  <si>
    <t>升级「太素袍」所需要的淬材宝撰。</t>
  </si>
  <si>
    <t>淬材宝撰「辰砂碾」</t>
  </si>
  <si>
    <t>升级「辰砂碾」所需要的淬材宝撰。</t>
  </si>
  <si>
    <t>淬材宝撰「相位桩」</t>
  </si>
  <si>
    <t>升级「相位桩」所需要的淬材宝撰。</t>
  </si>
  <si>
    <t>淬材宝撰「松烟釜」</t>
  </si>
  <si>
    <t>升级「松烟釜」所需要的淬材宝撰。</t>
  </si>
  <si>
    <t>淬材宝撰「守一玄佩」</t>
  </si>
  <si>
    <t>升级「守一玄佩」所需要的淬材宝撰。</t>
  </si>
  <si>
    <t>淬材宝撰「静笃护腕」</t>
  </si>
  <si>
    <t>升级「静笃护腕」所需要的淬材宝撰。</t>
  </si>
  <si>
    <t>淬材宝撰「云魄琴炉」</t>
  </si>
  <si>
    <t>升级「云魄琴炉」所需要的淬材宝撰。</t>
  </si>
  <si>
    <t>淬材宝撰「云门叠」</t>
  </si>
  <si>
    <t>升级「云门叠」所需要的淬材宝撰。</t>
  </si>
  <si>
    <t>淬材宝撰「醒心促愈素」</t>
  </si>
  <si>
    <t>升级「醒心促愈素」所需要的淬材宝撰。</t>
  </si>
  <si>
    <t>淬材宝撰「镇厄面」</t>
  </si>
  <si>
    <t>升级「镇厄面」所需要的淬材宝撰。</t>
  </si>
  <si>
    <t>淬材宝撰「异构抗凝膏」</t>
  </si>
  <si>
    <t>升级「异构抗凝膏」所需要的淬材宝撰。</t>
  </si>
  <si>
    <t>辉岭石</t>
  </si>
  <si>
    <t>用于好物铺兑换、饮茶仙订单提交的空洞收集物。</t>
  </si>
  <si>
    <t>辉瓷的原石。在从原产地采集运输过程中，因空洞灾害影响，大量散落于空洞中。</t>
  </si>
  <si>
    <t>Item_Collectible_01​.png</t>
  </si>
  <si>
    <t>惰性以太罐</t>
  </si>
  <si>
    <t>老式的惰性以太储能装置，从罐子外面能稍微看到里面惰性以太的储量。</t>
  </si>
  <si>
    <t>Item_Collectible_02.png</t>
  </si>
  <si>
    <t>高熵合金</t>
  </si>
  <si>
    <t>一种广泛存在于卫非地的高级合金材料，曾被用于航天城内一些研究设施的建造。</t>
  </si>
  <si>
    <t>Item_Collectible_03.png</t>
  </si>
  <si>
    <t>制造台</t>
  </si>
  <si>
    <t>获取后可解锁随便观新的制造队列。</t>
  </si>
  <si>
    <t>榫卯嵌合处隐透灵光的制造台。</t>
  </si>
  <si>
    <t>SuibianCraftBench.png</t>
  </si>
  <si>
    <t>货架</t>
  </si>
  <si>
    <t>获取后可解锁随便观新的售卖队列。</t>
  </si>
  <si>
    <t>木工扎实的手工货架。</t>
  </si>
  <si>
    <t>SuibianProductShelf.png</t>
  </si>
  <si>
    <t>镜花异游记</t>
  </si>
  <si>
    <t>和子虚共同完成的「故事」，它真实存在。</t>
  </si>
  <si>
    <t>你做了一场梦，或者你本就身处梦中。你被故事打动过、为故事惊惧过、在故事中流下泪水，于是故事就这样装配进你真实的生命。虚构与现实的边界究竟是什么？</t>
  </si>
  <si>
    <t>Activity_Note01.png</t>
  </si>
  <si>
    <t>「惊骇阴影I」</t>
  </si>
  <si>
    <t>死路屠夫造成的伤害提升20%。</t>
  </si>
  <si>
    <t>「惊骇阴影II」</t>
  </si>
  <si>
    <t>死路屠夫造成的伤害提升30%。</t>
  </si>
  <si>
    <t>「惊骇阴影III」</t>
  </si>
  <si>
    <t>死路屠夫造成的伤害提升40%，攻击命中我方角色时，死路屠夫将回复少量生命值。</t>
  </si>
  <si>
    <t>「惊骇阴影IV」</t>
  </si>
  <si>
    <t>死路屠夫造成的伤害提升50%，攻击命中我方角色时，死路屠夫将回复失衡值与少量生命值。</t>
  </si>
  <si>
    <t>「惊骇阴影V」</t>
  </si>
  <si>
    <t>「巨物恐惧I」</t>
  </si>
  <si>
    <t>复合侵蚀体造成的伤害提升30%。</t>
  </si>
  <si>
    <t>「巨物恐惧II」</t>
  </si>
  <si>
    <t>复合侵蚀体造成的伤害提升40%，受到我方攻击时不再累积失衡值，但其易损部位被破坏时将会累积大量失衡值。</t>
  </si>
  <si>
    <t>「巨物恐惧III」</t>
  </si>
  <si>
    <t>复合侵蚀体造成的伤害提升50%，受到我方攻击时不再累积失衡值，但其易损部位被破坏时将会累积大量失衡值。</t>
  </si>
  <si>
    <t>「巨物恐惧IV」</t>
  </si>
  <si>
    <t>「恐怖谷I」</t>
  </si>
  <si>
    <t>冥宁芙· 双子造成的伤害提升40%。</t>
  </si>
  <si>
    <t>「恐怖谷II」</t>
  </si>
  <si>
    <t>「恐怖谷III」</t>
  </si>
  <si>
    <t>「花粉症I」</t>
  </si>
  <si>
    <t>尼尼微造成的伤害提升40%，并且将会更加频繁地呼唤骸蜂；
    通过监视器探索时会损失生命值，在战斗中前场角色会逐渐流失生命值。</t>
  </si>
  <si>
    <t>此乃不可直视的「绽放」。无法用常识理解的诡异构造体抖动着令人目眩的「花瓣」，朦胧间，你与那绮丽而致命的花朵正一同在空中起舞，而地上呆若木鸡的人又是谁？</t>
  </si>
  <si>
    <t>「花粉症II」</t>
  </si>
  <si>
    <t>尼尼微造成的伤害提升50%，并且将会更加频繁地呼唤骸蜂和发动「盛开」；
    通过监视器探索时会损失生命值，在战斗中前场角色会逐渐流失生命值。</t>
  </si>
  <si>
    <t>「原始恶意I」</t>
  </si>
  <si>
    <t>「提丰· 重击者型」造成的伤害提升30%。</t>
  </si>
  <si>
    <t>「原始恶意II」</t>
  </si>
  <si>
    <t>「提丰· 重击者型」造成的伤害提升40%，并且免疫所有的属性异常状态。</t>
  </si>
  <si>
    <t>「原始恶意III」</t>
  </si>
  <si>
    <t>「提丰· 重击者型」造成的伤害提升50%，并且免疫所有的属性异常状态。</t>
  </si>
  <si>
    <t>由Fairy创造的私人虚拟数据空间，里面存储了已获得的线索信息，可随时进入查看。</t>
  </si>
  <si>
    <t>限频EMP发射器</t>
  </si>
  <si>
    <t>用于破坏空洞内各类装置（包括邦布）电磁信号的插件，仅在治安局允许的频段范围内起效。</t>
  </si>
  <si>
    <t>耗能冲击镐</t>
  </si>
  <si>
    <t>需要消耗能量来破坏岩石障碍物，能量槽有存储上限，能量不足时无法破坏岩石。</t>
  </si>
  <si>
    <t>需要消耗能量来破坏岩石障碍物，进一步提升了破坏速度，并且能够摧毁更坚硬的岩石。</t>
  </si>
  <si>
    <t>墨团竹语</t>
  </si>
  <si>
    <t>绳匠配饰，可在绳匠时装「鹤唳青霄」中穿戴。</t>
  </si>
  <si>
    <t>可爱是挺可爱，但我头顶为什么会有鸟叫？</t>
  </si>
  <si>
    <t>icon_Wise_Head_Headgear_01.png</t>
  </si>
  <si>
    <t>鹤唳天青​</t>
  </si>
  <si>
    <t>巷陌传温情，檐下共春秋。
    澄辉坪邻里会敬上。</t>
  </si>
  <si>
    <t>icon_Wise_Chest_Badge_01.png</t>
  </si>
  <si>
    <t>翠影朱​绾</t>
  </si>
  <si>
    <t>双环蕴翠，红绳​绾情。
    双子修术，与君同心。</t>
  </si>
  <si>
    <t>icon_Wise_Head_Earring_01.png</t>
  </si>
  <si>
    <t>谛听绯花</t>
  </si>
  <si>
    <t>绒绒狐耳，内嵌繁花。以后就可以伪装成希人了嘛！</t>
  </si>
  <si>
    <t>icon_Wise_Head_AnimaEarlGear_01.png</t>
  </si>
  <si>
    <t>让我康康</t>
  </si>
  <si>
    <t>Look in my eyes！！戴上就会自动变成会算卦的占卜大师。</t>
  </si>
  <si>
    <t>icon_Wise_Head_Glass_01.png</t>
  </si>
  <si>
    <t>悠然夏日</t>
  </si>
  <si>
    <t>海波随性舒展，浪花随风摇曳。大概这就是不用担心电费的松弛生活。</t>
  </si>
  <si>
    <t>icon_Wise_Head_Hat_01.png</t>
  </si>
  <si>
    <t>翠魄漩星​</t>
  </si>
  <si>
    <t>关于大海的问题，不如问问胸口的神奇海螺？</t>
  </si>
  <si>
    <t>icon_Wise_Chest_Pendant_01.png</t>
  </si>
  <si>
    <t>橙锋翠轨​</t>
  </si>
  <si>
    <t>动感十足的背部饰带，扣上之后会出现敏捷度+1的错觉。</t>
  </si>
  <si>
    <t>icon_Wise_Back_Pendant_01.png</t>
  </si>
  <si>
    <t>柠火溯流​</t>
  </si>
  <si>
    <t>怎么办，感觉戴上之后我居然想运动了，这玩意儿的图案是有什么催眠功能嘛。</t>
  </si>
  <si>
    <t>icon_Wise_Chest_Badge_02.png</t>
  </si>
  <si>
    <t>绿焰疾锁</t>
  </si>
  <si>
    <t>拉链拉不住的，是绳匠那颗要引领潮流的内心。</t>
  </si>
  <si>
    <t>icon_Wise_Head_Earring_02.png</t>
  </si>
  <si>
    <t>卫非靓影</t>
  </si>
  <si>
    <t>我身为一个绳匠，戴变色眼镜是很合理也很合逻辑的…</t>
  </si>
  <si>
    <t>玄猫夜狩</t>
  </si>
  <si>
    <t>一点青绿千帆定，玄猫化煞百祟清。</t>
  </si>
  <si>
    <t>icon_Wise_Head_AnimaEarlGear_02.png</t>
  </si>
  <si>
    <t>沉浪击空</t>
  </si>
  <si>
    <t>辉瓷表面轻点青花釉面，金色海浪映出风度翩翩。</t>
  </si>
  <si>
    <t>icon_Wise_Chest_Badge_03.png</t>
  </si>
  <si>
    <t>鹤印山河​</t>
  </si>
  <si>
    <t>山中有鹤，海内藏蛟。山海护体，术法高超。</t>
  </si>
  <si>
    <t>icon_Wise_Chest_Pendant_02.png</t>
  </si>
  <si>
    <t>金羽聆风</t>
  </si>
  <si>
    <t>金色羽毛戴上，感觉以后接单都敢报更高价钱了。</t>
  </si>
  <si>
    <t>icon_Wise_Head_Earring_03.png</t>
  </si>
  <si>
    <t>归航霜舵</t>
  </si>
  <si>
    <t>又在幻想了，这帽子一戴，感觉自己位居新艾利都高层，电费都不用交…</t>
  </si>
  <si>
    <t>icon_Wise_Head_Hat_02.png</t>
  </si>
  <si>
    <t>阳辉镇煞符珮</t>
  </si>
  <si>
    <t>聚阳辉真气，镇邪灵魔煞。</t>
  </si>
  <si>
    <t>icon_Wise_Chest_Badge_04.png</t>
  </si>
  <si>
    <t>墨曜绯焱​</t>
  </si>
  <si>
    <t>目光如炬可见非凡之物，术心似火可焚乱世之骸。</t>
  </si>
  <si>
    <t>icon_Wise_Head_Glass_03.png</t>
  </si>
  <si>
    <t>汪想天使</t>
  </si>
  <si>
    <t>为你顶风又冒雨，日思夜想南宫羽！</t>
  </si>
  <si>
    <t>icon_Wise_Head_Headgear_02.png</t>
  </si>
  <si>
    <t>雪映丹宸</t>
  </si>
  <si>
    <t>白帽如雪，红丝如焰，银扣光耀，术法自然。</t>
  </si>
  <si>
    <t>icon_Wise_Head_Hat_03.png</t>
  </si>
  <si>
    <t>墨舞绯樱</t>
  </si>
  <si>
    <t>师姐尾巴摸不得，摸完天使变恶魔。</t>
  </si>
  <si>
    <t>icon_Wise_Back_Pendant_02.png</t>
  </si>
  <si>
    <t>赤焰宁光</t>
  </si>
  <si>
    <t>赤焰凝符伴君侧，剑光流转镇凶厄。</t>
  </si>
  <si>
    <t>icon_Wise_Head_Earring_04.png</t>
  </si>
  <si>
    <t>鸳鸯小锅</t>
  </si>
  <si>
    <t>别听我妹妹的，辣锅容易上火，鸳鸯才够养生。</t>
  </si>
  <si>
    <t>icon_Wise_Chest_Badge_06.png</t>
  </si>
  <si>
    <t>午德马呀</t>
  </si>
  <si>
    <t>午马安乐，新春大吉！（话说，我该从哪里看到外面呢。）</t>
  </si>
  <si>
    <t>icon_Wise_Head_Headgear_03.png</t>
  </si>
  <si>
    <t>梦想家的徽记</t>
  </si>
  <si>
    <t>徽记之下，是我那为天使们剧烈跳动的真心。</t>
  </si>
  <si>
    <t>icon_Wise_Chest_Badge_05.png</t>
  </si>
  <si>
    <t>天使之音</t>
  </si>
  <si>
    <t>天使之音必将让整个舞台爆炸，你们这些质疑的人全都给我…给我趴下！</t>
  </si>
  <si>
    <t>icon_Wise_Chest_Pendant_03.png</t>
  </si>
  <si>
    <t>聆听星愿</t>
  </si>
  <si>
    <t>听！这是带你坠入无尽妄想的声音！</t>
  </si>
  <si>
    <t>icon_Wise_Head_AnimaEarlGear_03.png</t>
  </si>
  <si>
    <t>引鹤​归心</t>
  </si>
  <si>
    <t>云鹤九霄存心志，随便观中...额...什么来着...随便观中学知识！</t>
  </si>
  <si>
    <t>icon_Wise_Chest_Badge_Default.png</t>
  </si>
  <si>
    <t>风引符箓</t>
  </si>
  <si>
    <t>妖魔鬼怪，空洞以骸。
    灵符敕令，手到擒来。</t>
  </si>
  <si>
    <t>icon_Wise_Back_Pendant_Default.png</t>
  </si>
  <si>
    <t>糯团栖羽</t>
  </si>
  <si>
    <t>绳匠配饰，可在绳匠时装「曦色玲珑」中穿戴。</t>
  </si>
  <si>
    <t>哥哥！快看！我变成熊猫啦！</t>
  </si>
  <si>
    <t>icon_Belle_Head_Headgear_01.png</t>
  </si>
  <si>
    <t>丹砂衔翎</t>
  </si>
  <si>
    <t>德润邻里，善若清泉。
    澄辉坪邻里会敬上。</t>
  </si>
  <si>
    <t>icon_Belle_Chest_Badge_01.png</t>
  </si>
  <si>
    <t>翠璎聆风</t>
  </si>
  <si>
    <t>icon_Belle_Head_Earring_01.png</t>
  </si>
  <si>
    <t>青华聆露</t>
  </si>
  <si>
    <t>icon_Belle_Head_AnimaEarlGear_01.png</t>
  </si>
  <si>
    <t>浮光巧镜</t>
  </si>
  <si>
    <t>据说戴上就能一窥天机的神奇眼镜。（但也不能直视太阳哦！）</t>
  </si>
  <si>
    <t>icon_Belle_Head_Glass_01.png</t>
  </si>
  <si>
    <t>碧波漫舞​</t>
  </si>
  <si>
    <t>夏日当空，波光粼粼。玩水需要尽兴，防晒也要留心！</t>
  </si>
  <si>
    <t>icon_Belle_Head_Hat_01.png</t>
  </si>
  <si>
    <t>轻浪衔珠</t>
  </si>
  <si>
    <t>据说是海神祝颂过的神奇吊坠。放到耳边，似乎能听到海浪的声音。</t>
  </si>
  <si>
    <t>icon_Belle_Chest_Pendant_01.png</t>
  </si>
  <si>
    <t>青橙交响曲</t>
  </si>
  <si>
    <t>这就是青春悦动的旋律。（别拽了伊埃斯，才不是安全绳啊喂！）</t>
  </si>
  <si>
    <t>icon_Belle_Back_Pendant_01.png</t>
  </si>
  <si>
    <t>青柑跃动</t>
  </si>
  <si>
    <t>青橙色的波纹旋转跃动，丽都最可爱的店长即将启程。</t>
  </si>
  <si>
    <t>icon_Belle_Chest_Badge_02.png</t>
  </si>
  <si>
    <t>借日映花​</t>
  </si>
  <si>
    <t>送你一朵小花花，祝你笑面如桃花。</t>
  </si>
  <si>
    <t>icon_Belle_Head_Earring_02.png</t>
  </si>
  <si>
    <t>靓爆镜​</t>
  </si>
  <si>
    <t>我感觉主人美到要爆了。——Fairy</t>
  </si>
  <si>
    <t>雪绒聆月</t>
  </si>
  <si>
    <t>瑞气盈门添福禄，白猫纳财运势足。</t>
  </si>
  <si>
    <t>icon_Belle_Head_AnimaEarlGear_02.png</t>
  </si>
  <si>
    <t>潮生玦佩​</t>
  </si>
  <si>
    <t>一片辉瓷守心诚，一点金墨唤潮生。</t>
  </si>
  <si>
    <t>icon_Belle_Chest_Badge_03.png</t>
  </si>
  <si>
    <t>双鲤鎏誓​​</t>
  </si>
  <si>
    <t>辉瓷鲤鱼，年年利余。双鱼聚利，万事大吉。</t>
  </si>
  <si>
    <t>icon_Belle_Chest_Pendant_02.png</t>
  </si>
  <si>
    <t>璇玑吞霄​</t>
  </si>
  <si>
    <t>信女期许，年年有鱼，吉祥如意。</t>
  </si>
  <si>
    <t>icon_Belle_Head_Earring_03.png</t>
  </si>
  <si>
    <t>沧溟侨珠​</t>
  </si>
  <si>
    <t>圆圆帽顶，俏皮卷边。少些困倦，多点清甜。</t>
  </si>
  <si>
    <t>icon_Belle_Head_Hat_02.png</t>
  </si>
  <si>
    <t>玄冥镇魂符珮</t>
  </si>
  <si>
    <t>引玄冥术法，收以太孤魂。</t>
  </si>
  <si>
    <t>icon_Belle_Chest_Badge_04.png</t>
  </si>
  <si>
    <t>灼目携云</t>
  </si>
  <si>
    <t>icon_Belle_Head_Glass_03.png</t>
  </si>
  <si>
    <t>爱芮爱芮！不见不归!
    爱芮爱芮！为你陶醉！
    爱芮爱芮！此生相随！</t>
  </si>
  <si>
    <t>icon_Belle_Head_Headgear_02.png</t>
  </si>
  <si>
    <t>云栖瑞霭</t>
  </si>
  <si>
    <t>帽嵌云纹挂红丝，云气流动心自知。</t>
  </si>
  <si>
    <t>icon_Belle_Head_Hat_03.png</t>
  </si>
  <si>
    <t>青悬绯樱</t>
  </si>
  <si>
    <t>icon_Belle_Back_Pendant_02.png</t>
  </si>
  <si>
    <t>icon_Belle_Head_Earring_04.png</t>
  </si>
  <si>
    <t>九格辣锅</t>
  </si>
  <si>
    <t>别听我哥哥的，鸳鸯都是弱者，九宫格才是正统。</t>
  </si>
  <si>
    <t>icon_Belle_Chest_Badge_06.png</t>
  </si>
  <si>
    <t>午德马马呀</t>
  </si>
  <si>
    <t>新春吉祥，午马安康！！</t>
  </si>
  <si>
    <t>icon_Belle_Head_Headgear_03.png</t>
  </si>
  <si>
    <t>妄想天使我的心，千夏千夏最动听！</t>
  </si>
  <si>
    <t>icon_Belle_Chest_Badge_05.png</t>
  </si>
  <si>
    <t>天使之音必将让整个舞台爆炸，你们这些质疑的人全都给我…给我回家！</t>
  </si>
  <si>
    <t>icon_Belle_Chest_Pendant_03.png</t>
  </si>
  <si>
    <t>妄想之路，此生不负！</t>
  </si>
  <si>
    <t>icon_Belle_Head_AnimaEarlGear_03.png</t>
  </si>
  <si>
    <t>风吟赤缕</t>
  </si>
  <si>
    <t>师门同心，激浊扬清。
    红绳一舞，济世安民。</t>
  </si>
  <si>
    <t>icon_Belle_Back_Pendant_Default.png</t>
  </si>
  <si>
    <t>玄朱锁翠</t>
  </si>
  <si>
    <t>玄朱锁翠，瑞气盈扉。
    顺风顺水，万事顺遂。</t>
  </si>
  <si>
    <t>icon_Belle_Head_Earring_Default.png</t>
  </si>
  <si>
    <t>主角受到伤害时，10% 刷新周围4格内最多10个事件格</t>
  </si>
  <si>
    <t>击杀BOSS时产生 1 个宝箱格</t>
  </si>
  <si>
    <t>全队 +3 攻击力，+30 生命</t>
  </si>
  <si>
    <t>队友 -5 攻击力，主角 +15 攻击力</t>
  </si>
  <si>
    <t>主角 -10 攻击力，队友 +4 攻击力</t>
  </si>
  <si>
    <t>主角受到伤害时，20% 产生 1 个生命恢复格</t>
  </si>
  <si>
    <t>主角 +15 攻击力，受到伤害时清空，每层重置</t>
  </si>
  <si>
    <t>「企鹅布」
    攻击力：5，生命值：20</t>
  </si>
  <si>
    <t>「招财布」
    攻击力：3，生命值：30
    它会吞掉齿轮硬币，每吞掉 3 个齿轮硬币时 +1 攻击力</t>
  </si>
  <si>
    <t>「寻宝布」
    它会吞掉钥匙格并产生宝箱</t>
  </si>
  <si>
    <t>「扑击布」
    攻击力：20，生命值：5</t>
  </si>
  <si>
    <t>「纸壳布」
    攻击力：4，生命值：20
    每只其他邦布使它 +2 攻击力</t>
  </si>
  <si>
    <t>「纸袋布」
    攻击力：2，生命值：20
    攻击时造成 7 倍伤害</t>
  </si>
  <si>
    <t>「果核布」
    攻击力：2，生命值：40
    它在攻击时 +5 生命</t>
  </si>
  <si>
    <t>「鲨牙布」
    攻击力：10，生命值：35
    它不跟随主角</t>
  </si>
  <si>
    <t>「阿全」
    它会击碎墙，并偶尔发现好东西</t>
  </si>
  <si>
    <t>「恶魔布」
    它会吞掉生命恢复格，并有较大概率产生攻击力格</t>
  </si>
  <si>
    <t>「艾米莉安」
    攻击力：8，生命值：50
    它会攻击商店老板</t>
  </si>
  <si>
    <t>[出战]黄金邦布</t>
  </si>
  <si>
    <t>「黄金邦布」
    攻击力：0，生命值：10
    它的攻击力等于1/100的金币数</t>
  </si>
  <si>
    <t>「阿崔」
    攻击力：20，生命值：20
    阿崔受到的伤害由主角承担</t>
  </si>
  <si>
    <t>[出战]咬咬</t>
  </si>
  <si>
    <t>「咬咬」
    攻击力：4，生命值：20
    它的攻击力总是等于生命值的 1/5</t>
  </si>
  <si>
    <t>「安比」
    攻击力：8，生命值：25
    安比攻击时 20% 暴击，造成 2 倍伤害。</t>
  </si>
  <si>
    <t>猫宫 又奈</t>
  </si>
  <si>
    <t>「猫又」
    攻击力：12，生命值：15
    猫又攻击时产生100齿轮硬币</t>
  </si>
  <si>
    <t>「妮可」
    攻击力：0，生命值：24
    妮可的攻击力等于1/100金币数</t>
  </si>
  <si>
    <t>「11号」
    攻击力：30，生命值：60
    「11号」的攻击力不会提高</t>
  </si>
  <si>
    <t>「可琳」
    攻击力：20，生命值：10
    可琳获得攻击力时，会额外 +1 攻击力</t>
  </si>
  <si>
    <t>「凯撒」
    攻击力：3，生命值：35
    凯撒受到伤害时 50% 弹反（不受伤，并把伤害返还给怪物）</t>
  </si>
  <si>
    <t>「比利」
    攻击力：30，生命值：10
    主角首次受到伤害后，比利&lt;color=#CF4029&gt; -15 攻击力。&lt;/color&gt;比利的攻击范围为 3</t>
  </si>
  <si>
    <t>星见 雅</t>
  </si>
  <si>
    <t>「星见雅」
    攻击力：25，生命值：25
    星见雅攻击时10%立刻杀死怪物</t>
  </si>
  <si>
    <t>「珂蕾妲」
    攻击力：10，生命值：12
    若本在场，珂蕾妲的攻击必定暴击</t>
  </si>
  <si>
    <t>「安东」
    攻击力：10，生命值：28
    安东在生命值为 0 时仍会攻击，此时每次攻击 -1 攻击力</t>
  </si>
  <si>
    <t>「本」
    攻击力：2，生命值：80
    若珂蕾妲在场，本在攻击时 50% 产生一个引爆的炸弹</t>
  </si>
  <si>
    <t>月城 柳</t>
  </si>
  <si>
    <t>「月城柳」
    攻击力：5，生命值：22
    月城柳命中的怪物会产生方框，该怪物只能被月城柳攻击，每次攻击产出相当于杀死怪物的经验</t>
  </si>
  <si>
    <t>「莱特」
    攻击力：5，生命值：40
    主角生命低于 20 时，莱特 + 20 攻击力</t>
  </si>
  <si>
    <t>攻击时，20% 将怪物变为以太结晶（不产生经验）</t>
  </si>
  <si>
    <t>击碎以太结晶时，30% 产生一个怪物</t>
  </si>
  <si>
    <t>立刻产生 4 个随机的邦布芯片</t>
  </si>
  <si>
    <t>立刻获得 5 个炸弹</t>
  </si>
  <si>
    <t>立刻获得 10 个钥匙</t>
  </si>
  <si>
    <t>立刻获得 99 个钥匙</t>
  </si>
  <si>
    <t>门锁改为用 1 金币开启，不再消耗钥匙</t>
  </si>
  <si>
    <t>立刻获得 888 金币</t>
  </si>
  <si>
    <t>立刻获得 3000 金币</t>
  </si>
  <si>
    <t>立刻产生一堆好东西</t>
  </si>
  <si>
    <t>炸弹爆炸时，30% 产生 1 个引爆的炸弹</t>
  </si>
  <si>
    <t>主角受到伤害时，对本层所有怪物造成 1 伤害</t>
  </si>
  <si>
    <t>主角 +5 攻击力，所有炸弹不会爆炸</t>
  </si>
  <si>
    <t>+100% 获得的经验</t>
  </si>
  <si>
    <t>拾取金币时，25% 生成一个以太结晶</t>
  </si>
  <si>
    <t>击碎以太结晶时，50% 产生 1 次按钮的效果（很难预计会发生什么）</t>
  </si>
  <si>
    <t>升级时，主角 +20 生命值</t>
  </si>
  <si>
    <t>升级时，产生 5 个引爆的炸弹</t>
  </si>
  <si>
    <t>升级时，产生 2 个邦布插件</t>
  </si>
  <si>
    <t>升级时，主角 +1 攻击力，-5 生命值</t>
  </si>
  <si>
    <t>购买时，每消耗 100 金币，主角 +1 生命</t>
  </si>
  <si>
    <t>主角的攻击力始终为持有的齿轮硬币数/200，不受其他任何影响。（例如持有400齿轮硬币，则攻击力为2）</t>
  </si>
  <si>
    <t>生命耗尽时，重新站起的概率变为 50%</t>
  </si>
  <si>
    <t>分类</t>
  </si>
  <si>
    <t>见闻名称</t>
  </si>
  <si>
    <t>见闻描述</t>
  </si>
  <si>
    <t>环境</t>
  </si>
  <si>
    <t>秘径</t>
  </si>
  <si>
    <t>进入隐藏区域的通道。
    秘密的价值，往往等同于窥探时须付的代价。</t>
  </si>
  <si>
    <t>标记</t>
  </si>
  <si>
    <t>目标</t>
  </si>
  <si>
    <t>任务目标所在的地点。
    你来到此地的缘由。</t>
  </si>
  <si>
    <t>停留</t>
  </si>
  <si>
    <t>不可快速移动，需要逐格走过的区域。
    你只可到此，不可越过。</t>
  </si>
  <si>
    <t>未知区域</t>
  </si>
  <si>
    <t>未曾踏足的区域。
    等待揭晓的谜底。</t>
  </si>
  <si>
    <t>起点</t>
  </si>
  <si>
    <t>进入空洞后的起始地点。
    这是你来自的地方，但未必是你回去的地方。</t>
  </si>
  <si>
    <t>出口</t>
  </si>
  <si>
    <t>空洞的脱离点。
    离别本应是痛苦的事，然而没人会对空洞恋恋不舍。</t>
  </si>
  <si>
    <t>电梯</t>
  </si>
  <si>
    <t>进入空洞更深层。
    短暂停下脚步，是为了更好地确认前进的方向。</t>
  </si>
  <si>
    <t>威胁</t>
  </si>
  <si>
    <t>「守门人」</t>
  </si>
  <si>
    <t>特殊战斗，胜利后可以进入空洞更深层。
    它们是怪物，是暴徒，也是忠诚的守护者。</t>
  </si>
  <si>
    <t>终结之役</t>
  </si>
  <si>
    <t>与最终敌人的战斗。
    最不想见到的家伙恰好盘踞在最想去的地方。</t>
  </si>
  <si>
    <t>下行裂隙</t>
  </si>
  <si>
    <t>进入空洞更深层的裂隙，不可返回。
    电梯乘务员看起来还算友善，请下行；不过…返回该层需要另外的办法。</t>
  </si>
  <si>
    <t>上行裂隙</t>
  </si>
  <si>
    <t>进入空洞更上层的裂隙，不可返回。
    电梯乘务员看起来还算友善，请上行；不过…返回该层需要另外的办法。</t>
  </si>
  <si>
    <t>危险的下行裂隙</t>
  </si>
  <si>
    <t>进入空洞更深层的裂隙，完成战斗后方可通过。
    遇到了不太友善的电梯司机！想要通过，就得先抢到下行键的使用权。</t>
  </si>
  <si>
    <t>危险的上行裂隙</t>
  </si>
  <si>
    <t>进入空洞更上层的裂隙，完成战斗后方可通过。
    遇到了不太友善的电梯司机！想要通过，就得先抢到上行键的使用权。</t>
  </si>
  <si>
    <t>下行通道</t>
  </si>
  <si>
    <t>进入空洞更深层的通道，可以返回。
    恭喜您遇到善解人意的电梯乘务员，请下行；如您需要，它会在此恭候您的再度光临。</t>
  </si>
  <si>
    <t>上行通道</t>
  </si>
  <si>
    <t>进入空洞更上层的通道，可以返回。
    恭喜您遇到善解人意的电梯乘务员，请上行；如您需要，它会在此恭候您的再度光临。</t>
  </si>
  <si>
    <t>危机</t>
  </si>
  <si>
    <t>与普通敌人的战斗。
    几乎每个踏入空洞的冒险者都会遇到这样的敌人，实力平平但数量众多。</t>
  </si>
  <si>
    <t>险境</t>
  </si>
  <si>
    <t>与强悍敌人的战斗。
    并非十分棘手的敌人，但因此而掉以轻心的话会付出惨痛代价。</t>
  </si>
  <si>
    <t>绝路</t>
  </si>
  <si>
    <t>与空洞中最强大的敌人战斗。
    它是求生者的噩梦，是最绝望的死战，是调查员的宿敌，也是空洞的「主人」。</t>
  </si>
  <si>
    <t>博弈</t>
  </si>
  <si>
    <t>在战斗中达成指定条件，就能获得丰厚奖励。
    与其说是挑战，不如说是来自命运的挑衅。</t>
  </si>
  <si>
    <t>限时战斗</t>
  </si>
  <si>
    <t>特殊战斗，需要在限定时长内完成。
    无畏地，贪婪地，赶赴灭亡。</t>
  </si>
  <si>
    <t>「连环危机」</t>
  </si>
  <si>
    <t>连续进行的数场战斗。
    面对蜂拥而至的敌人…永无止休、永无止休。</t>
  </si>
  <si>
    <t>「双重危机」</t>
  </si>
  <si>
    <t>同时与两名精英敌人交战。
    双拳可敌四手。</t>
  </si>
  <si>
    <t>危险目标</t>
  </si>
  <si>
    <t>特殊战斗，胜利后抵达任务目标地点。
    它们在等待怀揣好奇心的猫。</t>
  </si>
  <si>
    <t>资源</t>
  </si>
  <si>
    <t>齿轮硬币箱</t>
  </si>
  <si>
    <t>获得大量齿轮硬币。
    与它们的邂逅能使你立刻成为空洞中的顶级富翁。</t>
  </si>
  <si>
    <t>邦布商人</t>
  </si>
  <si>
    <t>可以与之交易的邦布商人。
    它们身携宝物，它们热衷交易，它们是世界上最爱齿轮硬币的邦布。</t>
  </si>
  <si>
    <t>传送点</t>
  </si>
  <si>
    <t>传送至指定地点的通道。
    连绳匠也无法看透的诡径，它的终点只有身处其中的人才能知晓。</t>
  </si>
  <si>
    <t>侵蚀扭蛋机</t>
  </si>
  <si>
    <t>获得[诡术]鸣徽。
    隔着玻璃都能看到不稳定的以太正在鸣徽之间流窜…但你一定会想要尝试一下。</t>
  </si>
  <si>
    <t>插件获取</t>
  </si>
  <si>
    <t>获得邦布插件。
    对于强大力量的渴望，往往都很偏执。</t>
  </si>
  <si>
    <t>扭蛋机</t>
  </si>
  <si>
    <t>获得鸣徽。
    你无法成为它永远的主人，但它能充当你短暂的战友。</t>
  </si>
  <si>
    <t>遗产</t>
  </si>
  <si>
    <t>获得丁尼。
    没有人会特地将丁尼带入空洞，这些闪着银光的硬币是都市文明消亡在灾厄中所留下的遗产。</t>
  </si>
  <si>
    <t>遭遇</t>
  </si>
  <si>
    <t>掘金点</t>
  </si>
  <si>
    <t>你无法想象有多少丁尼被深埋空洞，但如果足够渴望…就来试试运气吧？</t>
  </si>
  <si>
    <t>机关</t>
  </si>
  <si>
    <t>观察点</t>
  </si>
  <si>
    <t>观察下阶段路线的地方。
    数据所描绘的地图并非万能，身临其境地观察或许能有新发现。</t>
  </si>
  <si>
    <t>侵蚀商人</t>
  </si>
  <si>
    <t>特殊的商人。
    它们依旧热衷交易，对齿轮硬币的渴望却消失了，取而代之的是某种令人不安的东西。</t>
  </si>
  <si>
    <t>空洞来客</t>
  </si>
  <si>
    <t>同伴</t>
  </si>
  <si>
    <t>友方单位。
    他们与你共同进退，他们唯你马首是瞻。</t>
  </si>
  <si>
    <t>普通敌人</t>
  </si>
  <si>
    <t>游荡的敌人，威胁水平较低。
    倾巢而出的杂鱼，冒险者的第一课。</t>
  </si>
  <si>
    <t>精英敌人</t>
  </si>
  <si>
    <t>游荡的敌人，威胁水平较高。
    「专家」的试金石，掉以轻心就成了绊脚石。</t>
  </si>
  <si>
    <t>首领敌人</t>
  </si>
  <si>
    <t>空洞中最强大的敌人，在它的领地中巡视。
    噩梦正在逼近，希望不曾来临。</t>
  </si>
  <si>
    <t>击败后获得大量齿轮硬币。
    对商会来说，这些失控的邦布是莫大的损失；对盗洞客来说，这可真是捡到宝了。</t>
  </si>
  <si>
    <t>安息处</t>
  </si>
  <si>
    <t>安息之地。不属于你，暂时。</t>
  </si>
  <si>
    <t>门扉紧闭-财富</t>
  </si>
  <si>
    <t>封锁的门，需要支付齿轮硬币后方可通行。
    有钱能使鬼推磨，硬币能让布开门。</t>
  </si>
  <si>
    <t>门扉紧闭-谜题</t>
  </si>
  <si>
    <t>封锁的门，按要求开启机关后方可通行。
    谁都习惯了「24小时上门开锁」…但在空洞里，得自己想想办法。</t>
  </si>
  <si>
    <t>开启的门</t>
  </si>
  <si>
    <t>妨碍你的门户已经打开。
    门后等待你的，会是你所等待的吗？</t>
  </si>
  <si>
    <t>障碍物</t>
  </si>
  <si>
    <t>可以推动的障碍物。
    在空洞的诸多顽固阻碍之中，算是最灵活变通的一种。</t>
  </si>
  <si>
    <t>门扉紧闭-侵蚀</t>
  </si>
  <si>
    <t>封锁的门，强行开启后会增加或减少侵蚀症状。
    本是用作检测侵蚀风险的通道，因为废弃已久，弥漫着不祥的气息…真的要冒险通过吗？</t>
  </si>
  <si>
    <t>门扉紧闭-机巧</t>
  </si>
  <si>
    <t>封锁的门，集齐三处「机巧」后方可通行。
    所有的努力，只为前进一途。</t>
  </si>
  <si>
    <t>无害的游荡者</t>
  </si>
  <si>
    <t>空洞内游荡的中立单位。
    对你的性命没有兴趣的人，在空洞里我们都可以暂且视为「朋友」。</t>
  </si>
  <si>
    <t>门扉紧闭-秘钥</t>
  </si>
  <si>
    <t>封锁的门，只有用特定的钥匙才能打开。
    用钥匙开门——非常简单的逻辑；但在空洞里，遇到愿意遵从「逻辑」的事情可不太容易。</t>
  </si>
  <si>
    <t>及时补给</t>
  </si>
  <si>
    <t>随机获得某样东西。
    发射巡回邦布，看看它会带回什么好东西。</t>
  </si>
  <si>
    <t>列车</t>
  </si>
  <si>
    <t>列车。
    列车呼啸而过…在空洞里并不寻常。</t>
  </si>
  <si>
    <t>识相的障碍物</t>
  </si>
  <si>
    <t>可以推动的障碍物，被推到墙边的话会与邦布交换位置。
    比看起来的要沉重，如果没有轮子辅助，就实在不便于换位运输。</t>
  </si>
  <si>
    <t>门扉紧闭-密码</t>
  </si>
  <si>
    <t>被封锁的门，输入正确密码后方可通行。
    有些门可以用钥匙或者硬币打开；但也有一些，只是在等待那个答案。</t>
  </si>
  <si>
    <t>机巧</t>
  </si>
  <si>
    <t>收集三个，可打开对应的门。
    有一种精巧而伟大的设计被称为「卯榫」…别担心，你遇到的这个，说明书比别家的序言还要短。</t>
  </si>
  <si>
    <t>零号银行营业点</t>
  </si>
  <si>
    <t>进行「资源」与「积分」的存取。
    在零号空洞里长期营业可不是什么轻松活儿，好在它们的心理疏导指南也长达十多页。</t>
  </si>
  <si>
    <t>鸣徽催化剂</t>
  </si>
  <si>
    <t>催化背包内的鸣徽。
    原本混乱的以太被驯服、被纳入鸣徽之中，于是为你所用；但为了更强大的力量…你选择唤醒它们。</t>
  </si>
  <si>
    <t>零号空洞</t>
  </si>
  <si>
    <t>临时拍档</t>
  </si>
  <si>
    <t>获得一只助战邦布。
    所以说，这家伙是怎么在空洞中维持能量的？它给自己带了个手摇发电机？</t>
  </si>
  <si>
    <t>门扉紧闭-善战</t>
  </si>
  <si>
    <t>封锁的门，在上一场战斗中表现优异方可通行。
    残留的以太会侵蚀脆弱的锁芯，请好好打扫战场。</t>
  </si>
  <si>
    <t>全自动医疗仓</t>
  </si>
  <si>
    <t>调查协会或防卫军的人会使用的野战医院，会根据指令自动对伤员实施必备的紧急救护。</t>
  </si>
  <si>
    <t>击败后获得大量丁尼。
    对商会来说，这些失控的邦布是莫大的损失；对盗洞客——它有多值钱等会再说，别让它跑了！</t>
  </si>
  <si>
    <t>门扉紧闭-时间</t>
  </si>
  <si>
    <t>被封锁的门，等待一段时间后开启。
    不少盗洞客正尝试破解，而你只需等待；确实偶尔也会有这种好事。</t>
  </si>
  <si>
    <t>黄金起飞点</t>
  </si>
  <si>
    <t>最佳的起飞点。到达此处时，可以获得一次向指定方向飞跃的机会。
    加速，起飞，越过一切障碍，追逐少年们的「黄金游隼」。</t>
  </si>
  <si>
    <t>安全区</t>
  </si>
  <si>
    <t>可以降低压力值的安全区。
    危险与恶意被完全隔绝，只需要时间来平复糟糕的心情。</t>
  </si>
  <si>
    <t>休息区</t>
  </si>
  <si>
    <t>可以恢复生命值的休息区。
    哪怕意志无比坚定，身体也需要休憩。</t>
  </si>
  <si>
    <t>净化室</t>
  </si>
  <si>
    <t>可以清除一个诅咒的净化室。
    尽管清洗设备上的小翅膀没有魔法，你的内心还是感到了宽慰。</t>
  </si>
  <si>
    <t>可以为无法行动的队员恢复活力的休憩区域。
    或许出于怜悯，空洞赠予了生机。</t>
  </si>
  <si>
    <t>侵蚀</t>
  </si>
  <si>
    <t>损失生命值。
    明知道对身体有害，却又无法停止呼吸。</t>
  </si>
  <si>
    <t>失联</t>
  </si>
  <si>
    <t>增加压力值。
    身边同伴的声音突然消失了，只剩下你留在原地…</t>
  </si>
  <si>
    <t>迷雾</t>
  </si>
  <si>
    <t>安全的传送点。
    扭曲的以太勾勒出扭曲的道路，至少看起来没有危险。</t>
  </si>
  <si>
    <t>诡雾</t>
  </si>
  <si>
    <t>危险的传送点。
    扭曲的以太勾勒出扭曲的道路，散发出带有警示意味的红光。</t>
  </si>
  <si>
    <t>「挑战」区域</t>
  </si>
  <si>
    <t>进入挑战空间的传送通道。
    呼吸空洞的第一口空气时，挑战就已开始。</t>
  </si>
  <si>
    <t>「契约」区域</t>
  </si>
  <si>
    <t>进入随机空间的传送通道。
    一次与魔鬼的豪赌，而你已经准备好了筹码。</t>
  </si>
  <si>
    <t>「援助」区域</t>
  </si>
  <si>
    <t>进入随机空间的传送通道。
    有用的事情将会发生；对于「有用」的定义，我们各有答案。</t>
  </si>
  <si>
    <t>「奖励」区域</t>
  </si>
  <si>
    <t>进入奖励空间的传送通道。
    好事马上发生…但凡事有其代价。</t>
  </si>
  <si>
    <t>「盲盒」区域</t>
  </si>
  <si>
    <t>进入随机空间的传送通道。
    没人知道会发生什么。步入其中才能揭晓答案。</t>
  </si>
  <si>
    <t>「超级随机」区域</t>
  </si>
  <si>
    <t>进入随机空间的传送通道。
    不得了的事情就要发生…超级随机，超级、随机。</t>
  </si>
  <si>
    <t>不宜久留</t>
  </si>
  <si>
    <t>离开当前所处特殊区域的通道。
    不管发生了怎样的故事，如今都要告一段落。</t>
  </si>
  <si>
    <t>弹射</t>
  </si>
  <si>
    <t>向指定方向弹射。
    对于盗洞客来说，效率就是生命，即使代价是没有安全带。</t>
  </si>
  <si>
    <t>按压式开关</t>
  </si>
  <si>
    <t>按压式的开关，仅在停留于开关位置时生效。
    离开后就不再生效，如同时间不曾停留。</t>
  </si>
  <si>
    <t>触发式开关</t>
  </si>
  <si>
    <t>触发式的开关，能够启动机关或设施。
    走过后就无法更改，一如命运无法回头。</t>
  </si>
  <si>
    <t>操纵杆</t>
  </si>
  <si>
    <t>能够启动机关或设施的操纵杆。
    坏消息：该操作违反了安全条例。好消息：安全管理员被扔进了空洞。</t>
  </si>
  <si>
    <t>被开启的物资箱</t>
  </si>
  <si>
    <t>已经开启过的物资箱。
    里面只留下了沾染以太的空气。</t>
  </si>
  <si>
    <t>观测站点</t>
  </si>
  <si>
    <t>空洞观测数据。
    培育「萝卜」的土壤和养分。</t>
  </si>
  <si>
    <t>废弃观测站点</t>
  </si>
  <si>
    <t>已收集的空洞观测数据。
    不知道被谁一扫而空，连硬盘都拔走了。</t>
  </si>
  <si>
    <t>重置按钮</t>
  </si>
  <si>
    <t>能够复原特定区域内所有机关的按钮。
    后悔药，不限量供应。</t>
  </si>
  <si>
    <t>轨道</t>
  </si>
  <si>
    <t>快速移动至轨道末端的工具。
    此刻及时雨，彼时拦路虎。</t>
  </si>
  <si>
    <t>钻洞</t>
  </si>
  <si>
    <t>进入空洞更深层，使用「强能开掘」才可通过。
    这扇门需要属于自己的钥匙——别犹豫了，就是转个不停的那一把！</t>
  </si>
  <si>
    <t>摇杆</t>
  </si>
  <si>
    <t>可以反复调整机关或设施的操纵杆。
    经历过严格质检，可供尽情试错而无磨损之虞；但不保证以骸们是否会在您玩得开心时忽然加入。</t>
  </si>
  <si>
    <t>转向装置</t>
  </si>
  <si>
    <t>可以改变机关朝向的按钮。
    设计精巧的联动装置，但并非依靠底部齿轮运转——它们主要起装饰作用。</t>
  </si>
  <si>
    <t>「溯回」</t>
  </si>
  <si>
    <t>时间永远、绝对、完全…无法倒流！
    好在这里只是允许重看录像而已；需要的话，Fairy甚至可以再提升一下倍速效果。</t>
  </si>
  <si>
    <t>证物</t>
  </si>
  <si>
    <t>这里一定有些不同寻常之处，再看看吧。
    全貌照片、方位照片、中心照片和细目照片…都拍下来了吧？</t>
  </si>
  <si>
    <t>HIA数据样本</t>
  </si>
  <si>
    <t>打开后获得一些菲林和丁尼。
    空洞调查协会遗落在「浮冰空洞」中的数据样本，虽然看起来平平无奇，但它蕴含的价值毋庸置疑。</t>
  </si>
  <si>
    <t>应急物资箱</t>
  </si>
  <si>
    <t>打开后获得一定奖励。
    总能在不同空洞发现的神秘补给；里面具体有什么，得打开看看才知道…</t>
  </si>
  <si>
    <t>「仲夏」物资箱</t>
  </si>
  <si>
    <t>打开后获得一些宝贵的物资。
    侧身绘制着奇特企业标签的遗落物资箱。箱体的灰尘诉说着「仲夏」往日的辉煌，内部的物资传递着对未来的期望。</t>
  </si>
  <si>
    <t>矿井用运输车</t>
  </si>
  <si>
    <t>矿车，乘坐后可以在矿井内快速移动。
    抓稳把手——它的速度超乎想象！</t>
  </si>
  <si>
    <t>坚硬的矿石</t>
  </si>
  <si>
    <t>矿井中的障碍物，可以用强能冲击镐破坏。
    让矿工邦布们怨声载道的艰难工作，但它们的抱怨往往只能换来催促和责骂。</t>
  </si>
  <si>
    <t>泛着幽光的矿石</t>
  </si>
  <si>
    <t>矿井中的障碍物，用冲冲大将军才能破坏。
    前任工程师尝试研发过爆破开采设备；衡量成本后，矿场主选择延长矿工的工作时间。</t>
  </si>
  <si>
    <t>调查员</t>
  </si>
  <si>
    <t>他们是协会的执行人，是空洞的先驱者，可以成为短暂的盟友。虽然立场不同，身份不同，头衔不同…但除此之外，你们别无二致。</t>
  </si>
  <si>
    <t>真相</t>
  </si>
  <si>
    <t>这里是记者无法踏足的领域，任何可能见诸报端的秘密都会在这里随着以太一同消散。</t>
  </si>
  <si>
    <t>盗洞客</t>
  </si>
  <si>
    <t>他们是同行，也是竞争对手。虽然大多数盗洞客都十分热情亲切，但毫无保留地与他们打交道通常是会吃亏的。</t>
  </si>
  <si>
    <t>巨兽</t>
  </si>
  <si>
    <t>不可一世的钢铁巨兽颓倒在空洞中，无力再发出咆哮。但它的故事远未结束，时至今日，依然有光怪陆离的乘客穿梭其中。</t>
  </si>
  <si>
    <t>奇货</t>
  </si>
  <si>
    <t>售货机仍然在响动。如今，它的货架摆放着惊疑、绝望、贪婪、转机…琳琅满目，应有尽有。</t>
  </si>
  <si>
    <t>通道</t>
  </si>
  <si>
    <t>台阶上…是通行者遗落的家当，还是拦路者故布的诱饵？有胆量的话，就跟上去看看！</t>
  </si>
  <si>
    <t>友方机械单位</t>
  </si>
  <si>
    <t>友好的机械单位。
    没有血肉，拥有灵魂。</t>
  </si>
  <si>
    <t>炸弹客</t>
  </si>
  <si>
    <t>携带危险爆炸物的敌人。
    危险人物和易爆物品，致命的完美搭档。</t>
  </si>
  <si>
    <t>炸弹</t>
  </si>
  <si>
    <t>用以破坏障碍物的炸弹。
    轰隆，轰隆隆。</t>
  </si>
  <si>
    <t>恐怖的敌人。
    游弋于死路的屠夫，静候着迷途的羔羊。</t>
  </si>
  <si>
    <t>「幽灵」</t>
  </si>
  <si>
    <t>空洞内的「幽灵」，会将你送回起点。
    转瞬即逝的幽影…幻觉或是亡灵，哪种更加亲切？</t>
  </si>
  <si>
    <t>不可触之友</t>
  </si>
  <si>
    <t>可靠的「朋友」，可以帮忙打开特殊的门，或者解锁一些特殊的装置。
    你甚至可以不相信它的存在，但一定可以相信它的善意。</t>
  </si>
  <si>
    <t>顽固的障碍物</t>
  </si>
  <si>
    <t>堵塞道路的障碍物。
    坚壁高墙或是烧焦的废墟，总而言之，此路不通。</t>
  </si>
  <si>
    <t>脆弱的障碍物</t>
  </si>
  <si>
    <t>障碍物的残骸仍旧堵塞着道路。
    高墙已作残垣，断壁还阻通途——只差最后一步。</t>
  </si>
  <si>
    <t>残破的障碍物</t>
  </si>
  <si>
    <t>可被撞破的障碍物，撞击数次后即可通过。
    请确保探索小队中至少有一位代理人正确佩戴了安全帽…随队邦布质地足够坚硬的话，也可以。</t>
  </si>
  <si>
    <t>普通矿石</t>
  </si>
  <si>
    <t>矿井中的障碍物，可以用冲击镐破坏。
    还算是好对付的家伙，只要确保冲击镐还有能量，就能畅行无阻。</t>
  </si>
  <si>
    <t>熄灭的灯</t>
  </si>
  <si>
    <t>熄灭的灯，但可以被点亮。
    遁入黑暗吧…意思是，关灯。</t>
  </si>
  <si>
    <t>点亮的灯</t>
  </si>
  <si>
    <t>点亮的灯，可以驱散不怀好意的「幽灵」。
    带来光明吧…我是说，开灯。</t>
  </si>
  <si>
    <t>智能工程机械体，本体是打桩机，以不渝的承诺履行使命的中二病。</t>
  </si>
  <si>
    <t>智能工程机械体，本体是抓物机，以豪迈的热血追寻梦想的儿郎。</t>
  </si>
  <si>
    <t>智能工程机械体，本体是掘进机，以炽热的爱意守护恋人的少女。</t>
  </si>
  <si>
    <t>闪烁的灯</t>
  </si>
  <si>
    <t>闪烁的灯，可以提供不稳定的照明。
    带来光明吧…只是一些瞬间，也可以。</t>
  </si>
  <si>
    <t>破碎的灯</t>
  </si>
  <si>
    <t>破碎的灯，无法再被点亮。
    遁入黑暗吧…并且永远不要，再回来。</t>
  </si>
  <si>
    <t>弹珠炮口</t>
  </si>
  <si>
    <t>可发射钢弹。
    纯机械结构，术业有专攻；不造成高温，但破坏力绝不会因此减损。</t>
  </si>
  <si>
    <t>奇怪的铠甲</t>
  </si>
  <si>
    <t>被封固在以太结晶中的奇怪铠甲，其实只是一件造型夸张的空洞用防护服。似乎防护效果很好。</t>
  </si>
  <si>
    <t>奇怪的合金盾</t>
  </si>
  <si>
    <t>被封固在以太结晶中的巨大合金盾，或许是某个审美独特的空洞调查人员定做的。</t>
  </si>
  <si>
    <t>奇怪的近战武器</t>
  </si>
  <si>
    <t>一把插在以太结晶中的近战武器。虽然造型复古，但用特殊金属打造的刀刃证明其有着很高的价值。</t>
  </si>
  <si>
    <t>呼叫增援</t>
  </si>
  <si>
    <t>使一名代理人加入队伍。
    面对空洞你是否已经倾尽全力？如果是…那也还有队友可以一起倾尽全力！</t>
  </si>
  <si>
    <t>对空部特遣队</t>
  </si>
  <si>
    <t>对空部特遣小队，隶属于HAND的精英行动部队。「精英」们的脸上有着不同于一般空洞调查者的从容。</t>
  </si>
  <si>
    <t>求救信号</t>
  </si>
  <si>
    <t>收到了求救信号…前方的道路并无人迹，求救来自迷途的受害者还是陷阱？只有前进能够揭晓答案。</t>
  </si>
  <si>
    <t>资源回收小组</t>
  </si>
  <si>
    <t>没有统一着装的协会「外聘」调查小队。说不好哪几位是真正的调查员，又有哪些是得到了「私掠证」的盗洞客…</t>
  </si>
  <si>
    <t>调查协会补给站</t>
  </si>
  <si>
    <t>由小型货箱、板房或帐篷搭建的临时补给点，由数名协会调查员维护。</t>
  </si>
  <si>
    <t>房屋残骸</t>
  </si>
  <si>
    <t>旧都房屋的废墟，或许能在里头找到些有用的东西…只要它摇摇欲坠的结构还能经受住你的「拜访」。</t>
  </si>
  <si>
    <t>「精锐」邦布助手</t>
  </si>
  <si>
    <t>搭载着看起来就很高级的额外防护模块，属于空洞调查协会的空洞调查助手邦布。</t>
  </si>
  <si>
    <t>治安官小队</t>
  </si>
  <si>
    <t>全副武装的治安官小队，形色匆匆。不给你找麻烦的治安官就是好治安官。</t>
  </si>
  <si>
    <t>有偿休息站</t>
  </si>
  <si>
    <t>经过改装的商用休息点，门口的自动投币机上头写着「有偿服务」。TOPS财团的商人做派。</t>
  </si>
  <si>
    <t>馅饼天降</t>
  </si>
  <si>
    <t>「我现在只想从这鬼地方出去…这包裹里头的好东西，就勉为其难送给你们好了。」</t>
  </si>
  <si>
    <t>怀斯塔学会研究站</t>
  </si>
  <si>
    <t>怀斯塔学会的小型科考站，由数名特工和执行官保护研究人员和科研财产的安全。</t>
  </si>
  <si>
    <t>活化结晶</t>
  </si>
  <si>
    <t>散发强烈波动的以太结晶簇。侵蚀反应保持在「安全」的水平，如果忽视它的副作用，或许…</t>
  </si>
  <si>
    <t>裂隙！</t>
  </si>
  <si>
    <t>不稳定的空间传送点。生死福祸，一步之遥。</t>
  </si>
  <si>
    <t>紧急撤离点</t>
  </si>
  <si>
    <t>空洞调查协会的小型发信站点，控制面板上红色的「SOS」按钮或许会成为某人逃离空洞的最后希望。</t>
  </si>
  <si>
    <t>防卫军后勤站</t>
  </si>
  <si>
    <t>属于新艾利都防卫军的小型后勤点，驻扎着全副武装的士兵小队和军用载具。</t>
  </si>
  <si>
    <t>数据基站</t>
  </si>
  <si>
    <t>涉密资产，待埋葬的秘密，任何人都无法再行窥探。</t>
  </si>
  <si>
    <t>能够为发电装置提供能源的罐装燃料。
    在芭莱大厦内发现的罐装以太燃料，外形与发电机上的空槽是匹配的，外壳上还残留着明显的在地面拖行的痕迹。</t>
  </si>
  <si>
    <t>发电装置-供电</t>
  </si>
  <si>
    <t>已经装有以太燃料，恢复了供电的发电装置。
    恭喜回到电气时代！</t>
  </si>
  <si>
    <t>发电装置-休眠</t>
  </si>
  <si>
    <t>尚未装有以太燃料，依然在休眠的发电装置。
    距离回到你所熟悉的电气时代，还需要一些与之匹配的以太燃料。</t>
  </si>
  <si>
    <t>假面研究者</t>
  </si>
  <si>
    <t>这位「假面研究者」携带着自制的半成品…哦不，是科研试验品！也许…会有帮助呢？</t>
  </si>
  <si>
    <t>投机客</t>
  </si>
  <si>
    <t>他努力推销着「先用后还」的好事。如果相信自己偿还利息的能力，似乎也可以赌一把…</t>
  </si>
  <si>
    <t>秘医</t>
  </si>
  <si>
    <t>他傍身的器械甚至沾染着深色的污渍…这真的就是盗洞客们口口相传的「可靠」医师吗？</t>
  </si>
  <si>
    <t>盗洞客集会</t>
  </si>
  <si>
    <t>欢迎光临盗洞客们的地盘！别害怕，只要支付代价…就能在这里获得「便利」。</t>
  </si>
  <si>
    <t>「王牌」邦布助手</t>
  </si>
  <si>
    <t>几只调查协会的「王牌」邦布助手组成的后勤小队，业务和业绩都是一流水平，开设有武装升级、武装置换等服务。</t>
  </si>
  <si>
    <t>奇怪的侦探</t>
  </si>
  <si>
    <t>为了收集某样东西而进入零号空洞的侦探。和他交谈说不定能获得有用的线索录音。</t>
  </si>
  <si>
    <t>奇怪的拾荒者</t>
  </si>
  <si>
    <t>在零号空洞里寻找物品的拾荒者。能从他手上取得情报相关的线索物品。</t>
  </si>
  <si>
    <t>奇怪的学生</t>
  </si>
  <si>
    <t>在零号空洞里探险的学生。以线索物品和录音作为回报，寻求着空洞调查者的帮助。</t>
  </si>
  <si>
    <t>奇怪的结晶</t>
  </si>
  <si>
    <t>零号空洞内的未知结晶体，未曾收录在任何资料档案中。似乎与高危以骸共生体「尼尼微」有牵连…</t>
  </si>
  <si>
    <t>浓缩医疗插件</t>
  </si>
  <si>
    <t>获得恢复全体生命值的邦布插件。
    在空洞呆久了，它迟早都会派上用场。</t>
  </si>
  <si>
    <t>金钥匙</t>
  </si>
  <si>
    <t>钥匙，可以用来打开特定的门。
    放心捡走吧，这只是备用钥匙中的一把；只要在遗失钥匙的人反应过来并且换锁之前用上就好。</t>
  </si>
  <si>
    <t>以太雾萃-温和</t>
  </si>
  <si>
    <t>可使用增幅仪驱散。
    这里弥漫着恐怖片里才会出现的以太雾萃，什么都看不清。</t>
  </si>
  <si>
    <t>以太富集区</t>
  </si>
  <si>
    <t>使用增幅仪的好地方。
    这里的以太浓度很高…可算挖到矿了，恭喜。</t>
  </si>
  <si>
    <t>联动门禁</t>
  </si>
  <si>
    <t>破解联动门控制器，获取足够多的数据后，即可打开此门。
    喊芝麻开门…是没用的。</t>
  </si>
  <si>
    <t>以太雾萃-烈性</t>
  </si>
  <si>
    <t>可使用增幅仪驱散的阻碍。
    这里弥漫着恐怖片里才会出现的以太雾萃…糟糕，还是烈性以太！</t>
  </si>
  <si>
    <t>数据芯片</t>
  </si>
  <si>
    <t>破解控制器，获取能打开联动门禁的关键数据。
    要足够多的数据才可以哦！对的，就是这么麻烦。</t>
  </si>
  <si>
    <t>以太结晶-温和</t>
  </si>
  <si>
    <t>破坏结晶可回复生命值。
    空洞中少见的温和以太物质，散发着温润的光芒。</t>
  </si>
  <si>
    <t>以太结晶-绯红晶丝</t>
  </si>
  <si>
    <t>破坏结晶可获得绯红晶丝和炸弹。
    包裹着绯红晶丝的以太结晶，不知道为什么，在发现绯红晶丝的同时，往往还能捡到些其他东西。</t>
  </si>
  <si>
    <t>以太结晶-巨岩</t>
  </si>
  <si>
    <t>破坏结晶可获得大量物资。
    如此巨大的以太结晶，所有人看到时都忍不住啧啧称奇。里面好像包裹住了不少东西。</t>
  </si>
  <si>
    <t>以太结晶-补给箱</t>
  </si>
  <si>
    <t>破坏结晶可找到补给箱。
    散发出可疑光芒的以太结晶，似乎包裹住了补给箱。</t>
  </si>
  <si>
    <t>以太结晶-二象性</t>
  </si>
  <si>
    <t>撞击结晶会扣除生命值，撞碎结晶后可回复生命值。
    特殊的以太物质，接触时会造成侵蚀反应降低生命值，但成功采集后只要稍做处理，就能恢复生命值。</t>
  </si>
  <si>
    <t>以太结晶-超温和</t>
  </si>
  <si>
    <t>破坏结晶可回复全队生命值。
    空洞中少见的温和以太物质，散发着温润的光芒。</t>
  </si>
  <si>
    <t>以太结晶-齿轮硬币</t>
  </si>
  <si>
    <t>破坏结晶可获得齿轮硬币。
    散发出可疑光芒的以太结晶，差点以为有很高的活性。</t>
  </si>
  <si>
    <t>以太结晶-邦布</t>
  </si>
  <si>
    <t>破坏结晶可找到邦布。
    有一个可怜的小东西被以太结晶困住了！</t>
  </si>
  <si>
    <t>以太结晶-激化</t>
  </si>
  <si>
    <t>破坏结晶会引发爆炸。
    性状极不稳定的以太结晶，轻微摩擦或碰撞就会发生可怕的事故。但如果拦在必经之路上的话…</t>
  </si>
  <si>
    <t>特供补给-插件</t>
  </si>
  <si>
    <t>装有随机邦布插件的补给箱。
    经常有人误以为那些问号代表补给箱坏掉了。</t>
  </si>
  <si>
    <t>特供补给-诱敌</t>
  </si>
  <si>
    <t>打开后会产生许多战术钉棘。
    外观与补给箱几乎一样的陷阱，是防卫军制作用以诱敌的道具。按理说这里不应该出现这东西，看来某个马虎大意的军需官要倒霉了。</t>
  </si>
  <si>
    <t>特供补给-上锁</t>
  </si>
  <si>
    <t>需要钥匙，可获得随机物资的补给箱。
    目前上了锁，只能用钥匙打开。</t>
  </si>
  <si>
    <t>特供补给-故障</t>
  </si>
  <si>
    <t>打开可获得随机物资，但会损失生命值。
    故障的补给箱，打开时十有八九会夹伤手指，真是让人丧失战斗力的利器！</t>
  </si>
  <si>
    <t>特供补给-多层箱</t>
  </si>
  <si>
    <t>可多次获得随机物资的补给箱。
    带有夹层的补给箱，虽然外观与普通补给箱一样大，但携带的物资可达数倍。既然有这种技术，把箱子全换成这种岂不是更好…似乎有些预算原因，看来只能先苦一苦调查员们了。</t>
  </si>
  <si>
    <t>特供补给-常规</t>
  </si>
  <si>
    <t>可获得随机物资的补给箱。
    为支援琶音大断层的探索，以空投方式投入该区域，使用了极为坚固的外箱材料。</t>
  </si>
  <si>
    <t>特供补给-侵蚀</t>
  </si>
  <si>
    <t>可获得少量物资的补给箱。
    在落地时损坏并遭到一定侵蚀的补给箱。直接打开估计会有一部分物资受损。或许可以用炸弹先炸开外面的以太结晶试试？</t>
  </si>
  <si>
    <t>战术钉棘</t>
  </si>
  <si>
    <t>通过时会减少生命值。
    防卫军乃至叛军广泛持有的地形类防御武器，对以骸也有一定阻挡效果。不知道为什么会在这里发现，但如果要强行通过的话就需要付出一点代价了。</t>
  </si>
  <si>
    <t>「奇怪的因果修正器」</t>
  </si>
  <si>
    <t>消耗齿轮硬币产生随机事件。
    「…这台机器能令使用者暂时进入休眠状态，并在周围的空洞环境发生变化后将使用者立即唤醒。由于休眠与唤醒的过程均十分迅速，使用者在体感上会让人产生周围的一切都突然变化了的错觉…」——上述信息来自懂否论坛，不代表本系统立场。</t>
  </si>
  <si>
    <t>「采血仪」</t>
  </si>
  <si>
    <t>消耗生命值换取齿轮硬币。
    从外观看这似乎是一台「因果修正器」，但因为某些故障，现在它只会吐出一些齿轮硬币了。</t>
  </si>
  <si>
    <t>「因果修正器」</t>
  </si>
  <si>
    <t>可刷新周围的事件。
    「…这台机器能令使用者暂时进入休眠状态，并在周围的空洞环境发生变化后将使用者立即唤醒。由于休眠与唤醒的过程均十分迅速，使用者在体感上会让人产生周围的一切都突然变化了的错觉…」——上述信息来自懂否论坛，不代表本系统立场。</t>
  </si>
  <si>
    <t>一次性插件-B</t>
  </si>
  <si>
    <t>可以获取B级品质的邦布插件。
    一次性插件，虽然外观相似但种类繁多，在有些紧急状态下有妙用。</t>
  </si>
  <si>
    <t>一次性插件-A</t>
  </si>
  <si>
    <t>可以获取A级品质的邦布插件。
    一次性插件，虽然外观相似但种类繁多，在有些紧急状态下有妙用。</t>
  </si>
  <si>
    <t>一次性插件-S</t>
  </si>
  <si>
    <t>可以获取S级品质的邦布插件。
    一次性插件，虽然外观相似但种类繁多，在有些紧急状态下有妙用。</t>
  </si>
  <si>
    <t>一次性插件-超凡</t>
  </si>
  <si>
    <t>可以获取超凡级品质的邦布插件。
    一次性插件，虽然外观相似但种类繁多，在有些紧急状态下有妙用。</t>
  </si>
  <si>
    <t>一次性插件-诅咒</t>
  </si>
  <si>
    <t>可以获取诅咒级品质的邦布插件。
    一次性插件，虽然外观相似但种类繁多，在有些紧急状态下有妙用。</t>
  </si>
  <si>
    <t>可用于升级探索科技树。
    在琶音大断层发现的特殊以太物质，被发现时一般会包裹在普通的以太结晶中。晶丝本体呈纤维状，强度惊人，具有极高的研究价值。</t>
  </si>
  <si>
    <t>经验插件</t>
  </si>
  <si>
    <t>可提升队伍的经验值。
    小型通用插件，似乎是某支队伍不慎遗落的。</t>
  </si>
  <si>
    <t>攻击力插件</t>
  </si>
  <si>
    <t>可提升队伍的攻击力。
    小型通用插件，似乎是某支队伍不慎遗落的。</t>
  </si>
  <si>
    <t>紧急按钮</t>
  </si>
  <si>
    <t>踩上去后会获得随机效果。
    似乎是控制什么设备的按钮，鲜艳的颜色让人很有按下去的欲望。</t>
  </si>
  <si>
    <t>VIP紧急按钮</t>
  </si>
  <si>
    <t>踩上去后会获得随机效果，可以踩很多次。
    似乎是控制什么设备的按钮，尊贵的颜色让人很有按下去的欲望。</t>
  </si>
  <si>
    <t>防盗门</t>
  </si>
  <si>
    <t>上锁的门，可以用钥匙打开。
    每次开的时候钥匙都会断在里面，至今仍未找到解决方案。</t>
  </si>
  <si>
    <t>建筑废墟</t>
  </si>
  <si>
    <t>能用炸弹炸毁的障碍物，可能产生鸣徽。
    旧都留存的建筑物砖石，大多非常坚硬，不过想破坏也不是不可能。</t>
  </si>
  <si>
    <t>空洞内司空见惯的敌人。
    以骸或者正在变成以骸的可怜家伙。</t>
  </si>
  <si>
    <t>炸弹敌人</t>
  </si>
  <si>
    <t>正在拨弄炸弹的敌人。
    以骸摆弄炸弹还是太危险了，速度快的话能赶在它们自我毁灭前把炸弹夺过来。</t>
  </si>
  <si>
    <t>好斗敌人</t>
  </si>
  <si>
    <t>十分好斗的敌人。
    很好，很有精神！</t>
  </si>
  <si>
    <t>自律机器人-齿轮硬币</t>
  </si>
  <si>
    <t>可使用「齿轮硬币」与之交换资源。
    执行空洞内物资搬运与收集工作的自律机器人，正在收集齿轮硬币。</t>
  </si>
  <si>
    <t>自律机器人-鸣徽</t>
  </si>
  <si>
    <t>可使用「鸣徽」与之交换资源。
    执行空洞内物资搬运与收集工作的自律机器人，似乎对收集鸣徽情有独钟。</t>
  </si>
  <si>
    <t>自律机器人-血样</t>
  </si>
  <si>
    <t>可消耗一定量队伍「生命值」与之交换资源。
    执行空洞内物资搬运与收集工作的自律机器人，乍一看还以为可以恢复生命值。好险！</t>
  </si>
  <si>
    <t>自律机器人-钥匙</t>
  </si>
  <si>
    <t>可使用「钥匙」与之交换资源。
    执行空洞内物资搬运与收集工作的自律机器人，不知道它需要钥匙做什么。</t>
  </si>
  <si>
    <t>自律机器人-炸弹</t>
  </si>
  <si>
    <t>可使用「炸弹」与之交换资源。
    执行空洞内物资搬运与收集工作的自律机器人，注意：有爆炸风险。</t>
  </si>
  <si>
    <t>可以与之交易的邦布商人。
    它们身携宝物，它们热衷交易，它们是世界上最爱齿轮硬币的邦布…这些话是不是之前就说过了？</t>
  </si>
  <si>
    <t>慷慨的邦布商人</t>
  </si>
  <si>
    <t>可以与之交易的邦布商人，商品半价。
    乐善好施的邦布商人，会为疲惫的空洞探索者提供优惠价。</t>
  </si>
  <si>
    <t>可疑的邦布商人</t>
  </si>
  <si>
    <t>可以与之交易的邦布商人，商品三倍价格。
    有些可疑，距离很远就能听到那句经典的「爱买不买」。</t>
  </si>
  <si>
    <t>储蓄罐</t>
  </si>
  <si>
    <t>可以存入齿轮硬币，但需要用炸弹才能取出齿轮硬币。
    由零号银行提供的小型存储营业点，其实也是一种小型自律机器人。哪里有需要，哪里就有零号银行！</t>
  </si>
  <si>
    <t>VIP储蓄罐</t>
  </si>
  <si>
    <t>可进行齿轮硬币的存取。
    提供高级服务的零号银行小型营业点。</t>
  </si>
  <si>
    <t>故障的储蓄罐</t>
  </si>
  <si>
    <t>可进行齿轮硬币的存取，有概率取不出来。
    在空洞中时间过长、目前已略带侵蚀迹象的储蓄罐。偶尔在取款时会出现「减少了存款数字却不吐币」的故障。</t>
  </si>
  <si>
    <t>神秘客-绿</t>
  </si>
  <si>
    <t>完全破坏可获得物资，警惕性很强，稍一接触就会逃走。
    似乎是某种小型设备，但无论军方或怀斯塔学会都表示并非他们研制。</t>
  </si>
  <si>
    <t>神秘客-粉</t>
  </si>
  <si>
    <t>神秘客-紫</t>
  </si>
  <si>
    <t>样本采集车-黄</t>
  </si>
  <si>
    <t>可使用「齿轮硬币」与之交换绯红晶丝。
    在空洞中进行绯红晶丝样本采集的小型自律单位。能稳定提供绯红晶丝和情绪价值。</t>
  </si>
  <si>
    <t>样本采集车-白</t>
  </si>
  <si>
    <t>可使用「炸弹」与之交换绯红晶丝。
    在空洞中进行绯红晶丝样本采集的小型自律单位。总觉得它对研究员的态度特别亲切，是错觉吗？</t>
  </si>
  <si>
    <t>样本采集车-黑</t>
  </si>
  <si>
    <t>可使用「战力」与之交换绯红晶丝。
    在空洞中进行绯红晶丝样本采集的小型自律单位。总觉得性格有点古怪，不会是被侵蚀了吧…</t>
  </si>
  <si>
    <t>扭蛋机-B</t>
  </si>
  <si>
    <t>获得B级品质的鸣徽。
    你无法成为它永远的主人，但它能充当你短暂的战友。</t>
  </si>
  <si>
    <t>扭蛋机-A</t>
  </si>
  <si>
    <t>获得A级品质的鸣徽。
    你无法成为它永远的主人，但它能充当你短暂的战友。</t>
  </si>
  <si>
    <t>扭蛋机-S</t>
  </si>
  <si>
    <t>获得S级品质的鸣徽。
    你无法成为它永远的主人，但它能充当你短暂的战友。</t>
  </si>
  <si>
    <t>扭蛋机-邦布</t>
  </si>
  <si>
    <t>获得S级品质的邦布。
    你无法成为它永远的主人，但它能充当你短暂的战友。</t>
  </si>
  <si>
    <t>多个威胁目标</t>
  </si>
  <si>
    <t>警告！前方有多个威胁目标出没。安全起见，建议绕行。</t>
  </si>
  <si>
    <t>多个超危目标</t>
  </si>
  <si>
    <t>前方检测到复数超危目标！即使是老练的盗洞客，也需要及时避其锋芒。</t>
  </si>
  <si>
    <t>发现威胁目标</t>
  </si>
  <si>
    <t>前方有威胁目标，如果不想惹麻烦的话，还是装作没看见绕过去好了…</t>
  </si>
  <si>
    <t>发现极危目标</t>
  </si>
  <si>
    <t>警告！前方发现极危目标！请在被对方发现之前及时撤退！</t>
  </si>
  <si>
    <t>警告：极度危险</t>
  </si>
  <si>
    <t>…警&amp;…%￥警告…前方有极危目标以及威胁目标出没，活性以太浓度已接近峰值…</t>
  </si>
  <si>
    <t>极危目标出没</t>
  </si>
  <si>
    <t>警告！再次警告！检测到极危目标出没，并伴有多个威胁目标。请在全员丧失行动能力前及时撤退！</t>
  </si>
  <si>
    <t>发现超危目标</t>
  </si>
  <si>
    <t>前方发现超危目标，请尽量避免与其遭遇…遇到这种敌人，跑掉就是赚到。</t>
  </si>
  <si>
    <t>超危目标出没</t>
  </si>
  <si>
    <t>前方检测到超危目标出没，附近也有威胁目标的活动痕迹。请小心环顾四周，在被包围前赶紧撤退！</t>
  </si>
  <si>
    <t>发现敌对目标</t>
  </si>
  <si>
    <t>附近发现敌对目标。如果有空的话，可以考虑稍微活动下筋骨…</t>
  </si>
  <si>
    <t>发现高危目标</t>
  </si>
  <si>
    <t>检测附近有到高危目标。虽然暂时无法确认对方的详细数据，但不管如何，躲得远远的总归没错。</t>
  </si>
  <si>
    <t>「浮冰空洞」地面</t>
  </si>
  <si>
    <t>特殊地表，经过后会形成裂隙。
    和看起来一样脆弱，不建议二次通行——即使以邦布的体重，也不建议。</t>
  </si>
  <si>
    <t>「浮冰空洞」裂隙</t>
  </si>
  <si>
    <t>特殊地表塌陷后，形成的裂隙。
    破碎的地面下透出隐约的微光；欢迎一探究竟，但请先检查安全气囊是否部件完备。</t>
  </si>
  <si>
    <t>「浮冰空洞」通道</t>
  </si>
  <si>
    <t>特殊地表上的层间通道。
    很难想象在这样的空间里还有稳定的层间通道…更建议作为物资箱和爆炸物的专属客梯使用。</t>
  </si>
  <si>
    <t>大厅的栏杆</t>
  </si>
  <si>
    <t>看着并不比砖墙更加坚固，但同样不可通过。
    芭莱集团雄厚财力的证明之一，这座大厦里的一切都是最贵的——也是最好的！</t>
  </si>
  <si>
    <t>大厅的门</t>
  </si>
  <si>
    <t>锁住的门，触发机关后方可打开。
    芭莱大厦内的精巧设计之一，曾经展示在精美的宣传页上；如今则更适合写入「空洞调查须知」。</t>
  </si>
  <si>
    <t>业绩考察点</t>
  </si>
  <si>
    <t>获得零号业绩。
    调查员之间流传着许多圈内黑话，「你能获得零号业绩」是最特殊的一句，它可能代表对新人的揶揄、对后辈的威吓、对前辈的憧憬、对刺头的诅咒…因为想要获得零号业绩只有一个办法——参与调查零号空洞…</t>
  </si>
  <si>
    <t>「邦布知道」海报</t>
  </si>
  <si>
    <t>知名节目「邦布知道」的宣传海报。静静遗落在地上，似是持有者有意留下的线索。</t>
  </si>
  <si>
    <t>改变命运的一瞥</t>
  </si>
  <si>
    <t>画面中播报着降临在白浪医院的可怕灾难。仅仅因为不经意的一瞥，令今晚的舞台失去了一颗闪耀的新星，也令都市获得了许多无价之宝。</t>
  </si>
  <si>
    <t>低语的玩偶</t>
  </si>
  <si>
    <t>它有一个秘密，想要告诉你…什么？你怀疑录音播放按钮就在小熊的左手上？</t>
  </si>
  <si>
    <t>低语的玩偶·双生</t>
  </si>
  <si>
    <t>它们共同保守着一个秘密，想要告诉你…如果能有一个，永远亲密无间、永远可以一起窃窃私语的朋友…那留在这里，似乎也没关系。</t>
  </si>
  <si>
    <t>令人不安的强敌。
    划过地面的舞鞋翩翩，邀观众共舞死亡之曲。</t>
  </si>
  <si>
    <t>「失落技术」的产物，结构独特，内部填充特殊催化燃料，能够诱发剧烈爆炸。</t>
  </si>
  <si>
    <t>泛黄的纸条</t>
  </si>
  <si>
    <t>遗落在矿井中的纸条，记录了一些信息。想要重新看到天空…也许，要先去更深的地底处寻找道路。</t>
  </si>
  <si>
    <t>「邂逅」</t>
  </si>
  <si>
    <t>随机遇到一位代理人，并触发对应事件。
    也许，邂逅于空洞之中的「吊桥效应」，能顺水推舟地促进彼此更深的信任？</t>
  </si>
  <si>
    <t>「合作愉快」</t>
  </si>
  <si>
    <t>触发一次与代理人的对话，并提升信赖。
    在最险象环生的地方，凝视着战友的面庞，或许会有些不一样的话要说…但最好能忍住不笑出声。</t>
  </si>
  <si>
    <t>施法者</t>
  </si>
  <si>
    <t>对象</t>
  </si>
  <si>
    <t>条件</t>
  </si>
  <si>
    <t>调整方式</t>
  </si>
  <si>
    <t>值</t>
  </si>
  <si>
    <t>Any</t>
  </si>
  <si>
    <t>触发“无敌”的描述时</t>
  </si>
  <si>
    <t>设置抗打断等级</t>
  </si>
  <si>
    <t>由于不同抗打断逻辑不同，所以使用相同的测试方式或分类标准只能得到错误的结果</t>
  </si>
  <si>
    <t>持有[荣光之盾]期间</t>
  </si>
  <si>
    <t>注意代理人的基础抗打断等级为1</t>
  </si>
  <si>
    <t>自身</t>
  </si>
  <si>
    <t>格挡架势期间</t>
  </si>
  <si>
    <t>远程攻击和近战攻击格挡逻辑不同，近战攻击格挡角度为180°，远程攻击完全格挡</t>
  </si>
  <si>
    <t>高压屏障</t>
  </si>
  <si>
    <t>持有护盾期间</t>
  </si>
  <si>
    <t>意向影画2抗打断等级提升</t>
  </si>
  <si>
    <t>意向影画4持有护盾期间</t>
  </si>
  <si>
    <t>设置抗打断等级偏移值</t>
  </si>
  <si>
    <t>敌人</t>
  </si>
  <si>
    <t>处于失衡状态时</t>
  </si>
  <si>
    <t>意向影画4抗打断等级提升</t>
  </si>
  <si>
    <t>[士气喷发]状态下</t>
  </si>
  <si>
    <t>闪现突袭时</t>
  </si>
  <si>
    <t>协同攻击时</t>
  </si>
  <si>
    <t>二阶段疯狂的连段结束时</t>
  </si>
  <si>
    <t>此时使用高量级攻击即可打断</t>
  </si>
  <si>
    <t>转阶段时</t>
  </si>
  <si>
    <t>强制抗打断等级</t>
  </si>
  <si>
    <t>强化状态下</t>
  </si>
  <si>
    <t>强化状态下受到伤害降低50%，造成的伤害提升50%，可对其他特定敌人施加</t>
  </si>
  <si>
    <t>开启状态下</t>
  </si>
  <si>
    <t>当最终敌人无敌时</t>
  </si>
  <si>
    <t xml:space="preserve"> </t>
  </si>
  <si>
    <t>[上弦]下，[普通攻击]发动期间</t>
  </si>
  <si>
    <t>「韧性提升」</t>
  </si>
  <si>
    <t>「拟真鏖战试炼」Buff</t>
  </si>
  <si>
    <t>要求敌人为非强化型或小体型，并且不为大体型、离子体·多佩冈亚或首领敌人</t>
  </si>
  <si>
    <t>[咏叹华彩]状态</t>
  </si>
  <si>
    <t>同时获得40%减伤</t>
  </si>
  <si>
    <t>[咏叹华彩]状态且切换到其他角色后</t>
  </si>
  <si>
    <t>处于虚弱状态下</t>
  </si>
  <si>
    <t>轻招架时且反馈类型为”无视招架“类型</t>
  </si>
  <si>
    <t>调整打断等级</t>
  </si>
  <si>
    <t>重招架时且反馈类型为”无视招架“类型</t>
  </si>
  <si>
    <t>连续招架时且反馈类型为”无视招架“类型</t>
  </si>
  <si>
    <t>轻招架时且反馈类型为”强化招架“类型</t>
  </si>
  <si>
    <t>重招架时且反馈类型为”强化招架“类型</t>
  </si>
  <si>
    <t>连续招架时且反馈类型为”强化招架“类型</t>
  </si>
  <si>
    <t>触发[快速流转]时，[特殊技]</t>
  </si>
  <si>
    <t>[下弦]下，[普通攻击]</t>
  </si>
  <si>
    <t>意向影画6，[普通攻击：醉花月云转]</t>
  </si>
  <si>
    <t>[反击]状态下，[强化特殊技]和[闪避反击]</t>
  </si>
  <si>
    <t>强化状态下，受到招架时</t>
  </si>
  <si>
    <t>主动回避[极限视域]期间</t>
  </si>
  <si>
    <t>持续2.5秒</t>
  </si>
  <si>
    <t>触发[异放]时</t>
  </si>
  <si>
    <t>相对于原属性异常，保证不具有打断能力</t>
  </si>
  <si>
    <t>强化后的蓄力剪击</t>
  </si>
  <si>
    <t>意向影画6，持续回复生命值期间</t>
  </si>
  <si>
    <t>保证免死后的5秒内通常不被打断</t>
  </si>
  <si>
    <t>具有[秽盾]时</t>
  </si>
  <si>
    <t>[终结技]、[连携技]和[招架支援]的打断判定不受此影响</t>
  </si>
  <si>
    <t>指真斗作为敌人时，持续2.5秒</t>
  </si>
  <si>
    <t>指简作为敌人时，持续2.5秒</t>
  </si>
  <si>
    <t>防守状态下</t>
  </si>
  <si>
    <t>烈度效果获得护盾时</t>
  </si>
  <si>
    <t>意向影画1，满足条件时</t>
  </si>
  <si>
    <t>Ionized - Doppelganger</t>
  </si>
  <si>
    <t>等级</t>
  </si>
  <si>
    <t>基础属性提升系数</t>
  </si>
  <si>
    <t>下级经验需求</t>
  </si>
  <si>
    <t>总经验需求</t>
  </si>
  <si>
    <t>经验回收率</t>
  </si>
  <si>
    <t>下级所需经验</t>
  </si>
  <si>
    <t>基础攻击力提升系数</t>
  </si>
  <si>
    <t>3/17</t>
  </si>
  <si>
    <t>10/14</t>
  </si>
  <si>
    <t>7/24</t>
  </si>
  <si>
    <t>5/28</t>
  </si>
  <si>
    <t>2/21</t>
  </si>
  <si>
    <t>6/7</t>
  </si>
  <si>
    <t>未知参数（1.7版本新增）</t>
  </si>
  <si>
    <t>Q19：普罗米娅核心技中的【异放】伤害增加，是类似【紊乱增伤】的独立乘区么，还是直接和异常增伤加算呢？</t>
  </si>
  <si>
    <r>
      <rPr>
        <color rgb="ff175ceb"/>
        <u/>
      </rPr>
      <t>绳网情报站</t>
    </r>
  </si>
  <si>
    <r>
      <rPr>
        <color rgb="FF175CEB"/>
        <u/>
      </rPr>
      <t>Q&amp;A</t>
    </r>
  </si>
  <si>
    <r>
      <rPr>
        <color rgb="FF175CEB"/>
        <u/>
      </rPr>
      <t>zzz fandom wiki</t>
    </r>
  </si>
  <si>
    <r>
      <rPr>
        <color rgb="FF175CEB"/>
        <u/>
      </rPr>
      <t>honeyhunterworld</t>
    </r>
  </si>
  <si>
    <r>
      <rPr>
        <color rgb="FF175CEB"/>
        <u/>
      </rPr>
      <t>绝区零 Bwiki</t>
    </r>
  </si>
  <si>
    <r>
      <rPr>
        <color rgb="FF175CEB"/>
        <u/>
      </rPr>
      <t>Zsim</t>
    </r>
  </si>
  <si>
    <r>
      <rPr>
        <rFont val="微软雅黑"/>
        <b val="0"/>
        <i val="0"/>
        <strike val="0"/>
        <color rgb="FF175CEB"/>
        <sz val="10"/>
      </rPr>
      <t>代理人攻击属性</t>
    </r>
  </si>
  <si>
    <r>
      <rPr>
        <rFont val="微软雅黑"/>
        <b val="0"/>
        <i val="0"/>
        <strike val="0"/>
        <color rgb="FF175CEB"/>
        <sz val="10"/>
      </rPr>
      <t>敌人攻击属性</t>
    </r>
  </si>
  <si>
    <r>
      <rPr>
        <color rgb="FF175CEB"/>
        <u/>
      </rPr>
      <t>gachabase</t>
    </r>
  </si>
  <si>
    <r>
      <rPr>
        <b val="0"/>
        <i val="0"/>
        <strike val="0"/>
        <color rgb="FF000000"/>
        <sz val="10"/>
        <u val="none"/>
      </rPr>
      <t>在这个表中可以查阅有关数据：</t>
    </r>
    <r>
      <rPr>
        <b val="0"/>
        <i val="0"/>
        <strike val="0"/>
        <color rgb="FF175CEB"/>
        <sz val="10"/>
        <u/>
      </rPr>
      <t>代理人攻击属性</t>
    </r>
  </si>
  <si>
    <r>
      <rPr>
        <b val="0"/>
        <i val="0"/>
        <strike val="0"/>
        <color rgb="FF000000"/>
        <sz val="10"/>
        <u val="none"/>
      </rPr>
      <t>减抗和减防可以叠加。</t>
    </r>
    <r>
      <rPr>
        <b val="0"/>
        <i val="0"/>
        <strike val="0"/>
        <color rgb="FF000000"/>
        <sz val="10"/>
        <u val="none"/>
      </rPr>
      <t xml:space="preserve">
减抗属于对抗性区的减益，减防属于对防御区的减益，两者属于不同乘区，彼此独立。</t>
    </r>
    <r>
      <rPr>
        <b val="0"/>
        <i val="0"/>
        <strike val="0"/>
        <color rgb="FF000000"/>
        <sz val="10"/>
        <u val="none"/>
      </rPr>
      <t xml:space="preserve">
乘区介绍参见：</t>
    </r>
    <r>
      <rPr>
        <b val="0"/>
        <i val="0"/>
        <strike val="0"/>
        <color rgb="FF175CEB"/>
        <sz val="10"/>
        <u/>
      </rPr>
      <t>https://bbs.nga.cn/read.php?tid=44468012</t>
    </r>
  </si>
  <si>
    <r>
      <rPr>
        <b val="0"/>
        <i val="0"/>
        <strike val="0"/>
        <color rgb="FF000000"/>
        <sz val="10"/>
        <u val="none"/>
      </rPr>
      <t xml:space="preserve">秽盾机制参见: </t>
    </r>
    <r>
      <rPr>
        <b val="0"/>
        <i val="0"/>
        <strike val="0"/>
        <color rgb="FF175CEB"/>
        <sz val="10"/>
        <u/>
      </rPr>
      <t>https://bbs.nga.cn/read.php?tid=44468012</t>
    </r>
  </si>
  <si>
    <r>
      <rPr>
        <b val="0"/>
        <i val="0"/>
        <strike val="0"/>
        <color rgb="FF000000"/>
        <sz val="10"/>
        <u val="none"/>
      </rPr>
      <t>首先你应该确定敌人的属性成长使用的是哪组系数，一般情况下通过测试失衡值上限可以最快速的确定敌人属性成长的类型，表格中给出的成长是最高值，但这一般只被用于式舆防卫战和危局强袭战等场景中。训练场这类场景的敌人一般情况下采用的是较低或最低档位的属性成长。敌人属性随等级成长的系数参见：</t>
    </r>
    <r>
      <rPr>
        <b val="0"/>
        <i val="0"/>
        <strike val="0"/>
        <color rgb="FF175CEB"/>
        <sz val="10"/>
        <u/>
      </rPr>
      <t>https://bbs.nga.cn/read.php?tid=40893992</t>
    </r>
    <r>
      <rPr>
        <b val="0"/>
        <i val="0"/>
        <strike val="0"/>
        <color rgb="FF000000"/>
        <sz val="10"/>
        <u val="none"/>
      </rPr>
      <t xml:space="preserve">
训练场的敌人通常不会有属性调整。属性调整系数是用于在特定场景下调整敌人数值来达到相应对策需求的一种方式，这在活动和各类高难副本中比较常见。式舆防卫战一般情况下采用209开头的属性调整ID，最近几期的剧变节点通常为第一到第二防线20928，第二到第四防线20929，第五到第六防线20932，第七防线根据敌人阵容会定制不同半间的属性调整ID。但这个调整系数已经经过多次提升，未来也仍然会提升，同时第七节点可能根据敌人为不同半间配置不同的调整系数。危局强袭战一般情况下采用224开头的属性调整ID，并且不同敌人一般采用不同的调整系数，相同敌人在不同期也可能采用不同的调整系数。具体情况下一般只能查表，但是我懒得处理了，而且这段数据实在不适合用电子表格呈现，处理成json形式的结构化数据可能更适合呈现。</t>
    </r>
  </si>
  <si>
    <r>
      <rPr>
        <b val="0"/>
        <i val="0"/>
        <strike val="0"/>
        <color rgb="FF000000"/>
        <sz val="10"/>
        <u val="none"/>
      </rPr>
      <t>Q17：解包显示2.1版本危局强袭战增加了怪物10%的异常积蓄上限，但是如此视频所示，似乎提升上限高达20%，请问如何解释这种现象</t>
    </r>
    <r>
      <rPr>
        <b val="0"/>
        <i val="0"/>
        <strike val="0"/>
        <color rgb="FF175CEB"/>
        <sz val="10"/>
        <u/>
      </rPr>
      <t xml:space="preserve"> https://v.douyin.com/zBkPiAVn90A/</t>
    </r>
  </si>
  <si>
    <r>
      <rPr>
        <b val="0"/>
        <i val="0"/>
        <strike val="0"/>
        <color rgb="FF175CEB"/>
        <sz val="10"/>
        <u/>
      </rPr>
      <t>https://bbs.nga.cn/read.php?tid=44468012</t>
    </r>
    <r>
      <rPr>
        <b val="0"/>
        <i val="0"/>
        <strike val="0"/>
        <color rgb="FF000000"/>
        <sz val="10"/>
        <u val="none"/>
      </rPr>
      <t xml:space="preserve">
上帖中曾写过秽盾的有关基本机制，但这对目前推出的一些新的敌人并不完全适用：</t>
    </r>
    <r>
      <rPr>
        <b val="0"/>
        <i val="0"/>
        <strike val="0"/>
        <color rgb="FF000000"/>
        <sz val="10"/>
        <u val="none"/>
      </rPr>
      <t xml:space="preserve">
危局强袭战中敌人受到的[秽盾净除]伤害在第19期前为3%总生命值，第19期及以后为2.5%总生命值。</t>
    </r>
    <r>
      <rPr>
        <b val="0"/>
        <i val="0"/>
        <strike val="0"/>
        <color rgb="FF000000"/>
        <sz val="10"/>
        <u val="none"/>
      </rPr>
      <t xml:space="preserve">
对于彷徨猎手，其[秽盾]存在期间的防御力提升为100%，并且秽盾上限为2500/5600，其余同基本情况。</t>
    </r>
    <r>
      <rPr>
        <b val="0"/>
        <i val="0"/>
        <strike val="0"/>
        <color rgb="FF000000"/>
        <sz val="10"/>
        <u val="none"/>
      </rPr>
      <t xml:space="preserve">
对于「始主」，其[秽盾]存在期间的防御力提升为10%，减伤为50%，秽盾上限为2500/3500，其[秽盾净除]伤害改为最大生命值的10%，危局为总生命值的1.5%，其余同基本情况。</t>
    </r>
    <r>
      <rPr>
        <b val="0"/>
        <i val="0"/>
        <strike val="0"/>
        <color rgb="FF000000"/>
        <sz val="10"/>
        <u val="none"/>
      </rPr>
      <t xml:space="preserve">
[完美反制]「始主」的[控制技]会对其造成15%最大生命值的伤害并积蓄15%失衡值，同时打断其行动。危局中伤害改为1.5%总生命值。</t>
    </r>
  </si>
  <si>
    <r>
      <rPr>
        <rFont val="Calibri"/>
        <b val="0"/>
        <i val="0"/>
        <strike val="0"/>
        <color rgb="FF000000"/>
        <sz val="11"/>
      </rPr>
      <t>一段</t>
    </r>
    <r>
      <rPr>
        <rFont val="Calibri"/>
        <b val="0"/>
        <i val="0"/>
        <strike val="0"/>
        <color rgb="FF000000"/>
        <sz val="11"/>
      </rPr>
      <t>A</t>
    </r>
  </si>
  <si>
    <r>
      <rPr>
        <rFont val="Calibri"/>
        <b val="0"/>
        <i val="0"/>
        <strike val="0"/>
        <color rgb="FF000000"/>
        <sz val="11"/>
      </rPr>
      <t>一段</t>
    </r>
    <r>
      <rPr>
        <rFont val="Calibri"/>
        <b val="0"/>
        <i val="0"/>
        <strike val="0"/>
        <color rgb="FF000000"/>
        <sz val="11"/>
      </rPr>
      <t>B*3</t>
    </r>
  </si>
  <si>
    <r>
      <rPr>
        <rFont val="Calibri"/>
        <b val="0"/>
        <i val="0"/>
        <strike val="0"/>
        <color rgb="FF000000"/>
        <sz val="11"/>
      </rPr>
      <t>二段</t>
    </r>
    <r>
      <rPr>
        <rFont val="Calibri"/>
        <b val="0"/>
        <i val="0"/>
        <strike val="0"/>
        <color rgb="FF000000"/>
        <sz val="11"/>
      </rPr>
      <t>A</t>
    </r>
  </si>
  <si>
    <r>
      <rPr>
        <rFont val="Calibri"/>
        <b val="0"/>
        <i val="0"/>
        <strike val="0"/>
        <color rgb="FF000000"/>
        <sz val="11"/>
      </rPr>
      <t>二段</t>
    </r>
    <r>
      <rPr>
        <rFont val="Calibri"/>
        <b val="0"/>
        <i val="0"/>
        <strike val="0"/>
        <color rgb="FF000000"/>
        <sz val="11"/>
      </rPr>
      <t>B*4</t>
    </r>
  </si>
  <si>
    <r>
      <rPr>
        <rFont val="Calibri"/>
        <b val="0"/>
        <i val="0"/>
        <strike val="0"/>
        <color rgb="FF000000"/>
        <sz val="11"/>
      </rPr>
      <t>三段</t>
    </r>
    <r>
      <rPr>
        <rFont val="Calibri"/>
        <b val="0"/>
        <i val="0"/>
        <strike val="0"/>
        <color rgb="FF000000"/>
        <sz val="11"/>
      </rPr>
      <t>A</t>
    </r>
  </si>
  <si>
    <r>
      <rPr>
        <rFont val="Calibri"/>
        <b val="0"/>
        <i val="0"/>
        <strike val="0"/>
        <color rgb="FF000000"/>
        <sz val="11"/>
      </rPr>
      <t>三段</t>
    </r>
    <r>
      <rPr>
        <rFont val="Calibri"/>
        <b val="0"/>
        <i val="0"/>
        <strike val="0"/>
        <color rgb="FF000000"/>
        <sz val="11"/>
      </rPr>
      <t>B*20</t>
    </r>
  </si>
  <si>
    <r>
      <rPr>
        <rFont val="Calibri"/>
        <b val="0"/>
        <i val="0"/>
        <strike val="0"/>
        <color rgb="FF000000"/>
        <sz val="11"/>
      </rPr>
      <t>炮击</t>
    </r>
    <r>
      <rPr>
        <rFont val="Calibri"/>
        <b val="0"/>
        <i val="0"/>
        <strike val="0"/>
        <color rgb="FF000000"/>
        <sz val="11"/>
      </rPr>
      <t>A</t>
    </r>
  </si>
  <si>
    <r>
      <rPr>
        <rFont val="Calibri"/>
        <b val="0"/>
        <i val="0"/>
        <strike val="0"/>
        <color rgb="FF000000"/>
        <sz val="11"/>
      </rPr>
      <t>炮击</t>
    </r>
    <r>
      <rPr>
        <rFont val="Calibri"/>
        <b val="0"/>
        <i val="0"/>
        <strike val="0"/>
        <color rgb="FF000000"/>
        <sz val="11"/>
      </rPr>
      <t>B</t>
    </r>
  </si>
  <si>
    <r>
      <rPr>
        <rFont val="Calibri"/>
        <b val="0"/>
        <i val="0"/>
        <strike val="0"/>
        <color rgb="FF000000"/>
        <sz val="11"/>
      </rPr>
      <t>前闪攻击</t>
    </r>
    <r>
      <rPr>
        <rFont val="Calibri"/>
        <b val="0"/>
        <i val="0"/>
        <strike val="0"/>
        <color rgb="FF000000"/>
        <sz val="11"/>
      </rPr>
      <t>A</t>
    </r>
  </si>
  <si>
    <r>
      <rPr>
        <rFont val="Calibri"/>
        <b val="0"/>
        <i val="0"/>
        <strike val="0"/>
        <color rgb="FF000000"/>
        <sz val="11"/>
      </rPr>
      <t>前闪攻击</t>
    </r>
    <r>
      <rPr>
        <rFont val="Calibri"/>
        <b val="0"/>
        <i val="0"/>
        <strike val="0"/>
        <color rgb="FF000000"/>
        <sz val="11"/>
      </rPr>
      <t>B*13</t>
    </r>
  </si>
  <si>
    <r>
      <rPr>
        <rFont val="Calibri"/>
        <b val="0"/>
        <i val="0"/>
        <strike val="0"/>
        <color rgb="FF000000"/>
        <sz val="11"/>
      </rPr>
      <t>163</t>
    </r>
    <r>
      <rPr>
        <rFont val="微软雅黑"/>
        <b val="0"/>
        <i val="0"/>
        <strike val="0"/>
        <color rgb="FF000000"/>
        <sz val="11"/>
      </rPr>
      <t>（包括耳朵）</t>
    </r>
  </si>
  <si>
    <r>
      <rPr>
        <rFont val="微软雅黑"/>
        <b val="0"/>
        <i val="0"/>
        <strike val="0"/>
        <color rgb="FF000000"/>
        <sz val="11"/>
      </rPr>
      <t>难得有人和哥哥一样对恐怖电影毫无抗性呢</t>
    </r>
    <r>
      <rPr>
        <rFont val="Calibri"/>
        <b val="0"/>
        <i val="0"/>
        <strike val="0"/>
        <color rgb="FF000000"/>
        <sz val="11"/>
      </rPr>
      <t>~</t>
    </r>
    <r>
      <rPr>
        <rFont val="微软雅黑"/>
        <b val="0"/>
        <i val="0"/>
        <strike val="0"/>
        <color rgb="FF000000"/>
        <sz val="11"/>
      </rPr>
      <t>不过即便如此，爱丽丝还是会忍不住好奇心观看我推荐的最新恐怖片，并抱着我吓得大叫。反观总是找借口落跑的哥哥…</t>
    </r>
  </si>
  <si>
    <r>
      <rPr>
        <rFont val="Calibri"/>
        <b val="0"/>
        <i val="0"/>
        <strike val="0"/>
        <color rgb="FF000000"/>
        <sz val="11"/>
      </rPr>
      <t>主动技能：决胜技</t>
    </r>
    <r>
      <rPr>
        <rFont val="Calibri"/>
        <b val="0"/>
        <i val="0"/>
        <strike val="0"/>
        <color rgb="FF000000"/>
        <sz val="11"/>
      </rPr>
      <t>·</t>
    </r>
    <r>
      <rPr>
        <rFont val="Calibri"/>
        <b val="0"/>
        <i val="0"/>
        <strike val="0"/>
        <color rgb="FF000000"/>
        <sz val="11"/>
      </rPr>
      <t>岩崩</t>
    </r>
  </si>
  <si>
    <r>
      <rPr>
        <rFont val="Calibri"/>
        <b val="0"/>
        <i val="0"/>
        <strike val="0"/>
        <color rgb="FF000000"/>
        <sz val="11"/>
      </rPr>
      <t>连携技：纸装甲</t>
    </r>
    <r>
      <rPr>
        <rFont val="Calibri"/>
        <b val="0"/>
        <i val="0"/>
        <strike val="0"/>
        <color rgb="FF000000"/>
        <sz val="11"/>
      </rPr>
      <t>·</t>
    </r>
    <r>
      <rPr>
        <rFont val="Calibri"/>
        <b val="0"/>
        <i val="0"/>
        <strike val="0"/>
        <color rgb="FF000000"/>
        <sz val="11"/>
      </rPr>
      <t>冲击模式</t>
    </r>
  </si>
  <si>
    <r>
      <rPr>
        <rFont val="Calibri"/>
        <b val="0"/>
        <i val="0"/>
        <strike val="0"/>
        <color rgb="FF000000"/>
        <sz val="11"/>
      </rPr>
      <t>连携技：便携机炮</t>
    </r>
    <r>
      <rPr>
        <rFont val="Calibri"/>
        <b val="0"/>
        <i val="0"/>
        <strike val="0"/>
        <color rgb="FF000000"/>
        <sz val="11"/>
      </rPr>
      <t>·</t>
    </r>
    <r>
      <rPr>
        <rFont val="Calibri"/>
        <b val="0"/>
        <i val="0"/>
        <strike val="0"/>
        <color rgb="FF000000"/>
        <sz val="11"/>
      </rPr>
      <t>清债连射</t>
    </r>
  </si>
  <si>
    <r>
      <rPr>
        <rFont val="Calibri"/>
        <b val="0"/>
        <i val="0"/>
        <strike val="0"/>
        <color rgb="FF000000"/>
        <sz val="11"/>
      </rPr>
      <t>主动技能：</t>
    </r>
    <r>
      <rPr>
        <rFont val="Calibri"/>
        <b val="0"/>
        <i val="0"/>
        <strike val="0"/>
        <color rgb="FF000000"/>
        <sz val="11"/>
      </rPr>
      <t>Boom!</t>
    </r>
  </si>
</sst>
</file>

<file path=xl/styles.xml><?xml version="1.0" encoding="utf-8"?>
<styleSheet xmlns="http://schemas.openxmlformats.org/spreadsheetml/2006/main">
  <numFmts count="15">
    <numFmt numFmtId="300" formatCode="0.000"/>
    <numFmt numFmtId="301" formatCode="0.00_ "/>
    <numFmt numFmtId="302" formatCode="#,##0.0000_ "/>
    <numFmt numFmtId="303" formatCode="0.0000"/>
    <numFmt numFmtId="304" formatCode="0.000_ "/>
    <numFmt numFmtId="305" formatCode="0.0"/>
    <numFmt numFmtId="306" formatCode="#,##0_ "/>
    <numFmt numFmtId="307" formatCode="#,##0.00_ "/>
    <numFmt numFmtId="308" formatCode="#,##0_);[Red](#,##0)"/>
    <numFmt numFmtId="309" formatCode="0_);[Red](0)"/>
    <numFmt numFmtId="310" formatCode="0.00_);[Red](0.00)"/>
    <numFmt numFmtId="311" formatCode="0.0000_ "/>
    <numFmt numFmtId="312" formatCode="0.00%"/>
    <numFmt numFmtId="313" formatCode="@"/>
    <numFmt numFmtId="314" formatCode="General"/>
  </numFmts>
  <fonts count="13">
    <font>
      <name val="等线"/>
      <charset val="134"/>
      <family val="2"/>
      <color theme="1"/>
      <sz val="10"/>
      <scheme val="minor"/>
    </font>
    <font>
      <name val="等线"/>
      <charset val="134"/>
      <color rgb="FF175CEB"/>
      <sz val="10"/>
      <u/>
      <scheme val="minor"/>
    </font>
    <font>
      <name val="Segoe UI Symbol"/>
      <family val="2"/>
      <color rgb="FF000000"/>
      <sz val="10"/>
    </font>
    <font>
      <color rgb="FF000000"/>
    </font>
    <font>
      <b val="1"/>
      <color rgb="FFFF0000"/>
      <sz val="20"/>
    </font>
    <font/>
    <font>
      <name val="Calibri"/>
      <sz val="11"/>
    </font>
    <font>
      <name val="Calibri"/>
      <sz val="11"/>
    </font>
    <font>
      <sz val="11"/>
    </font>
    <font/>
    <font/>
    <font>
      <name val="等线"/>
      <sz val="11"/>
    </font>
    <font>
      <name val="Calibri"/>
    </font>
  </fonts>
  <fills count="3">
    <fill>
      <patternFill patternType="none"/>
    </fill>
    <fill>
      <patternFill patternType="gray125"/>
    </fill>
    <fill/>
  </fills>
  <borders count="9">
    <border>
      <left/>
      <right/>
      <top/>
      <bottom/>
      <diagonal/>
    </border>
    <border/>
    <border/>
    <border/>
    <border/>
    <border/>
    <border/>
    <border/>
    <border diagonalUp="1" diagonalDown="1">
      <left/>
      <right/>
      <top/>
      <bottom/>
      <diagonal/>
    </border>
  </borders>
  <cellStyleXfs>
    <xf numFmtId="0" fontId="0" fillId="0" borderId="0" xfId="0">
      <alignment vertical="center"/>
    </xf>
  </cellStyleXfs>
  <cellXfs count="9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center" vertical="center"/>
    </xf>
    <xf fontId="3" fillId="0" borderId="0" xfId="0">
      <alignment horizontal="center" vertical="center"/>
    </xf>
    <xf fontId="0" fillId="0" borderId="1" xfId="0">
      <alignment horizontal="center" vertical="center" wrapText="1"/>
    </xf>
    <xf fontId="0" fillId="0" borderId="2" xfId="0">
      <alignment vertical="center"/>
    </xf>
    <xf fontId="0" fillId="0" borderId="3" xfId="0">
      <alignment vertical="center"/>
    </xf>
    <xf fontId="0" fillId="0" borderId="4" xfId="0">
      <alignment vertical="center"/>
    </xf>
    <xf fontId="0" fillId="0" borderId="0" xfId="0">
      <alignment horizontal="center" vertical="center" wrapText="1"/>
    </xf>
    <xf fontId="4" fillId="0" borderId="0" xfId="0">
      <alignment horizontal="center" vertical="center"/>
    </xf>
    <xf fontId="0" fillId="0" borderId="5" xfId="0">
      <alignment vertical="center"/>
    </xf>
    <xf fontId="0" fillId="0" borderId="6" xfId="0">
      <alignment vertical="center"/>
    </xf>
    <xf fontId="5" fillId="0" borderId="0" xfId="0">
      <alignment horizontal="center" vertical="center" wrapText="1"/>
    </xf>
    <xf fontId="3" fillId="0" borderId="0" xfId="0">
      <alignment horizontal="center" vertical="center" wrapText="1"/>
    </xf>
    <xf fontId="6" fillId="0" borderId="0" xfId="0">
      <alignment horizontal="center" vertical="center"/>
    </xf>
    <xf numFmtId="300" fontId="6" fillId="0" borderId="0" xfId="0">
      <alignment horizontal="center" vertical="center"/>
    </xf>
    <xf numFmtId="301" fontId="6" fillId="0" borderId="0" xfId="0">
      <alignment horizontal="center" vertical="center"/>
    </xf>
    <xf numFmtId="302" fontId="6" fillId="0" borderId="0" xfId="0">
      <alignment horizontal="center" vertical="center"/>
    </xf>
    <xf numFmtId="60" fontId="6" fillId="0" borderId="0" xfId="0">
      <alignment horizontal="center" vertical="center"/>
    </xf>
    <xf numFmtId="303" fontId="6" fillId="0" borderId="0" xfId="0">
      <alignment horizontal="center" vertical="center"/>
    </xf>
    <xf numFmtId="68" fontId="6" fillId="0" borderId="0" xfId="0">
      <alignment horizontal="center" vertical="center"/>
    </xf>
    <xf numFmtId="304" fontId="6" fillId="0" borderId="0" xfId="0">
      <alignment horizontal="center" vertical="center"/>
    </xf>
    <xf fontId="6" fillId="0" borderId="0" xfId="0">
      <alignment horizontal="center" vertical="bottom"/>
    </xf>
    <xf numFmtId="68" fontId="6" fillId="0" borderId="0" xfId="0">
      <alignment horizontal="center" vertical="bottom"/>
    </xf>
    <xf numFmtId="0" fontId="6" fillId="0" borderId="0" xfId="0">
      <alignment horizontal="center" vertical="center"/>
    </xf>
    <xf numFmtId="301" fontId="6" fillId="0" borderId="0" xfId="0">
      <alignment horizontal="center" vertical="bottom"/>
    </xf>
    <xf fontId="6" fillId="0" borderId="0" xfId="0">
      <alignment horizontal="center" vertical="center" wrapText="1"/>
    </xf>
    <xf numFmtId="305" fontId="6" fillId="0" borderId="0" xfId="0">
      <alignment horizontal="center" vertical="center" wrapText="1"/>
    </xf>
    <xf fontId="7" fillId="0" borderId="0" xfId="0">
      <alignment horizontal="center" vertical="center"/>
    </xf>
    <xf numFmtId="306" fontId="6" fillId="0" borderId="0" xfId="0">
      <alignment horizontal="center" vertical="center"/>
    </xf>
    <xf numFmtId="305" fontId="6" fillId="0" borderId="0" xfId="0">
      <alignment horizontal="center" vertical="center"/>
    </xf>
    <xf numFmtId="307" fontId="6" fillId="0" borderId="1" xfId="0">
      <alignment horizontal="center" vertical="center"/>
    </xf>
    <xf numFmtId="302" fontId="6" fillId="0" borderId="2" xfId="0">
      <alignment horizontal="center" vertical="center"/>
    </xf>
    <xf numFmtId="306" fontId="7" fillId="0" borderId="0" xfId="0">
      <alignment horizontal="center" vertical="center"/>
    </xf>
    <xf numFmtId="68" fontId="6" fillId="0" borderId="5" xfId="0">
      <alignment horizontal="center" vertical="center"/>
    </xf>
    <xf numFmtId="302" fontId="6" fillId="0" borderId="6" xfId="0">
      <alignment horizontal="center" vertical="center"/>
    </xf>
    <xf numFmtId="302" fontId="7" fillId="0" borderId="0" xfId="0">
      <alignment horizontal="center" vertical="center"/>
    </xf>
    <xf numFmtId="307" fontId="7" fillId="0" borderId="0" xfId="0">
      <alignment horizontal="center" vertical="center"/>
    </xf>
    <xf numFmtId="68" fontId="7" fillId="0" borderId="0" xfId="0">
      <alignment horizontal="center" vertical="center"/>
    </xf>
    <xf numFmtId="68" fontId="6" fillId="0" borderId="0" xfId="0">
      <alignment horizontal="center"/>
    </xf>
    <xf numFmtId="307" fontId="6" fillId="0" borderId="0" xfId="0">
      <alignment horizontal="center" vertical="center"/>
    </xf>
    <xf numFmtId="49" fontId="6" fillId="0" borderId="0" xfId="0">
      <alignment horizontal="center" vertical="center"/>
    </xf>
    <xf numFmtId="308" fontId="6" fillId="0" borderId="0" xfId="0">
      <alignment horizontal="center" vertical="center"/>
    </xf>
    <xf numFmtId="309" fontId="6" fillId="0" borderId="0" xfId="0">
      <alignment horizontal="center" vertical="center"/>
    </xf>
    <xf numFmtId="310" fontId="6" fillId="0" borderId="0" xfId="0">
      <alignment horizontal="center" vertical="center"/>
    </xf>
    <xf numFmtId="307" fontId="6" fillId="0" borderId="0" xfId="0">
      <alignment horizontal="center" vertical="bottom"/>
    </xf>
    <xf numFmtId="49" fontId="6" fillId="0" borderId="0" xfId="0">
      <alignment horizontal="center" vertical="bottom"/>
    </xf>
    <xf numFmtId="308" fontId="6" fillId="0" borderId="0" xfId="0">
      <alignment horizontal="center" vertical="bottom"/>
    </xf>
    <xf numFmtId="309" fontId="6" fillId="0" borderId="0" xfId="0">
      <alignment horizontal="center" vertical="bottom"/>
    </xf>
    <xf numFmtId="310" fontId="6" fillId="0" borderId="0" xfId="0">
      <alignment horizontal="center" vertical="bottom"/>
    </xf>
    <xf fontId="6" fillId="0" borderId="0" xfId="0">
      <alignment horizontal="center" vertical="center"/>
    </xf>
    <xf numFmtId="0" fontId="6" fillId="0" borderId="0" xfId="0">
      <alignment horizontal="center" vertical="center" wrapText="1"/>
    </xf>
    <xf fontId="6" fillId="0" borderId="7" xfId="0">
      <alignment horizontal="center" vertical="center" wrapText="1"/>
    </xf>
    <xf numFmtId="49" fontId="6" fillId="0" borderId="0" xfId="0">
      <alignment horizontal="center" vertical="center" wrapText="1"/>
    </xf>
    <xf fontId="8" fillId="0" borderId="0" xfId="0">
      <alignment horizontal="center" vertical="center" wrapText="1"/>
    </xf>
    <xf fontId="8" fillId="0" borderId="0" xfId="0">
      <alignment horizontal="center" vertical="center"/>
    </xf>
    <xf numFmtId="68" fontId="8" fillId="0" borderId="0" xfId="0">
      <alignment horizontal="center" vertical="center"/>
    </xf>
    <xf numFmtId="311" fontId="8" fillId="0" borderId="0" xfId="0">
      <alignment horizontal="center" vertical="center"/>
    </xf>
    <xf numFmtId="311" fontId="6" fillId="0" borderId="0" xfId="0">
      <alignment horizontal="center" vertical="center"/>
    </xf>
    <xf numFmtId="311" fontId="6" fillId="0" borderId="0" xfId="0">
      <alignment horizontal="center" vertical="bottom"/>
    </xf>
    <xf fontId="6" fillId="0" borderId="0" xfId="0">
      <alignment horizontal="center" vertical="bottom"/>
    </xf>
    <xf numFmtId="303" fontId="0" fillId="0" borderId="0" xfId="0">
      <alignment vertical="center"/>
    </xf>
    <xf fontId="9" fillId="0" borderId="7" xfId="0">
      <alignment horizontal="center" vertical="center" wrapText="1"/>
    </xf>
    <xf fontId="9" fillId="2" borderId="8" xfId="0">
      <alignment horizontal="center" vertical="center" wrapText="1"/>
    </xf>
    <xf fontId="6" fillId="2" borderId="8" xfId="0">
      <alignment horizontal="center" vertical="center" wrapText="1"/>
    </xf>
    <xf fontId="7" fillId="0" borderId="7" xfId="0">
      <alignment horizontal="center" vertical="center" wrapText="1"/>
    </xf>
    <xf fontId="7" fillId="2" borderId="8" xfId="0">
      <alignment horizontal="center" vertical="center" wrapText="1"/>
    </xf>
    <xf fontId="10" fillId="2" borderId="8" xfId="0">
      <alignment horizontal="center" vertical="center" wrapText="1"/>
    </xf>
    <xf fontId="10" fillId="0" borderId="7" xfId="0">
      <alignment horizontal="center" vertical="center" wrapText="1"/>
    </xf>
    <xf fontId="6" fillId="0" borderId="0" xfId="0">
      <alignment horizontal="center" vertical="center" wrapText="1"/>
    </xf>
    <xf numFmtId="60" fontId="6" fillId="0" borderId="0" xfId="0">
      <alignment horizontal="center" vertical="bottom"/>
    </xf>
    <xf fontId="11" fillId="0" borderId="0" xfId="0">
      <alignment horizontal="center" vertical="center"/>
    </xf>
    <xf numFmtId="311" fontId="11" fillId="0" borderId="0" xfId="0">
      <alignment horizontal="center" vertical="center"/>
    </xf>
    <xf numFmtId="68" fontId="11" fillId="0" borderId="0" xfId="0">
      <alignment horizontal="center" vertical="center"/>
    </xf>
    <xf fontId="11" fillId="0" borderId="0" xfId="0">
      <alignment horizontal="center" vertical="bottom"/>
    </xf>
    <xf numFmtId="311" fontId="11" fillId="0" borderId="0" xfId="0">
      <alignment horizontal="center" vertical="bottom"/>
    </xf>
    <xf numFmtId="68" fontId="11" fillId="0" borderId="0" xfId="0">
      <alignment horizontal="center" vertical="bottom"/>
    </xf>
    <xf fontId="6" fillId="0" borderId="0" xfId="0">
      <alignment vertical="bottom"/>
    </xf>
    <xf numFmtId="304" fontId="0" fillId="0" borderId="0" xfId="0">
      <alignment vertical="center"/>
    </xf>
    <xf numFmtId="307" fontId="0" fillId="0" borderId="0" xfId="0">
      <alignment vertical="center"/>
    </xf>
    <xf fontId="12" fillId="0" borderId="0" xfId="0">
      <alignment vertical="center"/>
    </xf>
    <xf numFmtId="312" fontId="6" fillId="0" borderId="0" xfId="0">
      <alignment horizontal="center" vertical="center"/>
    </xf>
    <xf numFmtId="312" fontId="0" fillId="0" borderId="0" xfId="0">
      <alignment vertical="center"/>
    </xf>
    <xf numFmtId="313" fontId="6" fillId="0" borderId="0" xfId="0">
      <alignment horizontal="center" vertical="center"/>
    </xf>
    <xf numFmtId="308" fontId="0" fillId="0" borderId="0" xfId="0">
      <alignment vertical="center"/>
    </xf>
    <xf numFmtId="314" fontId="6" fillId="0" borderId="0" xfId="0">
      <alignment horizontal="center" vertical="center"/>
    </xf>
    <xf fontId="0" fillId="0" borderId="0" xfId="0">
      <alignment vertical="center" wrapText="1"/>
    </xf>
    <xf numFmtId="313" fontId="0" fillId="0" borderId="0" xfId="0">
      <alignment vertical="center"/>
    </xf>
    <xf numFmtId="311" fontId="0" fillId="0"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5.xml" /><Relationship Id="rId7" Type="http://schemas.openxmlformats.org/officeDocument/2006/relationships/worksheet" Target="worksheets/sheet4.xml" /><Relationship Id="rId32" Type="http://schemas.openxmlformats.org/officeDocument/2006/relationships/worksheet" Target="worksheets/sheet29.xml" /><Relationship Id="rId6" Type="http://schemas.openxmlformats.org/officeDocument/2006/relationships/worksheet" Target="worksheets/sheet3.xml" /><Relationship Id="rId28" Type="http://schemas.openxmlformats.org/officeDocument/2006/relationships/worksheet" Target="worksheets/sheet25.xml" /><Relationship Id="rId5" Type="http://schemas.openxmlformats.org/officeDocument/2006/relationships/worksheet" Target="worksheets/sheet2.xml" /><Relationship Id="rId27" Type="http://schemas.openxmlformats.org/officeDocument/2006/relationships/worksheet" Target="worksheets/sheet24.xml" /><Relationship Id="rId4" Type="http://schemas.openxmlformats.org/officeDocument/2006/relationships/worksheet" Target="worksheets/sheet1.xml" /><Relationship Id="rId26" Type="http://schemas.openxmlformats.org/officeDocument/2006/relationships/worksheet" Target="worksheets/sheet23.xml" /><Relationship Id="rId24" Type="http://schemas.openxmlformats.org/officeDocument/2006/relationships/worksheet" Target="worksheets/sheet21.xml" /><Relationship Id="rId23" Type="http://schemas.openxmlformats.org/officeDocument/2006/relationships/worksheet" Target="worksheets/sheet20.xml" /><Relationship Id="rId34" Type="http://schemas.openxmlformats.org/officeDocument/2006/relationships/worksheet" Target="worksheets/sheet31.xml" /><Relationship Id="rId25" Type="http://schemas.openxmlformats.org/officeDocument/2006/relationships/worksheet" Target="worksheets/sheet22.xml" /><Relationship Id="rId13" Type="http://schemas.openxmlformats.org/officeDocument/2006/relationships/worksheet" Target="worksheets/sheet10.xml" /><Relationship Id="rId19" Type="http://schemas.openxmlformats.org/officeDocument/2006/relationships/worksheet" Target="worksheets/sheet16.xml" /><Relationship Id="rId30" Type="http://schemas.openxmlformats.org/officeDocument/2006/relationships/worksheet" Target="worksheets/sheet27.xml" /><Relationship Id="rId10" Type="http://schemas.openxmlformats.org/officeDocument/2006/relationships/worksheet" Target="worksheets/sheet7.xml" /><Relationship Id="rId15" Type="http://schemas.openxmlformats.org/officeDocument/2006/relationships/worksheet" Target="worksheets/sheet12.xml" /><Relationship Id="rId9" Type="http://schemas.openxmlformats.org/officeDocument/2006/relationships/worksheet" Target="worksheets/sheet6.xml" /><Relationship Id="rId0" Type="http://schemas.openxmlformats.org/officeDocument/2006/relationships/sharedStrings" Target="sharedStrings.xml" /><Relationship Id="rId12" Type="http://schemas.openxmlformats.org/officeDocument/2006/relationships/worksheet" Target="worksheets/sheet9.xml" /><Relationship Id="rId31" Type="http://schemas.openxmlformats.org/officeDocument/2006/relationships/worksheet" Target="worksheets/sheet28.xml" /><Relationship Id="rId11" Type="http://schemas.openxmlformats.org/officeDocument/2006/relationships/worksheet" Target="worksheets/sheet8.xml" /><Relationship Id="rId16" Type="http://schemas.openxmlformats.org/officeDocument/2006/relationships/worksheet" Target="worksheets/sheet13.xml" /><Relationship Id="rId3" Type="http://schemas.microsoft.com/office/2017/10/relationships/person" Target="persons/person.xml" /><Relationship Id="rId1" Type="http://schemas.openxmlformats.org/officeDocument/2006/relationships/theme" Target="theme/theme1.xml" /><Relationship Id="rId33" Type="http://schemas.openxmlformats.org/officeDocument/2006/relationships/worksheet" Target="worksheets/sheet30.xml" /><Relationship Id="rId14" Type="http://schemas.openxmlformats.org/officeDocument/2006/relationships/worksheet" Target="worksheets/sheet11.xml" /><Relationship Id="rId18" Type="http://schemas.openxmlformats.org/officeDocument/2006/relationships/worksheet" Target="worksheets/sheet15.xml" /><Relationship Id="rId17" Type="http://schemas.openxmlformats.org/officeDocument/2006/relationships/worksheet" Target="worksheets/sheet14.xml" /><Relationship Id="rId29" Type="http://schemas.openxmlformats.org/officeDocument/2006/relationships/worksheet" Target="worksheets/sheet2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s>
</file>

<file path=xl/persons/person.xml><?xml version="1.0" encoding="utf-8"?>
<tc2018:personList xmlns:tc2018="http://schemas.microsoft.com/office/spreadsheetml/2018/threadedcomments" xmlns:mc="http://schemas.openxmlformats.org/markup-compatibility/2006" mc:Ignorable="tc2018">
  <tc2018:person displayName="666bj" id="{2035E8F3-343D-4850-B202-319FE65E7067}"/>
  <tc2018:person displayName="静默之光" id="{47F8283F-0A7F-41CB-B2F2-B34B114238DD}"/>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H1" dT="2024-07-18T12:29:53Z" personId="{47F8283F-0A7F-41CB-B2F2-B34B114238DD}" id="{2BA4CE27-95ED-464B-A198-88DE57A8F343}">
    <tc2018:text>大佬，能否把CD也贴上来，方便计算</tc2018:text>
  </tc2018:threadedComment>
  <tc2018:threadedComment ref="B18" dT="2024-07-24T03:11:22Z" personId="{47F8283F-0A7F-41CB-B2F2-B34B114238DD}" id="{D3B07B92-96A0-452C-BABA-744913A81A46}">
    <tc2018:text>此处应为连携技</tc2018:text>
  </tc2018:threadedComment>
  <tc2018:threadedComment ref="B18" dT="2024-07-24T06:53:40Z" personId="{2035E8F3-343D-4850-B202-319FE65E7067}" id="{1718A74D-552E-4D37-BFEA-8E1FEAC6CFBF}" parentId="{D3B07B92-96A0-452C-BABA-744913A81A46}">
    <tc2018:text>绝区零本地文件索引有误，已修正</tc2018:text>
  </tc2018:threadedComment>
</tc2018:ThreadedComments>
</file>

<file path=xl/worksheets/_rels/sheet1.xml.rels><?xml version="1.0" encoding="UTF-8" standalone="yes"?><Relationships xmlns="http://schemas.openxmlformats.org/package/2006/relationships"><Relationship Id="rId5" Type="http://schemas.openxmlformats.org/officeDocument/2006/relationships/hyperlink" Target="https://docs.qq.com/sheet/DUG55Tm95cUJNeE56?tab=59ca2m" TargetMode="External"/><Relationship Id="rId4" Type="http://schemas.openxmlformats.org/officeDocument/2006/relationships/hyperlink" Target="https://docs.qq.com/sheet/DUFdNcWxnUnR6ck91?tab=utplov" TargetMode="External"/><Relationship Id="rId3" Type="http://schemas.openxmlformats.org/officeDocument/2006/relationships/hyperlink" Target="https://github.com/zzzsimulator/zsim" TargetMode="External"/><Relationship Id="rId2" Type="http://schemas.openxmlformats.org/officeDocument/2006/relationships/hyperlink" Target="https://wiki.biligame.com/zzz/%E9%A6%96%E9%A1%B5" TargetMode="External"/><Relationship Id="rId0" Type="http://schemas.openxmlformats.org/officeDocument/2006/relationships/hyperlink" Target="https://baike.mihoyo.com/zzz/wiki/?mhy_presentation_style=fullscreen&amp;visit_device=pc&amp;utm_source=bbs&amp;utm_medium=zzz&amp;utm_campaign=topbar" TargetMode="External"/><Relationship Id="rId1" Type="http://schemas.openxmlformats.org/officeDocument/2006/relationships/hyperlink" Target="https://zenless-zone-zero.fandom.com/wiki/Zenless_Zone_Zero_Wiki" TargetMode="External"/></Relationships>
</file>

<file path=xl/worksheets/_rels/sheet2.xml.rels><?xml version="1.0" encoding="UTF-8" standalone="yes"?><Relationships xmlns="http://schemas.openxmlformats.org/package/2006/relationships"><Relationship Id="rId3" Type="http://schemas.openxmlformats.org/officeDocument/2006/relationships/hyperlink" Target="https://v.douyin.com/zBkPiAVn90A/" TargetMode="External"/><Relationship Id="rId2" Type="http://schemas.openxmlformats.org/officeDocument/2006/relationships/hyperlink" Target="https://bbs.nga.cn/read.php?tid=40893992" TargetMode="External"/><Relationship Id="rId0" Type="http://schemas.openxmlformats.org/officeDocument/2006/relationships/hyperlink" Target="https://docs.qq.com/sheet/DUFdNcWxnUnR6ck91?tab=utplov" TargetMode="External"/><Relationship Id="rId1" Type="http://schemas.openxmlformats.org/officeDocument/2006/relationships/hyperlink" Target="https://bbs.nga.cn/read.php?tid=44468012" TargetMode="External"/></Relationships>
</file>

<file path=xl/worksheets/_rels/sheet21.xml.rels><?xml version="1.0" encoding="UTF-8" standalone="yes"?><Relationships xmlns="http://schemas.openxmlformats.org/package/2006/relationships"><Relationship Id="rId2" Type="http://schemas.openxmlformats.org/officeDocument/2006/relationships/vmlDrawing" Target="../drawings/vmlDrawing1.vml" /><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sheet1.xml><?xml version="1.0" encoding="utf-8"?>
<worksheet xmlns:r="http://schemas.openxmlformats.org/officeDocument/2006/relationships" xmlns="http://schemas.openxmlformats.org/spreadsheetml/2006/main">
  <sheetPr codeName="首页">
    <tabColor/>
  </sheetPr>
  <dimension ref="G10"/>
  <sheetViews>
    <sheetView showGridLines="1" workbookViewId="0"/>
  </sheetViews>
  <sheetFormatPr baseColWidth="13" defaultRowHeight="18" customHeight="1"/>
  <cols>
    <col min="1" max="1" width="46.1641" style="4" customWidth="1"/>
    <col min="3" max="3" width="21.7344" style="4" customWidth="1"/>
    <col min="4" max="4" width="35.3711" style="4" customWidth="1"/>
  </cols>
  <sheetData>
    <row r="1" spans="1:3">
      <c r="A1" s="4" t="s">
        <v>1</v>
      </c>
      <c r="C1" s="4" t="s">
        <v>2</v>
      </c>
    </row>
    <row r="2" spans="1:7">
      <c r="A2" s="4" t="s"/>
      <c r="C2" s="4" t="s"/>
      <c r="D2" s="5" t="s"/>
      <c r="F2" s="6" t="s"/>
      <c r="G2" s="7" t="s"/>
    </row>
    <row r="3" spans="1:7">
      <c r="A3" s="4" t="s">
        <v>3</v>
      </c>
      <c r="C3" s="4" t="s">
        <v>14601</v>
      </c>
      <c r="D3" s="4" t="s">
        <v>4</v>
      </c>
      <c r="F3" s="8" t="s"/>
      <c r="G3" s="9" t="s"/>
    </row>
    <row r="4" spans="1:7">
      <c r="A4" s="4" t="s">
        <v>14602</v>
      </c>
      <c r="C4" s="4" t="s">
        <v>14603</v>
      </c>
      <c r="D4" s="4" t="s">
        <v>5</v>
      </c>
      <c r="F4" s="8" t="s"/>
      <c r="G4" s="9" t="s"/>
    </row>
    <row r="5" spans="1:7">
      <c r="A5" s="4" t="s"/>
      <c r="C5" s="4" t="s"/>
      <c r="D5" s="10" t="s"/>
      <c r="F5" s="8" t="s"/>
      <c r="G5" s="9" t="s"/>
    </row>
    <row r="6" spans="1:7">
      <c r="A6" s="10" t="s"/>
      <c r="C6" s="4" t="s">
        <v>14605</v>
      </c>
      <c r="D6" s="4" t="s">
        <v>7</v>
      </c>
      <c r="F6" s="8" t="s"/>
      <c r="G6" s="9" t="s"/>
    </row>
    <row r="7" spans="1:26" ht="38.25" customHeight="1">
      <c r="A7" s="11" t="s">
        <v>8</v>
      </c>
      <c r="B7" s="4" t="s"/>
      <c r="C7" s="4" t="s">
        <v>14606</v>
      </c>
      <c r="D7" s="10" t="s">
        <v>9</v>
      </c>
      <c r="E7" s="4" t="s"/>
      <c r="F7" s="8" t="s"/>
      <c r="G7" s="9" t="s"/>
      <c r="H7" s="4" t="s"/>
      <c r="I7" s="4" t="s"/>
      <c r="J7" s="4" t="s"/>
      <c r="K7" s="4" t="s"/>
      <c r="L7" s="4" t="s"/>
      <c r="M7" s="4" t="s"/>
      <c r="N7" s="4" t="s"/>
      <c r="O7" s="4" t="s"/>
      <c r="P7" s="4" t="s"/>
      <c r="Q7" s="4" t="s"/>
      <c r="R7" s="4" t="s"/>
      <c r="S7" s="4" t="s"/>
      <c r="T7" s="4" t="s"/>
      <c r="U7" s="4" t="s"/>
      <c r="V7" s="4" t="s"/>
      <c r="W7" s="4" t="s"/>
      <c r="X7" s="4" t="s"/>
      <c r="Y7" s="4" t="s"/>
      <c r="Z7" s="4" t="s"/>
    </row>
    <row r="8" spans="3:7">
      <c r="C8" s="4" t="s">
        <v>14607</v>
      </c>
      <c r="D8" s="10" t="s">
        <v>10</v>
      </c>
      <c r="F8" s="8" t="s"/>
      <c r="G8" s="9" t="s"/>
    </row>
    <row r="9" spans="3:7">
      <c r="C9" s="4" t="s">
        <v>14608</v>
      </c>
      <c r="D9" s="10" t="s">
        <v>11</v>
      </c>
      <c r="F9" s="8" t="s"/>
      <c r="G9" s="9" t="s"/>
    </row>
    <row r="10" spans="3:7">
      <c r="C10" s="4" t="s"/>
      <c r="D10" s="10" t="s"/>
      <c r="F10" s="12" t="s"/>
      <c r="G10" s="13" t="s"/>
    </row>
  </sheetData>
  <hyperlinks>
    <hyperlink ref="C3" r:id="rId0"/>
    <hyperlink ref="A4" location="'Q&amp;A'!A1"/>
    <hyperlink ref="C4" r:id="rId1"/>
    <hyperlink ref="C6" r:id="rId2"/>
    <hyperlink ref="C7" r:id="rId3"/>
    <hyperlink ref="C8" r:id="rId4"/>
    <hyperlink ref="C9" r:id="rId5"/>
  </hyperlinks>
</worksheet>
</file>

<file path=xl/worksheets/sheet2.xml><?xml version="1.0" encoding="utf-8"?>
<worksheet xmlns:r="http://schemas.openxmlformats.org/officeDocument/2006/relationships" xmlns="http://schemas.openxmlformats.org/spreadsheetml/2006/main">
  <sheetPr codeName="Q&amp;A">
    <tabColor/>
  </sheetPr>
  <dimension ref="A20"/>
  <sheetViews>
    <sheetView showGridLines="1" workbookViewId="0"/>
  </sheetViews>
  <sheetFormatPr baseColWidth="13" defaultRowHeight="18" customHeight="1"/>
  <cols>
    <col min="1" max="1" width="57.9531" style="10" customWidth="1"/>
    <col min="2" max="2" width="20.3633" style="4" customWidth="1"/>
    <col min="3" max="3" width="86.1211" style="10" customWidth="1"/>
  </cols>
  <sheetData>
    <row r="1" spans="1:3">
      <c r="A1" s="10" t="s">
        <v>13</v>
      </c>
      <c r="B1" s="4" t="s"/>
      <c r="C1" s="10" t="s">
        <v>14</v>
      </c>
    </row>
    <row r="2" spans="1:3">
      <c r="A2" s="10" t="s">
        <v>15</v>
      </c>
      <c r="B2" s="4" t="s"/>
      <c r="C2" s="10" t="s">
        <v>16</v>
      </c>
    </row>
    <row r="3" spans="1:3">
      <c r="A3" s="10" t="s">
        <v>17</v>
      </c>
      <c r="C3" s="10" t="s">
        <v>18</v>
      </c>
    </row>
    <row r="4" spans="1:3">
      <c r="A4" s="10" t="s">
        <v>19</v>
      </c>
      <c r="C4" s="10" t="s">
        <v>20</v>
      </c>
    </row>
    <row r="5" spans="1:3">
      <c r="A5" s="10" t="s">
        <v>21</v>
      </c>
      <c r="C5" s="10" t="s">
        <v>22</v>
      </c>
    </row>
    <row r="6" spans="1:3">
      <c r="A6" s="10" t="s">
        <v>23</v>
      </c>
      <c r="C6" s="14" t="s">
        <v>14610</v>
      </c>
    </row>
    <row r="7" spans="1:3">
      <c r="A7" s="10" t="s">
        <v>24</v>
      </c>
      <c r="C7" s="10" t="s">
        <v>25</v>
      </c>
    </row>
    <row r="8" spans="1:3">
      <c r="A8" s="10" t="s">
        <v>26</v>
      </c>
      <c r="C8" s="10" t="s">
        <v>27</v>
      </c>
    </row>
    <row r="9" spans="1:3">
      <c r="A9" s="15" t="s">
        <v>28</v>
      </c>
      <c r="C9" s="14" t="s">
        <v>14611</v>
      </c>
    </row>
    <row r="10" spans="1:3">
      <c r="A10" s="10" t="s">
        <v>29</v>
      </c>
      <c r="C10" s="10" t="s">
        <v>30</v>
      </c>
    </row>
    <row r="11" spans="1:3">
      <c r="A11" s="10" t="s">
        <v>31</v>
      </c>
      <c r="C11" s="10" t="s">
        <v>32</v>
      </c>
    </row>
    <row r="12" spans="1:3">
      <c r="A12" s="10" t="s">
        <v>33</v>
      </c>
      <c r="C12" s="10" t="s">
        <v>34</v>
      </c>
    </row>
    <row r="13" spans="1:3">
      <c r="A13" s="10" t="s">
        <v>35</v>
      </c>
      <c r="B13" s="4" t="s"/>
      <c r="C13" s="10" t="s">
        <v>36</v>
      </c>
    </row>
    <row r="14" spans="1:5">
      <c r="A14" s="10" t="s">
        <v>37</v>
      </c>
      <c r="C14" s="14" t="s">
        <v>14612</v>
      </c>
      <c r="E14" s="4" t="s"/>
    </row>
    <row r="15" spans="1:3">
      <c r="A15" s="10" t="s">
        <v>38</v>
      </c>
      <c r="C15" s="10" t="s">
        <v>39</v>
      </c>
    </row>
    <row r="16" spans="1:3">
      <c r="A16" s="10" t="s">
        <v>40</v>
      </c>
      <c r="C16" s="14" t="s">
        <v>14613</v>
      </c>
    </row>
    <row r="17" spans="1:3">
      <c r="A17" s="10" t="s">
        <v>41</v>
      </c>
      <c r="C17" s="10" t="s">
        <v>42</v>
      </c>
    </row>
    <row r="18" spans="1:3">
      <c r="A18" s="14" t="s">
        <v>14614</v>
      </c>
      <c r="C18" s="10" t="s">
        <v>43</v>
      </c>
    </row>
    <row r="19" spans="1:3">
      <c r="A19" s="10" t="s">
        <v>44</v>
      </c>
      <c r="C19" s="14" t="s">
        <v>14615</v>
      </c>
    </row>
    <row r="20" spans="1:1">
      <c r="A20" s="10" t="s"/>
    </row>
  </sheetData>
  <hyperlinks>
    <hyperlink ref="C6" r:id="rId0"/>
    <hyperlink ref="C9" r:id="rId1"/>
    <hyperlink ref="C14" r:id="rId1"/>
    <hyperlink ref="C16" r:id="rId2"/>
    <hyperlink ref="A18" r:id="rId3"/>
    <hyperlink ref="C19" r:id="rId1"/>
  </hyperlinks>
</worksheet>
</file>

<file path=xl/worksheets/sheet3.xml><?xml version="1.0" encoding="utf-8"?>
<worksheet xmlns="http://schemas.openxmlformats.org/spreadsheetml/2006/main">
  <sheetPr codeName="代理人技能数据">
    <tabColor/>
  </sheetPr>
  <dimension ref="O1096"/>
  <sheetViews>
    <sheetView showGridLines="1" workbookViewId="0">
      <pane xSplit="1" ySplit="1" topLeftCell="B2" state="frozen"/>
    </sheetView>
  </sheetViews>
  <sheetFormatPr baseColWidth="13" defaultRowHeight="18" customHeight="1"/>
  <cols>
    <col min="1" max="1" width="16.4023" customWidth="1"/>
    <col min="2" max="2" width="36.7617" customWidth="1"/>
    <col min="3" max="3" width="34.832" customWidth="1"/>
    <col min="4" max="4" width="12.0938" customWidth="1"/>
    <col min="5" max="5" width="16.043" customWidth="1"/>
    <col min="6" max="6" width="12.0938" customWidth="1"/>
    <col min="7" max="7" width="16.043" customWidth="1"/>
    <col min="8" max="9" width="12.0938" style="80" customWidth="1"/>
    <col min="10" max="10" width="14.0625" style="81" customWidth="1"/>
    <col min="11" max="11" width="12.0938" style="3" customWidth="1"/>
    <col min="12" max="12" width="14.0625" style="3" customWidth="1"/>
    <col min="13" max="14" width="15.1836" customWidth="1"/>
    <col min="15" max="15" width="13.1211" customWidth="1"/>
  </cols>
  <sheetData>
    <row r="1" spans="1:15">
      <c r="A1" s="16" t="s">
        <v>45</v>
      </c>
      <c r="B1" s="16" t="s">
        <v>46</v>
      </c>
      <c r="C1" s="16" t="s">
        <v>47</v>
      </c>
      <c r="D1" s="16" t="s">
        <v>48</v>
      </c>
      <c r="E1" s="16" t="s">
        <v>49</v>
      </c>
      <c r="F1" s="16" t="s">
        <v>50</v>
      </c>
      <c r="G1" s="16" t="s">
        <v>51</v>
      </c>
      <c r="H1" s="17" t="s">
        <v>52</v>
      </c>
      <c r="I1" s="18" t="s">
        <v>53</v>
      </c>
      <c r="J1" s="19" t="s">
        <v>54</v>
      </c>
      <c r="K1" s="17" t="s">
        <v>55</v>
      </c>
      <c r="L1" s="20" t="s">
        <v>56</v>
      </c>
      <c r="M1" s="21" t="s">
        <v>57</v>
      </c>
      <c r="N1" s="21" t="s">
        <v>58</v>
      </c>
      <c r="O1" s="16" t="s">
        <v>59</v>
      </c>
    </row>
    <row r="2" spans="1:15" ht="20" customHeight="1">
      <c r="A2" s="16" t="s">
        <v>60</v>
      </c>
      <c r="B2" s="16" t="s">
        <v>61</v>
      </c>
      <c r="C2" s="16" t="s">
        <v>62</v>
      </c>
      <c r="D2" s="22">
        <v>0.312</v>
      </c>
      <c r="E2" s="22">
        <v>0.029</v>
      </c>
      <c r="F2" s="22">
        <v>0.156</v>
      </c>
      <c r="G2" s="22">
        <v>0.008</v>
      </c>
      <c r="H2" s="23">
        <v>0.562</v>
      </c>
      <c r="I2" s="18">
        <v>0</v>
      </c>
      <c r="J2" s="19">
        <v>4.29</v>
      </c>
      <c r="K2" s="17">
        <v>0</v>
      </c>
      <c r="L2" s="20">
        <v>15.59</v>
      </c>
      <c r="M2" s="21">
        <f>=0</f>
        <v>0</v>
      </c>
      <c r="N2" s="16" t="s"/>
      <c r="O2" s="16" t="s"/>
    </row>
    <row r="3" spans="1:15" ht="20" customHeight="1">
      <c r="A3" s="16" t="s">
        <v>60</v>
      </c>
      <c r="B3" s="16" t="s">
        <v>61</v>
      </c>
      <c r="C3" s="16" t="s">
        <v>63</v>
      </c>
      <c r="D3" s="22">
        <v>0.337</v>
      </c>
      <c r="E3" s="22">
        <v>0.031</v>
      </c>
      <c r="F3" s="22">
        <v>0.287</v>
      </c>
      <c r="G3" s="22">
        <v>0.014</v>
      </c>
      <c r="H3" s="23">
        <v>1.032</v>
      </c>
      <c r="I3" s="18">
        <v>0</v>
      </c>
      <c r="J3" s="19">
        <v>7.8925</v>
      </c>
      <c r="K3" s="17">
        <v>0</v>
      </c>
      <c r="L3" s="20">
        <v>28.65</v>
      </c>
      <c r="M3" s="21">
        <f>=0</f>
        <v>0</v>
      </c>
      <c r="N3" s="16" t="s"/>
      <c r="O3" s="16" t="s"/>
    </row>
    <row r="4" spans="1:15" ht="20" customHeight="1">
      <c r="A4" s="16" t="s">
        <v>60</v>
      </c>
      <c r="B4" s="16" t="s">
        <v>61</v>
      </c>
      <c r="C4" s="16" t="s">
        <v>64</v>
      </c>
      <c r="D4" s="22">
        <v>1.136</v>
      </c>
      <c r="E4" s="22">
        <v>0.104</v>
      </c>
      <c r="F4" s="22">
        <v>0.896</v>
      </c>
      <c r="G4" s="22">
        <v>0.041</v>
      </c>
      <c r="H4" s="23">
        <v>3.226</v>
      </c>
      <c r="I4" s="18">
        <v>0</v>
      </c>
      <c r="J4" s="19">
        <v>24.64</v>
      </c>
      <c r="K4" s="17">
        <v>0</v>
      </c>
      <c r="L4" s="20">
        <v>89.59</v>
      </c>
      <c r="M4" s="21">
        <f>=0</f>
        <v>0</v>
      </c>
      <c r="N4" s="16" t="s"/>
      <c r="O4" s="16" t="s"/>
    </row>
    <row r="5" spans="1:15" ht="20" customHeight="1">
      <c r="A5" s="16" t="s">
        <v>60</v>
      </c>
      <c r="B5" s="16" t="s">
        <v>61</v>
      </c>
      <c r="C5" s="16" t="s">
        <v>65</v>
      </c>
      <c r="D5" s="22">
        <v>2.391</v>
      </c>
      <c r="E5" s="22">
        <v>0.218</v>
      </c>
      <c r="F5" s="22">
        <v>1.874</v>
      </c>
      <c r="G5" s="22">
        <v>0.086</v>
      </c>
      <c r="H5" s="23">
        <v>6.745</v>
      </c>
      <c r="I5" s="18">
        <v>172.47</v>
      </c>
      <c r="J5" s="19">
        <v>51.535</v>
      </c>
      <c r="K5" s="17">
        <v>0</v>
      </c>
      <c r="L5" s="20">
        <v>187.35</v>
      </c>
      <c r="M5" s="21">
        <f>=0</f>
        <v>0</v>
      </c>
      <c r="N5" s="16" t="s"/>
      <c r="O5" s="16" t="s"/>
    </row>
    <row r="6" spans="1:15" ht="20" customHeight="1">
      <c r="A6" s="16" t="s">
        <v>60</v>
      </c>
      <c r="B6" s="16" t="s">
        <v>66</v>
      </c>
      <c r="C6" s="16" t="s"/>
      <c r="D6" s="22">
        <v>3.286</v>
      </c>
      <c r="E6" s="22">
        <v>0.299</v>
      </c>
      <c r="F6" s="22">
        <v>1.424</v>
      </c>
      <c r="G6" s="22">
        <v>0.065</v>
      </c>
      <c r="H6" s="23">
        <v>5.126</v>
      </c>
      <c r="I6" s="18">
        <v>127.5</v>
      </c>
      <c r="J6" s="19">
        <v>39.16</v>
      </c>
      <c r="K6" s="17">
        <v>0</v>
      </c>
      <c r="L6" s="20">
        <v>142.38</v>
      </c>
      <c r="M6" s="21">
        <f>=0</f>
        <v>0</v>
      </c>
      <c r="N6" s="16" t="s"/>
      <c r="O6" s="16" t="s"/>
    </row>
    <row r="7" spans="1:15" ht="20" customHeight="1">
      <c r="A7" s="16" t="s">
        <v>60</v>
      </c>
      <c r="B7" s="16" t="s">
        <v>67</v>
      </c>
      <c r="C7" s="16" t="s"/>
      <c r="D7" s="22">
        <v>0.934</v>
      </c>
      <c r="E7" s="22">
        <v>0.085</v>
      </c>
      <c r="F7" s="22">
        <v>0.934</v>
      </c>
      <c r="G7" s="22">
        <v>0.043</v>
      </c>
      <c r="H7" s="23">
        <v>0</v>
      </c>
      <c r="I7" s="18">
        <v>93.3</v>
      </c>
      <c r="J7" s="19">
        <v>25.685</v>
      </c>
      <c r="K7" s="17">
        <v>0</v>
      </c>
      <c r="L7" s="20">
        <v>46.66</v>
      </c>
      <c r="M7" s="21">
        <f>=0</f>
        <v>0</v>
      </c>
      <c r="N7" s="16" t="s"/>
      <c r="O7" s="16" t="s"/>
    </row>
    <row r="8" spans="1:15" ht="20" customHeight="1">
      <c r="A8" s="16" t="s">
        <v>60</v>
      </c>
      <c r="B8" s="16" t="s">
        <v>68</v>
      </c>
      <c r="C8" s="16" t="s"/>
      <c r="D8" s="22">
        <v>5.83</v>
      </c>
      <c r="E8" s="22">
        <v>0.53</v>
      </c>
      <c r="F8" s="22">
        <v>4.818</v>
      </c>
      <c r="G8" s="22">
        <v>0.219</v>
      </c>
      <c r="H8" s="23">
        <v>0</v>
      </c>
      <c r="I8" s="18">
        <v>532.37</v>
      </c>
      <c r="J8" s="19">
        <v>188.155</v>
      </c>
      <c r="K8" s="17">
        <v>0</v>
      </c>
      <c r="L8" s="20">
        <v>178.3</v>
      </c>
      <c r="M8" s="21">
        <f>=0</f>
        <v>0</v>
      </c>
      <c r="N8" s="16" t="s"/>
      <c r="O8" s="16" t="s"/>
    </row>
    <row r="9" spans="1:15" ht="20" customHeight="1">
      <c r="A9" s="16" t="s">
        <v>60</v>
      </c>
      <c r="B9" s="16" t="s">
        <v>69</v>
      </c>
      <c r="C9" s="16" t="s"/>
      <c r="D9" s="22">
        <v>0.567</v>
      </c>
      <c r="E9" s="22">
        <v>0.052</v>
      </c>
      <c r="F9" s="22">
        <v>0.284</v>
      </c>
      <c r="G9" s="22">
        <v>0.013</v>
      </c>
      <c r="H9" s="23">
        <v>1.02</v>
      </c>
      <c r="I9" s="18">
        <v>0</v>
      </c>
      <c r="J9" s="19">
        <v>7.81</v>
      </c>
      <c r="K9" s="17">
        <v>0</v>
      </c>
      <c r="L9" s="20">
        <v>28.32</v>
      </c>
      <c r="M9" s="21">
        <f>=0</f>
        <v>0</v>
      </c>
      <c r="N9" s="16" t="s"/>
      <c r="O9" s="16" t="s"/>
    </row>
    <row r="10" spans="1:15" ht="20" customHeight="1">
      <c r="A10" s="16" t="s">
        <v>60</v>
      </c>
      <c r="B10" s="16" t="s">
        <v>70</v>
      </c>
      <c r="C10" s="16" t="s"/>
      <c r="D10" s="22">
        <v>1.802</v>
      </c>
      <c r="E10" s="22">
        <v>0.164</v>
      </c>
      <c r="F10" s="22">
        <v>1.617</v>
      </c>
      <c r="G10" s="22">
        <v>0.074</v>
      </c>
      <c r="H10" s="23">
        <v>2.219</v>
      </c>
      <c r="I10" s="18">
        <v>61.63</v>
      </c>
      <c r="J10" s="19">
        <v>16.9675</v>
      </c>
      <c r="K10" s="17">
        <v>0</v>
      </c>
      <c r="L10" s="20">
        <v>211.64</v>
      </c>
      <c r="M10" s="21">
        <f>=0</f>
        <v>0</v>
      </c>
      <c r="N10" s="16" t="s"/>
      <c r="O10" s="16" t="s"/>
    </row>
    <row r="11" spans="1:15" ht="20" customHeight="1">
      <c r="A11" s="16" t="s">
        <v>60</v>
      </c>
      <c r="B11" s="16" t="s">
        <v>71</v>
      </c>
      <c r="C11" s="16" t="s"/>
      <c r="D11" s="22">
        <v>5.424</v>
      </c>
      <c r="E11" s="22">
        <v>0.494</v>
      </c>
      <c r="F11" s="22">
        <v>1.434</v>
      </c>
      <c r="G11" s="22">
        <v>0.066</v>
      </c>
      <c r="H11" s="23">
        <v>0</v>
      </c>
      <c r="I11" s="18">
        <v>342.83</v>
      </c>
      <c r="J11" s="19">
        <v>222.31</v>
      </c>
      <c r="K11" s="17">
        <v>0</v>
      </c>
      <c r="L11" s="20">
        <v>143.34</v>
      </c>
      <c r="M11" s="21">
        <f>=0</f>
        <v>0</v>
      </c>
      <c r="N11" s="16" t="s"/>
      <c r="O11" s="16" t="s"/>
    </row>
    <row r="12" spans="1:15">
      <c r="A12" s="16" t="s">
        <v>60</v>
      </c>
      <c r="B12" s="16" t="s">
        <v>72</v>
      </c>
      <c r="C12" s="16" t="s"/>
      <c r="D12" s="22">
        <v>15.126</v>
      </c>
      <c r="E12" s="22">
        <v>1.376</v>
      </c>
      <c r="F12" s="22">
        <v>9.916</v>
      </c>
      <c r="G12" s="22">
        <v>0.451</v>
      </c>
      <c r="H12" s="23">
        <v>0</v>
      </c>
      <c r="I12" s="18">
        <v>210.03</v>
      </c>
      <c r="J12" s="19">
        <v>0</v>
      </c>
      <c r="K12" s="17">
        <v>0</v>
      </c>
      <c r="L12" s="20">
        <v>710.04</v>
      </c>
      <c r="M12" s="21">
        <f>=0</f>
        <v>0</v>
      </c>
      <c r="N12" s="16" t="s"/>
      <c r="O12" s="16" t="s"/>
    </row>
    <row r="13" spans="1:15">
      <c r="A13" s="16" t="s">
        <v>60</v>
      </c>
      <c r="B13" s="16" t="s">
        <v>73</v>
      </c>
      <c r="C13" s="16" t="s"/>
      <c r="D13" s="22">
        <v>0.617</v>
      </c>
      <c r="E13" s="22">
        <v>0.057</v>
      </c>
      <c r="F13" s="22">
        <v>0.617</v>
      </c>
      <c r="G13" s="22">
        <v>0.029</v>
      </c>
      <c r="H13" s="23">
        <v>2.219</v>
      </c>
      <c r="I13" s="18">
        <v>61.63</v>
      </c>
      <c r="J13" s="19">
        <v>16.9675</v>
      </c>
      <c r="K13" s="17">
        <v>0</v>
      </c>
      <c r="L13" s="20">
        <v>30.82</v>
      </c>
      <c r="M13" s="21">
        <f>=0</f>
        <v>0</v>
      </c>
      <c r="N13" s="16" t="s"/>
      <c r="O13" s="16" t="s"/>
    </row>
    <row r="14" spans="1:15">
      <c r="A14" s="16" t="s">
        <v>60</v>
      </c>
      <c r="B14" s="16" t="s">
        <v>74</v>
      </c>
      <c r="C14" s="16" t="s">
        <v>75</v>
      </c>
      <c r="D14" s="22">
        <v>0</v>
      </c>
      <c r="E14" s="22">
        <v>0</v>
      </c>
      <c r="F14" s="22">
        <v>2.467</v>
      </c>
      <c r="G14" s="22">
        <v>0.113</v>
      </c>
      <c r="H14" s="23">
        <v>0</v>
      </c>
      <c r="I14" s="18">
        <v>0</v>
      </c>
      <c r="J14" s="19">
        <v>0</v>
      </c>
      <c r="K14" s="17">
        <v>0</v>
      </c>
      <c r="L14" s="20">
        <v>366.64</v>
      </c>
      <c r="M14" s="21">
        <f>=0</f>
        <v>0</v>
      </c>
      <c r="N14" s="16" t="s"/>
      <c r="O14" s="16" t="s"/>
    </row>
    <row r="15" spans="1:15">
      <c r="A15" s="16" t="s">
        <v>60</v>
      </c>
      <c r="B15" s="16" t="s">
        <v>74</v>
      </c>
      <c r="C15" s="16" t="s">
        <v>76</v>
      </c>
      <c r="D15" s="22">
        <v>0</v>
      </c>
      <c r="E15" s="22">
        <v>0</v>
      </c>
      <c r="F15" s="22">
        <v>3.117</v>
      </c>
      <c r="G15" s="22">
        <v>0.142</v>
      </c>
      <c r="H15" s="23">
        <v>0</v>
      </c>
      <c r="I15" s="18">
        <v>0</v>
      </c>
      <c r="J15" s="19">
        <v>0</v>
      </c>
      <c r="K15" s="17">
        <v>0</v>
      </c>
      <c r="L15" s="20">
        <v>416.64</v>
      </c>
      <c r="M15" s="21">
        <f>=0</f>
        <v>0</v>
      </c>
      <c r="N15" s="16" t="s"/>
      <c r="O15" s="16" t="s"/>
    </row>
    <row r="16" spans="1:15">
      <c r="A16" s="16" t="s">
        <v>60</v>
      </c>
      <c r="B16" s="16" t="s">
        <v>74</v>
      </c>
      <c r="C16" s="16" t="s">
        <v>77</v>
      </c>
      <c r="D16" s="22">
        <v>0</v>
      </c>
      <c r="E16" s="22">
        <v>0</v>
      </c>
      <c r="F16" s="22">
        <v>1.517</v>
      </c>
      <c r="G16" s="22">
        <v>0.069</v>
      </c>
      <c r="H16" s="23">
        <v>0</v>
      </c>
      <c r="I16" s="18">
        <v>0</v>
      </c>
      <c r="J16" s="19">
        <v>0</v>
      </c>
      <c r="K16" s="17">
        <v>0</v>
      </c>
      <c r="L16" s="20">
        <v>116.64</v>
      </c>
      <c r="M16" s="21">
        <f>=0</f>
        <v>0</v>
      </c>
      <c r="N16" s="16" t="s"/>
      <c r="O16" s="16" t="s"/>
    </row>
    <row r="17" spans="1:15">
      <c r="A17" s="16" t="s">
        <v>60</v>
      </c>
      <c r="B17" s="16" t="s">
        <v>78</v>
      </c>
      <c r="C17" s="16" t="s"/>
      <c r="D17" s="22">
        <v>3.352</v>
      </c>
      <c r="E17" s="22">
        <v>0.305</v>
      </c>
      <c r="F17" s="22">
        <v>2.914</v>
      </c>
      <c r="G17" s="22">
        <v>0.133</v>
      </c>
      <c r="H17" s="23">
        <v>0</v>
      </c>
      <c r="I17" s="18">
        <v>313.22</v>
      </c>
      <c r="J17" s="19">
        <v>104.1975</v>
      </c>
      <c r="K17" s="17">
        <v>0</v>
      </c>
      <c r="L17" s="20">
        <v>160</v>
      </c>
      <c r="M17" s="21">
        <f>=0</f>
        <v>0</v>
      </c>
      <c r="N17" s="16" t="s"/>
      <c r="O17" s="16" t="s"/>
    </row>
    <row r="18" spans="1:15">
      <c r="A18" s="16" t="s">
        <v>79</v>
      </c>
      <c r="B18" s="16" t="s">
        <v>80</v>
      </c>
      <c r="C18" s="16" t="s">
        <v>62</v>
      </c>
      <c r="D18" s="22">
        <v>0.552</v>
      </c>
      <c r="E18" s="22">
        <v>0.051</v>
      </c>
      <c r="F18" s="22">
        <v>0.18</v>
      </c>
      <c r="G18" s="22">
        <v>0.009</v>
      </c>
      <c r="H18" s="23">
        <v>0.616</v>
      </c>
      <c r="I18" s="18">
        <v>17.08</v>
      </c>
      <c r="J18" s="19">
        <v>4.7025</v>
      </c>
      <c r="K18" s="17">
        <v>0</v>
      </c>
      <c r="L18" s="20">
        <v>17.09</v>
      </c>
      <c r="M18" s="21">
        <f>=0</f>
        <v>0</v>
      </c>
      <c r="N18" s="16" t="s"/>
      <c r="O18" s="16" t="s"/>
    </row>
    <row r="19" spans="1:15">
      <c r="A19" s="16" t="s">
        <v>79</v>
      </c>
      <c r="B19" s="16" t="s">
        <v>80</v>
      </c>
      <c r="C19" s="16" t="s">
        <v>63</v>
      </c>
      <c r="D19" s="22">
        <v>0.626</v>
      </c>
      <c r="E19" s="22">
        <v>0.057</v>
      </c>
      <c r="F19" s="22">
        <v>0.371</v>
      </c>
      <c r="G19" s="22">
        <v>0.017</v>
      </c>
      <c r="H19" s="23">
        <v>1.269</v>
      </c>
      <c r="I19" s="18">
        <v>35.24</v>
      </c>
      <c r="J19" s="19">
        <v>9.7075</v>
      </c>
      <c r="K19" s="17">
        <v>0</v>
      </c>
      <c r="L19" s="20">
        <v>35.25</v>
      </c>
      <c r="M19" s="21">
        <f>=0</f>
        <v>0</v>
      </c>
      <c r="N19" s="16" t="s"/>
      <c r="O19" s="16" t="s"/>
    </row>
    <row r="20" spans="1:15">
      <c r="A20" s="16" t="s">
        <v>79</v>
      </c>
      <c r="B20" s="16" t="s">
        <v>80</v>
      </c>
      <c r="C20" s="16" t="s">
        <v>64</v>
      </c>
      <c r="D20" s="22">
        <v>0.727</v>
      </c>
      <c r="E20" s="22">
        <v>0.067</v>
      </c>
      <c r="F20" s="22">
        <v>0.467</v>
      </c>
      <c r="G20" s="22">
        <v>0.022</v>
      </c>
      <c r="H20" s="23">
        <v>1.599</v>
      </c>
      <c r="I20" s="18">
        <v>44.4</v>
      </c>
      <c r="J20" s="19">
        <v>12.2375</v>
      </c>
      <c r="K20" s="17">
        <v>0</v>
      </c>
      <c r="L20" s="20">
        <v>44.41</v>
      </c>
      <c r="M20" s="21">
        <f>=0</f>
        <v>0</v>
      </c>
      <c r="N20" s="16" t="s"/>
      <c r="O20" s="16" t="s"/>
    </row>
    <row r="21" spans="1:15">
      <c r="A21" s="16" t="s">
        <v>79</v>
      </c>
      <c r="B21" s="16" t="s">
        <v>80</v>
      </c>
      <c r="C21" s="16" t="s">
        <v>65</v>
      </c>
      <c r="D21" s="22">
        <v>1.702</v>
      </c>
      <c r="E21" s="22">
        <v>0.155</v>
      </c>
      <c r="F21" s="22">
        <v>1.037</v>
      </c>
      <c r="G21" s="22">
        <v>0.048</v>
      </c>
      <c r="H21" s="23">
        <v>3.555</v>
      </c>
      <c r="I21" s="18">
        <v>98.73</v>
      </c>
      <c r="J21" s="19">
        <v>27.17</v>
      </c>
      <c r="K21" s="17">
        <v>0</v>
      </c>
      <c r="L21" s="20">
        <v>98.74</v>
      </c>
      <c r="M21" s="21">
        <f>=0</f>
        <v>0</v>
      </c>
      <c r="N21" s="16" t="s"/>
      <c r="O21" s="16" t="s"/>
    </row>
    <row r="22" spans="1:15">
      <c r="A22" s="16" t="s">
        <v>79</v>
      </c>
      <c r="B22" s="16" t="s">
        <v>80</v>
      </c>
      <c r="C22" s="16" t="s">
        <v>81</v>
      </c>
      <c r="D22" s="22">
        <v>1.236</v>
      </c>
      <c r="E22" s="22">
        <v>0.113</v>
      </c>
      <c r="F22" s="22">
        <v>0.589</v>
      </c>
      <c r="G22" s="22">
        <v>0.027</v>
      </c>
      <c r="H22" s="23">
        <v>2.017</v>
      </c>
      <c r="I22" s="18">
        <v>56.02</v>
      </c>
      <c r="J22" s="19">
        <v>15.4275</v>
      </c>
      <c r="K22" s="17">
        <v>0</v>
      </c>
      <c r="L22" s="20">
        <v>58.98</v>
      </c>
      <c r="M22" s="21">
        <f>=0</f>
        <v>0</v>
      </c>
      <c r="N22" s="16" t="s"/>
      <c r="O22" s="16" t="s"/>
    </row>
    <row r="23" spans="1:15">
      <c r="A23" s="16" t="s">
        <v>79</v>
      </c>
      <c r="B23" s="16" t="s">
        <v>82</v>
      </c>
      <c r="C23" s="16" t="s"/>
      <c r="D23" s="22">
        <v>0.718</v>
      </c>
      <c r="E23" s="22">
        <v>0.066</v>
      </c>
      <c r="F23" s="22">
        <v>0.589</v>
      </c>
      <c r="G23" s="22">
        <v>0.027</v>
      </c>
      <c r="H23" s="23">
        <v>2.017</v>
      </c>
      <c r="I23" s="18">
        <v>56.02</v>
      </c>
      <c r="J23" s="19">
        <v>15.4275</v>
      </c>
      <c r="K23" s="17">
        <v>0</v>
      </c>
      <c r="L23" s="20">
        <v>58.98</v>
      </c>
      <c r="M23" s="21">
        <f>=0</f>
        <v>0</v>
      </c>
      <c r="N23" s="16" t="s"/>
      <c r="O23" s="16" t="s"/>
    </row>
    <row r="24" spans="1:15">
      <c r="A24" s="16" t="s">
        <v>79</v>
      </c>
      <c r="B24" s="16" t="s">
        <v>83</v>
      </c>
      <c r="C24" s="16" t="s"/>
      <c r="D24" s="22">
        <v>0.473</v>
      </c>
      <c r="E24" s="22">
        <v>0.043</v>
      </c>
      <c r="F24" s="22">
        <v>0.473</v>
      </c>
      <c r="G24" s="22">
        <v>0.022</v>
      </c>
      <c r="H24" s="23">
        <v>0</v>
      </c>
      <c r="I24" s="18">
        <v>45.01</v>
      </c>
      <c r="J24" s="19">
        <v>12.4025</v>
      </c>
      <c r="K24" s="17">
        <v>0</v>
      </c>
      <c r="L24" s="20">
        <v>45.02</v>
      </c>
      <c r="M24" s="21">
        <f>=0</f>
        <v>0</v>
      </c>
      <c r="N24" s="16" t="s"/>
      <c r="O24" s="16" t="s"/>
    </row>
    <row r="25" spans="1:15">
      <c r="A25" s="16" t="s">
        <v>79</v>
      </c>
      <c r="B25" s="16" t="s">
        <v>84</v>
      </c>
      <c r="C25" s="16" t="s"/>
      <c r="D25" s="22">
        <v>5.397</v>
      </c>
      <c r="E25" s="22">
        <v>0.491</v>
      </c>
      <c r="F25" s="22">
        <v>4.554</v>
      </c>
      <c r="G25" s="22">
        <v>0.207</v>
      </c>
      <c r="H25" s="23">
        <v>0</v>
      </c>
      <c r="I25" s="18">
        <v>430.73</v>
      </c>
      <c r="J25" s="19">
        <v>148.61</v>
      </c>
      <c r="K25" s="17">
        <v>0</v>
      </c>
      <c r="L25" s="20">
        <v>175.04</v>
      </c>
      <c r="M25" s="21">
        <f>=0</f>
        <v>0</v>
      </c>
      <c r="N25" s="16" t="s"/>
      <c r="O25" s="16" t="s"/>
    </row>
    <row r="26" spans="1:15">
      <c r="A26" s="16" t="s">
        <v>79</v>
      </c>
      <c r="B26" s="16" t="s">
        <v>85</v>
      </c>
      <c r="C26" s="16" t="s"/>
      <c r="D26" s="22">
        <v>0.351</v>
      </c>
      <c r="E26" s="22">
        <v>0.032</v>
      </c>
      <c r="F26" s="22">
        <v>0.176</v>
      </c>
      <c r="G26" s="22">
        <v>0.008</v>
      </c>
      <c r="H26" s="23">
        <v>0.601</v>
      </c>
      <c r="I26" s="18">
        <v>16.68</v>
      </c>
      <c r="J26" s="19">
        <v>16.06</v>
      </c>
      <c r="K26" s="17">
        <v>0</v>
      </c>
      <c r="L26" s="20">
        <v>16.69</v>
      </c>
      <c r="M26" s="21">
        <f>=0</f>
        <v>0</v>
      </c>
      <c r="N26" s="16" t="s"/>
      <c r="O26" s="16" t="s"/>
    </row>
    <row r="27" spans="1:15">
      <c r="A27" s="16" t="s">
        <v>79</v>
      </c>
      <c r="B27" s="16" t="s">
        <v>86</v>
      </c>
      <c r="C27" s="16" t="s"/>
      <c r="D27" s="22">
        <v>2.279</v>
      </c>
      <c r="E27" s="22">
        <v>0.208</v>
      </c>
      <c r="F27" s="22">
        <v>1.995</v>
      </c>
      <c r="G27" s="22">
        <v>0.091</v>
      </c>
      <c r="H27" s="23">
        <v>3.239</v>
      </c>
      <c r="I27" s="18">
        <v>89.96</v>
      </c>
      <c r="J27" s="19">
        <v>24.75</v>
      </c>
      <c r="K27" s="17">
        <v>0</v>
      </c>
      <c r="L27" s="20">
        <v>239.97</v>
      </c>
      <c r="M27" s="21">
        <f>=0</f>
        <v>0</v>
      </c>
      <c r="N27" s="16" t="s"/>
      <c r="O27" s="16" t="s"/>
    </row>
    <row r="28" spans="1:15">
      <c r="A28" s="16" t="s">
        <v>79</v>
      </c>
      <c r="B28" s="16" t="s">
        <v>87</v>
      </c>
      <c r="C28" s="16" t="s"/>
      <c r="D28" s="22">
        <v>5.362</v>
      </c>
      <c r="E28" s="22">
        <v>0.488</v>
      </c>
      <c r="F28" s="22">
        <v>1.592</v>
      </c>
      <c r="G28" s="22">
        <v>0.073</v>
      </c>
      <c r="H28" s="23">
        <v>0</v>
      </c>
      <c r="I28" s="18">
        <v>367.86</v>
      </c>
      <c r="J28" s="19">
        <v>229.185</v>
      </c>
      <c r="K28" s="17">
        <v>0</v>
      </c>
      <c r="L28" s="20">
        <v>168.37</v>
      </c>
      <c r="M28" s="21">
        <f>=0</f>
        <v>0</v>
      </c>
      <c r="N28" s="16" t="s"/>
      <c r="O28" s="16" t="s"/>
    </row>
    <row r="29" spans="1:15">
      <c r="A29" s="16" t="s">
        <v>79</v>
      </c>
      <c r="B29" s="16" t="s">
        <v>88</v>
      </c>
      <c r="C29" s="16" t="s"/>
      <c r="D29" s="22">
        <v>15.711</v>
      </c>
      <c r="E29" s="22">
        <v>1.429</v>
      </c>
      <c r="F29" s="22">
        <v>1.181</v>
      </c>
      <c r="G29" s="22">
        <v>0.054</v>
      </c>
      <c r="H29" s="23">
        <v>0</v>
      </c>
      <c r="I29" s="18">
        <v>124.96</v>
      </c>
      <c r="J29" s="19">
        <v>0</v>
      </c>
      <c r="K29" s="17">
        <v>0</v>
      </c>
      <c r="L29" s="20">
        <v>624.97</v>
      </c>
      <c r="M29" s="21">
        <f>=0</f>
        <v>0</v>
      </c>
      <c r="N29" s="16" t="s"/>
      <c r="O29" s="16" t="s"/>
    </row>
    <row r="30" spans="1:15">
      <c r="A30" s="16" t="s">
        <v>79</v>
      </c>
      <c r="B30" s="16" t="s">
        <v>89</v>
      </c>
      <c r="C30" s="16" t="s"/>
      <c r="D30" s="22">
        <v>0.945</v>
      </c>
      <c r="E30" s="22">
        <v>0.086</v>
      </c>
      <c r="F30" s="22">
        <v>0.945</v>
      </c>
      <c r="G30" s="22">
        <v>0.043</v>
      </c>
      <c r="H30" s="23">
        <v>3.239</v>
      </c>
      <c r="I30" s="18">
        <v>89.96</v>
      </c>
      <c r="J30" s="19">
        <v>24.75</v>
      </c>
      <c r="K30" s="17">
        <v>0</v>
      </c>
      <c r="L30" s="20">
        <v>44.99</v>
      </c>
      <c r="M30" s="21">
        <f>=0</f>
        <v>0</v>
      </c>
      <c r="N30" s="16" t="s"/>
      <c r="O30" s="16" t="s"/>
    </row>
    <row r="31" spans="1:15">
      <c r="A31" s="16" t="s">
        <v>79</v>
      </c>
      <c r="B31" s="16" t="s">
        <v>90</v>
      </c>
      <c r="C31" s="16" t="s">
        <v>75</v>
      </c>
      <c r="D31" s="22">
        <v>0</v>
      </c>
      <c r="E31" s="22">
        <v>0</v>
      </c>
      <c r="F31" s="22">
        <v>2.59</v>
      </c>
      <c r="G31" s="22">
        <v>0.118</v>
      </c>
      <c r="H31" s="23">
        <v>0</v>
      </c>
      <c r="I31" s="18">
        <v>0</v>
      </c>
      <c r="J31" s="19">
        <v>0</v>
      </c>
      <c r="K31" s="17">
        <v>0</v>
      </c>
      <c r="L31" s="20">
        <v>366.64</v>
      </c>
      <c r="M31" s="21">
        <f>=0</f>
        <v>0</v>
      </c>
      <c r="N31" s="16" t="s"/>
      <c r="O31" s="16" t="s"/>
    </row>
    <row r="32" spans="1:15">
      <c r="A32" s="16" t="s">
        <v>79</v>
      </c>
      <c r="B32" s="16" t="s">
        <v>90</v>
      </c>
      <c r="C32" s="16" t="s">
        <v>76</v>
      </c>
      <c r="D32" s="22">
        <v>0</v>
      </c>
      <c r="E32" s="22">
        <v>0</v>
      </c>
      <c r="F32" s="22">
        <v>3.273</v>
      </c>
      <c r="G32" s="22">
        <v>0.149</v>
      </c>
      <c r="H32" s="23">
        <v>0</v>
      </c>
      <c r="I32" s="18">
        <v>0</v>
      </c>
      <c r="J32" s="19">
        <v>0</v>
      </c>
      <c r="K32" s="17">
        <v>0</v>
      </c>
      <c r="L32" s="20">
        <v>416.64</v>
      </c>
      <c r="M32" s="21">
        <f>=0</f>
        <v>0</v>
      </c>
      <c r="N32" s="16" t="s"/>
      <c r="O32" s="16" t="s"/>
    </row>
    <row r="33" spans="1:15">
      <c r="A33" s="16" t="s">
        <v>79</v>
      </c>
      <c r="B33" s="16" t="s">
        <v>90</v>
      </c>
      <c r="C33" s="16" t="s">
        <v>77</v>
      </c>
      <c r="D33" s="22">
        <v>0</v>
      </c>
      <c r="E33" s="22">
        <v>0</v>
      </c>
      <c r="F33" s="22">
        <v>1.593</v>
      </c>
      <c r="G33" s="22">
        <v>0.073</v>
      </c>
      <c r="H33" s="23">
        <v>0</v>
      </c>
      <c r="I33" s="18">
        <v>0</v>
      </c>
      <c r="J33" s="19">
        <v>0</v>
      </c>
      <c r="K33" s="17">
        <v>0</v>
      </c>
      <c r="L33" s="20">
        <v>116.64</v>
      </c>
      <c r="M33" s="21">
        <f>=0</f>
        <v>0</v>
      </c>
      <c r="N33" s="16" t="s"/>
      <c r="O33" s="16" t="s"/>
    </row>
    <row r="34" spans="1:15">
      <c r="A34" s="16" t="s">
        <v>79</v>
      </c>
      <c r="B34" s="16" t="s">
        <v>91</v>
      </c>
      <c r="C34" s="16" t="s"/>
      <c r="D34" s="22">
        <v>3.004</v>
      </c>
      <c r="E34" s="22">
        <v>0.274</v>
      </c>
      <c r="F34" s="22">
        <v>2.581</v>
      </c>
      <c r="G34" s="22">
        <v>0.118</v>
      </c>
      <c r="H34" s="23">
        <v>0</v>
      </c>
      <c r="I34" s="18">
        <v>265.92</v>
      </c>
      <c r="J34" s="19">
        <v>89.76</v>
      </c>
      <c r="K34" s="17">
        <v>0</v>
      </c>
      <c r="L34" s="20">
        <v>124.97</v>
      </c>
      <c r="M34" s="21">
        <f>=0</f>
        <v>0</v>
      </c>
      <c r="N34" s="16" t="s"/>
      <c r="O34" s="16" t="s"/>
    </row>
    <row r="35" spans="1:15">
      <c r="A35" s="16" t="s">
        <v>92</v>
      </c>
      <c r="B35" s="16" t="s">
        <v>93</v>
      </c>
      <c r="C35" s="16" t="s">
        <v>14616</v>
      </c>
      <c r="D35" s="22">
        <v>0.389</v>
      </c>
      <c r="E35" s="22">
        <v>0.036</v>
      </c>
      <c r="F35" s="22">
        <v>0.195</v>
      </c>
      <c r="G35" s="22">
        <v>0.009</v>
      </c>
      <c r="H35" s="23">
        <v>0.7</v>
      </c>
      <c r="I35" s="18">
        <v>0</v>
      </c>
      <c r="J35" s="19">
        <v>5.3625</v>
      </c>
      <c r="K35" s="17">
        <v>0</v>
      </c>
      <c r="L35" s="20">
        <v>19.43</v>
      </c>
      <c r="M35" s="21">
        <f>=0</f>
        <v>0</v>
      </c>
      <c r="N35" s="16" t="s"/>
      <c r="O35" s="16" t="s"/>
    </row>
    <row r="36" spans="1:15">
      <c r="A36" s="16" t="s">
        <v>92</v>
      </c>
      <c r="B36" s="16" t="s">
        <v>93</v>
      </c>
      <c r="C36" s="16" t="s">
        <v>14617</v>
      </c>
      <c r="D36" s="22">
        <v>0.271</v>
      </c>
      <c r="E36" s="22">
        <v>0.025</v>
      </c>
      <c r="F36" s="22">
        <v>0.209</v>
      </c>
      <c r="G36" s="22">
        <v>0.01</v>
      </c>
      <c r="H36" s="23">
        <v>0.7</v>
      </c>
      <c r="I36" s="18">
        <v>0</v>
      </c>
      <c r="J36" s="19">
        <v>5.3625</v>
      </c>
      <c r="K36" s="17">
        <v>0</v>
      </c>
      <c r="L36" s="20">
        <v>20.82</v>
      </c>
      <c r="M36" s="21">
        <f>=0</f>
        <v>0</v>
      </c>
      <c r="N36" s="16" t="s"/>
      <c r="O36" s="16" t="s"/>
    </row>
    <row r="37" spans="1:15">
      <c r="A37" s="16" t="s">
        <v>92</v>
      </c>
      <c r="B37" s="16" t="s">
        <v>94</v>
      </c>
      <c r="C37" s="16" t="s">
        <v>14616</v>
      </c>
      <c r="D37" s="22">
        <v>0.389</v>
      </c>
      <c r="E37" s="22">
        <v>0.036</v>
      </c>
      <c r="F37" s="22">
        <v>0.195</v>
      </c>
      <c r="G37" s="22">
        <v>0.009</v>
      </c>
      <c r="H37" s="23">
        <v>0.7</v>
      </c>
      <c r="I37" s="18">
        <v>0</v>
      </c>
      <c r="J37" s="19">
        <v>5.3625</v>
      </c>
      <c r="K37" s="17">
        <v>0</v>
      </c>
      <c r="L37" s="20">
        <v>19.43</v>
      </c>
      <c r="M37" s="21">
        <f>=0</f>
        <v>0</v>
      </c>
      <c r="N37" s="16" t="s"/>
      <c r="O37" s="16" t="s"/>
    </row>
    <row r="38" spans="1:15">
      <c r="A38" s="16" t="s">
        <v>92</v>
      </c>
      <c r="B38" s="16" t="s">
        <v>94</v>
      </c>
      <c r="C38" s="16" t="s">
        <v>14617</v>
      </c>
      <c r="D38" s="22">
        <v>0.494</v>
      </c>
      <c r="E38" s="22">
        <v>0.045</v>
      </c>
      <c r="F38" s="22">
        <v>0.209</v>
      </c>
      <c r="G38" s="22">
        <v>0.01</v>
      </c>
      <c r="H38" s="23">
        <v>0.7</v>
      </c>
      <c r="I38" s="18">
        <v>0</v>
      </c>
      <c r="J38" s="19">
        <v>5.3625</v>
      </c>
      <c r="K38" s="17">
        <v>0</v>
      </c>
      <c r="L38" s="20">
        <v>20.82</v>
      </c>
      <c r="M38" s="21">
        <f>=0</f>
        <v>0</v>
      </c>
      <c r="N38" s="16" t="s"/>
      <c r="O38" s="16" t="s"/>
    </row>
    <row r="39" spans="1:15">
      <c r="A39" s="16" t="s">
        <v>92</v>
      </c>
      <c r="B39" s="16" t="s">
        <v>93</v>
      </c>
      <c r="C39" s="16" t="s">
        <v>14618</v>
      </c>
      <c r="D39" s="22">
        <v>0.353</v>
      </c>
      <c r="E39" s="22">
        <v>0.033</v>
      </c>
      <c r="F39" s="22">
        <v>0.29</v>
      </c>
      <c r="G39" s="22">
        <v>0.014</v>
      </c>
      <c r="H39" s="23">
        <v>1.041</v>
      </c>
      <c r="I39" s="18">
        <v>0</v>
      </c>
      <c r="J39" s="19">
        <v>7.975</v>
      </c>
      <c r="K39" s="17">
        <v>0</v>
      </c>
      <c r="L39" s="20">
        <v>28.92</v>
      </c>
      <c r="M39" s="21">
        <f>=0</f>
        <v>0</v>
      </c>
      <c r="N39" s="16" t="s"/>
      <c r="O39" s="16" t="s"/>
    </row>
    <row r="40" spans="1:15">
      <c r="A40" s="16" t="s">
        <v>92</v>
      </c>
      <c r="B40" s="16" t="s">
        <v>93</v>
      </c>
      <c r="C40" s="16" t="s">
        <v>14619</v>
      </c>
      <c r="D40" s="22">
        <v>0.361</v>
      </c>
      <c r="E40" s="22">
        <v>0.033</v>
      </c>
      <c r="F40" s="22">
        <v>0.278</v>
      </c>
      <c r="G40" s="22">
        <v>0.013</v>
      </c>
      <c r="H40" s="23">
        <v>1.041</v>
      </c>
      <c r="I40" s="18">
        <v>0</v>
      </c>
      <c r="J40" s="19">
        <v>7.975</v>
      </c>
      <c r="K40" s="17">
        <v>0</v>
      </c>
      <c r="L40" s="20">
        <v>27.75</v>
      </c>
      <c r="M40" s="21">
        <f>=0</f>
        <v>0</v>
      </c>
      <c r="N40" s="16" t="s"/>
      <c r="O40" s="16" t="s"/>
    </row>
    <row r="41" spans="1:15">
      <c r="A41" s="16" t="s">
        <v>92</v>
      </c>
      <c r="B41" s="16" t="s">
        <v>94</v>
      </c>
      <c r="C41" s="16" t="s">
        <v>14618</v>
      </c>
      <c r="D41" s="22">
        <v>0.353</v>
      </c>
      <c r="E41" s="22">
        <v>0.033</v>
      </c>
      <c r="F41" s="22">
        <v>0.29</v>
      </c>
      <c r="G41" s="22">
        <v>0.014</v>
      </c>
      <c r="H41" s="23">
        <v>1.041</v>
      </c>
      <c r="I41" s="18">
        <v>0</v>
      </c>
      <c r="J41" s="19">
        <v>7.975</v>
      </c>
      <c r="K41" s="17">
        <v>0</v>
      </c>
      <c r="L41" s="20">
        <v>28.92</v>
      </c>
      <c r="M41" s="21">
        <f>=0</f>
        <v>0</v>
      </c>
      <c r="N41" s="16" t="s"/>
      <c r="O41" s="16" t="s"/>
    </row>
    <row r="42" spans="1:15">
      <c r="A42" s="16" t="s">
        <v>92</v>
      </c>
      <c r="B42" s="16" t="s">
        <v>94</v>
      </c>
      <c r="C42" s="16" t="s">
        <v>14619</v>
      </c>
      <c r="D42" s="22">
        <v>0.658</v>
      </c>
      <c r="E42" s="22">
        <v>0.06</v>
      </c>
      <c r="F42" s="22">
        <v>0.278</v>
      </c>
      <c r="G42" s="22">
        <v>0.013</v>
      </c>
      <c r="H42" s="23">
        <v>1.041</v>
      </c>
      <c r="I42" s="18">
        <v>0</v>
      </c>
      <c r="J42" s="19">
        <v>7.975</v>
      </c>
      <c r="K42" s="17">
        <v>0</v>
      </c>
      <c r="L42" s="20">
        <v>27.75</v>
      </c>
      <c r="M42" s="21">
        <f>=0</f>
        <v>0</v>
      </c>
      <c r="N42" s="16" t="s"/>
      <c r="O42" s="16" t="s"/>
    </row>
    <row r="43" spans="1:15">
      <c r="A43" s="16" t="s">
        <v>92</v>
      </c>
      <c r="B43" s="16" t="s">
        <v>93</v>
      </c>
      <c r="C43" s="16" t="s">
        <v>14620</v>
      </c>
      <c r="D43" s="22">
        <v>1.243</v>
      </c>
      <c r="E43" s="22">
        <v>0.113</v>
      </c>
      <c r="F43" s="22">
        <v>1.043</v>
      </c>
      <c r="G43" s="22">
        <v>0.048</v>
      </c>
      <c r="H43" s="23">
        <v>3.754</v>
      </c>
      <c r="I43" s="18">
        <v>0</v>
      </c>
      <c r="J43" s="19">
        <v>28.6825</v>
      </c>
      <c r="K43" s="17">
        <v>0</v>
      </c>
      <c r="L43" s="20">
        <v>104.27</v>
      </c>
      <c r="M43" s="21">
        <f>=0</f>
        <v>0</v>
      </c>
      <c r="N43" s="16" t="s"/>
      <c r="O43" s="16" t="s"/>
    </row>
    <row r="44" spans="1:15">
      <c r="A44" s="16" t="s">
        <v>92</v>
      </c>
      <c r="B44" s="16" t="s">
        <v>93</v>
      </c>
      <c r="C44" s="16" t="s">
        <v>14621</v>
      </c>
      <c r="D44" s="22">
        <v>1.804</v>
      </c>
      <c r="E44" s="22">
        <v>0.164</v>
      </c>
      <c r="F44" s="22">
        <v>1.388</v>
      </c>
      <c r="G44" s="22">
        <v>0.064</v>
      </c>
      <c r="H44" s="23">
        <v>3.754</v>
      </c>
      <c r="I44" s="18">
        <v>0</v>
      </c>
      <c r="J44" s="19">
        <v>28.6825</v>
      </c>
      <c r="K44" s="17">
        <v>0</v>
      </c>
      <c r="L44" s="20">
        <v>104.06</v>
      </c>
      <c r="M44" s="21">
        <f>=0</f>
        <v>0</v>
      </c>
      <c r="N44" s="16" t="s"/>
      <c r="O44" s="16" t="s"/>
    </row>
    <row r="45" spans="1:15">
      <c r="A45" s="16" t="s">
        <v>92</v>
      </c>
      <c r="B45" s="16" t="s">
        <v>94</v>
      </c>
      <c r="C45" s="16" t="s">
        <v>14620</v>
      </c>
      <c r="D45" s="22">
        <v>1.243</v>
      </c>
      <c r="E45" s="22">
        <v>0.113</v>
      </c>
      <c r="F45" s="22">
        <v>1.043</v>
      </c>
      <c r="G45" s="22">
        <v>0.048</v>
      </c>
      <c r="H45" s="23">
        <v>3.754</v>
      </c>
      <c r="I45" s="18">
        <v>0</v>
      </c>
      <c r="J45" s="19">
        <v>28.6825</v>
      </c>
      <c r="K45" s="17">
        <v>0</v>
      </c>
      <c r="L45" s="20">
        <v>104.27</v>
      </c>
      <c r="M45" s="21">
        <f>=0</f>
        <v>0</v>
      </c>
      <c r="N45" s="16" t="s"/>
      <c r="O45" s="16" t="s"/>
    </row>
    <row r="46" spans="1:15">
      <c r="A46" s="16" t="s">
        <v>92</v>
      </c>
      <c r="B46" s="16" t="s">
        <v>94</v>
      </c>
      <c r="C46" s="16" t="s">
        <v>14621</v>
      </c>
      <c r="D46" s="22">
        <v>3.29</v>
      </c>
      <c r="E46" s="22">
        <v>0.3</v>
      </c>
      <c r="F46" s="22">
        <v>1.388</v>
      </c>
      <c r="G46" s="22">
        <v>0.064</v>
      </c>
      <c r="H46" s="23">
        <v>3.754</v>
      </c>
      <c r="I46" s="18">
        <v>0</v>
      </c>
      <c r="J46" s="19">
        <v>28.6825</v>
      </c>
      <c r="K46" s="17">
        <v>0</v>
      </c>
      <c r="L46" s="20">
        <v>104.06</v>
      </c>
      <c r="M46" s="21">
        <f>=0</f>
        <v>0</v>
      </c>
      <c r="N46" s="16" t="s"/>
      <c r="O46" s="16" t="s"/>
    </row>
    <row r="47" spans="1:15">
      <c r="A47" s="16" t="s">
        <v>92</v>
      </c>
      <c r="B47" s="16" t="s">
        <v>95</v>
      </c>
      <c r="C47" s="16" t="s">
        <v>96</v>
      </c>
      <c r="D47" s="22">
        <v>0.263</v>
      </c>
      <c r="E47" s="22">
        <v>0.024</v>
      </c>
      <c r="F47" s="22">
        <v>0.25</v>
      </c>
      <c r="G47" s="22">
        <v>0.012</v>
      </c>
      <c r="H47" s="23">
        <v>0</v>
      </c>
      <c r="I47" s="18">
        <v>26.24</v>
      </c>
      <c r="J47" s="19">
        <v>7.2325</v>
      </c>
      <c r="K47" s="17">
        <v>0</v>
      </c>
      <c r="L47" s="20">
        <v>26.25</v>
      </c>
      <c r="M47" s="21">
        <f>=0</f>
        <v>0</v>
      </c>
      <c r="N47" s="16" t="s"/>
      <c r="O47" s="16" t="s"/>
    </row>
    <row r="48" spans="1:15">
      <c r="A48" s="16" t="s">
        <v>92</v>
      </c>
      <c r="B48" s="16" t="s">
        <v>95</v>
      </c>
      <c r="C48" s="16" t="s">
        <v>97</v>
      </c>
      <c r="D48" s="22">
        <v>0.263</v>
      </c>
      <c r="E48" s="22">
        <v>0.024</v>
      </c>
      <c r="F48" s="22">
        <v>0.25</v>
      </c>
      <c r="G48" s="22">
        <v>0.012</v>
      </c>
      <c r="H48" s="23">
        <v>0</v>
      </c>
      <c r="I48" s="18">
        <v>26.24</v>
      </c>
      <c r="J48" s="19">
        <v>7.2325</v>
      </c>
      <c r="K48" s="17">
        <v>0</v>
      </c>
      <c r="L48" s="20">
        <v>26.25</v>
      </c>
      <c r="M48" s="21">
        <f>=0</f>
        <v>0</v>
      </c>
      <c r="N48" s="16" t="s"/>
      <c r="O48" s="16" t="s"/>
    </row>
    <row r="49" spans="1:15">
      <c r="A49" s="16" t="s">
        <v>92</v>
      </c>
      <c r="B49" s="16" t="s">
        <v>98</v>
      </c>
      <c r="C49" s="16" t="s">
        <v>99</v>
      </c>
      <c r="D49" s="22">
        <v>2.15</v>
      </c>
      <c r="E49" s="22">
        <v>0.196</v>
      </c>
      <c r="F49" s="22">
        <v>1.798</v>
      </c>
      <c r="G49" s="22">
        <v>0.082</v>
      </c>
      <c r="H49" s="23">
        <v>0</v>
      </c>
      <c r="I49" s="18">
        <v>197.35</v>
      </c>
      <c r="J49" s="19">
        <v>68.805</v>
      </c>
      <c r="K49" s="17">
        <v>0</v>
      </c>
      <c r="L49" s="20">
        <v>74.18</v>
      </c>
      <c r="M49" s="21">
        <f>=0</f>
        <v>0</v>
      </c>
      <c r="N49" s="16" t="s"/>
      <c r="O49" s="16" t="s"/>
    </row>
    <row r="50" spans="1:15">
      <c r="A50" s="16" t="s">
        <v>92</v>
      </c>
      <c r="B50" s="16" t="s">
        <v>98</v>
      </c>
      <c r="C50" s="16" t="s">
        <v>14622</v>
      </c>
      <c r="D50" s="22">
        <v>1.075</v>
      </c>
      <c r="E50" s="22">
        <v>0.098</v>
      </c>
      <c r="F50" s="22">
        <v>0.899</v>
      </c>
      <c r="G50" s="22">
        <v>0.041</v>
      </c>
      <c r="H50" s="23">
        <v>0</v>
      </c>
      <c r="I50" s="18">
        <v>98.67</v>
      </c>
      <c r="J50" s="19">
        <v>34.4025</v>
      </c>
      <c r="K50" s="17">
        <v>0</v>
      </c>
      <c r="L50" s="20">
        <v>37.09</v>
      </c>
      <c r="M50" s="21">
        <f>=0</f>
        <v>0</v>
      </c>
      <c r="N50" s="16" t="s"/>
      <c r="O50" s="16" t="s"/>
    </row>
    <row r="51" spans="1:15">
      <c r="A51" s="16" t="s">
        <v>92</v>
      </c>
      <c r="B51" s="16" t="s">
        <v>98</v>
      </c>
      <c r="C51" s="16" t="s">
        <v>14623</v>
      </c>
      <c r="D51" s="22">
        <v>1.075</v>
      </c>
      <c r="E51" s="22">
        <v>0.098</v>
      </c>
      <c r="F51" s="22">
        <v>0.899</v>
      </c>
      <c r="G51" s="22">
        <v>0.041</v>
      </c>
      <c r="H51" s="23">
        <v>0</v>
      </c>
      <c r="I51" s="18">
        <v>98.67</v>
      </c>
      <c r="J51" s="19">
        <v>34.4025</v>
      </c>
      <c r="K51" s="17">
        <v>0</v>
      </c>
      <c r="L51" s="20">
        <v>37.09</v>
      </c>
      <c r="M51" s="21">
        <f>=0</f>
        <v>0</v>
      </c>
      <c r="N51" s="16" t="s"/>
      <c r="O51" s="16" t="s"/>
    </row>
    <row r="52" spans="1:15">
      <c r="A52" s="16" t="s">
        <v>92</v>
      </c>
      <c r="B52" s="16" t="s">
        <v>98</v>
      </c>
      <c r="C52" s="16" t="s">
        <v>100</v>
      </c>
      <c r="D52" s="22">
        <v>3.87</v>
      </c>
      <c r="E52" s="22">
        <v>0.352</v>
      </c>
      <c r="F52" s="22">
        <v>3.236</v>
      </c>
      <c r="G52" s="22">
        <v>0.148</v>
      </c>
      <c r="H52" s="23">
        <v>0</v>
      </c>
      <c r="I52" s="18">
        <v>394.71</v>
      </c>
      <c r="J52" s="19">
        <v>137.61</v>
      </c>
      <c r="K52" s="17">
        <v>0</v>
      </c>
      <c r="L52" s="20">
        <v>148.35</v>
      </c>
      <c r="M52" s="21">
        <f>=0</f>
        <v>0</v>
      </c>
      <c r="N52" s="16" t="s"/>
      <c r="O52" s="16" t="s"/>
    </row>
    <row r="53" spans="1:15">
      <c r="A53" s="16" t="s">
        <v>92</v>
      </c>
      <c r="B53" s="16" t="s">
        <v>101</v>
      </c>
      <c r="C53" s="16" t="s">
        <v>14624</v>
      </c>
      <c r="D53" s="22">
        <v>0.412</v>
      </c>
      <c r="E53" s="22">
        <v>0.038</v>
      </c>
      <c r="F53" s="22">
        <v>0.29</v>
      </c>
      <c r="G53" s="22">
        <v>0.014</v>
      </c>
      <c r="H53" s="23">
        <v>1.02</v>
      </c>
      <c r="I53" s="18">
        <v>0</v>
      </c>
      <c r="J53" s="19">
        <v>7.81</v>
      </c>
      <c r="K53" s="17">
        <v>0</v>
      </c>
      <c r="L53" s="20">
        <v>28.91</v>
      </c>
      <c r="M53" s="21">
        <f>=0</f>
        <v>0</v>
      </c>
      <c r="N53" s="16" t="s"/>
      <c r="O53" s="16" t="s"/>
    </row>
    <row r="54" spans="1:15">
      <c r="A54" s="16" t="s">
        <v>92</v>
      </c>
      <c r="B54" s="16" t="s">
        <v>101</v>
      </c>
      <c r="C54" s="16" t="s">
        <v>14625</v>
      </c>
      <c r="D54" s="22">
        <v>1.173</v>
      </c>
      <c r="E54" s="22">
        <v>0.107</v>
      </c>
      <c r="F54" s="22">
        <v>0.451</v>
      </c>
      <c r="G54" s="22">
        <v>0.021</v>
      </c>
      <c r="H54" s="23">
        <v>1.02</v>
      </c>
      <c r="I54" s="18">
        <v>0</v>
      </c>
      <c r="J54" s="19">
        <v>7.81</v>
      </c>
      <c r="K54" s="17">
        <v>0</v>
      </c>
      <c r="L54" s="20">
        <v>45.09</v>
      </c>
      <c r="M54" s="21">
        <f>=0</f>
        <v>0</v>
      </c>
      <c r="N54" s="16" t="s"/>
      <c r="O54" s="16" t="s"/>
    </row>
    <row r="55" spans="1:15">
      <c r="A55" s="16" t="s">
        <v>92</v>
      </c>
      <c r="B55" s="16" t="s">
        <v>101</v>
      </c>
      <c r="C55" s="16" t="s">
        <v>102</v>
      </c>
      <c r="D55" s="22">
        <v>0.6</v>
      </c>
      <c r="E55" s="22">
        <v>0.055</v>
      </c>
      <c r="F55" s="22">
        <v>0.6</v>
      </c>
      <c r="G55" s="22">
        <v>0.028</v>
      </c>
      <c r="H55" s="23">
        <v>2.159</v>
      </c>
      <c r="I55" s="18">
        <v>0</v>
      </c>
      <c r="J55" s="19">
        <v>8.25</v>
      </c>
      <c r="K55" s="17">
        <v>0</v>
      </c>
      <c r="L55" s="20">
        <v>29.99</v>
      </c>
      <c r="M55" s="21">
        <f>=0</f>
        <v>0</v>
      </c>
      <c r="N55" s="16" t="s"/>
      <c r="O55" s="16" t="s"/>
    </row>
    <row r="56" spans="1:15">
      <c r="A56" s="16" t="s">
        <v>92</v>
      </c>
      <c r="B56" s="16" t="s">
        <v>103</v>
      </c>
      <c r="C56" s="16" t="s">
        <v>96</v>
      </c>
      <c r="D56" s="22">
        <v>0.912</v>
      </c>
      <c r="E56" s="22">
        <v>0.083</v>
      </c>
      <c r="F56" s="22">
        <v>0.817</v>
      </c>
      <c r="G56" s="22">
        <v>0.038</v>
      </c>
      <c r="H56" s="23">
        <v>2.279</v>
      </c>
      <c r="I56" s="18">
        <v>31.64</v>
      </c>
      <c r="J56" s="19">
        <v>8.7175</v>
      </c>
      <c r="K56" s="17">
        <v>0</v>
      </c>
      <c r="L56" s="20">
        <v>106.65</v>
      </c>
      <c r="M56" s="21">
        <f>=0</f>
        <v>0</v>
      </c>
      <c r="N56" s="16" t="s"/>
      <c r="O56" s="16" t="s"/>
    </row>
    <row r="57" spans="1:15">
      <c r="A57" s="16" t="s">
        <v>92</v>
      </c>
      <c r="B57" s="16" t="s">
        <v>103</v>
      </c>
      <c r="C57" s="16" t="s">
        <v>97</v>
      </c>
      <c r="D57" s="22">
        <v>0.912</v>
      </c>
      <c r="E57" s="22">
        <v>0.083</v>
      </c>
      <c r="F57" s="22">
        <v>0.817</v>
      </c>
      <c r="G57" s="22">
        <v>0.038</v>
      </c>
      <c r="H57" s="23">
        <v>1.919</v>
      </c>
      <c r="I57" s="18">
        <v>31.64</v>
      </c>
      <c r="J57" s="19">
        <v>8.7175</v>
      </c>
      <c r="K57" s="17">
        <v>0</v>
      </c>
      <c r="L57" s="20">
        <v>106.65</v>
      </c>
      <c r="M57" s="21">
        <f>=0</f>
        <v>0</v>
      </c>
      <c r="N57" s="16" t="s"/>
      <c r="O57" s="16" t="s"/>
    </row>
    <row r="58" spans="1:15">
      <c r="A58" s="16" t="s">
        <v>92</v>
      </c>
      <c r="B58" s="16" t="s">
        <v>104</v>
      </c>
      <c r="C58" s="16" t="s">
        <v>14622</v>
      </c>
      <c r="D58" s="22">
        <v>1.048</v>
      </c>
      <c r="E58" s="22">
        <v>0.096</v>
      </c>
      <c r="F58" s="22">
        <v>0.25</v>
      </c>
      <c r="G58" s="22">
        <v>0.012</v>
      </c>
      <c r="H58" s="23">
        <v>0</v>
      </c>
      <c r="I58" s="18">
        <v>64.89</v>
      </c>
      <c r="J58" s="19">
        <v>43.45</v>
      </c>
      <c r="K58" s="17">
        <v>0</v>
      </c>
      <c r="L58" s="20">
        <v>25</v>
      </c>
      <c r="M58" s="21">
        <f>=0</f>
        <v>0</v>
      </c>
      <c r="N58" s="16" t="s"/>
      <c r="O58" s="16" t="s"/>
    </row>
    <row r="59" spans="1:15">
      <c r="A59" s="16" t="s">
        <v>92</v>
      </c>
      <c r="B59" s="16" t="s">
        <v>104</v>
      </c>
      <c r="C59" s="16" t="s">
        <v>14623</v>
      </c>
      <c r="D59" s="22">
        <v>1.048</v>
      </c>
      <c r="E59" s="22">
        <v>0.096</v>
      </c>
      <c r="F59" s="22">
        <v>0.25</v>
      </c>
      <c r="G59" s="22">
        <v>0.012</v>
      </c>
      <c r="H59" s="23">
        <v>0</v>
      </c>
      <c r="I59" s="18">
        <v>64.89</v>
      </c>
      <c r="J59" s="19">
        <v>43.45</v>
      </c>
      <c r="K59" s="17">
        <v>0</v>
      </c>
      <c r="L59" s="20">
        <v>25</v>
      </c>
      <c r="M59" s="21">
        <f>=0</f>
        <v>0</v>
      </c>
      <c r="N59" s="16" t="s"/>
      <c r="O59" s="16" t="s"/>
    </row>
    <row r="60" spans="1:15">
      <c r="A60" s="16" t="s">
        <v>92</v>
      </c>
      <c r="B60" s="16" t="s">
        <v>104</v>
      </c>
      <c r="C60" s="16" t="s">
        <v>100</v>
      </c>
      <c r="D60" s="22">
        <v>2.83</v>
      </c>
      <c r="E60" s="22">
        <v>0.258</v>
      </c>
      <c r="F60" s="22">
        <v>0.675</v>
      </c>
      <c r="G60" s="22">
        <v>0.031</v>
      </c>
      <c r="H60" s="23">
        <v>0</v>
      </c>
      <c r="I60" s="18">
        <v>194.69</v>
      </c>
      <c r="J60" s="19">
        <v>130.35</v>
      </c>
      <c r="K60" s="17">
        <v>0</v>
      </c>
      <c r="L60" s="20">
        <v>75</v>
      </c>
      <c r="M60" s="21">
        <f>=0</f>
        <v>0</v>
      </c>
      <c r="N60" s="16" t="s"/>
      <c r="O60" s="16" t="s"/>
    </row>
    <row r="61" spans="1:15">
      <c r="A61" s="16" t="s">
        <v>92</v>
      </c>
      <c r="B61" s="16" t="s">
        <v>105</v>
      </c>
      <c r="C61" s="16" t="s">
        <v>106</v>
      </c>
      <c r="D61" s="22">
        <v>6.468</v>
      </c>
      <c r="E61" s="22">
        <v>0.588</v>
      </c>
      <c r="F61" s="22">
        <v>0.36</v>
      </c>
      <c r="G61" s="22">
        <v>0.017</v>
      </c>
      <c r="H61" s="23">
        <v>0</v>
      </c>
      <c r="I61" s="18">
        <v>35.99</v>
      </c>
      <c r="J61" s="19">
        <v>0</v>
      </c>
      <c r="K61" s="17">
        <v>0</v>
      </c>
      <c r="L61" s="20">
        <v>236</v>
      </c>
      <c r="M61" s="21">
        <f>=0</f>
        <v>0</v>
      </c>
      <c r="N61" s="16" t="s"/>
      <c r="O61" s="16" t="s"/>
    </row>
    <row r="62" spans="1:15">
      <c r="A62" s="16" t="s">
        <v>92</v>
      </c>
      <c r="B62" s="16" t="s">
        <v>105</v>
      </c>
      <c r="C62" s="16" t="s">
        <v>100</v>
      </c>
      <c r="D62" s="22">
        <v>8.732</v>
      </c>
      <c r="E62" s="22">
        <v>0.794</v>
      </c>
      <c r="F62" s="22">
        <v>0.486</v>
      </c>
      <c r="G62" s="22">
        <v>0.023</v>
      </c>
      <c r="H62" s="23">
        <v>0</v>
      </c>
      <c r="I62" s="18">
        <v>53.99</v>
      </c>
      <c r="J62" s="19">
        <v>0</v>
      </c>
      <c r="K62" s="17">
        <v>0</v>
      </c>
      <c r="L62" s="20">
        <v>354</v>
      </c>
      <c r="M62" s="21">
        <f>=0</f>
        <v>0</v>
      </c>
      <c r="N62" s="16" t="s"/>
      <c r="O62" s="16" t="s"/>
    </row>
    <row r="63" spans="1:15">
      <c r="A63" s="16" t="s">
        <v>92</v>
      </c>
      <c r="B63" s="16" t="s">
        <v>107</v>
      </c>
      <c r="C63" s="16" t="s">
        <v>96</v>
      </c>
      <c r="D63" s="22">
        <v>0.317</v>
      </c>
      <c r="E63" s="22">
        <v>0.029</v>
      </c>
      <c r="F63" s="22">
        <v>0.317</v>
      </c>
      <c r="G63" s="22">
        <v>0.015</v>
      </c>
      <c r="H63" s="23">
        <v>1.14</v>
      </c>
      <c r="I63" s="18">
        <v>31.64</v>
      </c>
      <c r="J63" s="19">
        <v>8.7175</v>
      </c>
      <c r="K63" s="17">
        <v>0</v>
      </c>
      <c r="L63" s="20">
        <v>15.83</v>
      </c>
      <c r="M63" s="21">
        <f>=0</f>
        <v>0</v>
      </c>
      <c r="N63" s="16" t="s"/>
      <c r="O63" s="16" t="s"/>
    </row>
    <row r="64" spans="1:15">
      <c r="A64" s="16" t="s">
        <v>92</v>
      </c>
      <c r="B64" s="16" t="s">
        <v>107</v>
      </c>
      <c r="C64" s="16" t="s">
        <v>97</v>
      </c>
      <c r="D64" s="22">
        <v>0.317</v>
      </c>
      <c r="E64" s="22">
        <v>0.029</v>
      </c>
      <c r="F64" s="22">
        <v>0.317</v>
      </c>
      <c r="G64" s="22">
        <v>0.015</v>
      </c>
      <c r="H64" s="23">
        <v>1.14</v>
      </c>
      <c r="I64" s="18">
        <v>31.64</v>
      </c>
      <c r="J64" s="19">
        <v>8.7175</v>
      </c>
      <c r="K64" s="17">
        <v>0</v>
      </c>
      <c r="L64" s="20">
        <v>15.83</v>
      </c>
      <c r="M64" s="21">
        <f>=0</f>
        <v>0</v>
      </c>
      <c r="N64" s="16" t="s"/>
      <c r="O64" s="16" t="s"/>
    </row>
    <row r="65" spans="1:15">
      <c r="A65" s="16" t="s">
        <v>92</v>
      </c>
      <c r="B65" s="16" t="s">
        <v>108</v>
      </c>
      <c r="C65" s="16" t="s">
        <v>75</v>
      </c>
      <c r="D65" s="22">
        <v>0</v>
      </c>
      <c r="E65" s="22">
        <v>0</v>
      </c>
      <c r="F65" s="22">
        <v>2.467</v>
      </c>
      <c r="G65" s="22">
        <v>0.113</v>
      </c>
      <c r="H65" s="23">
        <v>0</v>
      </c>
      <c r="I65" s="18">
        <v>0</v>
      </c>
      <c r="J65" s="19">
        <v>0</v>
      </c>
      <c r="K65" s="17">
        <v>0</v>
      </c>
      <c r="L65" s="20">
        <v>366.64</v>
      </c>
      <c r="M65" s="21">
        <f>=0</f>
        <v>0</v>
      </c>
      <c r="N65" s="16" t="s"/>
      <c r="O65" s="16" t="s"/>
    </row>
    <row r="66" spans="1:15">
      <c r="A66" s="16" t="s">
        <v>92</v>
      </c>
      <c r="B66" s="16" t="s">
        <v>108</v>
      </c>
      <c r="C66" s="16" t="s">
        <v>76</v>
      </c>
      <c r="D66" s="22">
        <v>0</v>
      </c>
      <c r="E66" s="22">
        <v>0</v>
      </c>
      <c r="F66" s="22">
        <v>3.117</v>
      </c>
      <c r="G66" s="22">
        <v>0.142</v>
      </c>
      <c r="H66" s="23">
        <v>0</v>
      </c>
      <c r="I66" s="18">
        <v>0</v>
      </c>
      <c r="J66" s="19">
        <v>0</v>
      </c>
      <c r="K66" s="17">
        <v>0</v>
      </c>
      <c r="L66" s="20">
        <v>416.64</v>
      </c>
      <c r="M66" s="21">
        <f>=0</f>
        <v>0</v>
      </c>
      <c r="N66" s="16" t="s"/>
      <c r="O66" s="16" t="s"/>
    </row>
    <row r="67" spans="1:15">
      <c r="A67" s="16" t="s">
        <v>92</v>
      </c>
      <c r="B67" s="16" t="s">
        <v>108</v>
      </c>
      <c r="C67" s="16" t="s">
        <v>77</v>
      </c>
      <c r="D67" s="22">
        <v>0</v>
      </c>
      <c r="E67" s="22">
        <v>0</v>
      </c>
      <c r="F67" s="22">
        <v>1.517</v>
      </c>
      <c r="G67" s="22">
        <v>0.069</v>
      </c>
      <c r="H67" s="23">
        <v>0</v>
      </c>
      <c r="I67" s="18">
        <v>0</v>
      </c>
      <c r="J67" s="19">
        <v>0</v>
      </c>
      <c r="K67" s="17">
        <v>0</v>
      </c>
      <c r="L67" s="20">
        <v>116.64</v>
      </c>
      <c r="M67" s="21">
        <f>=0</f>
        <v>0</v>
      </c>
      <c r="N67" s="16" t="s"/>
      <c r="O67" s="16" t="s"/>
    </row>
    <row r="68" spans="1:15">
      <c r="A68" s="16" t="s">
        <v>92</v>
      </c>
      <c r="B68" s="16" t="s">
        <v>109</v>
      </c>
      <c r="C68" s="16" t="s"/>
      <c r="D68" s="22">
        <v>3.771</v>
      </c>
      <c r="E68" s="22">
        <v>0.343</v>
      </c>
      <c r="F68" s="22">
        <v>3.303</v>
      </c>
      <c r="G68" s="22">
        <v>0.151</v>
      </c>
      <c r="H68" s="23">
        <v>0</v>
      </c>
      <c r="I68" s="18">
        <v>353.67</v>
      </c>
      <c r="J68" s="19">
        <v>116.5725</v>
      </c>
      <c r="K68" s="17">
        <v>0</v>
      </c>
      <c r="L68" s="20">
        <v>189.97</v>
      </c>
      <c r="M68" s="21">
        <f>=0</f>
        <v>0</v>
      </c>
      <c r="N68" s="16" t="s"/>
      <c r="O68" s="16" t="s"/>
    </row>
    <row r="69" spans="1:15">
      <c r="A69" s="16" t="s">
        <v>110</v>
      </c>
      <c r="B69" s="16" t="s">
        <v>111</v>
      </c>
      <c r="C69" s="16" t="s">
        <v>62</v>
      </c>
      <c r="D69" s="22">
        <v>0.344</v>
      </c>
      <c r="E69" s="22">
        <v>0.032</v>
      </c>
      <c r="F69" s="22">
        <v>0.172</v>
      </c>
      <c r="G69" s="22">
        <v>0.008</v>
      </c>
      <c r="H69" s="23">
        <v>0.589</v>
      </c>
      <c r="I69" s="18">
        <v>0</v>
      </c>
      <c r="J69" s="19">
        <v>4.51</v>
      </c>
      <c r="K69" s="17">
        <v>0</v>
      </c>
      <c r="L69" s="20">
        <v>16.35</v>
      </c>
      <c r="M69" s="21">
        <f>=0</f>
        <v>0</v>
      </c>
      <c r="N69" s="16" t="s"/>
      <c r="O69" s="16" t="s"/>
    </row>
    <row r="70" spans="1:15">
      <c r="A70" s="16" t="s">
        <v>110</v>
      </c>
      <c r="B70" s="16" t="s">
        <v>112</v>
      </c>
      <c r="C70" s="16" t="s">
        <v>62</v>
      </c>
      <c r="D70" s="22">
        <v>0.551</v>
      </c>
      <c r="E70" s="22">
        <v>0.051</v>
      </c>
      <c r="F70" s="22">
        <v>0.18</v>
      </c>
      <c r="G70" s="22">
        <v>0.009</v>
      </c>
      <c r="H70" s="23">
        <v>0.615</v>
      </c>
      <c r="I70" s="18">
        <v>17.05</v>
      </c>
      <c r="J70" s="19">
        <v>4.7025</v>
      </c>
      <c r="K70" s="17">
        <v>0</v>
      </c>
      <c r="L70" s="20">
        <v>17.06</v>
      </c>
      <c r="M70" s="21">
        <f>=0</f>
        <v>0</v>
      </c>
      <c r="N70" s="16" t="s"/>
      <c r="O70" s="16" t="s"/>
    </row>
    <row r="71" spans="1:15">
      <c r="A71" s="16" t="s">
        <v>110</v>
      </c>
      <c r="B71" s="16" t="s">
        <v>111</v>
      </c>
      <c r="C71" s="16" t="s">
        <v>63</v>
      </c>
      <c r="D71" s="22">
        <v>0.412</v>
      </c>
      <c r="E71" s="22">
        <v>0.038</v>
      </c>
      <c r="F71" s="22">
        <v>0.344</v>
      </c>
      <c r="G71" s="22">
        <v>0.016</v>
      </c>
      <c r="H71" s="23">
        <v>1.177</v>
      </c>
      <c r="I71" s="18">
        <v>0</v>
      </c>
      <c r="J71" s="19">
        <v>8.9925</v>
      </c>
      <c r="K71" s="17">
        <v>0</v>
      </c>
      <c r="L71" s="20">
        <v>32.7</v>
      </c>
      <c r="M71" s="21">
        <f>=0</f>
        <v>0</v>
      </c>
      <c r="N71" s="16" t="s"/>
      <c r="O71" s="16" t="s"/>
    </row>
    <row r="72" spans="1:15">
      <c r="A72" s="16" t="s">
        <v>110</v>
      </c>
      <c r="B72" s="16" t="s">
        <v>112</v>
      </c>
      <c r="C72" s="16" t="s">
        <v>63</v>
      </c>
      <c r="D72" s="22">
        <v>0.572</v>
      </c>
      <c r="E72" s="22">
        <v>0.052</v>
      </c>
      <c r="F72" s="22">
        <v>0.336</v>
      </c>
      <c r="G72" s="22">
        <v>0.016</v>
      </c>
      <c r="H72" s="23">
        <v>1.149</v>
      </c>
      <c r="I72" s="18">
        <v>31.91</v>
      </c>
      <c r="J72" s="19">
        <v>8.8</v>
      </c>
      <c r="K72" s="17">
        <v>0</v>
      </c>
      <c r="L72" s="20">
        <v>31.92</v>
      </c>
      <c r="M72" s="21">
        <f>=0</f>
        <v>0</v>
      </c>
      <c r="N72" s="16" t="s"/>
      <c r="O72" s="16" t="s"/>
    </row>
    <row r="73" spans="1:15">
      <c r="A73" s="16" t="s">
        <v>110</v>
      </c>
      <c r="B73" s="16" t="s">
        <v>111</v>
      </c>
      <c r="C73" s="16" t="s">
        <v>64</v>
      </c>
      <c r="D73" s="22">
        <v>1.028</v>
      </c>
      <c r="E73" s="22">
        <v>0.094</v>
      </c>
      <c r="F73" s="22">
        <v>0.823</v>
      </c>
      <c r="G73" s="22">
        <v>0.038</v>
      </c>
      <c r="H73" s="23">
        <v>2.82</v>
      </c>
      <c r="I73" s="18">
        <v>0</v>
      </c>
      <c r="J73" s="19">
        <v>21.56</v>
      </c>
      <c r="K73" s="17">
        <v>0</v>
      </c>
      <c r="L73" s="20">
        <v>78.32</v>
      </c>
      <c r="M73" s="21">
        <f>=0</f>
        <v>0</v>
      </c>
      <c r="N73" s="16" t="s"/>
      <c r="O73" s="16" t="s"/>
    </row>
    <row r="74" spans="1:15">
      <c r="A74" s="16" t="s">
        <v>110</v>
      </c>
      <c r="B74" s="16" t="s">
        <v>112</v>
      </c>
      <c r="C74" s="16" t="s">
        <v>64</v>
      </c>
      <c r="D74" s="22">
        <v>1.32</v>
      </c>
      <c r="E74" s="22">
        <v>0.12</v>
      </c>
      <c r="F74" s="22">
        <v>0.752</v>
      </c>
      <c r="G74" s="22">
        <v>0.035</v>
      </c>
      <c r="H74" s="23">
        <v>2.577</v>
      </c>
      <c r="I74" s="18">
        <v>71.57</v>
      </c>
      <c r="J74" s="19">
        <v>19.69</v>
      </c>
      <c r="K74" s="17">
        <v>0</v>
      </c>
      <c r="L74" s="20">
        <v>71.58</v>
      </c>
      <c r="M74" s="21">
        <f>=0</f>
        <v>0</v>
      </c>
      <c r="N74" s="16" t="s"/>
      <c r="O74" s="16" t="s"/>
    </row>
    <row r="75" spans="1:15">
      <c r="A75" s="16" t="s">
        <v>110</v>
      </c>
      <c r="B75" s="16" t="s">
        <v>111</v>
      </c>
      <c r="C75" s="16" t="s">
        <v>65</v>
      </c>
      <c r="D75" s="22">
        <v>2.134</v>
      </c>
      <c r="E75" s="22">
        <v>0.194</v>
      </c>
      <c r="F75" s="22">
        <v>1.676</v>
      </c>
      <c r="G75" s="22">
        <v>0.077</v>
      </c>
      <c r="H75" s="23">
        <v>5.744</v>
      </c>
      <c r="I75" s="18">
        <v>0</v>
      </c>
      <c r="J75" s="19">
        <v>43.89</v>
      </c>
      <c r="K75" s="17">
        <v>0</v>
      </c>
      <c r="L75" s="20">
        <v>159.56</v>
      </c>
      <c r="M75" s="21">
        <f>=0</f>
        <v>0</v>
      </c>
      <c r="N75" s="16" t="s"/>
      <c r="O75" s="16" t="s"/>
    </row>
    <row r="76" spans="1:15">
      <c r="A76" s="16" t="s">
        <v>110</v>
      </c>
      <c r="B76" s="16" t="s">
        <v>112</v>
      </c>
      <c r="C76" s="16" t="s">
        <v>65</v>
      </c>
      <c r="D76" s="22">
        <v>3.407</v>
      </c>
      <c r="E76" s="22">
        <v>0.31</v>
      </c>
      <c r="F76" s="22">
        <v>1.92</v>
      </c>
      <c r="G76" s="22">
        <v>0.088</v>
      </c>
      <c r="H76" s="23">
        <v>6.581</v>
      </c>
      <c r="I76" s="18">
        <v>182.8</v>
      </c>
      <c r="J76" s="19">
        <v>50.2975</v>
      </c>
      <c r="K76" s="17">
        <v>0</v>
      </c>
      <c r="L76" s="20">
        <v>182.81</v>
      </c>
      <c r="M76" s="21">
        <f>=0</f>
        <v>0</v>
      </c>
      <c r="N76" s="16" t="s"/>
      <c r="O76" s="16" t="s"/>
    </row>
    <row r="77" spans="1:15">
      <c r="A77" s="16" t="s">
        <v>110</v>
      </c>
      <c r="B77" s="16" t="s">
        <v>113</v>
      </c>
      <c r="C77" s="16" t="s"/>
      <c r="D77" s="22">
        <v>0.526</v>
      </c>
      <c r="E77" s="22">
        <v>0.048</v>
      </c>
      <c r="F77" s="22">
        <v>0.526</v>
      </c>
      <c r="G77" s="22">
        <v>0.024</v>
      </c>
      <c r="H77" s="23">
        <v>0</v>
      </c>
      <c r="I77" s="18">
        <v>50.01</v>
      </c>
      <c r="J77" s="19">
        <v>13.7775</v>
      </c>
      <c r="K77" s="17">
        <v>0</v>
      </c>
      <c r="L77" s="20">
        <v>50.02</v>
      </c>
      <c r="M77" s="21">
        <f>=0</f>
        <v>0</v>
      </c>
      <c r="N77" s="16" t="s"/>
      <c r="O77" s="16" t="s"/>
    </row>
    <row r="78" spans="1:15">
      <c r="A78" s="16" t="s">
        <v>110</v>
      </c>
      <c r="B78" s="16" t="s">
        <v>114</v>
      </c>
      <c r="C78" s="16" t="s"/>
      <c r="D78" s="22">
        <v>6.75</v>
      </c>
      <c r="E78" s="22">
        <v>0.614</v>
      </c>
      <c r="F78" s="22">
        <v>5.435</v>
      </c>
      <c r="G78" s="22">
        <v>0.248</v>
      </c>
      <c r="H78" s="23">
        <v>0</v>
      </c>
      <c r="I78" s="18">
        <v>580.18</v>
      </c>
      <c r="J78" s="19">
        <v>211.255</v>
      </c>
      <c r="K78" s="17">
        <v>0</v>
      </c>
      <c r="L78" s="20">
        <v>141.7</v>
      </c>
      <c r="M78" s="21">
        <f>=0</f>
        <v>0</v>
      </c>
      <c r="N78" s="16" t="s"/>
      <c r="O78" s="16" t="s"/>
    </row>
    <row r="79" spans="1:15">
      <c r="A79" s="16" t="s">
        <v>110</v>
      </c>
      <c r="B79" s="16" t="s">
        <v>115</v>
      </c>
      <c r="C79" s="16" t="s"/>
      <c r="D79" s="22">
        <v>0.683</v>
      </c>
      <c r="E79" s="22">
        <v>0.063</v>
      </c>
      <c r="F79" s="22">
        <v>0.342</v>
      </c>
      <c r="G79" s="22">
        <v>0.016</v>
      </c>
      <c r="H79" s="23">
        <v>1.171</v>
      </c>
      <c r="I79" s="18">
        <v>0</v>
      </c>
      <c r="J79" s="19">
        <v>8.965</v>
      </c>
      <c r="K79" s="17">
        <v>0</v>
      </c>
      <c r="L79" s="20">
        <v>32.51</v>
      </c>
      <c r="M79" s="21">
        <f>=0</f>
        <v>0</v>
      </c>
      <c r="N79" s="16" t="s"/>
      <c r="O79" s="16" t="s"/>
    </row>
    <row r="80" spans="1:15">
      <c r="A80" s="16" t="s">
        <v>110</v>
      </c>
      <c r="B80" s="16" t="s">
        <v>116</v>
      </c>
      <c r="C80" s="16" t="s"/>
      <c r="D80" s="22">
        <v>0.788</v>
      </c>
      <c r="E80" s="22">
        <v>0.072</v>
      </c>
      <c r="F80" s="22">
        <v>0.788</v>
      </c>
      <c r="G80" s="22">
        <v>0.036</v>
      </c>
      <c r="H80" s="23">
        <v>2.701</v>
      </c>
      <c r="I80" s="18">
        <v>75</v>
      </c>
      <c r="J80" s="19">
        <v>20.6525</v>
      </c>
      <c r="K80" s="17">
        <v>0</v>
      </c>
      <c r="L80" s="20">
        <v>37.51</v>
      </c>
      <c r="M80" s="21">
        <f>=0</f>
        <v>0</v>
      </c>
      <c r="N80" s="16" t="s"/>
      <c r="O80" s="16" t="s"/>
    </row>
    <row r="81" spans="1:15">
      <c r="A81" s="16" t="s">
        <v>110</v>
      </c>
      <c r="B81" s="16" t="s">
        <v>117</v>
      </c>
      <c r="C81" s="16" t="s"/>
      <c r="D81" s="22">
        <v>2.62</v>
      </c>
      <c r="E81" s="22">
        <v>0.239</v>
      </c>
      <c r="F81" s="22">
        <v>2.258</v>
      </c>
      <c r="G81" s="22">
        <v>0.103</v>
      </c>
      <c r="H81" s="23">
        <v>4.14</v>
      </c>
      <c r="I81" s="18">
        <v>114.99</v>
      </c>
      <c r="J81" s="19">
        <v>31.625</v>
      </c>
      <c r="K81" s="17">
        <v>0</v>
      </c>
      <c r="L81" s="20">
        <v>265</v>
      </c>
      <c r="M81" s="21">
        <f>=0</f>
        <v>0</v>
      </c>
      <c r="N81" s="16" t="s"/>
      <c r="O81" s="16" t="s"/>
    </row>
    <row r="82" spans="1:15">
      <c r="A82" s="16" t="s">
        <v>110</v>
      </c>
      <c r="B82" s="16" t="s">
        <v>118</v>
      </c>
      <c r="C82" s="16" t="s"/>
      <c r="D82" s="22">
        <v>6.325</v>
      </c>
      <c r="E82" s="22">
        <v>0.575</v>
      </c>
      <c r="F82" s="22">
        <v>2.136</v>
      </c>
      <c r="G82" s="22">
        <v>0.098</v>
      </c>
      <c r="H82" s="23">
        <v>0</v>
      </c>
      <c r="I82" s="18">
        <v>402.86</v>
      </c>
      <c r="J82" s="19">
        <v>238.81</v>
      </c>
      <c r="K82" s="17">
        <v>0</v>
      </c>
      <c r="L82" s="20">
        <v>203.37</v>
      </c>
      <c r="M82" s="21">
        <f>=0</f>
        <v>0</v>
      </c>
      <c r="N82" s="16" t="s"/>
      <c r="O82" s="16" t="s"/>
    </row>
    <row r="83" spans="1:15">
      <c r="A83" s="16" t="s">
        <v>110</v>
      </c>
      <c r="B83" s="16" t="s">
        <v>119</v>
      </c>
      <c r="C83" s="16" t="s"/>
      <c r="D83" s="22">
        <v>21.03</v>
      </c>
      <c r="E83" s="22">
        <v>1.912</v>
      </c>
      <c r="F83" s="22">
        <v>2.85</v>
      </c>
      <c r="G83" s="22">
        <v>0.13</v>
      </c>
      <c r="H83" s="23">
        <v>0</v>
      </c>
      <c r="I83" s="18">
        <v>246.7</v>
      </c>
      <c r="J83" s="19">
        <v>0</v>
      </c>
      <c r="K83" s="17">
        <v>0</v>
      </c>
      <c r="L83" s="20">
        <v>746.71</v>
      </c>
      <c r="M83" s="21">
        <f>=0</f>
        <v>0</v>
      </c>
      <c r="N83" s="16" t="s"/>
      <c r="O83" s="16" t="s"/>
    </row>
    <row r="84" spans="1:15">
      <c r="A84" s="16" t="s">
        <v>110</v>
      </c>
      <c r="B84" s="16" t="s">
        <v>120</v>
      </c>
      <c r="C84" s="16" t="s"/>
      <c r="D84" s="22">
        <v>1.208</v>
      </c>
      <c r="E84" s="22">
        <v>0.11</v>
      </c>
      <c r="F84" s="22">
        <v>1.208</v>
      </c>
      <c r="G84" s="22">
        <v>0.055</v>
      </c>
      <c r="H84" s="23">
        <v>4.14</v>
      </c>
      <c r="I84" s="18">
        <v>114.99</v>
      </c>
      <c r="J84" s="19">
        <v>31.625</v>
      </c>
      <c r="K84" s="17">
        <v>0</v>
      </c>
      <c r="L84" s="20">
        <v>57.5</v>
      </c>
      <c r="M84" s="21">
        <f>=0</f>
        <v>0</v>
      </c>
      <c r="N84" s="16" t="s"/>
      <c r="O84" s="16" t="s"/>
    </row>
    <row r="85" spans="1:15">
      <c r="A85" s="16" t="s">
        <v>110</v>
      </c>
      <c r="B85" s="16" t="s">
        <v>121</v>
      </c>
      <c r="C85" s="16" t="s">
        <v>75</v>
      </c>
      <c r="D85" s="22">
        <v>0</v>
      </c>
      <c r="E85" s="22">
        <v>0</v>
      </c>
      <c r="F85" s="22">
        <v>2.59</v>
      </c>
      <c r="G85" s="22">
        <v>0.118</v>
      </c>
      <c r="H85" s="23">
        <v>0</v>
      </c>
      <c r="I85" s="18">
        <v>0</v>
      </c>
      <c r="J85" s="19">
        <v>0</v>
      </c>
      <c r="K85" s="17">
        <v>0</v>
      </c>
      <c r="L85" s="20">
        <v>366.64</v>
      </c>
      <c r="M85" s="21">
        <f>=0</f>
        <v>0</v>
      </c>
      <c r="N85" s="16" t="s"/>
      <c r="O85" s="16" t="s"/>
    </row>
    <row r="86" spans="1:15">
      <c r="A86" s="16" t="s">
        <v>110</v>
      </c>
      <c r="B86" s="16" t="s">
        <v>121</v>
      </c>
      <c r="C86" s="16" t="s">
        <v>76</v>
      </c>
      <c r="D86" s="22">
        <v>0</v>
      </c>
      <c r="E86" s="22">
        <v>0</v>
      </c>
      <c r="F86" s="22">
        <v>3.273</v>
      </c>
      <c r="G86" s="22">
        <v>0.149</v>
      </c>
      <c r="H86" s="23">
        <v>0</v>
      </c>
      <c r="I86" s="18">
        <v>0</v>
      </c>
      <c r="J86" s="19">
        <v>0</v>
      </c>
      <c r="K86" s="17">
        <v>0</v>
      </c>
      <c r="L86" s="20">
        <v>416.64</v>
      </c>
      <c r="M86" s="21">
        <f>=0</f>
        <v>0</v>
      </c>
      <c r="N86" s="16" t="s"/>
      <c r="O86" s="16" t="s"/>
    </row>
    <row r="87" spans="1:15">
      <c r="A87" s="16" t="s">
        <v>110</v>
      </c>
      <c r="B87" s="16" t="s">
        <v>121</v>
      </c>
      <c r="C87" s="16" t="s">
        <v>77</v>
      </c>
      <c r="D87" s="22">
        <v>0</v>
      </c>
      <c r="E87" s="22">
        <v>0</v>
      </c>
      <c r="F87" s="22">
        <v>1.593</v>
      </c>
      <c r="G87" s="22">
        <v>0.073</v>
      </c>
      <c r="H87" s="23">
        <v>0</v>
      </c>
      <c r="I87" s="18">
        <v>0</v>
      </c>
      <c r="J87" s="19">
        <v>0</v>
      </c>
      <c r="K87" s="17">
        <v>0</v>
      </c>
      <c r="L87" s="20">
        <v>116.64</v>
      </c>
      <c r="M87" s="21">
        <f>=0</f>
        <v>0</v>
      </c>
      <c r="N87" s="16" t="s"/>
      <c r="O87" s="16" t="s"/>
    </row>
    <row r="88" spans="1:15">
      <c r="A88" s="16" t="s">
        <v>110</v>
      </c>
      <c r="B88" s="16" t="s">
        <v>122</v>
      </c>
      <c r="C88" s="16" t="s"/>
      <c r="D88" s="22">
        <v>3.837</v>
      </c>
      <c r="E88" s="22">
        <v>0.349</v>
      </c>
      <c r="F88" s="22">
        <v>3.355</v>
      </c>
      <c r="G88" s="22">
        <v>0.153</v>
      </c>
      <c r="H88" s="23">
        <v>0</v>
      </c>
      <c r="I88" s="18">
        <v>342.42</v>
      </c>
      <c r="J88" s="19">
        <v>113.135</v>
      </c>
      <c r="K88" s="17">
        <v>0</v>
      </c>
      <c r="L88" s="20">
        <v>181.64</v>
      </c>
      <c r="M88" s="21">
        <f>=0</f>
        <v>0</v>
      </c>
      <c r="N88" s="16" t="s"/>
      <c r="O88" s="16" t="s"/>
    </row>
    <row r="89" spans="1:15">
      <c r="A89" s="16" t="s">
        <v>110</v>
      </c>
      <c r="B89" s="16" t="s">
        <v>112</v>
      </c>
      <c r="C89" s="16" t="s">
        <v>81</v>
      </c>
      <c r="D89" s="22">
        <v>4.417</v>
      </c>
      <c r="E89" s="22">
        <v>0.402</v>
      </c>
      <c r="F89" s="22">
        <v>1.453</v>
      </c>
      <c r="G89" s="22">
        <v>0.067</v>
      </c>
      <c r="H89" s="23">
        <v>4.98</v>
      </c>
      <c r="I89" s="18">
        <v>138.33</v>
      </c>
      <c r="J89" s="19">
        <v>38.06</v>
      </c>
      <c r="K89" s="17">
        <v>0</v>
      </c>
      <c r="L89" s="20">
        <v>138.34</v>
      </c>
      <c r="M89" s="21">
        <v>0</v>
      </c>
      <c r="N89" s="16" t="s"/>
      <c r="O89" s="16" t="s"/>
    </row>
    <row r="90" spans="1:15">
      <c r="A90" s="16" t="s">
        <v>110</v>
      </c>
      <c r="B90" s="16" t="s">
        <v>112</v>
      </c>
      <c r="C90" s="16" t="s">
        <v>123</v>
      </c>
      <c r="D90" s="22">
        <v>4.417</v>
      </c>
      <c r="E90" s="22">
        <v>0.402</v>
      </c>
      <c r="F90" s="22">
        <v>1.453</v>
      </c>
      <c r="G90" s="22">
        <v>0.067</v>
      </c>
      <c r="H90" s="23">
        <v>4.98</v>
      </c>
      <c r="I90" s="18">
        <v>138.33</v>
      </c>
      <c r="J90" s="19">
        <v>38.06</v>
      </c>
      <c r="K90" s="17">
        <v>0</v>
      </c>
      <c r="L90" s="20">
        <v>138.34</v>
      </c>
      <c r="M90" s="21">
        <v>0</v>
      </c>
      <c r="N90" s="16" t="s"/>
      <c r="O90" s="16" t="s"/>
    </row>
    <row r="91" spans="1:15">
      <c r="A91" s="16" t="s">
        <v>110</v>
      </c>
      <c r="B91" s="16" t="s">
        <v>112</v>
      </c>
      <c r="C91" s="16" t="s">
        <v>124</v>
      </c>
      <c r="D91" s="22">
        <v>0.828</v>
      </c>
      <c r="E91" s="22">
        <v>0.076</v>
      </c>
      <c r="F91" s="22">
        <v>0</v>
      </c>
      <c r="G91" s="22">
        <v>0</v>
      </c>
      <c r="H91" s="23">
        <v>0</v>
      </c>
      <c r="I91" s="18">
        <v>0</v>
      </c>
      <c r="J91" s="19">
        <v>0</v>
      </c>
      <c r="K91" s="17">
        <v>0</v>
      </c>
      <c r="L91" s="20">
        <v>0</v>
      </c>
      <c r="M91" s="21">
        <v>0</v>
      </c>
      <c r="N91" s="16" t="s"/>
      <c r="O91" s="16" t="s"/>
    </row>
    <row r="92" spans="1:15">
      <c r="A92" s="16" t="s">
        <v>110</v>
      </c>
      <c r="B92" s="16" t="s">
        <v>125</v>
      </c>
      <c r="C92" s="16" t="s"/>
      <c r="D92" s="22">
        <v>0.941</v>
      </c>
      <c r="E92" s="22">
        <v>0.086</v>
      </c>
      <c r="F92" s="22">
        <v>0.307</v>
      </c>
      <c r="G92" s="22">
        <v>0.014</v>
      </c>
      <c r="H92" s="23">
        <v>1.051</v>
      </c>
      <c r="I92" s="18">
        <v>29.16</v>
      </c>
      <c r="J92" s="19">
        <v>8.03</v>
      </c>
      <c r="K92" s="17">
        <v>0</v>
      </c>
      <c r="L92" s="20">
        <v>29.17</v>
      </c>
      <c r="M92" s="21">
        <v>0</v>
      </c>
      <c r="N92" s="16" t="s"/>
      <c r="O92" s="16" t="s"/>
    </row>
    <row r="93" spans="1:15">
      <c r="A93" s="16" t="s">
        <v>126</v>
      </c>
      <c r="B93" s="16" t="s">
        <v>127</v>
      </c>
      <c r="C93" s="16" t="s">
        <v>62</v>
      </c>
      <c r="D93" s="22">
        <v>0.607</v>
      </c>
      <c r="E93" s="22">
        <v>0.056</v>
      </c>
      <c r="F93" s="22">
        <v>0.594</v>
      </c>
      <c r="G93" s="22">
        <v>0.027</v>
      </c>
      <c r="H93" s="23">
        <v>0</v>
      </c>
      <c r="I93" s="18">
        <v>53.96</v>
      </c>
      <c r="J93" s="19">
        <v>7.2875</v>
      </c>
      <c r="K93" s="17">
        <v>2.159</v>
      </c>
      <c r="L93" s="20">
        <v>53.97</v>
      </c>
      <c r="M93" s="21">
        <v>0</v>
      </c>
      <c r="N93" s="16" t="s"/>
      <c r="O93" s="16" t="s"/>
    </row>
    <row r="94" spans="1:15">
      <c r="A94" s="16" t="s">
        <v>126</v>
      </c>
      <c r="B94" s="16" t="s">
        <v>127</v>
      </c>
      <c r="C94" s="16" t="s">
        <v>63</v>
      </c>
      <c r="D94" s="22">
        <v>0.86</v>
      </c>
      <c r="E94" s="22">
        <v>0.079</v>
      </c>
      <c r="F94" s="22">
        <v>0.873</v>
      </c>
      <c r="G94" s="22">
        <v>0.04</v>
      </c>
      <c r="H94" s="23">
        <v>0</v>
      </c>
      <c r="I94" s="18">
        <v>79.33</v>
      </c>
      <c r="J94" s="19">
        <v>10.6975</v>
      </c>
      <c r="K94" s="17">
        <v>3.174</v>
      </c>
      <c r="L94" s="20">
        <v>79.34</v>
      </c>
      <c r="M94" s="21">
        <v>0</v>
      </c>
      <c r="N94" s="16" t="s"/>
      <c r="O94" s="16" t="s"/>
    </row>
    <row r="95" spans="1:15">
      <c r="A95" s="16" t="s">
        <v>126</v>
      </c>
      <c r="B95" s="16" t="s">
        <v>127</v>
      </c>
      <c r="C95" s="16" t="s">
        <v>64</v>
      </c>
      <c r="D95" s="22">
        <v>2.078</v>
      </c>
      <c r="E95" s="22">
        <v>0.189</v>
      </c>
      <c r="F95" s="22">
        <v>1.705</v>
      </c>
      <c r="G95" s="22">
        <v>0.078</v>
      </c>
      <c r="H95" s="23">
        <v>0</v>
      </c>
      <c r="I95" s="18">
        <v>155</v>
      </c>
      <c r="J95" s="19">
        <v>20.9</v>
      </c>
      <c r="K95" s="17">
        <v>6.2</v>
      </c>
      <c r="L95" s="20">
        <v>155</v>
      </c>
      <c r="M95" s="21">
        <v>0</v>
      </c>
      <c r="N95" s="16" t="s"/>
      <c r="O95" s="16" t="s"/>
    </row>
    <row r="96" spans="1:15">
      <c r="A96" s="16" t="s">
        <v>126</v>
      </c>
      <c r="B96" s="16" t="s">
        <v>127</v>
      </c>
      <c r="C96" s="16" t="s">
        <v>128</v>
      </c>
      <c r="D96" s="22">
        <v>0.624</v>
      </c>
      <c r="E96" s="22">
        <v>0.057</v>
      </c>
      <c r="F96" s="22">
        <v>0.611</v>
      </c>
      <c r="G96" s="22">
        <v>0.028</v>
      </c>
      <c r="H96" s="23">
        <v>0</v>
      </c>
      <c r="I96" s="18">
        <v>55.46</v>
      </c>
      <c r="J96" s="19">
        <v>7.48</v>
      </c>
      <c r="K96" s="17">
        <v>2.219</v>
      </c>
      <c r="L96" s="20">
        <v>55.47</v>
      </c>
      <c r="M96" s="21">
        <v>0</v>
      </c>
      <c r="N96" s="16" t="s"/>
      <c r="O96" s="16" t="s"/>
    </row>
    <row r="97" spans="1:15">
      <c r="A97" s="16" t="s">
        <v>126</v>
      </c>
      <c r="B97" s="16" t="s">
        <v>129</v>
      </c>
      <c r="C97" s="16" t="s">
        <v>130</v>
      </c>
      <c r="D97" s="22">
        <v>1.614</v>
      </c>
      <c r="E97" s="22">
        <v>0.147</v>
      </c>
      <c r="F97" s="22">
        <v>1.482</v>
      </c>
      <c r="G97" s="22">
        <v>0.068</v>
      </c>
      <c r="H97" s="23">
        <v>0</v>
      </c>
      <c r="I97" s="18">
        <v>134.69</v>
      </c>
      <c r="J97" s="19">
        <v>18.15</v>
      </c>
      <c r="K97" s="17">
        <v>3.146</v>
      </c>
      <c r="L97" s="20">
        <v>134.7</v>
      </c>
      <c r="M97" s="21">
        <v>0</v>
      </c>
      <c r="N97" s="16" t="s"/>
      <c r="O97" s="16" t="s"/>
    </row>
    <row r="98" spans="1:15">
      <c r="A98" s="16" t="s">
        <v>126</v>
      </c>
      <c r="B98" s="16" t="s">
        <v>129</v>
      </c>
      <c r="C98" s="16" t="s">
        <v>131</v>
      </c>
      <c r="D98" s="22">
        <v>2.541</v>
      </c>
      <c r="E98" s="22">
        <v>0.231</v>
      </c>
      <c r="F98" s="22">
        <v>2.624</v>
      </c>
      <c r="G98" s="22">
        <v>0.12</v>
      </c>
      <c r="H98" s="23">
        <v>0</v>
      </c>
      <c r="I98" s="18">
        <v>238.52</v>
      </c>
      <c r="J98" s="19">
        <v>32.1475</v>
      </c>
      <c r="K98" s="17">
        <v>4.79</v>
      </c>
      <c r="L98" s="20">
        <v>238.53</v>
      </c>
      <c r="M98" s="21">
        <v>0</v>
      </c>
      <c r="N98" s="16" t="s"/>
      <c r="O98" s="16" t="s"/>
    </row>
    <row r="99" spans="1:15">
      <c r="A99" s="16" t="s">
        <v>126</v>
      </c>
      <c r="B99" s="16" t="s">
        <v>129</v>
      </c>
      <c r="C99" s="16" t="s">
        <v>132</v>
      </c>
      <c r="D99" s="22">
        <v>3.459</v>
      </c>
      <c r="E99" s="22">
        <v>0.315</v>
      </c>
      <c r="F99" s="22">
        <v>2.842</v>
      </c>
      <c r="G99" s="22">
        <v>0.13</v>
      </c>
      <c r="H99" s="23">
        <v>0</v>
      </c>
      <c r="I99" s="18">
        <v>258.33</v>
      </c>
      <c r="J99" s="19">
        <v>34.815</v>
      </c>
      <c r="K99" s="17">
        <v>6.317</v>
      </c>
      <c r="L99" s="20">
        <v>258.34</v>
      </c>
      <c r="M99" s="21">
        <v>0</v>
      </c>
      <c r="N99" s="16" t="s"/>
      <c r="O99" s="16" t="s"/>
    </row>
    <row r="100" spans="1:15">
      <c r="A100" s="16" t="s">
        <v>126</v>
      </c>
      <c r="B100" s="16" t="s">
        <v>129</v>
      </c>
      <c r="C100" s="16" t="s">
        <v>133</v>
      </c>
      <c r="D100" s="22">
        <v>2.358</v>
      </c>
      <c r="E100" s="22">
        <v>0.215</v>
      </c>
      <c r="F100" s="22">
        <v>1.778</v>
      </c>
      <c r="G100" s="22">
        <v>0.081</v>
      </c>
      <c r="H100" s="23">
        <v>0</v>
      </c>
      <c r="I100" s="18">
        <v>161.63</v>
      </c>
      <c r="J100" s="19">
        <v>21.8075</v>
      </c>
      <c r="K100" s="17">
        <v>6.466</v>
      </c>
      <c r="L100" s="20">
        <v>161.64</v>
      </c>
      <c r="M100" s="21">
        <v>0</v>
      </c>
      <c r="N100" s="16" t="s"/>
      <c r="O100" s="16" t="s"/>
    </row>
    <row r="101" spans="1:15">
      <c r="A101" s="16" t="s">
        <v>126</v>
      </c>
      <c r="B101" s="16" t="s">
        <v>134</v>
      </c>
      <c r="C101" s="16" t="s">
        <v>134</v>
      </c>
      <c r="D101" s="22">
        <v>0.396</v>
      </c>
      <c r="E101" s="22">
        <v>0.036</v>
      </c>
      <c r="F101" s="22">
        <v>0.495</v>
      </c>
      <c r="G101" s="22">
        <v>0.023</v>
      </c>
      <c r="H101" s="23">
        <v>0</v>
      </c>
      <c r="I101" s="18">
        <v>44.99</v>
      </c>
      <c r="J101" s="19">
        <v>6.0775</v>
      </c>
      <c r="K101" s="17">
        <v>0</v>
      </c>
      <c r="L101" s="20">
        <v>45</v>
      </c>
      <c r="M101" s="21">
        <v>0</v>
      </c>
      <c r="N101" s="16" t="s"/>
      <c r="O101" s="16" t="s"/>
    </row>
    <row r="102" spans="1:15">
      <c r="A102" s="16" t="s">
        <v>126</v>
      </c>
      <c r="B102" s="16" t="s">
        <v>135</v>
      </c>
      <c r="C102" s="16" t="s">
        <v>135</v>
      </c>
      <c r="D102" s="22">
        <v>5.102</v>
      </c>
      <c r="E102" s="22">
        <v>0.464</v>
      </c>
      <c r="F102" s="22">
        <v>5.136</v>
      </c>
      <c r="G102" s="22">
        <v>0.234</v>
      </c>
      <c r="H102" s="23">
        <v>0</v>
      </c>
      <c r="I102" s="18">
        <v>523.24</v>
      </c>
      <c r="J102" s="19">
        <v>93.335</v>
      </c>
      <c r="K102" s="17">
        <v>0</v>
      </c>
      <c r="L102" s="20">
        <v>128.34</v>
      </c>
      <c r="M102" s="21">
        <v>0</v>
      </c>
      <c r="N102" s="16" t="s"/>
      <c r="O102" s="16" t="s"/>
    </row>
    <row r="103" spans="1:15">
      <c r="A103" s="16" t="s">
        <v>126</v>
      </c>
      <c r="B103" s="16" t="s">
        <v>136</v>
      </c>
      <c r="C103" s="16" t="s">
        <v>136</v>
      </c>
      <c r="D103" s="22">
        <v>0.837</v>
      </c>
      <c r="E103" s="22">
        <v>0.077</v>
      </c>
      <c r="F103" s="22">
        <v>1.046</v>
      </c>
      <c r="G103" s="22">
        <v>0.048</v>
      </c>
      <c r="H103" s="23">
        <v>0</v>
      </c>
      <c r="I103" s="18">
        <v>95.03</v>
      </c>
      <c r="J103" s="19">
        <v>6.4075</v>
      </c>
      <c r="K103" s="17">
        <v>0</v>
      </c>
      <c r="L103" s="20">
        <v>95.04</v>
      </c>
      <c r="M103" s="21">
        <v>0</v>
      </c>
      <c r="N103" s="16" t="s"/>
      <c r="O103" s="16" t="s"/>
    </row>
    <row r="104" spans="1:15">
      <c r="A104" s="16" t="s">
        <v>126</v>
      </c>
      <c r="B104" s="16" t="s">
        <v>137</v>
      </c>
      <c r="C104" s="16" t="s">
        <v>137</v>
      </c>
      <c r="D104" s="22">
        <v>10.076</v>
      </c>
      <c r="E104" s="22">
        <v>0.916</v>
      </c>
      <c r="F104" s="22">
        <v>7.018</v>
      </c>
      <c r="G104" s="22">
        <v>0.319</v>
      </c>
      <c r="H104" s="23">
        <v>0</v>
      </c>
      <c r="I104" s="18">
        <v>700.95</v>
      </c>
      <c r="J104" s="19">
        <v>119.9275</v>
      </c>
      <c r="K104" s="17">
        <v>0</v>
      </c>
      <c r="L104" s="20">
        <v>259.97</v>
      </c>
      <c r="M104" s="21">
        <v>0</v>
      </c>
      <c r="N104" s="16" t="s"/>
      <c r="O104" s="16" t="s"/>
    </row>
    <row r="105" spans="1:15">
      <c r="A105" s="16" t="s">
        <v>126</v>
      </c>
      <c r="B105" s="16" t="s">
        <v>138</v>
      </c>
      <c r="C105" s="16" t="s"/>
      <c r="D105" s="22">
        <v>0.705</v>
      </c>
      <c r="E105" s="22">
        <v>0.065</v>
      </c>
      <c r="F105" s="22">
        <v>0.441</v>
      </c>
      <c r="G105" s="22">
        <v>0.021</v>
      </c>
      <c r="H105" s="23">
        <v>0</v>
      </c>
      <c r="I105" s="18">
        <v>40.01</v>
      </c>
      <c r="J105" s="19">
        <v>5.4175</v>
      </c>
      <c r="K105" s="17">
        <v>1.601</v>
      </c>
      <c r="L105" s="20">
        <v>40.02</v>
      </c>
      <c r="M105" s="21">
        <v>0</v>
      </c>
      <c r="N105" s="16" t="s"/>
      <c r="O105" s="16" t="s"/>
    </row>
    <row r="106" spans="1:15">
      <c r="A106" s="16" t="s">
        <v>126</v>
      </c>
      <c r="B106" s="16" t="s">
        <v>139</v>
      </c>
      <c r="C106" s="16" t="s"/>
      <c r="D106" s="22">
        <v>1.853</v>
      </c>
      <c r="E106" s="22">
        <v>0.169</v>
      </c>
      <c r="F106" s="22">
        <v>2.036</v>
      </c>
      <c r="G106" s="22">
        <v>0.093</v>
      </c>
      <c r="H106" s="23">
        <v>0</v>
      </c>
      <c r="I106" s="18">
        <v>85.03</v>
      </c>
      <c r="J106" s="19">
        <v>11.4675</v>
      </c>
      <c r="K106" s="17">
        <v>3.402</v>
      </c>
      <c r="L106" s="20">
        <v>235.04</v>
      </c>
      <c r="M106" s="21">
        <v>0</v>
      </c>
      <c r="N106" s="16" t="s"/>
      <c r="O106" s="16" t="s"/>
    </row>
    <row r="107" spans="1:15">
      <c r="A107" s="16" t="s">
        <v>126</v>
      </c>
      <c r="B107" s="16" t="s">
        <v>140</v>
      </c>
      <c r="C107" s="16" t="s"/>
      <c r="D107" s="22">
        <v>5.727</v>
      </c>
      <c r="E107" s="22">
        <v>0.521</v>
      </c>
      <c r="F107" s="22">
        <v>2.769</v>
      </c>
      <c r="G107" s="22">
        <v>0.126</v>
      </c>
      <c r="H107" s="23">
        <v>0</v>
      </c>
      <c r="I107" s="18">
        <v>451.2</v>
      </c>
      <c r="J107" s="19">
        <v>123.53</v>
      </c>
      <c r="K107" s="17">
        <v>0</v>
      </c>
      <c r="L107" s="20">
        <v>251.71</v>
      </c>
      <c r="M107" s="21">
        <v>0</v>
      </c>
      <c r="N107" s="16" t="s"/>
      <c r="O107" s="16" t="s"/>
    </row>
    <row r="108" spans="1:15">
      <c r="A108" s="16" t="s">
        <v>126</v>
      </c>
      <c r="B108" s="16" t="s">
        <v>141</v>
      </c>
      <c r="C108" s="16" t="s"/>
      <c r="D108" s="22">
        <v>15.221</v>
      </c>
      <c r="E108" s="22">
        <v>1.384</v>
      </c>
      <c r="F108" s="22">
        <v>1.943</v>
      </c>
      <c r="G108" s="22">
        <v>0.089</v>
      </c>
      <c r="H108" s="23">
        <v>0</v>
      </c>
      <c r="I108" s="18">
        <v>176.63</v>
      </c>
      <c r="J108" s="19">
        <v>0</v>
      </c>
      <c r="K108" s="17">
        <v>0</v>
      </c>
      <c r="L108" s="20">
        <v>676.64</v>
      </c>
      <c r="M108" s="21">
        <v>0</v>
      </c>
      <c r="N108" s="16" t="s"/>
      <c r="O108" s="16" t="s"/>
    </row>
    <row r="109" spans="1:15">
      <c r="A109" s="16" t="s">
        <v>126</v>
      </c>
      <c r="B109" s="16" t="s">
        <v>142</v>
      </c>
      <c r="C109" s="16" t="s"/>
      <c r="D109" s="22">
        <v>0.822</v>
      </c>
      <c r="E109" s="22">
        <v>0.075</v>
      </c>
      <c r="F109" s="22">
        <v>0.514</v>
      </c>
      <c r="G109" s="22">
        <v>0.024</v>
      </c>
      <c r="H109" s="23">
        <v>0</v>
      </c>
      <c r="I109" s="18">
        <v>46.68</v>
      </c>
      <c r="J109" s="19">
        <v>6.2975</v>
      </c>
      <c r="K109" s="17">
        <v>1.868</v>
      </c>
      <c r="L109" s="20">
        <v>46.69</v>
      </c>
      <c r="M109" s="21">
        <v>0</v>
      </c>
      <c r="N109" s="16" t="s"/>
      <c r="O109" s="16" t="s"/>
    </row>
    <row r="110" spans="1:15">
      <c r="A110" s="16" t="s">
        <v>126</v>
      </c>
      <c r="B110" s="16" t="s">
        <v>143</v>
      </c>
      <c r="C110" s="16" t="s">
        <v>75</v>
      </c>
      <c r="D110" s="22">
        <v>0</v>
      </c>
      <c r="E110" s="22">
        <v>0</v>
      </c>
      <c r="F110" s="22">
        <v>2.713</v>
      </c>
      <c r="G110" s="22">
        <v>0.124</v>
      </c>
      <c r="H110" s="23">
        <v>0</v>
      </c>
      <c r="I110" s="18">
        <v>0</v>
      </c>
      <c r="J110" s="19">
        <v>0</v>
      </c>
      <c r="K110" s="17">
        <v>0</v>
      </c>
      <c r="L110" s="20">
        <v>366.64</v>
      </c>
      <c r="M110" s="21">
        <v>0</v>
      </c>
      <c r="N110" s="16" t="s"/>
      <c r="O110" s="16" t="s"/>
    </row>
    <row r="111" spans="1:15">
      <c r="A111" s="16" t="s">
        <v>126</v>
      </c>
      <c r="B111" s="16" t="s">
        <v>143</v>
      </c>
      <c r="C111" s="16" t="s">
        <v>76</v>
      </c>
      <c r="D111" s="22">
        <v>0</v>
      </c>
      <c r="E111" s="22">
        <v>0</v>
      </c>
      <c r="F111" s="22">
        <v>3.428</v>
      </c>
      <c r="G111" s="22">
        <v>0.156</v>
      </c>
      <c r="H111" s="23">
        <v>0</v>
      </c>
      <c r="I111" s="18">
        <v>0</v>
      </c>
      <c r="J111" s="19">
        <v>0</v>
      </c>
      <c r="K111" s="17">
        <v>0</v>
      </c>
      <c r="L111" s="20">
        <v>416.64</v>
      </c>
      <c r="M111" s="21">
        <v>0</v>
      </c>
      <c r="N111" s="16" t="s"/>
      <c r="O111" s="16" t="s"/>
    </row>
    <row r="112" spans="1:15">
      <c r="A112" s="16" t="s">
        <v>126</v>
      </c>
      <c r="B112" s="16" t="s">
        <v>143</v>
      </c>
      <c r="C112" s="16" t="s">
        <v>77</v>
      </c>
      <c r="D112" s="22">
        <v>0</v>
      </c>
      <c r="E112" s="22">
        <v>0</v>
      </c>
      <c r="F112" s="22">
        <v>1.668</v>
      </c>
      <c r="G112" s="22">
        <v>0.076</v>
      </c>
      <c r="H112" s="23">
        <v>0</v>
      </c>
      <c r="I112" s="18">
        <v>0</v>
      </c>
      <c r="J112" s="19">
        <v>0</v>
      </c>
      <c r="K112" s="17">
        <v>0</v>
      </c>
      <c r="L112" s="20">
        <v>116.64</v>
      </c>
      <c r="M112" s="21">
        <v>0</v>
      </c>
      <c r="N112" s="16" t="s"/>
      <c r="O112" s="16" t="s"/>
    </row>
    <row r="113" spans="1:15">
      <c r="A113" s="16" t="s">
        <v>126</v>
      </c>
      <c r="B113" s="16" t="s">
        <v>144</v>
      </c>
      <c r="C113" s="16" t="s"/>
      <c r="D113" s="22">
        <v>3.134</v>
      </c>
      <c r="E113" s="22">
        <v>0.285</v>
      </c>
      <c r="F113" s="22">
        <v>3.419</v>
      </c>
      <c r="G113" s="22">
        <v>0.156</v>
      </c>
      <c r="H113" s="23">
        <v>0</v>
      </c>
      <c r="I113" s="18">
        <v>333.42</v>
      </c>
      <c r="J113" s="19">
        <v>54.0925</v>
      </c>
      <c r="K113" s="17">
        <v>0</v>
      </c>
      <c r="L113" s="20">
        <v>174.97</v>
      </c>
      <c r="M113" s="21">
        <v>0</v>
      </c>
      <c r="N113" s="16" t="s"/>
      <c r="O113" s="16" t="s"/>
    </row>
    <row r="114" spans="1:15">
      <c r="A114" s="16" t="s">
        <v>126</v>
      </c>
      <c r="B114" s="16" t="s">
        <v>137</v>
      </c>
      <c r="C114" s="16" t="s">
        <v>145</v>
      </c>
      <c r="D114" s="22">
        <v>0.792</v>
      </c>
      <c r="E114" s="22">
        <v>0.072</v>
      </c>
      <c r="F114" s="22">
        <v>0</v>
      </c>
      <c r="G114" s="22">
        <v>0</v>
      </c>
      <c r="H114" s="23">
        <v>0</v>
      </c>
      <c r="I114" s="18">
        <v>0</v>
      </c>
      <c r="J114" s="19">
        <v>0</v>
      </c>
      <c r="K114" s="17">
        <v>0</v>
      </c>
      <c r="L114" s="20">
        <v>0</v>
      </c>
      <c r="M114" s="21">
        <v>0</v>
      </c>
      <c r="N114" s="16" t="s"/>
      <c r="O114" s="16" t="s"/>
    </row>
    <row r="115" spans="1:15">
      <c r="A115" s="16" t="s">
        <v>126</v>
      </c>
      <c r="B115" s="16" t="s">
        <v>140</v>
      </c>
      <c r="C115" s="16" t="s">
        <v>146</v>
      </c>
      <c r="D115" s="22">
        <v>6.299</v>
      </c>
      <c r="E115" s="22">
        <v>0.573</v>
      </c>
      <c r="F115" s="22">
        <v>2.769</v>
      </c>
      <c r="G115" s="22">
        <v>0.126</v>
      </c>
      <c r="H115" s="23">
        <v>0</v>
      </c>
      <c r="I115" s="18">
        <v>451.2</v>
      </c>
      <c r="J115" s="19">
        <v>123.53</v>
      </c>
      <c r="K115" s="17">
        <v>0</v>
      </c>
      <c r="L115" s="20">
        <v>251.71</v>
      </c>
      <c r="M115" s="21">
        <v>0</v>
      </c>
      <c r="N115" s="16" t="s"/>
      <c r="O115" s="16" t="s"/>
    </row>
    <row r="116" spans="1:15">
      <c r="A116" s="16" t="s">
        <v>126</v>
      </c>
      <c r="B116" s="16" t="s">
        <v>147</v>
      </c>
      <c r="C116" s="16" t="s">
        <v>148</v>
      </c>
      <c r="D116" s="22">
        <v>0.487</v>
      </c>
      <c r="E116" s="22">
        <v>0.045</v>
      </c>
      <c r="F116" s="22">
        <v>0.367</v>
      </c>
      <c r="G116" s="22">
        <v>0.017</v>
      </c>
      <c r="H116" s="23">
        <v>0</v>
      </c>
      <c r="I116" s="18">
        <v>33.33</v>
      </c>
      <c r="J116" s="19">
        <v>4.51</v>
      </c>
      <c r="K116" s="17">
        <v>1.334</v>
      </c>
      <c r="L116" s="20">
        <v>33.34</v>
      </c>
      <c r="M116" s="21">
        <v>0</v>
      </c>
      <c r="N116" s="16" t="s"/>
      <c r="O116" s="16" t="s"/>
    </row>
    <row r="117" spans="1:15">
      <c r="A117" s="16" t="s">
        <v>149</v>
      </c>
      <c r="B117" s="16" t="s">
        <v>150</v>
      </c>
      <c r="C117" s="16" t="s">
        <v>62</v>
      </c>
      <c r="D117" s="22">
        <v>0.82</v>
      </c>
      <c r="E117" s="22">
        <v>0.075</v>
      </c>
      <c r="F117" s="22">
        <v>0.41</v>
      </c>
      <c r="G117" s="22">
        <v>0.019</v>
      </c>
      <c r="H117" s="23">
        <v>1.476</v>
      </c>
      <c r="I117" s="18">
        <v>40.99</v>
      </c>
      <c r="J117" s="19">
        <v>11.275</v>
      </c>
      <c r="K117" s="17">
        <v>0</v>
      </c>
      <c r="L117" s="20">
        <v>41</v>
      </c>
      <c r="M117" s="21">
        <f>=0</f>
        <v>0</v>
      </c>
      <c r="N117" s="16" t="s"/>
      <c r="O117" s="16" t="s"/>
    </row>
    <row r="118" spans="1:15">
      <c r="A118" s="16" t="s">
        <v>149</v>
      </c>
      <c r="B118" s="16" t="s">
        <v>150</v>
      </c>
      <c r="C118" s="16" t="s">
        <v>63</v>
      </c>
      <c r="D118" s="22">
        <v>0.766</v>
      </c>
      <c r="E118" s="22">
        <v>0.07</v>
      </c>
      <c r="F118" s="22">
        <v>0.702</v>
      </c>
      <c r="G118" s="22">
        <v>0.032</v>
      </c>
      <c r="H118" s="23">
        <v>2.526</v>
      </c>
      <c r="I118" s="18">
        <v>70.16</v>
      </c>
      <c r="J118" s="19">
        <v>19.305</v>
      </c>
      <c r="K118" s="17">
        <v>0</v>
      </c>
      <c r="L118" s="20">
        <v>70.17</v>
      </c>
      <c r="M118" s="21">
        <f>=0</f>
        <v>0</v>
      </c>
      <c r="N118" s="16" t="s"/>
      <c r="O118" s="16" t="s"/>
    </row>
    <row r="119" spans="1:15">
      <c r="A119" s="16" t="s">
        <v>149</v>
      </c>
      <c r="B119" s="16" t="s">
        <v>150</v>
      </c>
      <c r="C119" s="16" t="s">
        <v>64</v>
      </c>
      <c r="D119" s="22">
        <v>1.792</v>
      </c>
      <c r="E119" s="22">
        <v>0.163</v>
      </c>
      <c r="F119" s="22">
        <v>1.238</v>
      </c>
      <c r="G119" s="22">
        <v>0.057</v>
      </c>
      <c r="H119" s="23">
        <v>4.456</v>
      </c>
      <c r="I119" s="18">
        <v>123.76</v>
      </c>
      <c r="J119" s="19">
        <v>34.045</v>
      </c>
      <c r="K119" s="17">
        <v>0</v>
      </c>
      <c r="L119" s="20">
        <v>123.77</v>
      </c>
      <c r="M119" s="21">
        <f>=0</f>
        <v>0</v>
      </c>
      <c r="N119" s="16" t="s"/>
      <c r="O119" s="16" t="s"/>
    </row>
    <row r="120" spans="1:15">
      <c r="A120" s="16" t="s">
        <v>149</v>
      </c>
      <c r="B120" s="16" t="s">
        <v>150</v>
      </c>
      <c r="C120" s="16" t="s">
        <v>65</v>
      </c>
      <c r="D120" s="22">
        <v>2.334</v>
      </c>
      <c r="E120" s="22">
        <v>0.213</v>
      </c>
      <c r="F120" s="22">
        <v>1.864</v>
      </c>
      <c r="G120" s="22">
        <v>0.085</v>
      </c>
      <c r="H120" s="23">
        <v>6.709</v>
      </c>
      <c r="I120" s="18">
        <v>186.33</v>
      </c>
      <c r="J120" s="19">
        <v>51.26</v>
      </c>
      <c r="K120" s="17">
        <v>0</v>
      </c>
      <c r="L120" s="20">
        <v>186.34</v>
      </c>
      <c r="M120" s="21">
        <f>=0</f>
        <v>0</v>
      </c>
      <c r="N120" s="16" t="s"/>
      <c r="O120" s="16" t="s"/>
    </row>
    <row r="121" spans="1:15">
      <c r="A121" s="16" t="s">
        <v>149</v>
      </c>
      <c r="B121" s="16" t="s">
        <v>150</v>
      </c>
      <c r="C121" s="16" t="s">
        <v>81</v>
      </c>
      <c r="D121" s="22">
        <v>4.212</v>
      </c>
      <c r="E121" s="22">
        <v>0.383</v>
      </c>
      <c r="F121" s="22">
        <v>3.42</v>
      </c>
      <c r="G121" s="22">
        <v>0.156</v>
      </c>
      <c r="H121" s="23">
        <v>12.31</v>
      </c>
      <c r="I121" s="18">
        <v>341.94</v>
      </c>
      <c r="J121" s="19">
        <v>94.05</v>
      </c>
      <c r="K121" s="17">
        <v>0</v>
      </c>
      <c r="L121" s="20">
        <v>341.95</v>
      </c>
      <c r="M121" s="21">
        <f>=0</f>
        <v>0</v>
      </c>
      <c r="N121" s="16" t="s"/>
      <c r="O121" s="16" t="s"/>
    </row>
    <row r="122" spans="1:15">
      <c r="A122" s="16" t="s">
        <v>149</v>
      </c>
      <c r="B122" s="16" t="s">
        <v>151</v>
      </c>
      <c r="C122" s="16" t="s">
        <v>152</v>
      </c>
      <c r="D122" s="22">
        <v>0.667</v>
      </c>
      <c r="E122" s="22">
        <v>0.061</v>
      </c>
      <c r="F122" s="22">
        <v>0.667</v>
      </c>
      <c r="G122" s="22">
        <v>0.031</v>
      </c>
      <c r="H122" s="23">
        <v>0</v>
      </c>
      <c r="I122" s="18">
        <v>66.68</v>
      </c>
      <c r="J122" s="19">
        <v>18.3425</v>
      </c>
      <c r="K122" s="17">
        <v>0</v>
      </c>
      <c r="L122" s="20">
        <v>66.69</v>
      </c>
      <c r="M122" s="21">
        <f>=0</f>
        <v>0</v>
      </c>
      <c r="N122" s="16" t="s"/>
      <c r="O122" s="16" t="s"/>
    </row>
    <row r="123" spans="1:15">
      <c r="A123" s="16" t="s">
        <v>149</v>
      </c>
      <c r="B123" s="16" t="s">
        <v>151</v>
      </c>
      <c r="C123" s="16" t="s">
        <v>153</v>
      </c>
      <c r="D123" s="22">
        <v>0.375</v>
      </c>
      <c r="E123" s="22">
        <v>0.035</v>
      </c>
      <c r="F123" s="22">
        <v>0.375</v>
      </c>
      <c r="G123" s="22">
        <v>0.018</v>
      </c>
      <c r="H123" s="23">
        <v>0</v>
      </c>
      <c r="I123" s="18">
        <v>37.5</v>
      </c>
      <c r="J123" s="19">
        <v>10.3125</v>
      </c>
      <c r="K123" s="17">
        <v>0</v>
      </c>
      <c r="L123" s="20">
        <v>37.5</v>
      </c>
      <c r="M123" s="21">
        <f>=0</f>
        <v>0</v>
      </c>
      <c r="N123" s="16" t="s"/>
      <c r="O123" s="16" t="s"/>
    </row>
    <row r="124" spans="1:15">
      <c r="A124" s="16" t="s">
        <v>149</v>
      </c>
      <c r="B124" s="16" t="s">
        <v>151</v>
      </c>
      <c r="C124" s="16" t="s">
        <v>154</v>
      </c>
      <c r="D124" s="22">
        <v>0.25</v>
      </c>
      <c r="E124" s="22">
        <v>0.023</v>
      </c>
      <c r="F124" s="22">
        <v>0.25</v>
      </c>
      <c r="G124" s="22">
        <v>0.012</v>
      </c>
      <c r="H124" s="23">
        <v>0</v>
      </c>
      <c r="I124" s="18">
        <v>24.99</v>
      </c>
      <c r="J124" s="19">
        <v>6.875</v>
      </c>
      <c r="K124" s="17">
        <v>0</v>
      </c>
      <c r="L124" s="20">
        <v>25</v>
      </c>
      <c r="M124" s="21">
        <f>=0</f>
        <v>0</v>
      </c>
      <c r="N124" s="16" t="s"/>
      <c r="O124" s="16" t="s"/>
    </row>
    <row r="125" spans="1:15">
      <c r="A125" s="16" t="s">
        <v>149</v>
      </c>
      <c r="B125" s="16" t="s">
        <v>155</v>
      </c>
      <c r="C125" s="16" t="s">
        <v>152</v>
      </c>
      <c r="D125" s="22">
        <v>3.451</v>
      </c>
      <c r="E125" s="22">
        <v>0.314</v>
      </c>
      <c r="F125" s="22">
        <v>2.064</v>
      </c>
      <c r="G125" s="22">
        <v>0.094</v>
      </c>
      <c r="H125" s="23">
        <v>0</v>
      </c>
      <c r="I125" s="18">
        <v>203.33</v>
      </c>
      <c r="J125" s="19">
        <v>68.9425</v>
      </c>
      <c r="K125" s="17">
        <v>0</v>
      </c>
      <c r="L125" s="20">
        <v>93.01</v>
      </c>
      <c r="M125" s="21">
        <f>=0</f>
        <v>0</v>
      </c>
      <c r="N125" s="16" t="s"/>
      <c r="O125" s="16" t="s"/>
    </row>
    <row r="126" spans="1:15">
      <c r="A126" s="16" t="s">
        <v>149</v>
      </c>
      <c r="B126" s="16" t="s">
        <v>155</v>
      </c>
      <c r="C126" s="16" t="s">
        <v>153</v>
      </c>
      <c r="D126" s="22">
        <v>10.352</v>
      </c>
      <c r="E126" s="22">
        <v>0.942</v>
      </c>
      <c r="F126" s="22">
        <v>6.19</v>
      </c>
      <c r="G126" s="22">
        <v>0.282</v>
      </c>
      <c r="H126" s="23">
        <v>0</v>
      </c>
      <c r="I126" s="18">
        <v>610.01</v>
      </c>
      <c r="J126" s="19">
        <v>206.7725</v>
      </c>
      <c r="K126" s="17">
        <v>0</v>
      </c>
      <c r="L126" s="20">
        <v>279.03</v>
      </c>
      <c r="M126" s="21">
        <f>=0</f>
        <v>0</v>
      </c>
      <c r="N126" s="16" t="s"/>
      <c r="O126" s="16" t="s"/>
    </row>
    <row r="127" spans="1:15">
      <c r="A127" s="16" t="s">
        <v>149</v>
      </c>
      <c r="B127" s="16" t="s">
        <v>155</v>
      </c>
      <c r="C127" s="16" t="s">
        <v>154</v>
      </c>
      <c r="D127" s="22">
        <v>3.451</v>
      </c>
      <c r="E127" s="22">
        <v>0.314</v>
      </c>
      <c r="F127" s="22">
        <v>2.064</v>
      </c>
      <c r="G127" s="22">
        <v>0.094</v>
      </c>
      <c r="H127" s="23">
        <v>0</v>
      </c>
      <c r="I127" s="18">
        <v>203.33</v>
      </c>
      <c r="J127" s="19">
        <v>68.9425</v>
      </c>
      <c r="K127" s="17">
        <v>0</v>
      </c>
      <c r="L127" s="20">
        <v>93.01</v>
      </c>
      <c r="M127" s="21">
        <f>=0</f>
        <v>0</v>
      </c>
      <c r="N127" s="16" t="s"/>
      <c r="O127" s="16" t="s"/>
    </row>
    <row r="128" spans="1:15">
      <c r="A128" s="16" t="s">
        <v>149</v>
      </c>
      <c r="B128" s="16" t="s">
        <v>156</v>
      </c>
      <c r="C128" s="16" t="s">
        <v>157</v>
      </c>
      <c r="D128" s="22">
        <v>0.967</v>
      </c>
      <c r="E128" s="22">
        <v>0.088</v>
      </c>
      <c r="F128" s="22">
        <v>0.484</v>
      </c>
      <c r="G128" s="22">
        <v>0.022</v>
      </c>
      <c r="H128" s="23">
        <v>1.741</v>
      </c>
      <c r="I128" s="18">
        <v>48.34</v>
      </c>
      <c r="J128" s="19">
        <v>13.31</v>
      </c>
      <c r="K128" s="17">
        <v>0</v>
      </c>
      <c r="L128" s="20">
        <v>48.35</v>
      </c>
      <c r="M128" s="21">
        <f>=0</f>
        <v>0</v>
      </c>
      <c r="N128" s="16" t="s"/>
      <c r="O128" s="16" t="s"/>
    </row>
    <row r="129" spans="1:15">
      <c r="A129" s="16" t="s">
        <v>149</v>
      </c>
      <c r="B129" s="16" t="s">
        <v>158</v>
      </c>
      <c r="C129" s="16" t="s">
        <v>96</v>
      </c>
      <c r="D129" s="22">
        <v>1.356</v>
      </c>
      <c r="E129" s="22">
        <v>0.124</v>
      </c>
      <c r="F129" s="22">
        <v>0.659</v>
      </c>
      <c r="G129" s="22">
        <v>0.03</v>
      </c>
      <c r="H129" s="23">
        <v>2.37</v>
      </c>
      <c r="I129" s="18">
        <v>65.81</v>
      </c>
      <c r="J129" s="19">
        <v>18.1225</v>
      </c>
      <c r="K129" s="17">
        <v>0</v>
      </c>
      <c r="L129" s="20">
        <v>140.82</v>
      </c>
      <c r="M129" s="21">
        <f>=0</f>
        <v>0</v>
      </c>
      <c r="N129" s="16" t="s"/>
      <c r="O129" s="16" t="s"/>
    </row>
    <row r="130" spans="1:15">
      <c r="A130" s="16" t="s">
        <v>149</v>
      </c>
      <c r="B130" s="16" t="s">
        <v>158</v>
      </c>
      <c r="C130" s="16" t="s">
        <v>97</v>
      </c>
      <c r="D130" s="22">
        <v>1.356</v>
      </c>
      <c r="E130" s="22">
        <v>0.124</v>
      </c>
      <c r="F130" s="22">
        <v>0.659</v>
      </c>
      <c r="G130" s="22">
        <v>0.03</v>
      </c>
      <c r="H130" s="23">
        <v>2.37</v>
      </c>
      <c r="I130" s="18">
        <v>65.81</v>
      </c>
      <c r="J130" s="19">
        <v>18.1225</v>
      </c>
      <c r="K130" s="17">
        <v>0</v>
      </c>
      <c r="L130" s="20">
        <v>140.82</v>
      </c>
      <c r="M130" s="21">
        <f>=0</f>
        <v>0</v>
      </c>
      <c r="N130" s="16" t="s"/>
      <c r="O130" s="16" t="s"/>
    </row>
    <row r="131" spans="1:15">
      <c r="A131" s="16" t="s">
        <v>149</v>
      </c>
      <c r="B131" s="16" t="s">
        <v>159</v>
      </c>
      <c r="C131" s="16" t="s"/>
      <c r="D131" s="22">
        <v>6.873</v>
      </c>
      <c r="E131" s="22">
        <v>0.625</v>
      </c>
      <c r="F131" s="22">
        <v>2.883</v>
      </c>
      <c r="G131" s="22">
        <v>0.132</v>
      </c>
      <c r="H131" s="23">
        <v>0</v>
      </c>
      <c r="I131" s="18">
        <v>487.79</v>
      </c>
      <c r="J131" s="19">
        <v>262.1575</v>
      </c>
      <c r="K131" s="17">
        <v>0</v>
      </c>
      <c r="L131" s="20">
        <v>288.3</v>
      </c>
      <c r="M131" s="21">
        <f>=0</f>
        <v>0</v>
      </c>
      <c r="N131" s="16" t="s"/>
      <c r="O131" s="16" t="s"/>
    </row>
    <row r="132" spans="1:15">
      <c r="A132" s="16" t="s">
        <v>149</v>
      </c>
      <c r="B132" s="16" t="s">
        <v>160</v>
      </c>
      <c r="C132" s="16" t="s"/>
      <c r="D132" s="22">
        <v>20.288</v>
      </c>
      <c r="E132" s="22">
        <v>1.845</v>
      </c>
      <c r="F132" s="22">
        <v>4.068</v>
      </c>
      <c r="G132" s="22">
        <v>0.185</v>
      </c>
      <c r="H132" s="23">
        <v>0</v>
      </c>
      <c r="I132" s="18">
        <v>406.7</v>
      </c>
      <c r="J132" s="19">
        <v>0</v>
      </c>
      <c r="K132" s="17">
        <v>0</v>
      </c>
      <c r="L132" s="20">
        <v>906.71</v>
      </c>
      <c r="M132" s="21">
        <f>=0</f>
        <v>0</v>
      </c>
      <c r="N132" s="16" t="s"/>
      <c r="O132" s="16" t="s"/>
    </row>
    <row r="133" spans="1:15">
      <c r="A133" s="16" t="s">
        <v>149</v>
      </c>
      <c r="B133" s="16" t="s">
        <v>161</v>
      </c>
      <c r="C133" s="16" t="s">
        <v>96</v>
      </c>
      <c r="D133" s="22">
        <v>1.317</v>
      </c>
      <c r="E133" s="22">
        <v>0.12</v>
      </c>
      <c r="F133" s="22">
        <v>1.317</v>
      </c>
      <c r="G133" s="22">
        <v>0.06</v>
      </c>
      <c r="H133" s="23">
        <v>4.739</v>
      </c>
      <c r="I133" s="18">
        <v>131.63</v>
      </c>
      <c r="J133" s="19">
        <v>36.2175</v>
      </c>
      <c r="K133" s="17">
        <v>0</v>
      </c>
      <c r="L133" s="20">
        <v>65.82</v>
      </c>
      <c r="M133" s="21">
        <f>=0</f>
        <v>0</v>
      </c>
      <c r="N133" s="16" t="s"/>
      <c r="O133" s="16" t="s"/>
    </row>
    <row r="134" spans="1:15">
      <c r="A134" s="16" t="s">
        <v>149</v>
      </c>
      <c r="B134" s="16" t="s">
        <v>161</v>
      </c>
      <c r="C134" s="16" t="s">
        <v>97</v>
      </c>
      <c r="D134" s="22">
        <v>0.833</v>
      </c>
      <c r="E134" s="22">
        <v>0.076</v>
      </c>
      <c r="F134" s="22">
        <v>0.833</v>
      </c>
      <c r="G134" s="22">
        <v>0.038</v>
      </c>
      <c r="H134" s="23">
        <v>2.999</v>
      </c>
      <c r="I134" s="18">
        <v>83.29</v>
      </c>
      <c r="J134" s="19">
        <v>22.9075</v>
      </c>
      <c r="K134" s="17">
        <v>0</v>
      </c>
      <c r="L134" s="20">
        <v>41.65</v>
      </c>
      <c r="M134" s="21">
        <f>=0</f>
        <v>0</v>
      </c>
      <c r="N134" s="16" t="s"/>
      <c r="O134" s="16" t="s"/>
    </row>
    <row r="135" spans="1:15">
      <c r="A135" s="16" t="s">
        <v>149</v>
      </c>
      <c r="B135" s="16" t="s">
        <v>162</v>
      </c>
      <c r="C135" s="16" t="s">
        <v>75</v>
      </c>
      <c r="D135" s="22">
        <v>0</v>
      </c>
      <c r="E135" s="22">
        <v>0</v>
      </c>
      <c r="F135" s="22">
        <v>2.467</v>
      </c>
      <c r="G135" s="22">
        <v>0.113</v>
      </c>
      <c r="H135" s="23">
        <v>0</v>
      </c>
      <c r="I135" s="18">
        <v>0</v>
      </c>
      <c r="J135" s="19">
        <v>0</v>
      </c>
      <c r="K135" s="17">
        <v>0</v>
      </c>
      <c r="L135" s="20">
        <v>366.64</v>
      </c>
      <c r="M135" s="21">
        <f>=0</f>
        <v>0</v>
      </c>
      <c r="N135" s="16" t="s"/>
      <c r="O135" s="16" t="s"/>
    </row>
    <row r="136" spans="1:15">
      <c r="A136" s="16" t="s">
        <v>149</v>
      </c>
      <c r="B136" s="16" t="s">
        <v>162</v>
      </c>
      <c r="C136" s="16" t="s">
        <v>76</v>
      </c>
      <c r="D136" s="22">
        <v>0</v>
      </c>
      <c r="E136" s="22">
        <v>0</v>
      </c>
      <c r="F136" s="22">
        <v>3.117</v>
      </c>
      <c r="G136" s="22">
        <v>0.142</v>
      </c>
      <c r="H136" s="23">
        <v>0</v>
      </c>
      <c r="I136" s="18">
        <v>0</v>
      </c>
      <c r="J136" s="19">
        <v>0</v>
      </c>
      <c r="K136" s="17">
        <v>0</v>
      </c>
      <c r="L136" s="20">
        <v>416.64</v>
      </c>
      <c r="M136" s="21">
        <f>=0</f>
        <v>0</v>
      </c>
      <c r="N136" s="16" t="s"/>
      <c r="O136" s="16" t="s"/>
    </row>
    <row r="137" spans="1:15">
      <c r="A137" s="16" t="s">
        <v>149</v>
      </c>
      <c r="B137" s="16" t="s">
        <v>162</v>
      </c>
      <c r="C137" s="16" t="s">
        <v>77</v>
      </c>
      <c r="D137" s="22">
        <v>0</v>
      </c>
      <c r="E137" s="22">
        <v>0</v>
      </c>
      <c r="F137" s="22">
        <v>1.517</v>
      </c>
      <c r="G137" s="22">
        <v>0.069</v>
      </c>
      <c r="H137" s="23">
        <v>0</v>
      </c>
      <c r="I137" s="18">
        <v>0</v>
      </c>
      <c r="J137" s="19">
        <v>0</v>
      </c>
      <c r="K137" s="17">
        <v>0</v>
      </c>
      <c r="L137" s="20">
        <v>116.64</v>
      </c>
      <c r="M137" s="21">
        <f>=0</f>
        <v>0</v>
      </c>
      <c r="N137" s="16" t="s"/>
      <c r="O137" s="16" t="s"/>
    </row>
    <row r="138" spans="1:15">
      <c r="A138" s="16" t="s">
        <v>149</v>
      </c>
      <c r="B138" s="16" t="s">
        <v>163</v>
      </c>
      <c r="C138" s="16" t="s"/>
      <c r="D138" s="22">
        <v>5.475</v>
      </c>
      <c r="E138" s="22">
        <v>0.498</v>
      </c>
      <c r="F138" s="22">
        <v>4.886</v>
      </c>
      <c r="G138" s="22">
        <v>0.223</v>
      </c>
      <c r="H138" s="23">
        <v>0</v>
      </c>
      <c r="I138" s="18">
        <v>518.01</v>
      </c>
      <c r="J138" s="19">
        <v>166.7875</v>
      </c>
      <c r="K138" s="17">
        <v>0</v>
      </c>
      <c r="L138" s="20">
        <v>311.71</v>
      </c>
      <c r="M138" s="21">
        <f>=0</f>
        <v>0</v>
      </c>
      <c r="N138" s="16" t="s"/>
      <c r="O138" s="16" t="s"/>
    </row>
    <row r="139" spans="1:15">
      <c r="A139" s="24" t="s">
        <v>164</v>
      </c>
      <c r="B139" s="16" t="s">
        <v>165</v>
      </c>
      <c r="C139" s="16" t="s">
        <v>62</v>
      </c>
      <c r="D139" s="22">
        <v>0.472</v>
      </c>
      <c r="E139" s="22">
        <v>0.043</v>
      </c>
      <c r="F139" s="22">
        <v>0.213</v>
      </c>
      <c r="G139" s="22">
        <v>0.01</v>
      </c>
      <c r="H139" s="23">
        <v>0.772</v>
      </c>
      <c r="I139" s="18">
        <v>21.42</v>
      </c>
      <c r="J139" s="19">
        <v>5.9125</v>
      </c>
      <c r="K139" s="17">
        <v>0</v>
      </c>
      <c r="L139" s="20">
        <v>21.43</v>
      </c>
      <c r="M139" s="21">
        <f>=0</f>
        <v>0</v>
      </c>
      <c r="N139" s="16" t="s"/>
      <c r="O139" s="16" t="s"/>
    </row>
    <row r="140" spans="1:15">
      <c r="A140" s="24" t="s">
        <v>164</v>
      </c>
      <c r="B140" s="16" t="s">
        <v>165</v>
      </c>
      <c r="C140" s="16" t="s">
        <v>63</v>
      </c>
      <c r="D140" s="22">
        <v>0.409</v>
      </c>
      <c r="E140" s="22">
        <v>0.038</v>
      </c>
      <c r="F140" s="22">
        <v>0.338</v>
      </c>
      <c r="G140" s="22">
        <v>0.016</v>
      </c>
      <c r="H140" s="23">
        <v>1.228</v>
      </c>
      <c r="I140" s="18">
        <v>34.09</v>
      </c>
      <c r="J140" s="19">
        <v>9.3775</v>
      </c>
      <c r="K140" s="17">
        <v>0</v>
      </c>
      <c r="L140" s="20">
        <v>34.1</v>
      </c>
      <c r="M140" s="21">
        <f>=0</f>
        <v>0</v>
      </c>
      <c r="N140" s="16" t="s"/>
      <c r="O140" s="16" t="s"/>
    </row>
    <row r="141" spans="1:15">
      <c r="A141" s="24" t="s">
        <v>164</v>
      </c>
      <c r="B141" s="16" t="s">
        <v>165</v>
      </c>
      <c r="C141" s="16" t="s">
        <v>64</v>
      </c>
      <c r="D141" s="22">
        <v>1.483</v>
      </c>
      <c r="E141" s="22">
        <v>0.135</v>
      </c>
      <c r="F141" s="22">
        <v>1.1</v>
      </c>
      <c r="G141" s="22">
        <v>0.05</v>
      </c>
      <c r="H141" s="23">
        <v>3.998</v>
      </c>
      <c r="I141" s="18">
        <v>111.04</v>
      </c>
      <c r="J141" s="19">
        <v>30.5525</v>
      </c>
      <c r="K141" s="17">
        <v>0</v>
      </c>
      <c r="L141" s="20">
        <v>111.05</v>
      </c>
      <c r="M141" s="21">
        <f>=0</f>
        <v>0</v>
      </c>
      <c r="N141" s="16" t="s"/>
      <c r="O141" s="16" t="s"/>
    </row>
    <row r="142" spans="1:15">
      <c r="A142" s="24" t="s">
        <v>164</v>
      </c>
      <c r="B142" s="16" t="s">
        <v>165</v>
      </c>
      <c r="C142" s="16" t="s">
        <v>65</v>
      </c>
      <c r="D142" s="22">
        <v>0.788</v>
      </c>
      <c r="E142" s="22">
        <v>0.072</v>
      </c>
      <c r="F142" s="22">
        <v>0.675</v>
      </c>
      <c r="G142" s="22">
        <v>0.031</v>
      </c>
      <c r="H142" s="23">
        <v>2.453</v>
      </c>
      <c r="I142" s="18">
        <v>68.12</v>
      </c>
      <c r="J142" s="19">
        <v>18.755</v>
      </c>
      <c r="K142" s="17">
        <v>0</v>
      </c>
      <c r="L142" s="20">
        <v>68.13</v>
      </c>
      <c r="M142" s="21">
        <f>=0</f>
        <v>0</v>
      </c>
      <c r="N142" s="16" t="s"/>
      <c r="O142" s="16" t="s"/>
    </row>
    <row r="143" spans="1:15">
      <c r="A143" s="24" t="s">
        <v>164</v>
      </c>
      <c r="B143" s="16" t="s">
        <v>165</v>
      </c>
      <c r="C143" s="16" t="s">
        <v>81</v>
      </c>
      <c r="D143" s="22">
        <v>1.986</v>
      </c>
      <c r="E143" s="22">
        <v>0.181</v>
      </c>
      <c r="F143" s="22">
        <v>1.375</v>
      </c>
      <c r="G143" s="22">
        <v>0.063</v>
      </c>
      <c r="H143" s="23">
        <v>4.997</v>
      </c>
      <c r="I143" s="18">
        <v>138.79</v>
      </c>
      <c r="J143" s="19">
        <v>38.17</v>
      </c>
      <c r="K143" s="17">
        <v>0</v>
      </c>
      <c r="L143" s="20">
        <v>138.8</v>
      </c>
      <c r="M143" s="21">
        <f>=0</f>
        <v>0</v>
      </c>
      <c r="N143" s="16" t="s"/>
      <c r="O143" s="16" t="s"/>
    </row>
    <row r="144" spans="1:15">
      <c r="A144" s="24" t="s">
        <v>164</v>
      </c>
      <c r="B144" s="16" t="s">
        <v>165</v>
      </c>
      <c r="C144" s="16" t="s">
        <v>166</v>
      </c>
      <c r="D144" s="22">
        <v>3.999</v>
      </c>
      <c r="E144" s="22">
        <v>0.364</v>
      </c>
      <c r="F144" s="22">
        <v>2.626</v>
      </c>
      <c r="G144" s="22">
        <v>0.12</v>
      </c>
      <c r="H144" s="23">
        <v>9.549</v>
      </c>
      <c r="I144" s="18">
        <v>265.24</v>
      </c>
      <c r="J144" s="19">
        <v>72.9575</v>
      </c>
      <c r="K144" s="17">
        <v>0</v>
      </c>
      <c r="L144" s="20">
        <v>265.25</v>
      </c>
      <c r="M144" s="21">
        <f>=0</f>
        <v>0</v>
      </c>
      <c r="N144" s="16" t="s"/>
      <c r="O144" s="16" t="s"/>
    </row>
    <row r="145" spans="1:15">
      <c r="A145" s="24" t="s">
        <v>164</v>
      </c>
      <c r="B145" s="16" t="s">
        <v>167</v>
      </c>
      <c r="C145" s="16" t="s"/>
      <c r="D145" s="22">
        <v>1.263</v>
      </c>
      <c r="E145" s="22">
        <v>0.115</v>
      </c>
      <c r="F145" s="22">
        <v>0.932</v>
      </c>
      <c r="G145" s="22">
        <v>0.043</v>
      </c>
      <c r="H145" s="23">
        <v>3.388</v>
      </c>
      <c r="I145" s="18">
        <v>94.1</v>
      </c>
      <c r="J145" s="19">
        <v>25.905</v>
      </c>
      <c r="K145" s="17">
        <v>0</v>
      </c>
      <c r="L145" s="20">
        <v>94.11</v>
      </c>
      <c r="M145" s="21">
        <f>=0</f>
        <v>0</v>
      </c>
      <c r="N145" s="16" t="s"/>
      <c r="O145" s="16" t="s"/>
    </row>
    <row r="146" spans="1:15">
      <c r="A146" s="24" t="s">
        <v>164</v>
      </c>
      <c r="B146" s="16" t="s">
        <v>165</v>
      </c>
      <c r="C146" s="16" t="s">
        <v>168</v>
      </c>
      <c r="D146" s="22">
        <v>1.184</v>
      </c>
      <c r="E146" s="22">
        <v>0.108</v>
      </c>
      <c r="F146" s="22">
        <v>0.736</v>
      </c>
      <c r="G146" s="22">
        <v>0.034</v>
      </c>
      <c r="H146" s="23">
        <v>2.676</v>
      </c>
      <c r="I146" s="18">
        <v>74.32</v>
      </c>
      <c r="J146" s="19">
        <v>20.46</v>
      </c>
      <c r="K146" s="17">
        <v>0</v>
      </c>
      <c r="L146" s="20">
        <v>74.33</v>
      </c>
      <c r="M146" s="21">
        <f>=0</f>
        <v>0</v>
      </c>
      <c r="N146" s="16" t="s"/>
      <c r="O146" s="16" t="s"/>
    </row>
    <row r="147" spans="1:15">
      <c r="A147" s="24" t="s">
        <v>164</v>
      </c>
      <c r="B147" s="16" t="s">
        <v>169</v>
      </c>
      <c r="C147" s="16" t="s"/>
      <c r="D147" s="22">
        <v>0.533</v>
      </c>
      <c r="E147" s="22">
        <v>0.049</v>
      </c>
      <c r="F147" s="22">
        <v>0.24</v>
      </c>
      <c r="G147" s="22">
        <v>0.011</v>
      </c>
      <c r="H147" s="23">
        <v>0</v>
      </c>
      <c r="I147" s="18">
        <v>24.18</v>
      </c>
      <c r="J147" s="19">
        <v>6.655</v>
      </c>
      <c r="K147" s="17">
        <v>0</v>
      </c>
      <c r="L147" s="20">
        <v>24.19</v>
      </c>
      <c r="M147" s="21">
        <f>=0</f>
        <v>0</v>
      </c>
      <c r="N147" s="16" t="s"/>
      <c r="O147" s="16" t="s"/>
    </row>
    <row r="148" spans="1:15">
      <c r="A148" s="24" t="s">
        <v>164</v>
      </c>
      <c r="B148" s="16" t="s">
        <v>170</v>
      </c>
      <c r="C148" s="16" t="s"/>
      <c r="D148" s="22">
        <v>0.588</v>
      </c>
      <c r="E148" s="22">
        <v>0.054</v>
      </c>
      <c r="F148" s="22">
        <v>0.265</v>
      </c>
      <c r="G148" s="22">
        <v>0.013</v>
      </c>
      <c r="H148" s="23">
        <v>0</v>
      </c>
      <c r="I148" s="18">
        <v>26.68</v>
      </c>
      <c r="J148" s="19">
        <v>7.3425</v>
      </c>
      <c r="K148" s="17">
        <v>0</v>
      </c>
      <c r="L148" s="20">
        <v>26.69</v>
      </c>
      <c r="M148" s="21">
        <f>=0</f>
        <v>0</v>
      </c>
      <c r="N148" s="16" t="s"/>
      <c r="O148" s="16" t="s"/>
    </row>
    <row r="149" spans="1:15">
      <c r="A149" s="24" t="s">
        <v>164</v>
      </c>
      <c r="B149" s="16" t="s">
        <v>171</v>
      </c>
      <c r="C149" s="16" t="s"/>
      <c r="D149" s="22">
        <v>3.872</v>
      </c>
      <c r="E149" s="22">
        <v>0.352</v>
      </c>
      <c r="F149" s="22">
        <v>2.526</v>
      </c>
      <c r="G149" s="22">
        <v>0.115</v>
      </c>
      <c r="H149" s="23">
        <v>0</v>
      </c>
      <c r="I149" s="18">
        <v>249.11</v>
      </c>
      <c r="J149" s="19">
        <v>84.6175</v>
      </c>
      <c r="K149" s="17">
        <v>0</v>
      </c>
      <c r="L149" s="20">
        <v>123.34</v>
      </c>
      <c r="M149" s="21">
        <f>=0</f>
        <v>0</v>
      </c>
      <c r="N149" s="16" t="s"/>
      <c r="O149" s="16" t="s"/>
    </row>
    <row r="150" spans="1:15">
      <c r="A150" s="24" t="s">
        <v>164</v>
      </c>
      <c r="B150" s="16" t="s">
        <v>171</v>
      </c>
      <c r="C150" s="16" t="s">
        <v>172</v>
      </c>
      <c r="D150" s="22">
        <v>3.872</v>
      </c>
      <c r="E150" s="22">
        <v>0.352</v>
      </c>
      <c r="F150" s="22">
        <v>2.526</v>
      </c>
      <c r="G150" s="22">
        <v>0.115</v>
      </c>
      <c r="H150" s="23">
        <v>0</v>
      </c>
      <c r="I150" s="18">
        <v>249.11</v>
      </c>
      <c r="J150" s="19">
        <v>84.6175</v>
      </c>
      <c r="K150" s="17">
        <v>0</v>
      </c>
      <c r="L150" s="20">
        <v>51.67</v>
      </c>
      <c r="M150" s="21">
        <f>=0</f>
        <v>0</v>
      </c>
      <c r="N150" s="16" t="s"/>
      <c r="O150" s="16" t="s"/>
    </row>
    <row r="151" spans="1:15">
      <c r="A151" s="24" t="s">
        <v>164</v>
      </c>
      <c r="B151" s="16" t="s">
        <v>173</v>
      </c>
      <c r="C151" s="16" t="s"/>
      <c r="D151" s="22">
        <v>4.257</v>
      </c>
      <c r="E151" s="22">
        <v>0.387</v>
      </c>
      <c r="F151" s="22">
        <v>2.884</v>
      </c>
      <c r="G151" s="22">
        <v>0.132</v>
      </c>
      <c r="H151" s="23">
        <v>0</v>
      </c>
      <c r="I151" s="18">
        <v>282.87</v>
      </c>
      <c r="J151" s="19">
        <v>94.93</v>
      </c>
      <c r="K151" s="17">
        <v>0</v>
      </c>
      <c r="L151" s="20">
        <v>126.7</v>
      </c>
      <c r="M151" s="21">
        <f>=0</f>
        <v>0</v>
      </c>
      <c r="N151" s="16" t="s"/>
      <c r="O151" s="16" t="s"/>
    </row>
    <row r="152" spans="1:15">
      <c r="A152" s="24" t="s">
        <v>164</v>
      </c>
      <c r="B152" s="16" t="s">
        <v>169</v>
      </c>
      <c r="C152" s="16" t="s">
        <v>174</v>
      </c>
      <c r="D152" s="22">
        <v>0</v>
      </c>
      <c r="E152" s="22">
        <v>0</v>
      </c>
      <c r="F152" s="22">
        <v>0.77</v>
      </c>
      <c r="G152" s="22">
        <v>0.035</v>
      </c>
      <c r="H152" s="23">
        <v>0</v>
      </c>
      <c r="I152" s="18">
        <v>40</v>
      </c>
      <c r="J152" s="19">
        <v>11.0275</v>
      </c>
      <c r="K152" s="17">
        <v>0</v>
      </c>
      <c r="L152" s="20">
        <v>0</v>
      </c>
      <c r="M152" s="21">
        <f>=0</f>
        <v>0</v>
      </c>
      <c r="N152" s="16" t="s"/>
      <c r="O152" s="16" t="s"/>
    </row>
    <row r="153" spans="1:15">
      <c r="A153" s="24" t="s">
        <v>164</v>
      </c>
      <c r="B153" s="16" t="s">
        <v>171</v>
      </c>
      <c r="C153" s="16" t="s">
        <v>174</v>
      </c>
      <c r="D153" s="22">
        <v>0</v>
      </c>
      <c r="E153" s="22">
        <v>0</v>
      </c>
      <c r="F153" s="22">
        <v>1.54</v>
      </c>
      <c r="G153" s="22">
        <v>0.07</v>
      </c>
      <c r="H153" s="23">
        <v>0</v>
      </c>
      <c r="I153" s="18">
        <v>100</v>
      </c>
      <c r="J153" s="19">
        <v>27.5</v>
      </c>
      <c r="K153" s="17">
        <v>0</v>
      </c>
      <c r="L153" s="20">
        <v>0</v>
      </c>
      <c r="M153" s="21">
        <f>=0</f>
        <v>0</v>
      </c>
      <c r="N153" s="16" t="s"/>
      <c r="O153" s="16" t="s"/>
    </row>
    <row r="154" spans="1:15">
      <c r="A154" s="24" t="s">
        <v>164</v>
      </c>
      <c r="B154" s="16" t="s">
        <v>173</v>
      </c>
      <c r="C154" s="16" t="s">
        <v>174</v>
      </c>
      <c r="D154" s="22">
        <v>0</v>
      </c>
      <c r="E154" s="22">
        <v>0</v>
      </c>
      <c r="F154" s="22">
        <v>1.54</v>
      </c>
      <c r="G154" s="22">
        <v>0.07</v>
      </c>
      <c r="H154" s="23">
        <v>0</v>
      </c>
      <c r="I154" s="18">
        <v>100</v>
      </c>
      <c r="J154" s="19">
        <v>27.5</v>
      </c>
      <c r="K154" s="17">
        <v>0</v>
      </c>
      <c r="L154" s="20">
        <v>0</v>
      </c>
      <c r="M154" s="21">
        <f>=0</f>
        <v>0</v>
      </c>
      <c r="N154" s="16" t="s"/>
      <c r="O154" s="16" t="s"/>
    </row>
    <row r="155" spans="1:15">
      <c r="A155" s="24" t="s">
        <v>164</v>
      </c>
      <c r="B155" s="16" t="s">
        <v>175</v>
      </c>
      <c r="C155" s="16" t="s"/>
      <c r="D155" s="22">
        <v>0.623</v>
      </c>
      <c r="E155" s="22">
        <v>0.057</v>
      </c>
      <c r="F155" s="22">
        <v>0.312</v>
      </c>
      <c r="G155" s="22">
        <v>0.015</v>
      </c>
      <c r="H155" s="23">
        <v>1.02</v>
      </c>
      <c r="I155" s="18">
        <v>28.31</v>
      </c>
      <c r="J155" s="19">
        <v>27.28</v>
      </c>
      <c r="K155" s="17">
        <v>0</v>
      </c>
      <c r="L155" s="20">
        <v>28.32</v>
      </c>
      <c r="M155" s="21">
        <f>=0</f>
        <v>0</v>
      </c>
      <c r="N155" s="16" t="s"/>
      <c r="O155" s="16" t="s"/>
    </row>
    <row r="156" spans="1:15">
      <c r="A156" s="24" t="s">
        <v>164</v>
      </c>
      <c r="B156" s="16" t="s">
        <v>176</v>
      </c>
      <c r="C156" s="16" t="s"/>
      <c r="D156" s="22">
        <v>1.935</v>
      </c>
      <c r="E156" s="22">
        <v>0.176</v>
      </c>
      <c r="F156" s="22">
        <v>1.742</v>
      </c>
      <c r="G156" s="22">
        <v>0.08</v>
      </c>
      <c r="H156" s="23">
        <v>2.101</v>
      </c>
      <c r="I156" s="18">
        <v>58.33</v>
      </c>
      <c r="J156" s="19">
        <v>16.06</v>
      </c>
      <c r="K156" s="17">
        <v>0</v>
      </c>
      <c r="L156" s="20">
        <v>208.34</v>
      </c>
      <c r="M156" s="21">
        <f>=0</f>
        <v>0</v>
      </c>
      <c r="N156" s="16" t="s"/>
      <c r="O156" s="16" t="s"/>
    </row>
    <row r="157" spans="1:15">
      <c r="A157" s="24" t="s">
        <v>164</v>
      </c>
      <c r="B157" s="16" t="s">
        <v>177</v>
      </c>
      <c r="C157" s="16" t="s"/>
      <c r="D157" s="22">
        <v>6.388</v>
      </c>
      <c r="E157" s="22">
        <v>0.581</v>
      </c>
      <c r="F157" s="22">
        <v>1.999</v>
      </c>
      <c r="G157" s="22">
        <v>0.091</v>
      </c>
      <c r="H157" s="23">
        <v>0</v>
      </c>
      <c r="I157" s="18">
        <v>381.16</v>
      </c>
      <c r="J157" s="19">
        <v>232.8425</v>
      </c>
      <c r="K157" s="17">
        <v>0</v>
      </c>
      <c r="L157" s="20">
        <v>181.67</v>
      </c>
      <c r="M157" s="21">
        <f>=0</f>
        <v>0</v>
      </c>
      <c r="N157" s="16" t="s"/>
      <c r="O157" s="16" t="s"/>
    </row>
    <row r="158" spans="1:15">
      <c r="A158" s="24" t="s">
        <v>164</v>
      </c>
      <c r="B158" s="16" t="s">
        <v>178</v>
      </c>
      <c r="C158" s="16" t="s"/>
      <c r="D158" s="22">
        <v>20.123</v>
      </c>
      <c r="E158" s="22">
        <v>1.83</v>
      </c>
      <c r="F158" s="22">
        <v>2.787</v>
      </c>
      <c r="G158" s="22">
        <v>0.127</v>
      </c>
      <c r="H158" s="23">
        <v>0</v>
      </c>
      <c r="I158" s="18">
        <v>253.29</v>
      </c>
      <c r="J158" s="19">
        <v>0</v>
      </c>
      <c r="K158" s="17">
        <v>0</v>
      </c>
      <c r="L158" s="20">
        <v>753.3</v>
      </c>
      <c r="M158" s="21">
        <f>=0</f>
        <v>0</v>
      </c>
      <c r="N158" s="16" t="s"/>
      <c r="O158" s="16" t="s"/>
    </row>
    <row r="159" spans="1:15">
      <c r="A159" s="24" t="s">
        <v>164</v>
      </c>
      <c r="B159" s="16" t="s">
        <v>179</v>
      </c>
      <c r="C159" s="16" t="s"/>
      <c r="D159" s="22">
        <v>0.642</v>
      </c>
      <c r="E159" s="22">
        <v>0.059</v>
      </c>
      <c r="F159" s="22">
        <v>0.642</v>
      </c>
      <c r="G159" s="22">
        <v>0.03</v>
      </c>
      <c r="H159" s="23">
        <v>2.101</v>
      </c>
      <c r="I159" s="18">
        <v>58.33</v>
      </c>
      <c r="J159" s="19">
        <v>16.06</v>
      </c>
      <c r="K159" s="17">
        <v>0</v>
      </c>
      <c r="L159" s="20">
        <v>58.34</v>
      </c>
      <c r="M159" s="21">
        <f>=0</f>
        <v>0</v>
      </c>
      <c r="N159" s="16" t="s"/>
      <c r="O159" s="16" t="s"/>
    </row>
    <row r="160" spans="1:15">
      <c r="A160" s="24" t="s">
        <v>164</v>
      </c>
      <c r="B160" s="16" t="s">
        <v>180</v>
      </c>
      <c r="C160" s="16" t="s">
        <v>75</v>
      </c>
      <c r="D160" s="22">
        <v>0</v>
      </c>
      <c r="E160" s="22">
        <v>0</v>
      </c>
      <c r="F160" s="22">
        <v>2.713</v>
      </c>
      <c r="G160" s="22">
        <v>0.124</v>
      </c>
      <c r="H160" s="23">
        <v>0</v>
      </c>
      <c r="I160" s="18">
        <v>0</v>
      </c>
      <c r="J160" s="19">
        <v>0</v>
      </c>
      <c r="K160" s="17">
        <v>0</v>
      </c>
      <c r="L160" s="20">
        <v>366.64</v>
      </c>
      <c r="M160" s="21">
        <f>=0</f>
        <v>0</v>
      </c>
      <c r="N160" s="16" t="s"/>
      <c r="O160" s="16" t="s"/>
    </row>
    <row r="161" spans="1:15">
      <c r="A161" s="24" t="s">
        <v>164</v>
      </c>
      <c r="B161" s="16" t="s">
        <v>180</v>
      </c>
      <c r="C161" s="16" t="s">
        <v>76</v>
      </c>
      <c r="D161" s="22">
        <v>0</v>
      </c>
      <c r="E161" s="22">
        <v>0</v>
      </c>
      <c r="F161" s="22">
        <v>3.453</v>
      </c>
      <c r="G161" s="22">
        <v>0.157</v>
      </c>
      <c r="H161" s="23">
        <v>0</v>
      </c>
      <c r="I161" s="18">
        <v>0</v>
      </c>
      <c r="J161" s="19">
        <v>0</v>
      </c>
      <c r="K161" s="17">
        <v>0</v>
      </c>
      <c r="L161" s="20">
        <v>418.34</v>
      </c>
      <c r="M161" s="21">
        <f>=0</f>
        <v>0</v>
      </c>
      <c r="N161" s="16" t="s"/>
      <c r="O161" s="16" t="s"/>
    </row>
    <row r="162" spans="1:15">
      <c r="A162" s="24" t="s">
        <v>164</v>
      </c>
      <c r="B162" s="16" t="s">
        <v>180</v>
      </c>
      <c r="C162" s="16" t="s">
        <v>77</v>
      </c>
      <c r="D162" s="22">
        <v>0</v>
      </c>
      <c r="E162" s="22">
        <v>0</v>
      </c>
      <c r="F162" s="22">
        <v>1.693</v>
      </c>
      <c r="G162" s="22">
        <v>0.077</v>
      </c>
      <c r="H162" s="23">
        <v>0</v>
      </c>
      <c r="I162" s="18">
        <v>0</v>
      </c>
      <c r="J162" s="19">
        <v>0</v>
      </c>
      <c r="K162" s="17">
        <v>0</v>
      </c>
      <c r="L162" s="20">
        <v>118.34</v>
      </c>
      <c r="M162" s="21">
        <f>=0</f>
        <v>0</v>
      </c>
      <c r="N162" s="16" t="s"/>
      <c r="O162" s="16" t="s"/>
    </row>
    <row r="163" spans="1:15">
      <c r="A163" s="24" t="s">
        <v>164</v>
      </c>
      <c r="B163" s="16" t="s">
        <v>181</v>
      </c>
      <c r="C163" s="16" t="s"/>
      <c r="D163" s="22">
        <v>4.072</v>
      </c>
      <c r="E163" s="22">
        <v>0.371</v>
      </c>
      <c r="F163" s="22">
        <v>3.563</v>
      </c>
      <c r="G163" s="22">
        <v>0.162</v>
      </c>
      <c r="H163" s="23">
        <v>0</v>
      </c>
      <c r="I163" s="18">
        <v>346.97</v>
      </c>
      <c r="J163" s="19">
        <v>114.51</v>
      </c>
      <c r="K163" s="17">
        <v>0</v>
      </c>
      <c r="L163" s="20">
        <v>185</v>
      </c>
      <c r="M163" s="21">
        <f>=0</f>
        <v>0</v>
      </c>
      <c r="N163" s="16" t="s"/>
      <c r="O163" s="16" t="s"/>
    </row>
    <row r="164" spans="1:15">
      <c r="A164" s="16" t="s">
        <v>182</v>
      </c>
      <c r="B164" s="16" t="s">
        <v>183</v>
      </c>
      <c r="C164" s="16" t="s">
        <v>184</v>
      </c>
      <c r="D164" s="22">
        <v>0.68</v>
      </c>
      <c r="E164" s="22">
        <v>0.062</v>
      </c>
      <c r="F164" s="22">
        <v>0.544</v>
      </c>
      <c r="G164" s="22">
        <v>0.025</v>
      </c>
      <c r="H164" s="23">
        <v>1.632</v>
      </c>
      <c r="I164" s="18">
        <v>54.39</v>
      </c>
      <c r="J164" s="19">
        <v>9.9825</v>
      </c>
      <c r="K164" s="17">
        <v>0</v>
      </c>
      <c r="L164" s="20">
        <v>67.99</v>
      </c>
      <c r="M164" s="21">
        <f>=0</f>
        <v>0</v>
      </c>
      <c r="N164" s="16" t="s"/>
      <c r="O164" s="16" t="s">
        <v>185</v>
      </c>
    </row>
    <row r="165" spans="1:15">
      <c r="A165" s="16" t="s">
        <v>182</v>
      </c>
      <c r="B165" s="16" t="s">
        <v>183</v>
      </c>
      <c r="C165" s="16" t="s">
        <v>186</v>
      </c>
      <c r="D165" s="22">
        <v>0.076</v>
      </c>
      <c r="E165" s="22">
        <v>0.007</v>
      </c>
      <c r="F165" s="22">
        <v>0.061</v>
      </c>
      <c r="G165" s="22">
        <v>0.003</v>
      </c>
      <c r="H165" s="23">
        <v>0.544</v>
      </c>
      <c r="I165" s="18">
        <v>6.04</v>
      </c>
      <c r="J165" s="19">
        <v>3.3275</v>
      </c>
      <c r="K165" s="17">
        <v>0</v>
      </c>
      <c r="L165" s="20">
        <v>7.56</v>
      </c>
      <c r="M165" s="21">
        <f>=0</f>
        <v>0</v>
      </c>
      <c r="N165" s="16" t="s"/>
      <c r="O165" s="16" t="s">
        <v>185</v>
      </c>
    </row>
    <row r="166" spans="1:15">
      <c r="A166" s="16" t="s">
        <v>182</v>
      </c>
      <c r="B166" s="16" t="s">
        <v>183</v>
      </c>
      <c r="C166" s="16" t="s">
        <v>187</v>
      </c>
      <c r="D166" s="22">
        <v>0.618</v>
      </c>
      <c r="E166" s="22">
        <v>0.057</v>
      </c>
      <c r="F166" s="22">
        <v>0.547</v>
      </c>
      <c r="G166" s="22">
        <v>0.025</v>
      </c>
      <c r="H166" s="23">
        <v>1.969</v>
      </c>
      <c r="I166" s="18">
        <v>29.03</v>
      </c>
      <c r="J166" s="19">
        <v>15.0425</v>
      </c>
      <c r="K166" s="17">
        <v>0</v>
      </c>
      <c r="L166" s="20">
        <v>53.67</v>
      </c>
      <c r="M166" s="21">
        <f>=0</f>
        <v>0</v>
      </c>
      <c r="N166" s="16" t="s"/>
      <c r="O166" s="16" t="s">
        <v>185</v>
      </c>
    </row>
    <row r="167" spans="1:15">
      <c r="A167" s="16" t="s">
        <v>182</v>
      </c>
      <c r="B167" s="16" t="s">
        <v>183</v>
      </c>
      <c r="C167" s="16" t="s">
        <v>188</v>
      </c>
      <c r="D167" s="22">
        <v>0.127</v>
      </c>
      <c r="E167" s="22">
        <v>0.012</v>
      </c>
      <c r="F167" s="22">
        <v>0.089</v>
      </c>
      <c r="G167" s="22">
        <v>0.005</v>
      </c>
      <c r="H167" s="23">
        <v>0.321</v>
      </c>
      <c r="I167" s="18">
        <v>8.89</v>
      </c>
      <c r="J167" s="19">
        <v>2.4475</v>
      </c>
      <c r="K167" s="17">
        <v>0</v>
      </c>
      <c r="L167" s="20">
        <v>8.9</v>
      </c>
      <c r="M167" s="21">
        <f>=0</f>
        <v>0</v>
      </c>
      <c r="N167" s="16" t="s"/>
      <c r="O167" s="16" t="s">
        <v>185</v>
      </c>
    </row>
    <row r="168" spans="1:15">
      <c r="A168" s="16" t="s">
        <v>182</v>
      </c>
      <c r="B168" s="16" t="s">
        <v>183</v>
      </c>
      <c r="C168" s="16" t="s">
        <v>189</v>
      </c>
      <c r="D168" s="22">
        <v>0.495</v>
      </c>
      <c r="E168" s="22">
        <v>0.045</v>
      </c>
      <c r="F168" s="22">
        <v>0.552</v>
      </c>
      <c r="G168" s="22">
        <v>0.026</v>
      </c>
      <c r="H168" s="23">
        <v>3.971</v>
      </c>
      <c r="I168" s="18">
        <v>80.79</v>
      </c>
      <c r="J168" s="19">
        <v>15.18</v>
      </c>
      <c r="K168" s="17">
        <v>0</v>
      </c>
      <c r="L168" s="20">
        <v>38.05</v>
      </c>
      <c r="M168" s="21">
        <f>=0</f>
        <v>0</v>
      </c>
      <c r="N168" s="16" t="s"/>
      <c r="O168" s="16" t="s">
        <v>185</v>
      </c>
    </row>
    <row r="169" spans="1:15">
      <c r="A169" s="16" t="s">
        <v>182</v>
      </c>
      <c r="B169" s="16" t="s">
        <v>190</v>
      </c>
      <c r="C169" s="16" t="s">
        <v>62</v>
      </c>
      <c r="D169" s="22">
        <v>0.242</v>
      </c>
      <c r="E169" s="22">
        <v>0.022</v>
      </c>
      <c r="F169" s="22">
        <v>0.242</v>
      </c>
      <c r="G169" s="22">
        <v>0.011</v>
      </c>
      <c r="H169" s="23">
        <v>0</v>
      </c>
      <c r="I169" s="18">
        <v>24.14</v>
      </c>
      <c r="J169" s="19">
        <v>6.655</v>
      </c>
      <c r="K169" s="17">
        <v>0</v>
      </c>
      <c r="L169" s="20">
        <v>24.15</v>
      </c>
      <c r="M169" s="21">
        <f>=0</f>
        <v>0</v>
      </c>
      <c r="N169" s="16" t="s"/>
      <c r="O169" s="16" t="s">
        <v>185</v>
      </c>
    </row>
    <row r="170" spans="1:15">
      <c r="A170" s="16" t="s">
        <v>182</v>
      </c>
      <c r="B170" s="16" t="s">
        <v>190</v>
      </c>
      <c r="C170" s="16" t="s">
        <v>63</v>
      </c>
      <c r="D170" s="22">
        <v>0.517</v>
      </c>
      <c r="E170" s="22">
        <v>0.047</v>
      </c>
      <c r="F170" s="22">
        <v>0.517</v>
      </c>
      <c r="G170" s="22">
        <v>0.024</v>
      </c>
      <c r="H170" s="23">
        <v>0</v>
      </c>
      <c r="I170" s="18">
        <v>25.84</v>
      </c>
      <c r="J170" s="19">
        <v>14.2175</v>
      </c>
      <c r="K170" s="17">
        <v>0</v>
      </c>
      <c r="L170" s="20">
        <v>25.85</v>
      </c>
      <c r="M170" s="21">
        <f>=0</f>
        <v>0</v>
      </c>
      <c r="N170" s="16" t="s"/>
      <c r="O170" s="16" t="s">
        <v>185</v>
      </c>
    </row>
    <row r="171" spans="1:15">
      <c r="A171" s="16" t="s">
        <v>182</v>
      </c>
      <c r="B171" s="16" t="s">
        <v>190</v>
      </c>
      <c r="C171" s="16" t="s">
        <v>64</v>
      </c>
      <c r="D171" s="22">
        <v>0.501</v>
      </c>
      <c r="E171" s="22">
        <v>0.046</v>
      </c>
      <c r="F171" s="22">
        <v>0.501</v>
      </c>
      <c r="G171" s="22">
        <v>0.023</v>
      </c>
      <c r="H171" s="23">
        <v>0</v>
      </c>
      <c r="I171" s="18">
        <v>25</v>
      </c>
      <c r="J171" s="19">
        <v>13.7775</v>
      </c>
      <c r="K171" s="17">
        <v>0</v>
      </c>
      <c r="L171" s="20">
        <v>25.01</v>
      </c>
      <c r="M171" s="21">
        <f>=0</f>
        <v>0</v>
      </c>
      <c r="N171" s="16" t="s"/>
      <c r="O171" s="16" t="s">
        <v>185</v>
      </c>
    </row>
    <row r="172" spans="1:15">
      <c r="A172" s="16" t="s">
        <v>182</v>
      </c>
      <c r="B172" s="16" t="s">
        <v>191</v>
      </c>
      <c r="C172" s="16" t="s"/>
      <c r="D172" s="22">
        <v>5.438</v>
      </c>
      <c r="E172" s="22">
        <v>0.495</v>
      </c>
      <c r="F172" s="22">
        <v>4.395</v>
      </c>
      <c r="G172" s="22">
        <v>0.2</v>
      </c>
      <c r="H172" s="23">
        <v>0</v>
      </c>
      <c r="I172" s="18">
        <v>446.87</v>
      </c>
      <c r="J172" s="19">
        <v>162.03</v>
      </c>
      <c r="K172" s="17">
        <v>0</v>
      </c>
      <c r="L172" s="20">
        <v>114.97</v>
      </c>
      <c r="M172" s="21">
        <f>=0</f>
        <v>0</v>
      </c>
      <c r="N172" s="16" t="s"/>
      <c r="O172" s="16" t="s">
        <v>185</v>
      </c>
    </row>
    <row r="173" spans="1:15">
      <c r="A173" s="16" t="s">
        <v>182</v>
      </c>
      <c r="B173" s="16" t="s">
        <v>192</v>
      </c>
      <c r="C173" s="16" t="s">
        <v>193</v>
      </c>
      <c r="D173" s="22">
        <v>0.39</v>
      </c>
      <c r="E173" s="22">
        <v>0.036</v>
      </c>
      <c r="F173" s="22">
        <v>0.195</v>
      </c>
      <c r="G173" s="22">
        <v>0.009</v>
      </c>
      <c r="H173" s="23">
        <v>0.78</v>
      </c>
      <c r="I173" s="18">
        <v>43.29</v>
      </c>
      <c r="J173" s="19">
        <v>5.9675</v>
      </c>
      <c r="K173" s="17">
        <v>0</v>
      </c>
      <c r="L173" s="20">
        <v>21.65</v>
      </c>
      <c r="M173" s="21">
        <f>=0</f>
        <v>0</v>
      </c>
      <c r="N173" s="16" t="s"/>
      <c r="O173" s="16" t="s">
        <v>185</v>
      </c>
    </row>
    <row r="174" spans="1:15">
      <c r="A174" s="16" t="s">
        <v>182</v>
      </c>
      <c r="B174" s="16" t="s">
        <v>192</v>
      </c>
      <c r="C174" s="16" t="s">
        <v>194</v>
      </c>
      <c r="D174" s="22">
        <v>0.63</v>
      </c>
      <c r="E174" s="22">
        <v>0.058</v>
      </c>
      <c r="F174" s="22">
        <v>0.63</v>
      </c>
      <c r="G174" s="22">
        <v>0.029</v>
      </c>
      <c r="H174" s="23">
        <v>2.519</v>
      </c>
      <c r="I174" s="18">
        <v>34.98</v>
      </c>
      <c r="J174" s="19">
        <v>19.25</v>
      </c>
      <c r="K174" s="17">
        <v>0</v>
      </c>
      <c r="L174" s="20">
        <v>34.99</v>
      </c>
      <c r="M174" s="21">
        <f>=0</f>
        <v>0</v>
      </c>
      <c r="N174" s="16" t="s"/>
      <c r="O174" s="16" t="s">
        <v>185</v>
      </c>
    </row>
    <row r="175" spans="1:15">
      <c r="A175" s="16" t="s">
        <v>182</v>
      </c>
      <c r="B175" s="16" t="s">
        <v>195</v>
      </c>
      <c r="C175" s="16" t="s"/>
      <c r="D175" s="22">
        <v>2.214</v>
      </c>
      <c r="E175" s="22">
        <v>0.202</v>
      </c>
      <c r="F175" s="22">
        <v>1.934</v>
      </c>
      <c r="G175" s="22">
        <v>0.088</v>
      </c>
      <c r="H175" s="23">
        <v>3.362</v>
      </c>
      <c r="I175" s="18">
        <v>93.36</v>
      </c>
      <c r="J175" s="19">
        <v>25.685</v>
      </c>
      <c r="K175" s="17">
        <v>0</v>
      </c>
      <c r="L175" s="20">
        <v>243.37</v>
      </c>
      <c r="M175" s="21">
        <f>=0</f>
        <v>0</v>
      </c>
      <c r="N175" s="16" t="s"/>
      <c r="O175" s="16" t="s">
        <v>185</v>
      </c>
    </row>
    <row r="176" spans="1:15">
      <c r="A176" s="16" t="s">
        <v>182</v>
      </c>
      <c r="B176" s="16" t="s">
        <v>196</v>
      </c>
      <c r="C176" s="16" t="s"/>
      <c r="D176" s="22">
        <v>7.352</v>
      </c>
      <c r="E176" s="22">
        <v>0.669</v>
      </c>
      <c r="F176" s="22">
        <v>1.966</v>
      </c>
      <c r="G176" s="22">
        <v>0.09</v>
      </c>
      <c r="H176" s="23">
        <v>0</v>
      </c>
      <c r="I176" s="18">
        <v>417.83</v>
      </c>
      <c r="J176" s="19">
        <v>242.935</v>
      </c>
      <c r="K176" s="17">
        <v>0</v>
      </c>
      <c r="L176" s="20">
        <v>218.34</v>
      </c>
      <c r="M176" s="21">
        <f>=0</f>
        <v>0</v>
      </c>
      <c r="N176" s="16" t="s"/>
      <c r="O176" s="16" t="s">
        <v>185</v>
      </c>
    </row>
    <row r="177" spans="1:15">
      <c r="A177" s="16" t="s">
        <v>182</v>
      </c>
      <c r="B177" s="16" t="s">
        <v>197</v>
      </c>
      <c r="C177" s="16" t="s"/>
      <c r="D177" s="22">
        <v>15.977</v>
      </c>
      <c r="E177" s="22">
        <v>1.453</v>
      </c>
      <c r="F177" s="22">
        <v>1.906</v>
      </c>
      <c r="G177" s="22">
        <v>0.087</v>
      </c>
      <c r="H177" s="23">
        <v>0</v>
      </c>
      <c r="I177" s="18">
        <v>211.7</v>
      </c>
      <c r="J177" s="19">
        <v>0</v>
      </c>
      <c r="K177" s="17">
        <v>0</v>
      </c>
      <c r="L177" s="20">
        <v>711.71</v>
      </c>
      <c r="M177" s="21">
        <f>=0</f>
        <v>0</v>
      </c>
      <c r="N177" s="16" t="s"/>
      <c r="O177" s="16" t="s">
        <v>185</v>
      </c>
    </row>
    <row r="178" spans="1:15">
      <c r="A178" s="16" t="s">
        <v>182</v>
      </c>
      <c r="B178" s="16" t="s">
        <v>198</v>
      </c>
      <c r="C178" s="16" t="s"/>
      <c r="D178" s="22">
        <v>0.934</v>
      </c>
      <c r="E178" s="22">
        <v>0.085</v>
      </c>
      <c r="F178" s="22">
        <v>0.934</v>
      </c>
      <c r="G178" s="22">
        <v>0.043</v>
      </c>
      <c r="H178" s="23">
        <v>3.362</v>
      </c>
      <c r="I178" s="18">
        <v>93.36</v>
      </c>
      <c r="J178" s="19">
        <v>25.685</v>
      </c>
      <c r="K178" s="17">
        <v>0</v>
      </c>
      <c r="L178" s="20">
        <v>46.69</v>
      </c>
      <c r="M178" s="21">
        <f>=0</f>
        <v>0</v>
      </c>
      <c r="N178" s="16" t="s"/>
      <c r="O178" s="16" t="s">
        <v>185</v>
      </c>
    </row>
    <row r="179" spans="1:15">
      <c r="A179" s="16" t="s">
        <v>182</v>
      </c>
      <c r="B179" s="16" t="s">
        <v>199</v>
      </c>
      <c r="C179" s="16" t="s"/>
      <c r="D179" s="22">
        <v>3.888</v>
      </c>
      <c r="E179" s="22">
        <v>0.354</v>
      </c>
      <c r="F179" s="22">
        <v>3.412</v>
      </c>
      <c r="G179" s="22">
        <v>0.156</v>
      </c>
      <c r="H179" s="23">
        <v>0</v>
      </c>
      <c r="I179" s="18">
        <v>364.97</v>
      </c>
      <c r="J179" s="19">
        <v>120.01</v>
      </c>
      <c r="K179" s="17">
        <v>0</v>
      </c>
      <c r="L179" s="20">
        <v>198.34</v>
      </c>
      <c r="M179" s="21">
        <f>=0</f>
        <v>0</v>
      </c>
      <c r="N179" s="16" t="s"/>
      <c r="O179" s="16" t="s">
        <v>185</v>
      </c>
    </row>
    <row r="180" spans="1:15">
      <c r="A180" s="16" t="s">
        <v>200</v>
      </c>
      <c r="B180" s="16" t="s">
        <v>201</v>
      </c>
      <c r="C180" s="16" t="s">
        <v>62</v>
      </c>
      <c r="D180" s="22">
        <v>0.269</v>
      </c>
      <c r="E180" s="22">
        <v>0.025</v>
      </c>
      <c r="F180" s="22">
        <v>0.135</v>
      </c>
      <c r="G180" s="22">
        <v>0.007</v>
      </c>
      <c r="H180" s="23">
        <v>0.44</v>
      </c>
      <c r="I180" s="18">
        <v>0</v>
      </c>
      <c r="J180" s="19">
        <v>3.3825</v>
      </c>
      <c r="K180" s="17">
        <v>0</v>
      </c>
      <c r="L180" s="20">
        <v>12.21</v>
      </c>
      <c r="M180" s="21">
        <f>=0</f>
        <v>0</v>
      </c>
      <c r="N180" s="16" t="s"/>
      <c r="O180" s="16" t="s"/>
    </row>
    <row r="181" spans="1:15">
      <c r="A181" s="16" t="s">
        <v>200</v>
      </c>
      <c r="B181" s="16" t="s">
        <v>201</v>
      </c>
      <c r="C181" s="16" t="s">
        <v>63</v>
      </c>
      <c r="D181" s="22">
        <v>0.296</v>
      </c>
      <c r="E181" s="22">
        <v>0.027</v>
      </c>
      <c r="F181" s="22">
        <v>0.269</v>
      </c>
      <c r="G181" s="22">
        <v>0.013</v>
      </c>
      <c r="H181" s="23">
        <v>0.879</v>
      </c>
      <c r="I181" s="18">
        <v>0</v>
      </c>
      <c r="J181" s="19">
        <v>6.7375</v>
      </c>
      <c r="K181" s="17">
        <v>0</v>
      </c>
      <c r="L181" s="20">
        <v>24.42</v>
      </c>
      <c r="M181" s="21">
        <f>=0</f>
        <v>0</v>
      </c>
      <c r="N181" s="16" t="s"/>
      <c r="O181" s="16" t="s"/>
    </row>
    <row r="182" spans="1:15">
      <c r="A182" s="16" t="s">
        <v>200</v>
      </c>
      <c r="B182" s="16" t="s">
        <v>201</v>
      </c>
      <c r="C182" s="16" t="s">
        <v>64</v>
      </c>
      <c r="D182" s="22">
        <v>0.628</v>
      </c>
      <c r="E182" s="22">
        <v>0.058</v>
      </c>
      <c r="F182" s="22">
        <v>0.464</v>
      </c>
      <c r="G182" s="22">
        <v>0.022</v>
      </c>
      <c r="H182" s="23">
        <v>1.517</v>
      </c>
      <c r="I182" s="18">
        <v>62.9</v>
      </c>
      <c r="J182" s="19">
        <v>11.605</v>
      </c>
      <c r="K182" s="17">
        <v>0</v>
      </c>
      <c r="L182" s="20">
        <v>42.14</v>
      </c>
      <c r="M182" s="21">
        <f>=0</f>
        <v>0</v>
      </c>
      <c r="N182" s="16" t="s"/>
      <c r="O182" s="16" t="s"/>
    </row>
    <row r="183" spans="1:15">
      <c r="A183" s="16" t="s">
        <v>200</v>
      </c>
      <c r="B183" s="16" t="s">
        <v>201</v>
      </c>
      <c r="C183" s="16" t="s">
        <v>65</v>
      </c>
      <c r="D183" s="22">
        <v>0.965</v>
      </c>
      <c r="E183" s="22">
        <v>0.088</v>
      </c>
      <c r="F183" s="22">
        <v>0.821</v>
      </c>
      <c r="G183" s="22">
        <v>0.038</v>
      </c>
      <c r="H183" s="23">
        <v>2.686</v>
      </c>
      <c r="I183" s="18">
        <v>91.21</v>
      </c>
      <c r="J183" s="19">
        <v>20.515</v>
      </c>
      <c r="K183" s="17">
        <v>0</v>
      </c>
      <c r="L183" s="20">
        <v>74.6</v>
      </c>
      <c r="M183" s="21">
        <f>=0</f>
        <v>0</v>
      </c>
      <c r="N183" s="16" t="s"/>
      <c r="O183" s="16" t="s"/>
    </row>
    <row r="184" spans="1:15">
      <c r="A184" s="16" t="s">
        <v>200</v>
      </c>
      <c r="B184" s="16" t="s">
        <v>201</v>
      </c>
      <c r="C184" s="16" t="s">
        <v>81</v>
      </c>
      <c r="D184" s="22">
        <v>1.29</v>
      </c>
      <c r="E184" s="22">
        <v>0.118</v>
      </c>
      <c r="F184" s="22">
        <v>1.31</v>
      </c>
      <c r="G184" s="22">
        <v>0.06</v>
      </c>
      <c r="H184" s="23">
        <v>4.285</v>
      </c>
      <c r="I184" s="18">
        <v>129.27</v>
      </c>
      <c r="J184" s="19">
        <v>32.7525</v>
      </c>
      <c r="K184" s="17">
        <v>0</v>
      </c>
      <c r="L184" s="20">
        <v>119.01</v>
      </c>
      <c r="M184" s="21">
        <f>=0</f>
        <v>0</v>
      </c>
      <c r="N184" s="16" t="s"/>
      <c r="O184" s="16" t="s"/>
    </row>
    <row r="185" spans="1:15">
      <c r="A185" s="16" t="s">
        <v>200</v>
      </c>
      <c r="B185" s="16" t="s">
        <v>202</v>
      </c>
      <c r="C185" s="16" t="s"/>
      <c r="D185" s="22">
        <v>0.358</v>
      </c>
      <c r="E185" s="22">
        <v>0.033</v>
      </c>
      <c r="F185" s="22">
        <v>0.358</v>
      </c>
      <c r="G185" s="22">
        <v>0.017</v>
      </c>
      <c r="H185" s="23">
        <v>0</v>
      </c>
      <c r="I185" s="18">
        <v>32.51</v>
      </c>
      <c r="J185" s="19">
        <v>8.965</v>
      </c>
      <c r="K185" s="17">
        <v>0</v>
      </c>
      <c r="L185" s="20">
        <v>32.52</v>
      </c>
      <c r="M185" s="21">
        <f>=0</f>
        <v>0</v>
      </c>
      <c r="N185" s="16" t="s"/>
      <c r="O185" s="16" t="s"/>
    </row>
    <row r="186" spans="1:15">
      <c r="A186" s="16" t="s">
        <v>200</v>
      </c>
      <c r="B186" s="16" t="s">
        <v>203</v>
      </c>
      <c r="C186" s="16" t="s">
        <v>204</v>
      </c>
      <c r="D186" s="22">
        <v>1.574</v>
      </c>
      <c r="E186" s="22">
        <v>0.144</v>
      </c>
      <c r="F186" s="22">
        <v>1.287</v>
      </c>
      <c r="G186" s="22">
        <v>0.059</v>
      </c>
      <c r="H186" s="23">
        <v>0</v>
      </c>
      <c r="I186" s="18">
        <v>157.75</v>
      </c>
      <c r="J186" s="19">
        <v>46.53</v>
      </c>
      <c r="K186" s="17">
        <v>0</v>
      </c>
      <c r="L186" s="20">
        <v>38.67</v>
      </c>
      <c r="M186" s="21">
        <f>=0</f>
        <v>0</v>
      </c>
      <c r="N186" s="16" t="s"/>
      <c r="O186" s="16" t="s"/>
    </row>
    <row r="187" spans="1:15">
      <c r="A187" s="16" t="s">
        <v>200</v>
      </c>
      <c r="B187" s="16" t="s">
        <v>203</v>
      </c>
      <c r="C187" s="16" t="s">
        <v>205</v>
      </c>
      <c r="D187" s="22">
        <v>2.36</v>
      </c>
      <c r="E187" s="22">
        <v>0.215</v>
      </c>
      <c r="F187" s="22">
        <v>1.93</v>
      </c>
      <c r="G187" s="22">
        <v>0.088</v>
      </c>
      <c r="H187" s="23">
        <v>0</v>
      </c>
      <c r="I187" s="18">
        <v>250.52</v>
      </c>
      <c r="J187" s="19">
        <v>69.7675</v>
      </c>
      <c r="K187" s="17">
        <v>0</v>
      </c>
      <c r="L187" s="20">
        <v>58.01</v>
      </c>
      <c r="M187" s="21">
        <f>=0</f>
        <v>0</v>
      </c>
      <c r="N187" s="16" t="s"/>
      <c r="O187" s="16" t="s"/>
    </row>
    <row r="188" spans="1:15">
      <c r="A188" s="16" t="s">
        <v>200</v>
      </c>
      <c r="B188" s="16" t="s">
        <v>203</v>
      </c>
      <c r="C188" s="16" t="s">
        <v>206</v>
      </c>
      <c r="D188" s="22">
        <v>1.933</v>
      </c>
      <c r="E188" s="22">
        <v>0.176</v>
      </c>
      <c r="F188" s="22">
        <v>1.62</v>
      </c>
      <c r="G188" s="22">
        <v>0.074</v>
      </c>
      <c r="H188" s="23">
        <v>0</v>
      </c>
      <c r="I188" s="18">
        <v>189.25</v>
      </c>
      <c r="J188" s="19">
        <v>56.155</v>
      </c>
      <c r="K188" s="17">
        <v>0</v>
      </c>
      <c r="L188" s="20">
        <v>62</v>
      </c>
      <c r="M188" s="21">
        <f>=0</f>
        <v>0</v>
      </c>
      <c r="N188" s="16" t="s"/>
      <c r="O188" s="16" t="s"/>
    </row>
    <row r="189" spans="1:15">
      <c r="A189" s="16" t="s">
        <v>200</v>
      </c>
      <c r="B189" s="16" t="s">
        <v>203</v>
      </c>
      <c r="C189" s="16" t="s">
        <v>207</v>
      </c>
      <c r="D189" s="22">
        <v>2.899</v>
      </c>
      <c r="E189" s="22">
        <v>0.264</v>
      </c>
      <c r="F189" s="22">
        <v>2.43</v>
      </c>
      <c r="G189" s="22">
        <v>0.111</v>
      </c>
      <c r="H189" s="23">
        <v>0</v>
      </c>
      <c r="I189" s="18">
        <v>297.77</v>
      </c>
      <c r="J189" s="19">
        <v>84.205</v>
      </c>
      <c r="K189" s="17">
        <v>0</v>
      </c>
      <c r="L189" s="20">
        <v>93</v>
      </c>
      <c r="M189" s="21">
        <f>=0</f>
        <v>0</v>
      </c>
      <c r="N189" s="16" t="s"/>
      <c r="O189" s="16" t="s"/>
    </row>
    <row r="190" spans="1:15">
      <c r="A190" s="16" t="s">
        <v>200</v>
      </c>
      <c r="B190" s="16" t="s">
        <v>208</v>
      </c>
      <c r="C190" s="16" t="s"/>
      <c r="D190" s="22">
        <v>0.258</v>
      </c>
      <c r="E190" s="22">
        <v>0.024</v>
      </c>
      <c r="F190" s="22">
        <v>0.129</v>
      </c>
      <c r="G190" s="22">
        <v>0.006</v>
      </c>
      <c r="H190" s="23">
        <v>0.421</v>
      </c>
      <c r="I190" s="18">
        <v>0</v>
      </c>
      <c r="J190" s="19">
        <v>3.2175</v>
      </c>
      <c r="K190" s="17">
        <v>0</v>
      </c>
      <c r="L190" s="20">
        <v>11.69</v>
      </c>
      <c r="M190" s="21">
        <f>=0</f>
        <v>0</v>
      </c>
      <c r="N190" s="16" t="s"/>
      <c r="O190" s="16" t="s"/>
    </row>
    <row r="191" spans="1:15">
      <c r="A191" s="16" t="s">
        <v>200</v>
      </c>
      <c r="B191" s="16" t="s">
        <v>209</v>
      </c>
      <c r="C191" s="16" t="s"/>
      <c r="D191" s="22">
        <v>2.459</v>
      </c>
      <c r="E191" s="22">
        <v>0.224</v>
      </c>
      <c r="F191" s="22">
        <v>2.145</v>
      </c>
      <c r="G191" s="22">
        <v>0.098</v>
      </c>
      <c r="H191" s="23">
        <v>3.42</v>
      </c>
      <c r="I191" s="18">
        <v>94.99</v>
      </c>
      <c r="J191" s="19">
        <v>26.125</v>
      </c>
      <c r="K191" s="17">
        <v>0</v>
      </c>
      <c r="L191" s="20">
        <v>245</v>
      </c>
      <c r="M191" s="21">
        <f>=0</f>
        <v>0</v>
      </c>
      <c r="N191" s="16" t="s"/>
      <c r="O191" s="16" t="s"/>
    </row>
    <row r="192" spans="1:15">
      <c r="A192" s="16" t="s">
        <v>200</v>
      </c>
      <c r="B192" s="16" t="s">
        <v>210</v>
      </c>
      <c r="C192" s="16" t="s">
        <v>96</v>
      </c>
      <c r="D192" s="22">
        <v>1.884</v>
      </c>
      <c r="E192" s="22">
        <v>0.172</v>
      </c>
      <c r="F192" s="22">
        <v>0.567</v>
      </c>
      <c r="G192" s="22">
        <v>0.026</v>
      </c>
      <c r="H192" s="23">
        <v>0</v>
      </c>
      <c r="I192" s="18">
        <v>111.36</v>
      </c>
      <c r="J192" s="19">
        <v>69.0525</v>
      </c>
      <c r="K192" s="17">
        <v>0</v>
      </c>
      <c r="L192" s="20">
        <v>51.52</v>
      </c>
      <c r="M192" s="21">
        <f>=0</f>
        <v>0</v>
      </c>
      <c r="N192" s="16" t="s"/>
      <c r="O192" s="16" t="s"/>
    </row>
    <row r="193" spans="1:15">
      <c r="A193" s="16" t="s">
        <v>200</v>
      </c>
      <c r="B193" s="16" t="s">
        <v>210</v>
      </c>
      <c r="C193" s="16" t="s">
        <v>97</v>
      </c>
      <c r="D193" s="22">
        <v>1.884</v>
      </c>
      <c r="E193" s="22">
        <v>0.172</v>
      </c>
      <c r="F193" s="22">
        <v>0.567</v>
      </c>
      <c r="G193" s="22">
        <v>0.026</v>
      </c>
      <c r="H193" s="23">
        <v>0</v>
      </c>
      <c r="I193" s="18">
        <v>111.36</v>
      </c>
      <c r="J193" s="19">
        <v>69.0525</v>
      </c>
      <c r="K193" s="17">
        <v>0</v>
      </c>
      <c r="L193" s="20">
        <v>51.52</v>
      </c>
      <c r="M193" s="21">
        <f>=0</f>
        <v>0</v>
      </c>
      <c r="N193" s="16" t="s"/>
      <c r="O193" s="16" t="s"/>
    </row>
    <row r="194" spans="1:15">
      <c r="A194" s="16" t="s">
        <v>200</v>
      </c>
      <c r="B194" s="16" t="s">
        <v>210</v>
      </c>
      <c r="C194" s="16" t="s">
        <v>211</v>
      </c>
      <c r="D194" s="22">
        <v>2.512</v>
      </c>
      <c r="E194" s="22">
        <v>0.229</v>
      </c>
      <c r="F194" s="22">
        <v>0.756</v>
      </c>
      <c r="G194" s="22">
        <v>0.035</v>
      </c>
      <c r="H194" s="23">
        <v>0</v>
      </c>
      <c r="I194" s="18">
        <v>148.48</v>
      </c>
      <c r="J194" s="19">
        <v>92.0425</v>
      </c>
      <c r="K194" s="17">
        <v>0</v>
      </c>
      <c r="L194" s="20">
        <v>68.69</v>
      </c>
      <c r="M194" s="21">
        <f>=0</f>
        <v>0</v>
      </c>
      <c r="N194" s="16" t="s"/>
      <c r="O194" s="16" t="s"/>
    </row>
    <row r="195" spans="1:15">
      <c r="A195" s="16" t="s">
        <v>200</v>
      </c>
      <c r="B195" s="16" t="s">
        <v>212</v>
      </c>
      <c r="C195" s="16" t="s"/>
      <c r="D195" s="22">
        <v>23.88</v>
      </c>
      <c r="E195" s="22">
        <v>2.171</v>
      </c>
      <c r="F195" s="22">
        <v>3.704</v>
      </c>
      <c r="G195" s="22">
        <v>0.169</v>
      </c>
      <c r="H195" s="23">
        <v>0</v>
      </c>
      <c r="I195" s="18">
        <v>1137.16</v>
      </c>
      <c r="J195" s="19">
        <v>0</v>
      </c>
      <c r="K195" s="17">
        <v>0</v>
      </c>
      <c r="L195" s="20">
        <v>836.67</v>
      </c>
      <c r="M195" s="21">
        <f>=0</f>
        <v>0</v>
      </c>
      <c r="N195" s="16" t="s"/>
      <c r="O195" s="16" t="s"/>
    </row>
    <row r="196" spans="1:15">
      <c r="A196" s="16" t="s">
        <v>200</v>
      </c>
      <c r="B196" s="16" t="s">
        <v>213</v>
      </c>
      <c r="C196" s="16" t="s"/>
      <c r="D196" s="22">
        <v>1.045</v>
      </c>
      <c r="E196" s="22">
        <v>0.095</v>
      </c>
      <c r="F196" s="22">
        <v>1.045</v>
      </c>
      <c r="G196" s="22">
        <v>0.048</v>
      </c>
      <c r="H196" s="23">
        <v>3.42</v>
      </c>
      <c r="I196" s="18">
        <v>94.99</v>
      </c>
      <c r="J196" s="19">
        <v>26.125</v>
      </c>
      <c r="K196" s="17">
        <v>0</v>
      </c>
      <c r="L196" s="20">
        <v>47.5</v>
      </c>
      <c r="M196" s="21">
        <f>=0</f>
        <v>0</v>
      </c>
      <c r="N196" s="16" t="s"/>
      <c r="O196" s="16" t="s"/>
    </row>
    <row r="197" spans="1:15">
      <c r="A197" s="16" t="s">
        <v>200</v>
      </c>
      <c r="B197" s="16" t="s">
        <v>214</v>
      </c>
      <c r="C197" s="16" t="s">
        <v>75</v>
      </c>
      <c r="D197" s="22">
        <v>0</v>
      </c>
      <c r="E197" s="22">
        <v>0</v>
      </c>
      <c r="F197" s="22">
        <v>2.713</v>
      </c>
      <c r="G197" s="22">
        <v>0.124</v>
      </c>
      <c r="H197" s="23">
        <v>0</v>
      </c>
      <c r="I197" s="18">
        <v>0</v>
      </c>
      <c r="J197" s="19">
        <v>0</v>
      </c>
      <c r="K197" s="17">
        <v>0</v>
      </c>
      <c r="L197" s="20">
        <v>366.64</v>
      </c>
      <c r="M197" s="21">
        <f>=0</f>
        <v>0</v>
      </c>
      <c r="N197" s="16" t="s"/>
      <c r="O197" s="16" t="s"/>
    </row>
    <row r="198" spans="1:15">
      <c r="A198" s="16" t="s">
        <v>200</v>
      </c>
      <c r="B198" s="16" t="s">
        <v>214</v>
      </c>
      <c r="C198" s="16" t="s">
        <v>76</v>
      </c>
      <c r="D198" s="22">
        <v>0</v>
      </c>
      <c r="E198" s="22">
        <v>0</v>
      </c>
      <c r="F198" s="22">
        <v>3.428</v>
      </c>
      <c r="G198" s="22">
        <v>0.156</v>
      </c>
      <c r="H198" s="23">
        <v>0</v>
      </c>
      <c r="I198" s="18">
        <v>0</v>
      </c>
      <c r="J198" s="19">
        <v>0</v>
      </c>
      <c r="K198" s="17">
        <v>0</v>
      </c>
      <c r="L198" s="20">
        <v>416.64</v>
      </c>
      <c r="M198" s="21">
        <f>=0</f>
        <v>0</v>
      </c>
      <c r="N198" s="16" t="s"/>
      <c r="O198" s="16" t="s"/>
    </row>
    <row r="199" spans="1:15">
      <c r="A199" s="16" t="s">
        <v>200</v>
      </c>
      <c r="B199" s="16" t="s">
        <v>214</v>
      </c>
      <c r="C199" s="16" t="s">
        <v>77</v>
      </c>
      <c r="D199" s="22">
        <v>0</v>
      </c>
      <c r="E199" s="22">
        <v>0</v>
      </c>
      <c r="F199" s="22">
        <v>1.283</v>
      </c>
      <c r="G199" s="22">
        <v>0.059</v>
      </c>
      <c r="H199" s="23">
        <v>0</v>
      </c>
      <c r="I199" s="18">
        <v>0</v>
      </c>
      <c r="J199" s="19">
        <v>0</v>
      </c>
      <c r="K199" s="17">
        <v>0</v>
      </c>
      <c r="L199" s="20">
        <v>116.64</v>
      </c>
      <c r="M199" s="21">
        <f>=0</f>
        <v>0</v>
      </c>
      <c r="N199" s="16" t="s"/>
      <c r="O199" s="16" t="s"/>
    </row>
    <row r="200" spans="1:15">
      <c r="A200" s="16" t="s">
        <v>200</v>
      </c>
      <c r="B200" s="16" t="s">
        <v>215</v>
      </c>
      <c r="C200" s="16" t="s"/>
      <c r="D200" s="22">
        <v>3.378</v>
      </c>
      <c r="E200" s="22">
        <v>0.308</v>
      </c>
      <c r="F200" s="22">
        <v>2.919</v>
      </c>
      <c r="G200" s="22">
        <v>0.133</v>
      </c>
      <c r="H200" s="23">
        <v>0</v>
      </c>
      <c r="I200" s="18">
        <v>286.17</v>
      </c>
      <c r="J200" s="19">
        <v>95.9475</v>
      </c>
      <c r="K200" s="17">
        <v>0</v>
      </c>
      <c r="L200" s="20">
        <v>139.97</v>
      </c>
      <c r="M200" s="21">
        <f>=0</f>
        <v>0</v>
      </c>
      <c r="N200" s="16" t="s"/>
      <c r="O200" s="16" t="s"/>
    </row>
    <row r="201" spans="1:15">
      <c r="A201" s="16" t="s">
        <v>200</v>
      </c>
      <c r="B201" s="16" t="s">
        <v>216</v>
      </c>
      <c r="C201" s="16" t="s">
        <v>217</v>
      </c>
      <c r="D201" s="22">
        <v>4.547</v>
      </c>
      <c r="E201" s="22">
        <v>0.414</v>
      </c>
      <c r="F201" s="22">
        <v>0.44</v>
      </c>
      <c r="G201" s="22">
        <v>0.02</v>
      </c>
      <c r="H201" s="23">
        <v>1.44</v>
      </c>
      <c r="I201" s="18">
        <v>39.98</v>
      </c>
      <c r="J201" s="19">
        <v>11</v>
      </c>
      <c r="K201" s="17">
        <v>0</v>
      </c>
      <c r="L201" s="20">
        <v>39.99</v>
      </c>
      <c r="M201" s="21">
        <f>=0</f>
        <v>0</v>
      </c>
      <c r="N201" s="16" t="s"/>
      <c r="O201" s="16" t="s"/>
    </row>
    <row r="202" spans="1:15">
      <c r="A202" s="16" t="s">
        <v>200</v>
      </c>
      <c r="B202" s="16" t="s">
        <v>216</v>
      </c>
      <c r="C202" s="16" t="s">
        <v>218</v>
      </c>
      <c r="D202" s="22">
        <v>8.581</v>
      </c>
      <c r="E202" s="22">
        <v>0.781</v>
      </c>
      <c r="F202" s="22">
        <v>0.624</v>
      </c>
      <c r="G202" s="22">
        <v>0.029</v>
      </c>
      <c r="H202" s="23">
        <v>2.041</v>
      </c>
      <c r="I202" s="18">
        <v>56.68</v>
      </c>
      <c r="J202" s="19">
        <v>15.5925</v>
      </c>
      <c r="K202" s="17">
        <v>0</v>
      </c>
      <c r="L202" s="20">
        <v>56.69</v>
      </c>
      <c r="M202" s="21">
        <f>=0</f>
        <v>0</v>
      </c>
      <c r="N202" s="16" t="s"/>
      <c r="O202" s="16" t="s"/>
    </row>
    <row r="203" spans="1:15">
      <c r="A203" s="16" t="s">
        <v>200</v>
      </c>
      <c r="B203" s="16" t="s">
        <v>216</v>
      </c>
      <c r="C203" s="16" t="s">
        <v>219</v>
      </c>
      <c r="D203" s="22">
        <v>21.411</v>
      </c>
      <c r="E203" s="22">
        <v>1.947</v>
      </c>
      <c r="F203" s="22">
        <v>3.778</v>
      </c>
      <c r="G203" s="22">
        <v>0.172</v>
      </c>
      <c r="H203" s="23">
        <v>6.181</v>
      </c>
      <c r="I203" s="18">
        <v>343.36</v>
      </c>
      <c r="J203" s="19">
        <v>94.435</v>
      </c>
      <c r="K203" s="17">
        <v>0</v>
      </c>
      <c r="L203" s="20">
        <v>343.37</v>
      </c>
      <c r="M203" s="21">
        <f>=0</f>
        <v>0</v>
      </c>
      <c r="N203" s="16" t="s"/>
      <c r="O203" s="16" t="s"/>
    </row>
    <row r="204" spans="1:15">
      <c r="A204" s="16" t="s">
        <v>220</v>
      </c>
      <c r="B204" s="16" t="s">
        <v>221</v>
      </c>
      <c r="C204" s="16" t="s">
        <v>62</v>
      </c>
      <c r="D204" s="22">
        <v>0.636</v>
      </c>
      <c r="E204" s="22">
        <v>0.058</v>
      </c>
      <c r="F204" s="22">
        <v>0.318</v>
      </c>
      <c r="G204" s="22">
        <v>0.015</v>
      </c>
      <c r="H204" s="23">
        <v>1.09</v>
      </c>
      <c r="I204" s="18">
        <v>0</v>
      </c>
      <c r="J204" s="19">
        <v>8.3325</v>
      </c>
      <c r="K204" s="17">
        <v>0</v>
      </c>
      <c r="L204" s="20">
        <v>30.27</v>
      </c>
      <c r="M204" s="21">
        <f>=0</f>
        <v>0</v>
      </c>
      <c r="N204" s="16" t="s"/>
      <c r="O204" s="16" t="s"/>
    </row>
    <row r="205" spans="1:15">
      <c r="A205" s="16" t="s">
        <v>220</v>
      </c>
      <c r="B205" s="16" t="s">
        <v>221</v>
      </c>
      <c r="C205" s="16" t="s">
        <v>63</v>
      </c>
      <c r="D205" s="22">
        <v>0.792</v>
      </c>
      <c r="E205" s="22">
        <v>0.072</v>
      </c>
      <c r="F205" s="22">
        <v>0.655</v>
      </c>
      <c r="G205" s="22">
        <v>0.03</v>
      </c>
      <c r="H205" s="23">
        <v>2.246</v>
      </c>
      <c r="I205" s="18">
        <v>0</v>
      </c>
      <c r="J205" s="19">
        <v>17.16</v>
      </c>
      <c r="K205" s="17">
        <v>0</v>
      </c>
      <c r="L205" s="20">
        <v>62.38</v>
      </c>
      <c r="M205" s="21">
        <f>=0</f>
        <v>0</v>
      </c>
      <c r="N205" s="16" t="s"/>
      <c r="O205" s="16" t="s"/>
    </row>
    <row r="206" spans="1:15">
      <c r="A206" s="16" t="s">
        <v>220</v>
      </c>
      <c r="B206" s="16" t="s">
        <v>221</v>
      </c>
      <c r="C206" s="16" t="s">
        <v>64</v>
      </c>
      <c r="D206" s="22">
        <v>1.261</v>
      </c>
      <c r="E206" s="22">
        <v>0.115</v>
      </c>
      <c r="F206" s="22">
        <v>1.043</v>
      </c>
      <c r="G206" s="22">
        <v>0.048</v>
      </c>
      <c r="H206" s="23">
        <v>3.574</v>
      </c>
      <c r="I206" s="18">
        <v>0</v>
      </c>
      <c r="J206" s="19">
        <v>27.3075</v>
      </c>
      <c r="K206" s="17">
        <v>0</v>
      </c>
      <c r="L206" s="20">
        <v>99.27</v>
      </c>
      <c r="M206" s="21">
        <f>=0</f>
        <v>0</v>
      </c>
      <c r="N206" s="16" t="s"/>
      <c r="O206" s="16" t="s"/>
    </row>
    <row r="207" spans="1:15">
      <c r="A207" s="16" t="s">
        <v>220</v>
      </c>
      <c r="B207" s="16" t="s">
        <v>221</v>
      </c>
      <c r="C207" s="16" t="s">
        <v>65</v>
      </c>
      <c r="D207" s="22">
        <v>3.174</v>
      </c>
      <c r="E207" s="22">
        <v>0.289</v>
      </c>
      <c r="F207" s="22">
        <v>2.493</v>
      </c>
      <c r="G207" s="22">
        <v>0.114</v>
      </c>
      <c r="H207" s="23">
        <v>8.547</v>
      </c>
      <c r="I207" s="18">
        <v>0</v>
      </c>
      <c r="J207" s="19">
        <v>65.3125</v>
      </c>
      <c r="K207" s="17">
        <v>0</v>
      </c>
      <c r="L207" s="20">
        <v>237.41</v>
      </c>
      <c r="M207" s="21">
        <f>=0</f>
        <v>0</v>
      </c>
      <c r="N207" s="16" t="s"/>
      <c r="O207" s="16" t="s"/>
    </row>
    <row r="208" spans="1:15">
      <c r="A208" s="16" t="s">
        <v>220</v>
      </c>
      <c r="B208" s="16" t="s">
        <v>221</v>
      </c>
      <c r="C208" s="16" t="s">
        <v>222</v>
      </c>
      <c r="D208" s="22">
        <v>1.608</v>
      </c>
      <c r="E208" s="22">
        <v>0.147</v>
      </c>
      <c r="F208" s="22">
        <v>0.614</v>
      </c>
      <c r="G208" s="22">
        <v>0.028</v>
      </c>
      <c r="H208" s="23">
        <v>2.105</v>
      </c>
      <c r="I208" s="18">
        <v>44.35</v>
      </c>
      <c r="J208" s="19">
        <v>16.0875</v>
      </c>
      <c r="K208" s="17">
        <v>0</v>
      </c>
      <c r="L208" s="20">
        <v>58.46</v>
      </c>
      <c r="M208" s="21">
        <f>=0</f>
        <v>0</v>
      </c>
      <c r="N208" s="16" t="s"/>
      <c r="O208" s="16" t="s"/>
    </row>
    <row r="209" spans="1:15">
      <c r="A209" s="16" t="s">
        <v>220</v>
      </c>
      <c r="B209" s="16" t="s">
        <v>221</v>
      </c>
      <c r="C209" s="16" t="s">
        <v>223</v>
      </c>
      <c r="D209" s="22">
        <v>4.049</v>
      </c>
      <c r="E209" s="22">
        <v>0.369</v>
      </c>
      <c r="F209" s="22">
        <v>1.566</v>
      </c>
      <c r="G209" s="22">
        <v>0.072</v>
      </c>
      <c r="H209" s="23">
        <v>5.972</v>
      </c>
      <c r="I209" s="18">
        <v>149.08</v>
      </c>
      <c r="J209" s="19">
        <v>45.6225</v>
      </c>
      <c r="K209" s="17">
        <v>0</v>
      </c>
      <c r="L209" s="20">
        <v>165.88</v>
      </c>
      <c r="M209" s="21">
        <f>=0</f>
        <v>0</v>
      </c>
      <c r="N209" s="16" t="s"/>
      <c r="O209" s="16" t="s"/>
    </row>
    <row r="210" spans="1:15">
      <c r="A210" s="16" t="s">
        <v>220</v>
      </c>
      <c r="B210" s="16" t="s">
        <v>221</v>
      </c>
      <c r="C210" s="16" t="s">
        <v>224</v>
      </c>
      <c r="D210" s="22">
        <v>5.013</v>
      </c>
      <c r="E210" s="22">
        <v>0.456</v>
      </c>
      <c r="F210" s="22">
        <v>2.346</v>
      </c>
      <c r="G210" s="22">
        <v>0.107</v>
      </c>
      <c r="H210" s="23">
        <v>7.311</v>
      </c>
      <c r="I210" s="18">
        <v>186.29</v>
      </c>
      <c r="J210" s="19">
        <v>55.8525</v>
      </c>
      <c r="K210" s="17">
        <v>0</v>
      </c>
      <c r="L210" s="20">
        <v>203.08</v>
      </c>
      <c r="M210" s="21">
        <f>=0</f>
        <v>0</v>
      </c>
      <c r="N210" s="16" t="s"/>
      <c r="O210" s="16" t="s"/>
    </row>
    <row r="211" spans="1:15">
      <c r="A211" s="16" t="s">
        <v>220</v>
      </c>
      <c r="B211" s="16" t="s">
        <v>225</v>
      </c>
      <c r="C211" s="16" t="s">
        <v>226</v>
      </c>
      <c r="D211" s="22">
        <v>0.519</v>
      </c>
      <c r="E211" s="22">
        <v>0.048</v>
      </c>
      <c r="F211" s="22">
        <v>0.519</v>
      </c>
      <c r="G211" s="22">
        <v>0.024</v>
      </c>
      <c r="H211" s="23">
        <v>0</v>
      </c>
      <c r="I211" s="18">
        <v>64.18</v>
      </c>
      <c r="J211" s="19">
        <v>13.585</v>
      </c>
      <c r="K211" s="17">
        <v>0</v>
      </c>
      <c r="L211" s="20">
        <v>49.35</v>
      </c>
      <c r="M211" s="21">
        <f>=0</f>
        <v>0</v>
      </c>
      <c r="N211" s="16" t="s"/>
      <c r="O211" s="16" t="s"/>
    </row>
    <row r="212" spans="1:15">
      <c r="A212" s="16" t="s">
        <v>220</v>
      </c>
      <c r="B212" s="16" t="s">
        <v>225</v>
      </c>
      <c r="C212" s="16" t="s">
        <v>227</v>
      </c>
      <c r="D212" s="22">
        <v>0.778</v>
      </c>
      <c r="E212" s="22">
        <v>0.071</v>
      </c>
      <c r="F212" s="22">
        <v>0.778</v>
      </c>
      <c r="G212" s="22">
        <v>0.036</v>
      </c>
      <c r="H212" s="23">
        <v>0</v>
      </c>
      <c r="I212" s="18">
        <v>59.18</v>
      </c>
      <c r="J212" s="19">
        <v>20.3775</v>
      </c>
      <c r="K212" s="17">
        <v>0</v>
      </c>
      <c r="L212" s="20">
        <v>74.02</v>
      </c>
      <c r="M212" s="21">
        <f>=0</f>
        <v>0</v>
      </c>
      <c r="N212" s="16" t="s"/>
      <c r="O212" s="16" t="s"/>
    </row>
    <row r="213" spans="1:15">
      <c r="A213" s="16" t="s">
        <v>220</v>
      </c>
      <c r="B213" s="16" t="s">
        <v>225</v>
      </c>
      <c r="C213" s="16" t="s">
        <v>228</v>
      </c>
      <c r="D213" s="22">
        <v>0.855</v>
      </c>
      <c r="E213" s="22">
        <v>0.078</v>
      </c>
      <c r="F213" s="22">
        <v>0.778</v>
      </c>
      <c r="G213" s="22">
        <v>0.036</v>
      </c>
      <c r="H213" s="23">
        <v>0</v>
      </c>
      <c r="I213" s="18">
        <v>59.18</v>
      </c>
      <c r="J213" s="19">
        <v>20.3775</v>
      </c>
      <c r="K213" s="17">
        <v>0</v>
      </c>
      <c r="L213" s="20">
        <v>74.02</v>
      </c>
      <c r="M213" s="21">
        <f>=0</f>
        <v>0</v>
      </c>
      <c r="N213" s="16" t="s"/>
      <c r="O213" s="16" t="s"/>
    </row>
    <row r="214" spans="1:15">
      <c r="A214" s="16" t="s">
        <v>220</v>
      </c>
      <c r="B214" s="16" t="s">
        <v>229</v>
      </c>
      <c r="C214" s="16" t="s">
        <v>226</v>
      </c>
      <c r="D214" s="22">
        <v>1.523</v>
      </c>
      <c r="E214" s="22">
        <v>0.139</v>
      </c>
      <c r="F214" s="22">
        <v>1.523</v>
      </c>
      <c r="G214" s="22">
        <v>0.07</v>
      </c>
      <c r="H214" s="23">
        <v>0</v>
      </c>
      <c r="I214" s="18">
        <v>72.48</v>
      </c>
      <c r="J214" s="19">
        <v>39.875</v>
      </c>
      <c r="K214" s="17">
        <v>0</v>
      </c>
      <c r="L214" s="20">
        <v>144.97</v>
      </c>
      <c r="M214" s="21">
        <f>=0</f>
        <v>0</v>
      </c>
      <c r="N214" s="16" t="s"/>
      <c r="O214" s="16" t="s"/>
    </row>
    <row r="215" spans="1:15">
      <c r="A215" s="16" t="s">
        <v>220</v>
      </c>
      <c r="B215" s="16" t="s">
        <v>229</v>
      </c>
      <c r="C215" s="16" t="s">
        <v>227</v>
      </c>
      <c r="D215" s="22">
        <v>6.06</v>
      </c>
      <c r="E215" s="22">
        <v>0.551</v>
      </c>
      <c r="F215" s="22">
        <v>4.94</v>
      </c>
      <c r="G215" s="22">
        <v>0.225</v>
      </c>
      <c r="H215" s="23">
        <v>0</v>
      </c>
      <c r="I215" s="18">
        <v>476.12</v>
      </c>
      <c r="J215" s="19">
        <v>170.9675</v>
      </c>
      <c r="K215" s="17">
        <v>0</v>
      </c>
      <c r="L215" s="20">
        <v>136.64</v>
      </c>
      <c r="M215" s="21">
        <f>=0</f>
        <v>0</v>
      </c>
      <c r="N215" s="16" t="s"/>
      <c r="O215" s="16" t="s"/>
    </row>
    <row r="216" spans="1:15">
      <c r="A216" s="16" t="s">
        <v>220</v>
      </c>
      <c r="B216" s="16" t="s">
        <v>229</v>
      </c>
      <c r="C216" s="16" t="s">
        <v>228</v>
      </c>
      <c r="D216" s="22">
        <v>6.666</v>
      </c>
      <c r="E216" s="22">
        <v>0.606</v>
      </c>
      <c r="F216" s="22">
        <v>4.94</v>
      </c>
      <c r="G216" s="22">
        <v>0.225</v>
      </c>
      <c r="H216" s="23">
        <v>0</v>
      </c>
      <c r="I216" s="18">
        <v>476.12</v>
      </c>
      <c r="J216" s="19">
        <v>170.9675</v>
      </c>
      <c r="K216" s="17">
        <v>0</v>
      </c>
      <c r="L216" s="20">
        <v>136.64</v>
      </c>
      <c r="M216" s="21">
        <f>=0</f>
        <v>0</v>
      </c>
      <c r="N216" s="16" t="s"/>
      <c r="O216" s="16" t="s"/>
    </row>
    <row r="217" spans="1:15">
      <c r="A217" s="16" t="s">
        <v>220</v>
      </c>
      <c r="B217" s="16" t="s">
        <v>230</v>
      </c>
      <c r="C217" s="16" t="s"/>
      <c r="D217" s="22">
        <v>0.561</v>
      </c>
      <c r="E217" s="22">
        <v>0.051</v>
      </c>
      <c r="F217" s="22">
        <v>0.281</v>
      </c>
      <c r="G217" s="22">
        <v>0.013</v>
      </c>
      <c r="H217" s="23">
        <v>0.961</v>
      </c>
      <c r="I217" s="18">
        <v>0</v>
      </c>
      <c r="J217" s="19">
        <v>7.3425</v>
      </c>
      <c r="K217" s="17">
        <v>0</v>
      </c>
      <c r="L217" s="20">
        <v>26.67</v>
      </c>
      <c r="M217" s="21">
        <f>=0</f>
        <v>0</v>
      </c>
      <c r="N217" s="16" t="s"/>
      <c r="O217" s="16" t="s"/>
    </row>
    <row r="218" spans="1:15">
      <c r="A218" s="16" t="s">
        <v>220</v>
      </c>
      <c r="B218" s="16" t="s">
        <v>231</v>
      </c>
      <c r="C218" s="16" t="s"/>
      <c r="D218" s="22">
        <v>3.439</v>
      </c>
      <c r="E218" s="22">
        <v>0.313</v>
      </c>
      <c r="F218" s="22">
        <v>2.888</v>
      </c>
      <c r="G218" s="22">
        <v>0.132</v>
      </c>
      <c r="H218" s="23">
        <v>6.299</v>
      </c>
      <c r="I218" s="18">
        <v>174.96</v>
      </c>
      <c r="J218" s="19">
        <v>48.125</v>
      </c>
      <c r="K218" s="17">
        <v>0</v>
      </c>
      <c r="L218" s="20">
        <v>324.97</v>
      </c>
      <c r="M218" s="21">
        <f>=0</f>
        <v>0</v>
      </c>
      <c r="N218" s="16" t="s"/>
      <c r="O218" s="16" t="s"/>
    </row>
    <row r="219" spans="1:15">
      <c r="A219" s="16" t="s">
        <v>220</v>
      </c>
      <c r="B219" s="16" t="s">
        <v>232</v>
      </c>
      <c r="C219" s="16" t="s"/>
      <c r="D219" s="22">
        <v>6.36</v>
      </c>
      <c r="E219" s="22">
        <v>0.579</v>
      </c>
      <c r="F219" s="22">
        <v>2.17</v>
      </c>
      <c r="G219" s="22">
        <v>0.099</v>
      </c>
      <c r="H219" s="23">
        <v>0</v>
      </c>
      <c r="I219" s="18">
        <v>406.13</v>
      </c>
      <c r="J219" s="19">
        <v>239.7175</v>
      </c>
      <c r="K219" s="17">
        <v>0</v>
      </c>
      <c r="L219" s="20">
        <v>206.64</v>
      </c>
      <c r="M219" s="21">
        <f>=0</f>
        <v>0</v>
      </c>
      <c r="N219" s="16" t="s"/>
      <c r="O219" s="16" t="s"/>
    </row>
    <row r="220" spans="1:15">
      <c r="A220" s="16" t="s">
        <v>220</v>
      </c>
      <c r="B220" s="16" t="s">
        <v>233</v>
      </c>
      <c r="C220" s="16" t="s"/>
      <c r="D220" s="22">
        <v>15.488</v>
      </c>
      <c r="E220" s="22">
        <v>1.408</v>
      </c>
      <c r="F220" s="22">
        <v>10.049</v>
      </c>
      <c r="G220" s="22">
        <v>0.457</v>
      </c>
      <c r="H220" s="23">
        <v>0</v>
      </c>
      <c r="I220" s="18">
        <v>180.03</v>
      </c>
      <c r="J220" s="19">
        <v>0</v>
      </c>
      <c r="K220" s="17">
        <v>0</v>
      </c>
      <c r="L220" s="20">
        <v>680.04</v>
      </c>
      <c r="M220" s="21">
        <f>=0</f>
        <v>0</v>
      </c>
      <c r="N220" s="16" t="s"/>
      <c r="O220" s="16" t="s"/>
    </row>
    <row r="221" spans="1:15">
      <c r="A221" s="16" t="s">
        <v>220</v>
      </c>
      <c r="B221" s="16" t="s">
        <v>233</v>
      </c>
      <c r="C221" s="16" t="s">
        <v>234</v>
      </c>
      <c r="D221" s="22">
        <v>16.94</v>
      </c>
      <c r="E221" s="22">
        <v>1.54</v>
      </c>
      <c r="F221" s="22">
        <v>10.965</v>
      </c>
      <c r="G221" s="22">
        <v>0.499</v>
      </c>
      <c r="H221" s="23">
        <v>0</v>
      </c>
      <c r="I221" s="18">
        <v>190.66</v>
      </c>
      <c r="J221" s="19">
        <v>0</v>
      </c>
      <c r="K221" s="17">
        <v>0</v>
      </c>
      <c r="L221" s="20">
        <v>673.34</v>
      </c>
      <c r="M221" s="21">
        <f>=0</f>
        <v>0</v>
      </c>
      <c r="N221" s="16" t="s"/>
      <c r="O221" s="16" t="s"/>
    </row>
    <row r="222" spans="1:15">
      <c r="A222" s="16" t="s">
        <v>220</v>
      </c>
      <c r="B222" s="16" t="s">
        <v>235</v>
      </c>
      <c r="C222" s="16" t="s"/>
      <c r="D222" s="22">
        <v>1.838</v>
      </c>
      <c r="E222" s="22">
        <v>0.168</v>
      </c>
      <c r="F222" s="22">
        <v>1.838</v>
      </c>
      <c r="G222" s="22">
        <v>0.084</v>
      </c>
      <c r="H222" s="23">
        <v>6.299</v>
      </c>
      <c r="I222" s="18">
        <v>174.96</v>
      </c>
      <c r="J222" s="19">
        <v>48.125</v>
      </c>
      <c r="K222" s="17">
        <v>0</v>
      </c>
      <c r="L222" s="20">
        <v>87.49</v>
      </c>
      <c r="M222" s="21">
        <f>=0</f>
        <v>0</v>
      </c>
      <c r="N222" s="16" t="s"/>
      <c r="O222" s="16" t="s"/>
    </row>
    <row r="223" spans="1:15">
      <c r="A223" s="16" t="s">
        <v>220</v>
      </c>
      <c r="B223" s="16" t="s">
        <v>236</v>
      </c>
      <c r="C223" s="16" t="s">
        <v>75</v>
      </c>
      <c r="D223" s="22">
        <v>0</v>
      </c>
      <c r="E223" s="22">
        <v>0</v>
      </c>
      <c r="F223" s="22">
        <v>2.59</v>
      </c>
      <c r="G223" s="22">
        <v>0.118</v>
      </c>
      <c r="H223" s="23">
        <v>0</v>
      </c>
      <c r="I223" s="18">
        <v>0</v>
      </c>
      <c r="J223" s="19">
        <v>0</v>
      </c>
      <c r="K223" s="17">
        <v>0</v>
      </c>
      <c r="L223" s="20">
        <v>366.64</v>
      </c>
      <c r="M223" s="21">
        <f>=0</f>
        <v>0</v>
      </c>
      <c r="N223" s="16" t="s"/>
      <c r="O223" s="16" t="s"/>
    </row>
    <row r="224" spans="1:15">
      <c r="A224" s="16" t="s">
        <v>220</v>
      </c>
      <c r="B224" s="16" t="s">
        <v>236</v>
      </c>
      <c r="C224" s="16" t="s">
        <v>76</v>
      </c>
      <c r="D224" s="22">
        <v>0</v>
      </c>
      <c r="E224" s="22">
        <v>0</v>
      </c>
      <c r="F224" s="22">
        <v>3.273</v>
      </c>
      <c r="G224" s="22">
        <v>0.149</v>
      </c>
      <c r="H224" s="23">
        <v>0</v>
      </c>
      <c r="I224" s="18">
        <v>0</v>
      </c>
      <c r="J224" s="19">
        <v>0</v>
      </c>
      <c r="K224" s="17">
        <v>0</v>
      </c>
      <c r="L224" s="20">
        <v>416.64</v>
      </c>
      <c r="M224" s="21">
        <f>=0</f>
        <v>0</v>
      </c>
      <c r="N224" s="16" t="s"/>
      <c r="O224" s="16" t="s"/>
    </row>
    <row r="225" spans="1:15">
      <c r="A225" s="16" t="s">
        <v>220</v>
      </c>
      <c r="B225" s="16" t="s">
        <v>236</v>
      </c>
      <c r="C225" s="16" t="s">
        <v>77</v>
      </c>
      <c r="D225" s="22">
        <v>0</v>
      </c>
      <c r="E225" s="22">
        <v>0</v>
      </c>
      <c r="F225" s="22">
        <v>1.593</v>
      </c>
      <c r="G225" s="22">
        <v>0.073</v>
      </c>
      <c r="H225" s="23">
        <v>0</v>
      </c>
      <c r="I225" s="18">
        <v>0</v>
      </c>
      <c r="J225" s="19">
        <v>0</v>
      </c>
      <c r="K225" s="17">
        <v>0</v>
      </c>
      <c r="L225" s="20">
        <v>116.64</v>
      </c>
      <c r="M225" s="21">
        <f>=0</f>
        <v>0</v>
      </c>
      <c r="N225" s="16" t="s"/>
      <c r="O225" s="16" t="s"/>
    </row>
    <row r="226" spans="1:15">
      <c r="A226" s="16" t="s">
        <v>220</v>
      </c>
      <c r="B226" s="16" t="s">
        <v>237</v>
      </c>
      <c r="C226" s="16" t="s"/>
      <c r="D226" s="22">
        <v>3.592</v>
      </c>
      <c r="E226" s="22">
        <v>0.327</v>
      </c>
      <c r="F226" s="22">
        <v>3.127</v>
      </c>
      <c r="G226" s="22">
        <v>0.143</v>
      </c>
      <c r="H226" s="23">
        <v>0</v>
      </c>
      <c r="I226" s="18">
        <v>319.92</v>
      </c>
      <c r="J226" s="19">
        <v>106.26</v>
      </c>
      <c r="K226" s="17">
        <v>0</v>
      </c>
      <c r="L226" s="20">
        <v>164.97</v>
      </c>
      <c r="M226" s="21">
        <f>=0</f>
        <v>0</v>
      </c>
      <c r="N226" s="16" t="s"/>
      <c r="O226" s="16" t="s"/>
    </row>
    <row r="227" spans="1:15">
      <c r="A227" s="16" t="s">
        <v>238</v>
      </c>
      <c r="B227" s="16" t="s">
        <v>239</v>
      </c>
      <c r="C227" s="16" t="s">
        <v>62</v>
      </c>
      <c r="D227" s="22">
        <v>0.678</v>
      </c>
      <c r="E227" s="22">
        <v>0.062</v>
      </c>
      <c r="F227" s="22">
        <v>0.339</v>
      </c>
      <c r="G227" s="22">
        <v>0.016</v>
      </c>
      <c r="H227" s="23">
        <v>1.22</v>
      </c>
      <c r="I227" s="18">
        <v>0</v>
      </c>
      <c r="J227" s="19">
        <v>9.3225</v>
      </c>
      <c r="K227" s="17">
        <v>0</v>
      </c>
      <c r="L227" s="20">
        <v>33.89</v>
      </c>
      <c r="M227" s="21">
        <f>=0</f>
        <v>0</v>
      </c>
      <c r="N227" s="16" t="s"/>
      <c r="O227" s="16" t="s"/>
    </row>
    <row r="228" spans="1:15">
      <c r="A228" s="16" t="s">
        <v>238</v>
      </c>
      <c r="B228" s="16" t="s">
        <v>239</v>
      </c>
      <c r="C228" s="16" t="s">
        <v>63</v>
      </c>
      <c r="D228" s="22">
        <v>0.923</v>
      </c>
      <c r="E228" s="22">
        <v>0.084</v>
      </c>
      <c r="F228" s="22">
        <v>0.753</v>
      </c>
      <c r="G228" s="22">
        <v>0.035</v>
      </c>
      <c r="H228" s="23">
        <v>2.709</v>
      </c>
      <c r="I228" s="18">
        <v>0</v>
      </c>
      <c r="J228" s="19">
        <v>20.7075</v>
      </c>
      <c r="K228" s="17">
        <v>0</v>
      </c>
      <c r="L228" s="20">
        <v>75.23</v>
      </c>
      <c r="M228" s="21">
        <f>=0</f>
        <v>0</v>
      </c>
      <c r="N228" s="16" t="s"/>
      <c r="O228" s="16" t="s"/>
    </row>
    <row r="229" spans="1:15">
      <c r="A229" s="16" t="s">
        <v>238</v>
      </c>
      <c r="B229" s="16" t="s">
        <v>239</v>
      </c>
      <c r="C229" s="16" t="s">
        <v>64</v>
      </c>
      <c r="D229" s="22">
        <v>1.098</v>
      </c>
      <c r="E229" s="22">
        <v>0.1</v>
      </c>
      <c r="F229" s="22">
        <v>0.933</v>
      </c>
      <c r="G229" s="22">
        <v>0.043</v>
      </c>
      <c r="H229" s="23">
        <v>3.357</v>
      </c>
      <c r="I229" s="18">
        <v>0</v>
      </c>
      <c r="J229" s="19">
        <v>25.6575</v>
      </c>
      <c r="K229" s="17">
        <v>0</v>
      </c>
      <c r="L229" s="20">
        <v>93.25</v>
      </c>
      <c r="M229" s="21">
        <f>=0</f>
        <v>0</v>
      </c>
      <c r="N229" s="16" t="s"/>
      <c r="O229" s="16" t="s"/>
    </row>
    <row r="230" spans="1:15">
      <c r="A230" s="16" t="s">
        <v>238</v>
      </c>
      <c r="B230" s="16" t="s">
        <v>239</v>
      </c>
      <c r="C230" s="16" t="s">
        <v>65</v>
      </c>
      <c r="D230" s="22">
        <v>2.291</v>
      </c>
      <c r="E230" s="22">
        <v>0.209</v>
      </c>
      <c r="F230" s="22">
        <v>1.814</v>
      </c>
      <c r="G230" s="22">
        <v>0.083</v>
      </c>
      <c r="H230" s="23">
        <v>6.53</v>
      </c>
      <c r="I230" s="18">
        <v>0</v>
      </c>
      <c r="J230" s="19">
        <v>49.885</v>
      </c>
      <c r="K230" s="17">
        <v>0</v>
      </c>
      <c r="L230" s="20">
        <v>181.38</v>
      </c>
      <c r="M230" s="21">
        <f>=0</f>
        <v>0</v>
      </c>
      <c r="N230" s="16" t="s"/>
      <c r="O230" s="16" t="s"/>
    </row>
    <row r="231" spans="1:15">
      <c r="A231" s="16" t="s">
        <v>238</v>
      </c>
      <c r="B231" s="16" t="s">
        <v>240</v>
      </c>
      <c r="C231" s="16" t="s">
        <v>62</v>
      </c>
      <c r="D231" s="22">
        <v>2.409</v>
      </c>
      <c r="E231" s="22">
        <v>0.219</v>
      </c>
      <c r="F231" s="22">
        <v>1.66</v>
      </c>
      <c r="G231" s="22">
        <v>0.076</v>
      </c>
      <c r="H231" s="23">
        <v>0</v>
      </c>
      <c r="I231" s="18">
        <v>177.49</v>
      </c>
      <c r="J231" s="19">
        <v>58.355</v>
      </c>
      <c r="K231" s="17">
        <v>0</v>
      </c>
      <c r="L231" s="20">
        <v>96.67</v>
      </c>
      <c r="M231" s="21">
        <v>9.6666</v>
      </c>
      <c r="N231" s="16" t="s"/>
      <c r="O231" s="16" t="s"/>
    </row>
    <row r="232" spans="1:15">
      <c r="A232" s="16" t="s">
        <v>238</v>
      </c>
      <c r="B232" s="16" t="s">
        <v>240</v>
      </c>
      <c r="C232" s="16" t="s">
        <v>63</v>
      </c>
      <c r="D232" s="22">
        <v>4.692</v>
      </c>
      <c r="E232" s="22">
        <v>0.427</v>
      </c>
      <c r="F232" s="22">
        <v>3.233</v>
      </c>
      <c r="G232" s="22">
        <v>0.147</v>
      </c>
      <c r="H232" s="23">
        <v>0</v>
      </c>
      <c r="I232" s="18">
        <v>345.73</v>
      </c>
      <c r="J232" s="19">
        <v>113.6575</v>
      </c>
      <c r="K232" s="17">
        <v>0</v>
      </c>
      <c r="L232" s="20">
        <v>188.31</v>
      </c>
      <c r="M232" s="21">
        <v>18.6</v>
      </c>
      <c r="N232" s="16" t="s"/>
      <c r="O232" s="16" t="s"/>
    </row>
    <row r="233" spans="1:15">
      <c r="A233" s="16" t="s">
        <v>238</v>
      </c>
      <c r="B233" s="16" t="s">
        <v>240</v>
      </c>
      <c r="C233" s="16" t="s">
        <v>64</v>
      </c>
      <c r="D233" s="22">
        <v>4.569</v>
      </c>
      <c r="E233" s="22">
        <v>0.416</v>
      </c>
      <c r="F233" s="22">
        <v>3.148</v>
      </c>
      <c r="G233" s="22">
        <v>0.144</v>
      </c>
      <c r="H233" s="23">
        <v>0</v>
      </c>
      <c r="I233" s="18">
        <v>336.68</v>
      </c>
      <c r="J233" s="19">
        <v>110.66</v>
      </c>
      <c r="K233" s="17">
        <v>0</v>
      </c>
      <c r="L233" s="20">
        <v>183.37</v>
      </c>
      <c r="M233" s="21">
        <v>18.3366</v>
      </c>
      <c r="N233" s="16" t="s"/>
      <c r="O233" s="16" t="s"/>
    </row>
    <row r="234" spans="1:15">
      <c r="A234" s="16" t="s">
        <v>238</v>
      </c>
      <c r="B234" s="16" t="s">
        <v>241</v>
      </c>
      <c r="C234" s="16" t="s"/>
      <c r="D234" s="22">
        <v>0.442</v>
      </c>
      <c r="E234" s="22">
        <v>0.041</v>
      </c>
      <c r="F234" s="22">
        <v>0.442</v>
      </c>
      <c r="G234" s="22">
        <v>0.021</v>
      </c>
      <c r="H234" s="23">
        <v>0</v>
      </c>
      <c r="I234" s="18">
        <v>44.18</v>
      </c>
      <c r="J234" s="19">
        <v>12.155</v>
      </c>
      <c r="K234" s="17">
        <v>0</v>
      </c>
      <c r="L234" s="20">
        <v>44.19</v>
      </c>
      <c r="M234" s="21">
        <f>=0</f>
        <v>0</v>
      </c>
      <c r="N234" s="16" t="s"/>
      <c r="O234" s="16" t="s"/>
    </row>
    <row r="235" spans="1:15">
      <c r="A235" s="16" t="s">
        <v>238</v>
      </c>
      <c r="B235" s="16" t="s">
        <v>242</v>
      </c>
      <c r="C235" s="16" t="s"/>
      <c r="D235" s="22">
        <v>2.314</v>
      </c>
      <c r="E235" s="22">
        <v>0.211</v>
      </c>
      <c r="F235" s="22">
        <v>1.184</v>
      </c>
      <c r="G235" s="22">
        <v>0.054</v>
      </c>
      <c r="H235" s="23">
        <v>0</v>
      </c>
      <c r="I235" s="18">
        <v>217.21</v>
      </c>
      <c r="J235" s="19">
        <v>71.4175</v>
      </c>
      <c r="K235" s="17">
        <v>0</v>
      </c>
      <c r="L235" s="20">
        <v>59.16</v>
      </c>
      <c r="M235" s="21">
        <v>11.65</v>
      </c>
      <c r="N235" s="16" t="s"/>
      <c r="O235" s="16" t="s"/>
    </row>
    <row r="236" spans="1:15">
      <c r="A236" s="16" t="s">
        <v>238</v>
      </c>
      <c r="B236" s="16" t="s">
        <v>243</v>
      </c>
      <c r="C236" s="16" t="s"/>
      <c r="D236" s="22">
        <v>1.951</v>
      </c>
      <c r="E236" s="22">
        <v>0.178</v>
      </c>
      <c r="F236" s="22">
        <v>1.951</v>
      </c>
      <c r="G236" s="22">
        <v>0.089</v>
      </c>
      <c r="H236" s="23">
        <v>0</v>
      </c>
      <c r="I236" s="18">
        <v>195.03</v>
      </c>
      <c r="J236" s="19">
        <v>53.6525</v>
      </c>
      <c r="K236" s="17">
        <v>0</v>
      </c>
      <c r="L236" s="20">
        <v>195.04</v>
      </c>
      <c r="M236" s="21">
        <f>=0</f>
        <v>0</v>
      </c>
      <c r="N236" s="16" t="s"/>
      <c r="O236" s="16" t="s"/>
    </row>
    <row r="237" spans="1:15">
      <c r="A237" s="16" t="s">
        <v>238</v>
      </c>
      <c r="B237" s="16" t="s">
        <v>244</v>
      </c>
      <c r="C237" s="16" t="s"/>
      <c r="D237" s="22">
        <v>0.684</v>
      </c>
      <c r="E237" s="22">
        <v>0.063</v>
      </c>
      <c r="F237" s="22">
        <v>0.342</v>
      </c>
      <c r="G237" s="22">
        <v>0.016</v>
      </c>
      <c r="H237" s="23">
        <v>1.23</v>
      </c>
      <c r="I237" s="18">
        <v>0</v>
      </c>
      <c r="J237" s="19">
        <v>9.405</v>
      </c>
      <c r="K237" s="17">
        <v>0</v>
      </c>
      <c r="L237" s="20">
        <v>34.17</v>
      </c>
      <c r="M237" s="21">
        <f>=0</f>
        <v>0</v>
      </c>
      <c r="N237" s="16" t="s"/>
      <c r="O237" s="16" t="s"/>
    </row>
    <row r="238" spans="1:15">
      <c r="A238" s="16" t="s">
        <v>238</v>
      </c>
      <c r="B238" s="16" t="s">
        <v>245</v>
      </c>
      <c r="C238" s="16" t="s"/>
      <c r="D238" s="22">
        <v>2.712</v>
      </c>
      <c r="E238" s="22">
        <v>0.247</v>
      </c>
      <c r="F238" s="22">
        <v>2.317</v>
      </c>
      <c r="G238" s="22">
        <v>0.106</v>
      </c>
      <c r="H238" s="23">
        <v>4.741</v>
      </c>
      <c r="I238" s="18">
        <v>0</v>
      </c>
      <c r="J238" s="19">
        <v>36.2175</v>
      </c>
      <c r="K238" s="17">
        <v>0</v>
      </c>
      <c r="L238" s="20">
        <v>281.67</v>
      </c>
      <c r="M238" s="21">
        <f>=0</f>
        <v>0</v>
      </c>
      <c r="N238" s="16" t="s"/>
      <c r="O238" s="16" t="s"/>
    </row>
    <row r="239" spans="1:15">
      <c r="A239" s="16" t="s">
        <v>238</v>
      </c>
      <c r="B239" s="16" t="s">
        <v>246</v>
      </c>
      <c r="C239" s="16" t="s"/>
      <c r="D239" s="22">
        <v>4.654</v>
      </c>
      <c r="E239" s="22">
        <v>0.424</v>
      </c>
      <c r="F239" s="22">
        <v>3.518</v>
      </c>
      <c r="G239" s="22">
        <v>0.16</v>
      </c>
      <c r="H239" s="23">
        <v>0</v>
      </c>
      <c r="I239" s="18">
        <v>269.23</v>
      </c>
      <c r="J239" s="19">
        <v>88.495</v>
      </c>
      <c r="K239" s="17">
        <v>0</v>
      </c>
      <c r="L239" s="20">
        <v>296.64</v>
      </c>
      <c r="M239" s="21">
        <v>23.0033</v>
      </c>
      <c r="N239" s="16" t="s"/>
      <c r="O239" s="16" t="s"/>
    </row>
    <row r="240" spans="1:15">
      <c r="A240" s="16" t="s">
        <v>238</v>
      </c>
      <c r="B240" s="16" t="s">
        <v>247</v>
      </c>
      <c r="C240" s="16" t="s"/>
      <c r="D240" s="22">
        <v>6.407</v>
      </c>
      <c r="E240" s="22">
        <v>0.583</v>
      </c>
      <c r="F240" s="22">
        <v>2.417</v>
      </c>
      <c r="G240" s="22">
        <v>0.11</v>
      </c>
      <c r="H240" s="23">
        <v>0</v>
      </c>
      <c r="I240" s="18">
        <v>441.13</v>
      </c>
      <c r="J240" s="19">
        <v>249.3425</v>
      </c>
      <c r="K240" s="17">
        <v>0</v>
      </c>
      <c r="L240" s="20">
        <v>241.64</v>
      </c>
      <c r="M240" s="21">
        <f>=0</f>
        <v>0</v>
      </c>
      <c r="N240" s="16" t="s"/>
      <c r="O240" s="16" t="s"/>
    </row>
    <row r="241" spans="1:15">
      <c r="A241" s="16" t="s">
        <v>238</v>
      </c>
      <c r="B241" s="16" t="s">
        <v>248</v>
      </c>
      <c r="C241" s="16" t="s"/>
      <c r="D241" s="22">
        <v>18.164</v>
      </c>
      <c r="E241" s="22">
        <v>1.652</v>
      </c>
      <c r="F241" s="22">
        <v>2.434</v>
      </c>
      <c r="G241" s="22">
        <v>0.111</v>
      </c>
      <c r="H241" s="23">
        <v>0</v>
      </c>
      <c r="I241" s="18">
        <v>243.36</v>
      </c>
      <c r="J241" s="19">
        <v>0</v>
      </c>
      <c r="K241" s="17">
        <v>0</v>
      </c>
      <c r="L241" s="20">
        <v>743.37</v>
      </c>
      <c r="M241" s="21">
        <f>=0</f>
        <v>0</v>
      </c>
      <c r="N241" s="16" t="s"/>
      <c r="O241" s="16" t="s"/>
    </row>
    <row r="242" spans="1:15">
      <c r="A242" s="16" t="s">
        <v>238</v>
      </c>
      <c r="B242" s="16" t="s">
        <v>249</v>
      </c>
      <c r="C242" s="16" t="s"/>
      <c r="D242" s="22">
        <v>2.634</v>
      </c>
      <c r="E242" s="22">
        <v>0.24</v>
      </c>
      <c r="F242" s="22">
        <v>1.317</v>
      </c>
      <c r="G242" s="22">
        <v>0.06</v>
      </c>
      <c r="H242" s="23">
        <v>4.741</v>
      </c>
      <c r="I242" s="18">
        <v>0</v>
      </c>
      <c r="J242" s="19">
        <v>36.2175</v>
      </c>
      <c r="K242" s="17">
        <v>0</v>
      </c>
      <c r="L242" s="20">
        <v>65.84</v>
      </c>
      <c r="M242" s="21">
        <f>=0</f>
        <v>0</v>
      </c>
      <c r="N242" s="16" t="s"/>
      <c r="O242" s="16" t="s"/>
    </row>
    <row r="243" spans="1:15">
      <c r="A243" s="16" t="s">
        <v>238</v>
      </c>
      <c r="B243" s="16" t="s">
        <v>250</v>
      </c>
      <c r="C243" s="16" t="s"/>
      <c r="D243" s="22">
        <v>3.654</v>
      </c>
      <c r="E243" s="22">
        <v>0.333</v>
      </c>
      <c r="F243" s="22">
        <v>2.518</v>
      </c>
      <c r="G243" s="22">
        <v>0.115</v>
      </c>
      <c r="H243" s="23">
        <v>0</v>
      </c>
      <c r="I243" s="18">
        <v>269.23</v>
      </c>
      <c r="J243" s="19">
        <v>88.495</v>
      </c>
      <c r="K243" s="17">
        <v>0</v>
      </c>
      <c r="L243" s="20">
        <v>73.32</v>
      </c>
      <c r="M243" s="21">
        <v>23.0033</v>
      </c>
      <c r="N243" s="16" t="s"/>
      <c r="O243" s="16" t="s"/>
    </row>
    <row r="244" spans="1:15">
      <c r="A244" s="16" t="s">
        <v>238</v>
      </c>
      <c r="B244" s="16" t="s">
        <v>236</v>
      </c>
      <c r="C244" s="16" t="s">
        <v>75</v>
      </c>
      <c r="D244" s="22">
        <v>0</v>
      </c>
      <c r="E244" s="22">
        <v>0</v>
      </c>
      <c r="F244" s="22">
        <v>2.467</v>
      </c>
      <c r="G244" s="22">
        <v>0.113</v>
      </c>
      <c r="H244" s="23">
        <v>0</v>
      </c>
      <c r="I244" s="18">
        <v>0</v>
      </c>
      <c r="J244" s="19">
        <v>0</v>
      </c>
      <c r="K244" s="17">
        <v>0</v>
      </c>
      <c r="L244" s="20">
        <v>366.64</v>
      </c>
      <c r="M244" s="21">
        <f>=0</f>
        <v>0</v>
      </c>
      <c r="N244" s="16" t="s"/>
      <c r="O244" s="16" t="s"/>
    </row>
    <row r="245" spans="1:15">
      <c r="A245" s="16" t="s">
        <v>238</v>
      </c>
      <c r="B245" s="16" t="s">
        <v>236</v>
      </c>
      <c r="C245" s="16" t="s">
        <v>76</v>
      </c>
      <c r="D245" s="22">
        <v>0</v>
      </c>
      <c r="E245" s="22">
        <v>0</v>
      </c>
      <c r="F245" s="22">
        <v>3.117</v>
      </c>
      <c r="G245" s="22">
        <v>0.142</v>
      </c>
      <c r="H245" s="23">
        <v>0</v>
      </c>
      <c r="I245" s="18">
        <v>0</v>
      </c>
      <c r="J245" s="19">
        <v>0</v>
      </c>
      <c r="K245" s="17">
        <v>0</v>
      </c>
      <c r="L245" s="20">
        <v>416.64</v>
      </c>
      <c r="M245" s="21">
        <f>=0</f>
        <v>0</v>
      </c>
      <c r="N245" s="16" t="s"/>
      <c r="O245" s="16" t="s"/>
    </row>
    <row r="246" spans="1:15">
      <c r="A246" s="16" t="s">
        <v>238</v>
      </c>
      <c r="B246" s="16" t="s">
        <v>236</v>
      </c>
      <c r="C246" s="16" t="s">
        <v>77</v>
      </c>
      <c r="D246" s="22">
        <v>0</v>
      </c>
      <c r="E246" s="22">
        <v>0</v>
      </c>
      <c r="F246" s="22">
        <v>1.517</v>
      </c>
      <c r="G246" s="22">
        <v>0.069</v>
      </c>
      <c r="H246" s="23">
        <v>0</v>
      </c>
      <c r="I246" s="18">
        <v>0</v>
      </c>
      <c r="J246" s="19">
        <v>0</v>
      </c>
      <c r="K246" s="17">
        <v>0</v>
      </c>
      <c r="L246" s="20">
        <v>116.64</v>
      </c>
      <c r="M246" s="21">
        <f>=0</f>
        <v>0</v>
      </c>
      <c r="N246" s="16" t="s"/>
      <c r="O246" s="16" t="s"/>
    </row>
    <row r="247" spans="1:15">
      <c r="A247" s="16" t="s">
        <v>238</v>
      </c>
      <c r="B247" s="16" t="s">
        <v>251</v>
      </c>
      <c r="C247" s="16" t="s"/>
      <c r="D247" s="22">
        <v>3.258</v>
      </c>
      <c r="E247" s="22">
        <v>0.297</v>
      </c>
      <c r="F247" s="22">
        <v>2.827</v>
      </c>
      <c r="G247" s="22">
        <v>0.129</v>
      </c>
      <c r="H247" s="23">
        <v>0</v>
      </c>
      <c r="I247" s="18">
        <v>304.22</v>
      </c>
      <c r="J247" s="19">
        <v>101.4475</v>
      </c>
      <c r="K247" s="17">
        <v>0</v>
      </c>
      <c r="L247" s="20">
        <v>153.34</v>
      </c>
      <c r="M247" s="21">
        <f>=0</f>
        <v>0</v>
      </c>
      <c r="N247" s="16" t="s"/>
      <c r="O247" s="16" t="s"/>
    </row>
    <row r="248" spans="1:15">
      <c r="A248" s="16" t="s">
        <v>252</v>
      </c>
      <c r="B248" s="16" t="s">
        <v>253</v>
      </c>
      <c r="C248" s="16" t="s">
        <v>62</v>
      </c>
      <c r="D248" s="22">
        <v>0.659</v>
      </c>
      <c r="E248" s="22">
        <v>0.06</v>
      </c>
      <c r="F248" s="22">
        <v>0.471</v>
      </c>
      <c r="G248" s="22">
        <v>0.022</v>
      </c>
      <c r="H248" s="23">
        <v>1.694</v>
      </c>
      <c r="I248" s="18">
        <v>0</v>
      </c>
      <c r="J248" s="19">
        <v>12.9525</v>
      </c>
      <c r="K248" s="17">
        <v>0</v>
      </c>
      <c r="L248" s="20">
        <v>47.06</v>
      </c>
      <c r="M248" s="21">
        <f>=0</f>
        <v>0</v>
      </c>
      <c r="N248" s="16" t="s"/>
      <c r="O248" s="16" t="s"/>
    </row>
    <row r="249" spans="1:15">
      <c r="A249" s="16" t="s">
        <v>252</v>
      </c>
      <c r="B249" s="16" t="s">
        <v>253</v>
      </c>
      <c r="C249" s="16" t="s">
        <v>63</v>
      </c>
      <c r="D249" s="22">
        <v>1.89</v>
      </c>
      <c r="E249" s="22">
        <v>0.172</v>
      </c>
      <c r="F249" s="22">
        <v>1.569</v>
      </c>
      <c r="G249" s="22">
        <v>0.072</v>
      </c>
      <c r="H249" s="23">
        <v>5.646</v>
      </c>
      <c r="I249" s="18">
        <v>0</v>
      </c>
      <c r="J249" s="19">
        <v>43.1475</v>
      </c>
      <c r="K249" s="17">
        <v>0</v>
      </c>
      <c r="L249" s="20">
        <v>156.81</v>
      </c>
      <c r="M249" s="21">
        <f>=0</f>
        <v>0</v>
      </c>
      <c r="N249" s="16" t="s"/>
      <c r="O249" s="16" t="s"/>
    </row>
    <row r="250" spans="1:15">
      <c r="A250" s="16" t="s">
        <v>252</v>
      </c>
      <c r="B250" s="16" t="s">
        <v>253</v>
      </c>
      <c r="C250" s="16" t="s">
        <v>64</v>
      </c>
      <c r="D250" s="22">
        <v>3.483</v>
      </c>
      <c r="E250" s="22">
        <v>0.317</v>
      </c>
      <c r="F250" s="22">
        <v>2.601</v>
      </c>
      <c r="G250" s="22">
        <v>0.119</v>
      </c>
      <c r="H250" s="23">
        <v>9.363</v>
      </c>
      <c r="I250" s="18">
        <v>0</v>
      </c>
      <c r="J250" s="19">
        <v>71.5275</v>
      </c>
      <c r="K250" s="17">
        <v>0</v>
      </c>
      <c r="L250" s="20">
        <v>260.08</v>
      </c>
      <c r="M250" s="21">
        <f>=0</f>
        <v>0</v>
      </c>
      <c r="N250" s="16" t="s"/>
      <c r="O250" s="16" t="s"/>
    </row>
    <row r="251" spans="1:15">
      <c r="A251" s="16" t="s">
        <v>252</v>
      </c>
      <c r="B251" s="16" t="s">
        <v>254</v>
      </c>
      <c r="C251" s="16" t="s">
        <v>255</v>
      </c>
      <c r="D251" s="22">
        <v>0.417</v>
      </c>
      <c r="E251" s="22">
        <v>0.038</v>
      </c>
      <c r="F251" s="22">
        <v>0.417</v>
      </c>
      <c r="G251" s="22">
        <v>0.019</v>
      </c>
      <c r="H251" s="23">
        <v>0</v>
      </c>
      <c r="I251" s="18">
        <v>0</v>
      </c>
      <c r="J251" s="19">
        <v>11.4675</v>
      </c>
      <c r="K251" s="17">
        <v>0</v>
      </c>
      <c r="L251" s="20">
        <v>41.66</v>
      </c>
      <c r="M251" s="21">
        <f>=0</f>
        <v>0</v>
      </c>
      <c r="N251" s="16" t="s"/>
      <c r="O251" s="16" t="s"/>
    </row>
    <row r="252" spans="1:15">
      <c r="A252" s="16" t="s">
        <v>252</v>
      </c>
      <c r="B252" s="16" t="s">
        <v>254</v>
      </c>
      <c r="C252" s="16" t="s">
        <v>256</v>
      </c>
      <c r="D252" s="22">
        <v>2.334</v>
      </c>
      <c r="E252" s="22">
        <v>0.213</v>
      </c>
      <c r="F252" s="22">
        <v>2.234</v>
      </c>
      <c r="G252" s="22">
        <v>0.102</v>
      </c>
      <c r="H252" s="23">
        <v>0</v>
      </c>
      <c r="I252" s="18">
        <v>0</v>
      </c>
      <c r="J252" s="19">
        <v>22.935</v>
      </c>
      <c r="K252" s="17">
        <v>0</v>
      </c>
      <c r="L252" s="20">
        <v>83.31</v>
      </c>
      <c r="M252" s="21">
        <f>=0</f>
        <v>0</v>
      </c>
      <c r="N252" s="16" t="s"/>
      <c r="O252" s="16" t="s"/>
    </row>
    <row r="253" spans="1:15">
      <c r="A253" s="16" t="s">
        <v>252</v>
      </c>
      <c r="B253" s="16" t="s">
        <v>257</v>
      </c>
      <c r="C253" s="16" t="s">
        <v>255</v>
      </c>
      <c r="D253" s="22">
        <v>4.385</v>
      </c>
      <c r="E253" s="22">
        <v>0.399</v>
      </c>
      <c r="F253" s="22">
        <v>2.471</v>
      </c>
      <c r="G253" s="22">
        <v>0.113</v>
      </c>
      <c r="H253" s="23">
        <v>0</v>
      </c>
      <c r="I253" s="18">
        <v>270.99</v>
      </c>
      <c r="J253" s="19">
        <v>94.27</v>
      </c>
      <c r="K253" s="17">
        <v>0</v>
      </c>
      <c r="L253" s="20">
        <v>103.52</v>
      </c>
      <c r="M253" s="21">
        <f>=0</f>
        <v>0</v>
      </c>
      <c r="N253" s="16" t="s"/>
      <c r="O253" s="16" t="s"/>
    </row>
    <row r="254" spans="1:15">
      <c r="A254" s="16" t="s">
        <v>252</v>
      </c>
      <c r="B254" s="16" t="s">
        <v>257</v>
      </c>
      <c r="C254" s="16" t="s">
        <v>258</v>
      </c>
      <c r="D254" s="22">
        <v>4.385</v>
      </c>
      <c r="E254" s="22">
        <v>0.399</v>
      </c>
      <c r="F254" s="22">
        <v>2.471</v>
      </c>
      <c r="G254" s="22">
        <v>0.113</v>
      </c>
      <c r="H254" s="23">
        <v>0</v>
      </c>
      <c r="I254" s="18">
        <v>270.99</v>
      </c>
      <c r="J254" s="19">
        <v>94.27</v>
      </c>
      <c r="K254" s="17">
        <v>0</v>
      </c>
      <c r="L254" s="20">
        <v>103.52</v>
      </c>
      <c r="M254" s="21">
        <f>=0</f>
        <v>0</v>
      </c>
      <c r="N254" s="16" t="s"/>
      <c r="O254" s="16" t="s"/>
    </row>
    <row r="255" spans="1:15">
      <c r="A255" s="16" t="s">
        <v>252</v>
      </c>
      <c r="B255" s="16" t="s">
        <v>257</v>
      </c>
      <c r="C255" s="16" t="s">
        <v>256</v>
      </c>
      <c r="D255" s="22">
        <v>5.005</v>
      </c>
      <c r="E255" s="22">
        <v>0.455</v>
      </c>
      <c r="F255" s="22">
        <v>3.676</v>
      </c>
      <c r="G255" s="22">
        <v>0.168</v>
      </c>
      <c r="H255" s="23">
        <v>0</v>
      </c>
      <c r="I255" s="18">
        <v>330.71</v>
      </c>
      <c r="J255" s="19">
        <v>112.53</v>
      </c>
      <c r="K255" s="17">
        <v>0</v>
      </c>
      <c r="L255" s="20">
        <v>147.76</v>
      </c>
      <c r="M255" s="21">
        <f>=0</f>
        <v>0</v>
      </c>
      <c r="N255" s="16" t="s"/>
      <c r="O255" s="16" t="s"/>
    </row>
    <row r="256" spans="1:15">
      <c r="A256" s="16" t="s">
        <v>252</v>
      </c>
      <c r="B256" s="16" t="s">
        <v>257</v>
      </c>
      <c r="C256" s="16" t="s">
        <v>259</v>
      </c>
      <c r="D256" s="22">
        <v>5.512</v>
      </c>
      <c r="E256" s="22">
        <v>0.502</v>
      </c>
      <c r="F256" s="22">
        <v>3.676</v>
      </c>
      <c r="G256" s="22">
        <v>0.168</v>
      </c>
      <c r="H256" s="23">
        <v>0</v>
      </c>
      <c r="I256" s="18">
        <v>330.71</v>
      </c>
      <c r="J256" s="19">
        <v>112.53</v>
      </c>
      <c r="K256" s="17">
        <v>0</v>
      </c>
      <c r="L256" s="20">
        <v>147.76</v>
      </c>
      <c r="M256" s="21">
        <f>=0</f>
        <v>0</v>
      </c>
      <c r="N256" s="16" t="s"/>
      <c r="O256" s="16" t="s"/>
    </row>
    <row r="257" spans="1:15">
      <c r="A257" s="16" t="s">
        <v>252</v>
      </c>
      <c r="B257" s="16" t="s">
        <v>260</v>
      </c>
      <c r="C257" s="16" t="s"/>
      <c r="D257" s="22">
        <v>1.384</v>
      </c>
      <c r="E257" s="22">
        <v>0.126</v>
      </c>
      <c r="F257" s="22">
        <v>0.692</v>
      </c>
      <c r="G257" s="22">
        <v>0.032</v>
      </c>
      <c r="H257" s="23">
        <v>2.491</v>
      </c>
      <c r="I257" s="18">
        <v>0</v>
      </c>
      <c r="J257" s="19">
        <v>19.03</v>
      </c>
      <c r="K257" s="17">
        <v>0</v>
      </c>
      <c r="L257" s="20">
        <v>69.17</v>
      </c>
      <c r="M257" s="21">
        <f>=0</f>
        <v>0</v>
      </c>
      <c r="N257" s="16" t="s"/>
      <c r="O257" s="16" t="s"/>
    </row>
    <row r="258" spans="1:15">
      <c r="A258" s="16" t="s">
        <v>252</v>
      </c>
      <c r="B258" s="16" t="s">
        <v>261</v>
      </c>
      <c r="C258" s="16" t="s"/>
      <c r="D258" s="22">
        <v>2.257</v>
      </c>
      <c r="E258" s="22">
        <v>0.206</v>
      </c>
      <c r="F258" s="22">
        <v>1.967</v>
      </c>
      <c r="G258" s="22">
        <v>0.09</v>
      </c>
      <c r="H258" s="23">
        <v>3.481</v>
      </c>
      <c r="I258" s="18">
        <v>96.66</v>
      </c>
      <c r="J258" s="19">
        <v>26.5925</v>
      </c>
      <c r="K258" s="17">
        <v>0</v>
      </c>
      <c r="L258" s="20">
        <v>246.67</v>
      </c>
      <c r="M258" s="21">
        <f>=0</f>
        <v>0</v>
      </c>
      <c r="N258" s="16" t="s"/>
      <c r="O258" s="16" t="s"/>
    </row>
    <row r="259" spans="1:15">
      <c r="A259" s="16" t="s">
        <v>252</v>
      </c>
      <c r="B259" s="16" t="s">
        <v>262</v>
      </c>
      <c r="C259" s="16" t="s"/>
      <c r="D259" s="22">
        <v>6.273</v>
      </c>
      <c r="E259" s="22">
        <v>0.571</v>
      </c>
      <c r="F259" s="22">
        <v>3.283</v>
      </c>
      <c r="G259" s="22">
        <v>0.15</v>
      </c>
      <c r="H259" s="23">
        <v>0</v>
      </c>
      <c r="I259" s="18">
        <v>427.79</v>
      </c>
      <c r="J259" s="19">
        <v>245.6575</v>
      </c>
      <c r="K259" s="17">
        <v>0</v>
      </c>
      <c r="L259" s="20">
        <v>228.3</v>
      </c>
      <c r="M259" s="21">
        <f>=0</f>
        <v>0</v>
      </c>
      <c r="N259" s="16" t="s"/>
      <c r="O259" s="16" t="s"/>
    </row>
    <row r="260" spans="1:15">
      <c r="A260" s="16" t="s">
        <v>252</v>
      </c>
      <c r="B260" s="16" t="s">
        <v>263</v>
      </c>
      <c r="C260" s="16" t="s"/>
      <c r="D260" s="22">
        <v>16.43</v>
      </c>
      <c r="E260" s="22">
        <v>1.494</v>
      </c>
      <c r="F260" s="22">
        <v>1.1</v>
      </c>
      <c r="G260" s="22">
        <v>0.05</v>
      </c>
      <c r="H260" s="23">
        <v>0</v>
      </c>
      <c r="I260" s="18">
        <v>110</v>
      </c>
      <c r="J260" s="19">
        <v>0</v>
      </c>
      <c r="K260" s="17">
        <v>0</v>
      </c>
      <c r="L260" s="20">
        <v>610</v>
      </c>
      <c r="M260" s="21">
        <f>=0</f>
        <v>0</v>
      </c>
      <c r="N260" s="16" t="s"/>
      <c r="O260" s="16" t="s"/>
    </row>
    <row r="261" spans="1:15">
      <c r="A261" s="16" t="s">
        <v>252</v>
      </c>
      <c r="B261" s="16" t="s">
        <v>264</v>
      </c>
      <c r="C261" s="16" t="s"/>
      <c r="D261" s="22">
        <v>0.967</v>
      </c>
      <c r="E261" s="22">
        <v>0.088</v>
      </c>
      <c r="F261" s="22">
        <v>0.967</v>
      </c>
      <c r="G261" s="22">
        <v>0.044</v>
      </c>
      <c r="H261" s="23">
        <v>3.481</v>
      </c>
      <c r="I261" s="18">
        <v>96.66</v>
      </c>
      <c r="J261" s="19">
        <v>26.5925</v>
      </c>
      <c r="K261" s="17">
        <v>0</v>
      </c>
      <c r="L261" s="20">
        <v>48.34</v>
      </c>
      <c r="M261" s="21">
        <f>=0</f>
        <v>0</v>
      </c>
      <c r="N261" s="16" t="s"/>
      <c r="O261" s="16" t="s"/>
    </row>
    <row r="262" spans="1:15">
      <c r="A262" s="16" t="s">
        <v>252</v>
      </c>
      <c r="B262" s="16" t="s">
        <v>265</v>
      </c>
      <c r="C262" s="16" t="s">
        <v>75</v>
      </c>
      <c r="D262" s="22">
        <v>0</v>
      </c>
      <c r="E262" s="22">
        <v>0</v>
      </c>
      <c r="F262" s="22">
        <v>2.251</v>
      </c>
      <c r="G262" s="22">
        <v>0.103</v>
      </c>
      <c r="H262" s="23">
        <v>0</v>
      </c>
      <c r="I262" s="18">
        <v>0</v>
      </c>
      <c r="J262" s="19">
        <v>0</v>
      </c>
      <c r="K262" s="17">
        <v>0</v>
      </c>
      <c r="L262" s="20">
        <v>350.04</v>
      </c>
      <c r="M262" s="21">
        <f>=0</f>
        <v>0</v>
      </c>
      <c r="N262" s="16" t="s"/>
      <c r="O262" s="16" t="s"/>
    </row>
    <row r="263" spans="1:15">
      <c r="A263" s="16" t="s">
        <v>252</v>
      </c>
      <c r="B263" s="16" t="s">
        <v>265</v>
      </c>
      <c r="C263" s="16" t="s">
        <v>76</v>
      </c>
      <c r="D263" s="22">
        <v>0</v>
      </c>
      <c r="E263" s="22">
        <v>0</v>
      </c>
      <c r="F263" s="22">
        <v>2.684</v>
      </c>
      <c r="G263" s="22">
        <v>0.122</v>
      </c>
      <c r="H263" s="23">
        <v>0</v>
      </c>
      <c r="I263" s="18">
        <v>0</v>
      </c>
      <c r="J263" s="19">
        <v>0</v>
      </c>
      <c r="K263" s="17">
        <v>0</v>
      </c>
      <c r="L263" s="20">
        <v>383.34</v>
      </c>
      <c r="M263" s="21">
        <f>=0</f>
        <v>0</v>
      </c>
      <c r="N263" s="16" t="s"/>
      <c r="O263" s="16" t="s"/>
    </row>
    <row r="264" spans="1:15">
      <c r="A264" s="16" t="s">
        <v>252</v>
      </c>
      <c r="B264" s="16" t="s">
        <v>265</v>
      </c>
      <c r="C264" s="16" t="s">
        <v>77</v>
      </c>
      <c r="D264" s="22">
        <v>0</v>
      </c>
      <c r="E264" s="22">
        <v>0</v>
      </c>
      <c r="F264" s="22">
        <v>1.084</v>
      </c>
      <c r="G264" s="22">
        <v>0.05</v>
      </c>
      <c r="H264" s="23">
        <v>0</v>
      </c>
      <c r="I264" s="18">
        <v>0</v>
      </c>
      <c r="J264" s="19">
        <v>0</v>
      </c>
      <c r="K264" s="17">
        <v>0</v>
      </c>
      <c r="L264" s="20">
        <v>83.34</v>
      </c>
      <c r="M264" s="21">
        <f>=0</f>
        <v>0</v>
      </c>
      <c r="N264" s="16" t="s"/>
      <c r="O264" s="16" t="s"/>
    </row>
    <row r="265" spans="1:15">
      <c r="A265" s="16" t="s">
        <v>252</v>
      </c>
      <c r="B265" s="16" t="s">
        <v>266</v>
      </c>
      <c r="C265" s="16" t="s"/>
      <c r="D265" s="22">
        <v>3.259</v>
      </c>
      <c r="E265" s="22">
        <v>0.297</v>
      </c>
      <c r="F265" s="22">
        <v>2.828</v>
      </c>
      <c r="G265" s="22">
        <v>0.129</v>
      </c>
      <c r="H265" s="23">
        <v>0</v>
      </c>
      <c r="I265" s="18">
        <v>304.26</v>
      </c>
      <c r="J265" s="19">
        <v>101.475</v>
      </c>
      <c r="K265" s="17">
        <v>0</v>
      </c>
      <c r="L265" s="20">
        <v>153.37</v>
      </c>
      <c r="M265" s="21">
        <f>=0</f>
        <v>0</v>
      </c>
      <c r="N265" s="16" t="s"/>
      <c r="O265" s="16" t="s"/>
    </row>
    <row r="266" spans="1:15">
      <c r="A266" s="16" t="s">
        <v>267</v>
      </c>
      <c r="B266" s="16" t="s">
        <v>268</v>
      </c>
      <c r="C266" s="16" t="s">
        <v>62</v>
      </c>
      <c r="D266" s="22">
        <v>0.662</v>
      </c>
      <c r="E266" s="22">
        <v>0.061</v>
      </c>
      <c r="F266" s="22">
        <v>0.331</v>
      </c>
      <c r="G266" s="22">
        <v>0.016</v>
      </c>
      <c r="H266" s="23">
        <v>1.192</v>
      </c>
      <c r="I266" s="18">
        <v>0</v>
      </c>
      <c r="J266" s="19">
        <v>9.1025</v>
      </c>
      <c r="K266" s="17">
        <v>0</v>
      </c>
      <c r="L266" s="20">
        <v>33.1</v>
      </c>
      <c r="M266" s="21">
        <f>=0</f>
        <v>0</v>
      </c>
      <c r="N266" s="16" t="s"/>
      <c r="O266" s="16" t="s"/>
    </row>
    <row r="267" spans="1:15">
      <c r="A267" s="16" t="s">
        <v>267</v>
      </c>
      <c r="B267" s="16" t="s">
        <v>268</v>
      </c>
      <c r="C267" s="16" t="s">
        <v>63</v>
      </c>
      <c r="D267" s="22">
        <v>2.163</v>
      </c>
      <c r="E267" s="22">
        <v>0.197</v>
      </c>
      <c r="F267" s="22">
        <v>1.88</v>
      </c>
      <c r="G267" s="22">
        <v>0.086</v>
      </c>
      <c r="H267" s="23">
        <v>6.767</v>
      </c>
      <c r="I267" s="18">
        <v>0</v>
      </c>
      <c r="J267" s="19">
        <v>44.4125</v>
      </c>
      <c r="K267" s="17">
        <v>0</v>
      </c>
      <c r="L267" s="20">
        <v>187.96</v>
      </c>
      <c r="M267" s="21">
        <f>=0</f>
        <v>0</v>
      </c>
      <c r="N267" s="16" t="s"/>
      <c r="O267" s="16" t="s"/>
    </row>
    <row r="268" spans="1:15">
      <c r="A268" s="16" t="s">
        <v>267</v>
      </c>
      <c r="B268" s="16" t="s">
        <v>268</v>
      </c>
      <c r="C268" s="16" t="s">
        <v>64</v>
      </c>
      <c r="D268" s="22">
        <v>2.931</v>
      </c>
      <c r="E268" s="22">
        <v>0.267</v>
      </c>
      <c r="F268" s="22">
        <v>2.217</v>
      </c>
      <c r="G268" s="22">
        <v>0.101</v>
      </c>
      <c r="H268" s="23">
        <v>7.98</v>
      </c>
      <c r="I268" s="18">
        <v>0</v>
      </c>
      <c r="J268" s="19">
        <v>54.2025</v>
      </c>
      <c r="K268" s="17">
        <v>0</v>
      </c>
      <c r="L268" s="20">
        <v>221.65</v>
      </c>
      <c r="M268" s="21">
        <f>=0</f>
        <v>0</v>
      </c>
      <c r="N268" s="16" t="s"/>
      <c r="O268" s="16" t="s"/>
    </row>
    <row r="269" spans="1:15">
      <c r="A269" s="16" t="s">
        <v>267</v>
      </c>
      <c r="B269" s="16" t="s">
        <v>269</v>
      </c>
      <c r="C269" s="16" t="s">
        <v>62</v>
      </c>
      <c r="D269" s="22">
        <v>0.766</v>
      </c>
      <c r="E269" s="22">
        <v>0.07</v>
      </c>
      <c r="F269" s="22">
        <v>0.466</v>
      </c>
      <c r="G269" s="22">
        <v>0.022</v>
      </c>
      <c r="H269" s="23">
        <v>1.677</v>
      </c>
      <c r="I269" s="18">
        <v>46.57</v>
      </c>
      <c r="J269" s="19">
        <v>12.815</v>
      </c>
      <c r="K269" s="17">
        <v>0</v>
      </c>
      <c r="L269" s="20">
        <v>46.58</v>
      </c>
      <c r="M269" s="21">
        <f>=0</f>
        <v>0</v>
      </c>
      <c r="N269" s="16" t="s"/>
      <c r="O269" s="16" t="s"/>
    </row>
    <row r="270" spans="1:15">
      <c r="A270" s="16" t="s">
        <v>267</v>
      </c>
      <c r="B270" s="16" t="s">
        <v>269</v>
      </c>
      <c r="C270" s="16" t="s">
        <v>63</v>
      </c>
      <c r="D270" s="22">
        <v>2.285</v>
      </c>
      <c r="E270" s="22">
        <v>0.208</v>
      </c>
      <c r="F270" s="22">
        <v>1.275</v>
      </c>
      <c r="G270" s="22">
        <v>0.058</v>
      </c>
      <c r="H270" s="23">
        <v>4.588</v>
      </c>
      <c r="I270" s="18">
        <v>127.43</v>
      </c>
      <c r="J270" s="19">
        <v>35.0625</v>
      </c>
      <c r="K270" s="17">
        <v>0</v>
      </c>
      <c r="L270" s="20">
        <v>127.44</v>
      </c>
      <c r="M270" s="21">
        <f>=0</f>
        <v>0</v>
      </c>
      <c r="N270" s="16" t="s"/>
      <c r="O270" s="16" t="s"/>
    </row>
    <row r="271" spans="1:15">
      <c r="A271" s="16" t="s">
        <v>267</v>
      </c>
      <c r="B271" s="16" t="s">
        <v>269</v>
      </c>
      <c r="C271" s="16" t="s">
        <v>64</v>
      </c>
      <c r="D271" s="22">
        <v>5.114</v>
      </c>
      <c r="E271" s="22">
        <v>0.465</v>
      </c>
      <c r="F271" s="22">
        <v>2.633</v>
      </c>
      <c r="G271" s="22">
        <v>0.12</v>
      </c>
      <c r="H271" s="23">
        <v>9.476</v>
      </c>
      <c r="I271" s="18">
        <v>263.21</v>
      </c>
      <c r="J271" s="19">
        <v>72.4075</v>
      </c>
      <c r="K271" s="17">
        <v>0</v>
      </c>
      <c r="L271" s="20">
        <v>263.22</v>
      </c>
      <c r="M271" s="21">
        <f>=0</f>
        <v>0</v>
      </c>
      <c r="N271" s="16" t="s"/>
      <c r="O271" s="16" t="s"/>
    </row>
    <row r="272" spans="1:15">
      <c r="A272" s="16" t="s">
        <v>267</v>
      </c>
      <c r="B272" s="16" t="s">
        <v>270</v>
      </c>
      <c r="C272" s="16" t="s">
        <v>62</v>
      </c>
      <c r="D272" s="22">
        <v>0.284</v>
      </c>
      <c r="E272" s="22">
        <v>0.026</v>
      </c>
      <c r="F272" s="22">
        <v>0.284</v>
      </c>
      <c r="G272" s="22">
        <v>0.013</v>
      </c>
      <c r="H272" s="23">
        <v>0</v>
      </c>
      <c r="I272" s="18">
        <v>28.34</v>
      </c>
      <c r="J272" s="19">
        <v>7.81</v>
      </c>
      <c r="K272" s="17">
        <v>0</v>
      </c>
      <c r="L272" s="20">
        <v>28.35</v>
      </c>
      <c r="M272" s="21">
        <f>=0</f>
        <v>0</v>
      </c>
      <c r="N272" s="16" t="s"/>
      <c r="O272" s="16" t="s"/>
    </row>
    <row r="273" spans="1:15">
      <c r="A273" s="16" t="s">
        <v>267</v>
      </c>
      <c r="B273" s="16" t="s">
        <v>270</v>
      </c>
      <c r="C273" s="16" t="s">
        <v>271</v>
      </c>
      <c r="D273" s="22">
        <v>1.001</v>
      </c>
      <c r="E273" s="22">
        <v>0.091</v>
      </c>
      <c r="F273" s="22">
        <v>1.001</v>
      </c>
      <c r="G273" s="22">
        <v>0.046</v>
      </c>
      <c r="H273" s="23">
        <v>0</v>
      </c>
      <c r="I273" s="18">
        <v>50.01</v>
      </c>
      <c r="J273" s="19">
        <v>27.5275</v>
      </c>
      <c r="K273" s="17">
        <v>0</v>
      </c>
      <c r="L273" s="20">
        <v>50.02</v>
      </c>
      <c r="M273" s="21">
        <f>=0</f>
        <v>0</v>
      </c>
      <c r="N273" s="16" t="s"/>
      <c r="O273" s="16" t="s"/>
    </row>
    <row r="274" spans="1:15">
      <c r="A274" s="16" t="s">
        <v>267</v>
      </c>
      <c r="B274" s="16" t="s">
        <v>272</v>
      </c>
      <c r="C274" s="16" t="s">
        <v>273</v>
      </c>
      <c r="D274" s="22">
        <v>1.021</v>
      </c>
      <c r="E274" s="22">
        <v>0.093</v>
      </c>
      <c r="F274" s="22">
        <v>0.879</v>
      </c>
      <c r="G274" s="22">
        <v>0.04</v>
      </c>
      <c r="H274" s="23">
        <v>0</v>
      </c>
      <c r="I274" s="18">
        <v>94.91</v>
      </c>
      <c r="J274" s="19">
        <v>31.9825</v>
      </c>
      <c r="K274" s="17">
        <v>0</v>
      </c>
      <c r="L274" s="20">
        <v>27.07</v>
      </c>
      <c r="M274" s="21">
        <f>=0</f>
        <v>0</v>
      </c>
      <c r="N274" s="16" t="s"/>
      <c r="O274" s="16" t="s"/>
    </row>
    <row r="275" spans="1:15">
      <c r="A275" s="16" t="s">
        <v>267</v>
      </c>
      <c r="B275" s="16" t="s">
        <v>272</v>
      </c>
      <c r="C275" s="16" t="s">
        <v>274</v>
      </c>
      <c r="D275" s="22">
        <v>2.624</v>
      </c>
      <c r="E275" s="22">
        <v>0.239</v>
      </c>
      <c r="F275" s="22">
        <v>2.258</v>
      </c>
      <c r="G275" s="22">
        <v>0.103</v>
      </c>
      <c r="H275" s="23">
        <v>0</v>
      </c>
      <c r="I275" s="18">
        <v>244.07</v>
      </c>
      <c r="J275" s="19">
        <v>82.225</v>
      </c>
      <c r="K275" s="17">
        <v>0</v>
      </c>
      <c r="L275" s="20">
        <v>115.98</v>
      </c>
      <c r="M275" s="21">
        <f>=0</f>
        <v>0</v>
      </c>
      <c r="N275" s="16" t="s"/>
      <c r="O275" s="16" t="s"/>
    </row>
    <row r="276" spans="1:15">
      <c r="A276" s="16" t="s">
        <v>267</v>
      </c>
      <c r="B276" s="16" t="s">
        <v>275</v>
      </c>
      <c r="C276" s="16" t="s">
        <v>276</v>
      </c>
      <c r="D276" s="22">
        <v>2.501</v>
      </c>
      <c r="E276" s="22">
        <v>0.228</v>
      </c>
      <c r="F276" s="22">
        <v>2.751</v>
      </c>
      <c r="G276" s="22">
        <v>0.126</v>
      </c>
      <c r="H276" s="23">
        <v>0</v>
      </c>
      <c r="I276" s="18">
        <v>125</v>
      </c>
      <c r="J276" s="19">
        <v>68.7775</v>
      </c>
      <c r="K276" s="17">
        <v>0</v>
      </c>
      <c r="L276" s="20">
        <v>125.01</v>
      </c>
      <c r="M276" s="21">
        <f>=0</f>
        <v>0</v>
      </c>
      <c r="N276" s="16" t="s"/>
      <c r="O276" s="16" t="s"/>
    </row>
    <row r="277" spans="1:15">
      <c r="A277" s="16" t="s">
        <v>267</v>
      </c>
      <c r="B277" s="16" t="s">
        <v>275</v>
      </c>
      <c r="C277" s="16" t="s">
        <v>277</v>
      </c>
      <c r="D277" s="22">
        <v>1.401</v>
      </c>
      <c r="E277" s="22">
        <v>0.128</v>
      </c>
      <c r="F277" s="22">
        <v>1.401</v>
      </c>
      <c r="G277" s="22">
        <v>0.064</v>
      </c>
      <c r="H277" s="23">
        <v>0</v>
      </c>
      <c r="I277" s="18">
        <v>70.01</v>
      </c>
      <c r="J277" s="19">
        <v>38.5275</v>
      </c>
      <c r="K277" s="17">
        <v>0</v>
      </c>
      <c r="L277" s="20">
        <v>70.02</v>
      </c>
      <c r="M277" s="21">
        <f>=0</f>
        <v>0</v>
      </c>
      <c r="N277" s="16" t="s"/>
      <c r="O277" s="16" t="s"/>
    </row>
    <row r="278" spans="1:15">
      <c r="A278" s="16" t="s">
        <v>267</v>
      </c>
      <c r="B278" s="16" t="s">
        <v>275</v>
      </c>
      <c r="C278" s="16" t="s">
        <v>278</v>
      </c>
      <c r="D278" s="22">
        <v>2.45</v>
      </c>
      <c r="E278" s="22">
        <v>0.223</v>
      </c>
      <c r="F278" s="22">
        <v>2.45</v>
      </c>
      <c r="G278" s="22">
        <v>0.112</v>
      </c>
      <c r="H278" s="23">
        <v>0</v>
      </c>
      <c r="I278" s="18">
        <v>122.5</v>
      </c>
      <c r="J278" s="19">
        <v>67.375</v>
      </c>
      <c r="K278" s="17">
        <v>0</v>
      </c>
      <c r="L278" s="20">
        <v>122.5</v>
      </c>
      <c r="M278" s="21">
        <f>=0</f>
        <v>0</v>
      </c>
      <c r="N278" s="16" t="s"/>
      <c r="O278" s="16" t="s"/>
    </row>
    <row r="279" spans="1:15">
      <c r="A279" s="16" t="s">
        <v>267</v>
      </c>
      <c r="B279" s="16" t="s">
        <v>279</v>
      </c>
      <c r="C279" s="16" t="s"/>
      <c r="D279" s="22">
        <v>0.767</v>
      </c>
      <c r="E279" s="22">
        <v>0.07</v>
      </c>
      <c r="F279" s="22">
        <v>0.384</v>
      </c>
      <c r="G279" s="22">
        <v>0.018</v>
      </c>
      <c r="H279" s="23">
        <v>1.38</v>
      </c>
      <c r="I279" s="18">
        <v>0</v>
      </c>
      <c r="J279" s="19">
        <v>10.56</v>
      </c>
      <c r="K279" s="17">
        <v>0</v>
      </c>
      <c r="L279" s="20">
        <v>38.32</v>
      </c>
      <c r="M279" s="21">
        <f>=0</f>
        <v>0</v>
      </c>
      <c r="N279" s="16" t="s"/>
      <c r="O279" s="16" t="s"/>
    </row>
    <row r="280" spans="1:15">
      <c r="A280" s="16" t="s">
        <v>267</v>
      </c>
      <c r="B280" s="16" t="s">
        <v>280</v>
      </c>
      <c r="C280" s="16" t="s"/>
      <c r="D280" s="22">
        <v>1.315</v>
      </c>
      <c r="E280" s="22">
        <v>0.12</v>
      </c>
      <c r="F280" s="22">
        <v>0.801</v>
      </c>
      <c r="G280" s="22">
        <v>0.037</v>
      </c>
      <c r="H280" s="23">
        <v>2.882</v>
      </c>
      <c r="I280" s="18">
        <v>80.03</v>
      </c>
      <c r="J280" s="19">
        <v>22.0275</v>
      </c>
      <c r="K280" s="17">
        <v>0</v>
      </c>
      <c r="L280" s="20">
        <v>40.02</v>
      </c>
      <c r="M280" s="21">
        <f>=0</f>
        <v>0</v>
      </c>
      <c r="N280" s="16" t="s"/>
      <c r="O280" s="16" t="s"/>
    </row>
    <row r="281" spans="1:15">
      <c r="A281" s="16" t="s">
        <v>267</v>
      </c>
      <c r="B281" s="16" t="s">
        <v>281</v>
      </c>
      <c r="C281" s="16" t="s"/>
      <c r="D281" s="22">
        <v>2.473</v>
      </c>
      <c r="E281" s="22">
        <v>0.225</v>
      </c>
      <c r="F281" s="22">
        <v>2.134</v>
      </c>
      <c r="G281" s="22">
        <v>0.097</v>
      </c>
      <c r="H281" s="23">
        <v>4.079</v>
      </c>
      <c r="I281" s="18">
        <v>113.3</v>
      </c>
      <c r="J281" s="19">
        <v>31.185</v>
      </c>
      <c r="K281" s="17">
        <v>0</v>
      </c>
      <c r="L281" s="20">
        <v>263.31</v>
      </c>
      <c r="M281" s="21">
        <f>=0</f>
        <v>0</v>
      </c>
      <c r="N281" s="16" t="s"/>
      <c r="O281" s="16" t="s"/>
    </row>
    <row r="282" spans="1:15">
      <c r="A282" s="16" t="s">
        <v>267</v>
      </c>
      <c r="B282" s="16" t="s">
        <v>282</v>
      </c>
      <c r="C282" s="16" t="s"/>
      <c r="D282" s="22">
        <v>7.458</v>
      </c>
      <c r="E282" s="22">
        <v>0.678</v>
      </c>
      <c r="F282" s="22">
        <v>3.468</v>
      </c>
      <c r="G282" s="22">
        <v>0.158</v>
      </c>
      <c r="H282" s="23">
        <v>0</v>
      </c>
      <c r="I282" s="18">
        <v>546.2</v>
      </c>
      <c r="J282" s="19">
        <v>278.245</v>
      </c>
      <c r="K282" s="17">
        <v>0</v>
      </c>
      <c r="L282" s="20">
        <v>346.71</v>
      </c>
      <c r="M282" s="21">
        <f>=0</f>
        <v>0</v>
      </c>
      <c r="N282" s="16" t="s"/>
      <c r="O282" s="16" t="s"/>
    </row>
    <row r="283" spans="1:15">
      <c r="A283" s="16" t="s">
        <v>267</v>
      </c>
      <c r="B283" s="16" t="s">
        <v>283</v>
      </c>
      <c r="C283" s="16" t="s"/>
      <c r="D283" s="22">
        <v>19.898</v>
      </c>
      <c r="E283" s="22">
        <v>1.809</v>
      </c>
      <c r="F283" s="22">
        <v>3.768</v>
      </c>
      <c r="G283" s="22">
        <v>0.172</v>
      </c>
      <c r="H283" s="23">
        <v>0</v>
      </c>
      <c r="I283" s="18">
        <v>376.7</v>
      </c>
      <c r="J283" s="19">
        <v>0</v>
      </c>
      <c r="K283" s="17">
        <v>0</v>
      </c>
      <c r="L283" s="20">
        <v>876.71</v>
      </c>
      <c r="M283" s="21">
        <f>=0</f>
        <v>0</v>
      </c>
      <c r="N283" s="16" t="s"/>
      <c r="O283" s="16" t="s"/>
    </row>
    <row r="284" spans="1:15">
      <c r="A284" s="16" t="s">
        <v>267</v>
      </c>
      <c r="B284" s="16" t="s">
        <v>284</v>
      </c>
      <c r="C284" s="16" t="s"/>
      <c r="D284" s="22">
        <v>1.134</v>
      </c>
      <c r="E284" s="22">
        <v>0.104</v>
      </c>
      <c r="F284" s="22">
        <v>1.134</v>
      </c>
      <c r="G284" s="22">
        <v>0.052</v>
      </c>
      <c r="H284" s="23">
        <v>4.079</v>
      </c>
      <c r="I284" s="18">
        <v>113.3</v>
      </c>
      <c r="J284" s="19">
        <v>31.185</v>
      </c>
      <c r="K284" s="17">
        <v>0</v>
      </c>
      <c r="L284" s="20">
        <v>56.66</v>
      </c>
      <c r="M284" s="21">
        <f>=0</f>
        <v>0</v>
      </c>
      <c r="N284" s="16" t="s"/>
      <c r="O284" s="16" t="s"/>
    </row>
    <row r="285" spans="1:15">
      <c r="A285" s="16" t="s">
        <v>267</v>
      </c>
      <c r="B285" s="16" t="s">
        <v>285</v>
      </c>
      <c r="C285" s="16" t="s">
        <v>75</v>
      </c>
      <c r="D285" s="22">
        <v>0</v>
      </c>
      <c r="E285" s="22">
        <v>0</v>
      </c>
      <c r="F285" s="22">
        <v>2.467</v>
      </c>
      <c r="G285" s="22">
        <v>0.113</v>
      </c>
      <c r="H285" s="23">
        <v>0</v>
      </c>
      <c r="I285" s="18">
        <v>0</v>
      </c>
      <c r="J285" s="19">
        <v>0</v>
      </c>
      <c r="K285" s="17">
        <v>0</v>
      </c>
      <c r="L285" s="20">
        <v>366.64</v>
      </c>
      <c r="M285" s="21">
        <f>=0</f>
        <v>0</v>
      </c>
      <c r="N285" s="16" t="s"/>
      <c r="O285" s="16" t="s"/>
    </row>
    <row r="286" spans="1:15">
      <c r="A286" s="16" t="s">
        <v>267</v>
      </c>
      <c r="B286" s="16" t="s">
        <v>285</v>
      </c>
      <c r="C286" s="16" t="s">
        <v>76</v>
      </c>
      <c r="D286" s="22">
        <v>0</v>
      </c>
      <c r="E286" s="22">
        <v>0</v>
      </c>
      <c r="F286" s="22">
        <v>3.117</v>
      </c>
      <c r="G286" s="22">
        <v>0.142</v>
      </c>
      <c r="H286" s="23">
        <v>0</v>
      </c>
      <c r="I286" s="18">
        <v>0</v>
      </c>
      <c r="J286" s="19">
        <v>0</v>
      </c>
      <c r="K286" s="17">
        <v>0</v>
      </c>
      <c r="L286" s="20">
        <v>416.64</v>
      </c>
      <c r="M286" s="21">
        <f>=0</f>
        <v>0</v>
      </c>
      <c r="N286" s="16" t="s"/>
      <c r="O286" s="16" t="s"/>
    </row>
    <row r="287" spans="1:15">
      <c r="A287" s="16" t="s">
        <v>267</v>
      </c>
      <c r="B287" s="16" t="s">
        <v>285</v>
      </c>
      <c r="C287" s="16" t="s">
        <v>77</v>
      </c>
      <c r="D287" s="22">
        <v>0</v>
      </c>
      <c r="E287" s="22">
        <v>0</v>
      </c>
      <c r="F287" s="22">
        <v>1.517</v>
      </c>
      <c r="G287" s="22">
        <v>0.069</v>
      </c>
      <c r="H287" s="23">
        <v>0</v>
      </c>
      <c r="I287" s="18">
        <v>0</v>
      </c>
      <c r="J287" s="19">
        <v>0</v>
      </c>
      <c r="K287" s="17">
        <v>0</v>
      </c>
      <c r="L287" s="20">
        <v>116.64</v>
      </c>
      <c r="M287" s="21">
        <f>=0</f>
        <v>0</v>
      </c>
      <c r="N287" s="16" t="s"/>
      <c r="O287" s="16" t="s"/>
    </row>
    <row r="288" spans="1:15">
      <c r="A288" s="16" t="s">
        <v>267</v>
      </c>
      <c r="B288" s="16" t="s">
        <v>286</v>
      </c>
      <c r="C288" s="16" t="s">
        <v>96</v>
      </c>
      <c r="D288" s="22">
        <v>2.64</v>
      </c>
      <c r="E288" s="22">
        <v>0.24</v>
      </c>
      <c r="F288" s="22">
        <v>2.313</v>
      </c>
      <c r="G288" s="22">
        <v>0.106</v>
      </c>
      <c r="H288" s="23">
        <v>0</v>
      </c>
      <c r="I288" s="18">
        <v>247.57</v>
      </c>
      <c r="J288" s="19">
        <v>81.5925</v>
      </c>
      <c r="K288" s="17">
        <v>0</v>
      </c>
      <c r="L288" s="20">
        <v>132.98</v>
      </c>
      <c r="M288" s="21">
        <f>=0</f>
        <v>0</v>
      </c>
      <c r="N288" s="16" t="s"/>
      <c r="O288" s="16" t="s"/>
    </row>
    <row r="289" spans="1:15">
      <c r="A289" s="16" t="s">
        <v>267</v>
      </c>
      <c r="B289" s="16" t="s">
        <v>286</v>
      </c>
      <c r="C289" s="16" t="s">
        <v>97</v>
      </c>
      <c r="D289" s="22">
        <v>1.132</v>
      </c>
      <c r="E289" s="22">
        <v>0.103</v>
      </c>
      <c r="F289" s="22">
        <v>0.991</v>
      </c>
      <c r="G289" s="22">
        <v>0.046</v>
      </c>
      <c r="H289" s="23">
        <v>0</v>
      </c>
      <c r="I289" s="18">
        <v>106.1</v>
      </c>
      <c r="J289" s="19">
        <v>34.98</v>
      </c>
      <c r="K289" s="17">
        <v>0</v>
      </c>
      <c r="L289" s="20">
        <v>56.99</v>
      </c>
      <c r="M289" s="21">
        <f>=0</f>
        <v>0</v>
      </c>
      <c r="N289" s="16" t="s"/>
      <c r="O289" s="16" t="s"/>
    </row>
    <row r="290" spans="1:15">
      <c r="A290" s="16" t="s">
        <v>287</v>
      </c>
      <c r="B290" s="16" t="s">
        <v>288</v>
      </c>
      <c r="C290" s="16" t="s">
        <v>62</v>
      </c>
      <c r="D290" s="22">
        <v>0.292</v>
      </c>
      <c r="E290" s="22">
        <v>0.027</v>
      </c>
      <c r="F290" s="22">
        <v>0.146</v>
      </c>
      <c r="G290" s="22">
        <v>0.007</v>
      </c>
      <c r="H290" s="23">
        <v>0.501</v>
      </c>
      <c r="I290" s="18">
        <v>0</v>
      </c>
      <c r="J290" s="19">
        <v>3.8225</v>
      </c>
      <c r="K290" s="17">
        <v>0</v>
      </c>
      <c r="L290" s="20">
        <v>13.9</v>
      </c>
      <c r="M290" s="21">
        <f>=0</f>
        <v>0</v>
      </c>
      <c r="N290" s="16" t="s"/>
      <c r="O290" s="16" t="s"/>
    </row>
    <row r="291" spans="1:15">
      <c r="A291" s="16" t="s">
        <v>287</v>
      </c>
      <c r="B291" s="16" t="s">
        <v>288</v>
      </c>
      <c r="C291" s="16" t="s">
        <v>289</v>
      </c>
      <c r="D291" s="22">
        <v>0.371</v>
      </c>
      <c r="E291" s="22">
        <v>0.034</v>
      </c>
      <c r="F291" s="22">
        <v>0.121</v>
      </c>
      <c r="G291" s="22">
        <v>0.006</v>
      </c>
      <c r="H291" s="23">
        <v>0.414</v>
      </c>
      <c r="I291" s="18">
        <v>11.48</v>
      </c>
      <c r="J291" s="19">
        <v>3.1625</v>
      </c>
      <c r="K291" s="17">
        <v>0</v>
      </c>
      <c r="L291" s="20">
        <v>11.49</v>
      </c>
      <c r="M291" s="21">
        <f>=0</f>
        <v>0</v>
      </c>
      <c r="N291" s="16" t="s"/>
      <c r="O291" s="16" t="s"/>
    </row>
    <row r="292" spans="1:15">
      <c r="A292" s="16" t="s">
        <v>287</v>
      </c>
      <c r="B292" s="16" t="s">
        <v>288</v>
      </c>
      <c r="C292" s="16" t="s">
        <v>63</v>
      </c>
      <c r="D292" s="22">
        <v>0.349</v>
      </c>
      <c r="E292" s="22">
        <v>0.032</v>
      </c>
      <c r="F292" s="22">
        <v>0.303</v>
      </c>
      <c r="G292" s="22">
        <v>0.014</v>
      </c>
      <c r="H292" s="23">
        <v>1.039</v>
      </c>
      <c r="I292" s="18">
        <v>0</v>
      </c>
      <c r="J292" s="19">
        <v>7.9475</v>
      </c>
      <c r="K292" s="17">
        <v>0</v>
      </c>
      <c r="L292" s="20">
        <v>28.85</v>
      </c>
      <c r="M292" s="21">
        <f>=0</f>
        <v>0</v>
      </c>
      <c r="N292" s="16" t="s"/>
      <c r="O292" s="16" t="s"/>
    </row>
    <row r="293" spans="1:15">
      <c r="A293" s="16" t="s">
        <v>287</v>
      </c>
      <c r="B293" s="16" t="s">
        <v>288</v>
      </c>
      <c r="C293" s="16" t="s">
        <v>290</v>
      </c>
      <c r="D293" s="22">
        <v>0.564</v>
      </c>
      <c r="E293" s="22">
        <v>0.052</v>
      </c>
      <c r="F293" s="22">
        <v>0.329</v>
      </c>
      <c r="G293" s="22">
        <v>0.015</v>
      </c>
      <c r="H293" s="23">
        <v>1.127</v>
      </c>
      <c r="I293" s="18">
        <v>31.28</v>
      </c>
      <c r="J293" s="19">
        <v>8.6075</v>
      </c>
      <c r="K293" s="17">
        <v>0</v>
      </c>
      <c r="L293" s="20">
        <v>31.29</v>
      </c>
      <c r="M293" s="21">
        <f>=0</f>
        <v>0</v>
      </c>
      <c r="N293" s="16" t="s"/>
      <c r="O293" s="16" t="s"/>
    </row>
    <row r="294" spans="1:15">
      <c r="A294" s="16" t="s">
        <v>287</v>
      </c>
      <c r="B294" s="16" t="s">
        <v>288</v>
      </c>
      <c r="C294" s="16" t="s">
        <v>64</v>
      </c>
      <c r="D294" s="22">
        <v>0.584</v>
      </c>
      <c r="E294" s="22">
        <v>0.054</v>
      </c>
      <c r="F294" s="22">
        <v>0.456</v>
      </c>
      <c r="G294" s="22">
        <v>0.021</v>
      </c>
      <c r="H294" s="23">
        <v>1.563</v>
      </c>
      <c r="I294" s="18">
        <v>0</v>
      </c>
      <c r="J294" s="19">
        <v>11.9625</v>
      </c>
      <c r="K294" s="17">
        <v>0</v>
      </c>
      <c r="L294" s="20">
        <v>43.41</v>
      </c>
      <c r="M294" s="21">
        <f>=0</f>
        <v>0</v>
      </c>
      <c r="N294" s="16" t="s"/>
      <c r="O294" s="16" t="s"/>
    </row>
    <row r="295" spans="1:15">
      <c r="A295" s="16" t="s">
        <v>287</v>
      </c>
      <c r="B295" s="16" t="s">
        <v>288</v>
      </c>
      <c r="C295" s="16" t="s">
        <v>291</v>
      </c>
      <c r="D295" s="22">
        <v>0.995</v>
      </c>
      <c r="E295" s="22">
        <v>0.091</v>
      </c>
      <c r="F295" s="22">
        <v>0.537</v>
      </c>
      <c r="G295" s="22">
        <v>0.025</v>
      </c>
      <c r="H295" s="23">
        <v>1.841</v>
      </c>
      <c r="I295" s="18">
        <v>51.13</v>
      </c>
      <c r="J295" s="19">
        <v>14.08</v>
      </c>
      <c r="K295" s="17">
        <v>0</v>
      </c>
      <c r="L295" s="20">
        <v>51.14</v>
      </c>
      <c r="M295" s="21">
        <f>=0</f>
        <v>0</v>
      </c>
      <c r="N295" s="16" t="s"/>
      <c r="O295" s="16" t="s"/>
    </row>
    <row r="296" spans="1:15">
      <c r="A296" s="16" t="s">
        <v>287</v>
      </c>
      <c r="B296" s="16" t="s">
        <v>288</v>
      </c>
      <c r="C296" s="16" t="s">
        <v>65</v>
      </c>
      <c r="D296" s="22">
        <v>1.52</v>
      </c>
      <c r="E296" s="22">
        <v>0.139</v>
      </c>
      <c r="F296" s="22">
        <v>1.12</v>
      </c>
      <c r="G296" s="22">
        <v>0.051</v>
      </c>
      <c r="H296" s="23">
        <v>3.838</v>
      </c>
      <c r="I296" s="18">
        <v>0</v>
      </c>
      <c r="J296" s="19">
        <v>29.315</v>
      </c>
      <c r="K296" s="17">
        <v>0</v>
      </c>
      <c r="L296" s="20">
        <v>106.6</v>
      </c>
      <c r="M296" s="21">
        <f>=0</f>
        <v>0</v>
      </c>
      <c r="N296" s="16" t="s"/>
      <c r="O296" s="16" t="s"/>
    </row>
    <row r="297" spans="1:15">
      <c r="A297" s="16" t="s">
        <v>287</v>
      </c>
      <c r="B297" s="16" t="s">
        <v>288</v>
      </c>
      <c r="C297" s="16" t="s">
        <v>292</v>
      </c>
      <c r="D297" s="22">
        <v>2.109</v>
      </c>
      <c r="E297" s="22">
        <v>0.192</v>
      </c>
      <c r="F297" s="22">
        <v>1.071</v>
      </c>
      <c r="G297" s="22">
        <v>0.049</v>
      </c>
      <c r="H297" s="23">
        <v>3.672</v>
      </c>
      <c r="I297" s="18">
        <v>101.98</v>
      </c>
      <c r="J297" s="19">
        <v>28.05</v>
      </c>
      <c r="K297" s="17">
        <v>0</v>
      </c>
      <c r="L297" s="20">
        <v>101.99</v>
      </c>
      <c r="M297" s="21">
        <f>=0</f>
        <v>0</v>
      </c>
      <c r="N297" s="16" t="s"/>
      <c r="O297" s="16" t="s"/>
    </row>
    <row r="298" spans="1:15">
      <c r="A298" s="16" t="s">
        <v>287</v>
      </c>
      <c r="B298" s="16" t="s">
        <v>288</v>
      </c>
      <c r="C298" s="16" t="s">
        <v>81</v>
      </c>
      <c r="D298" s="22">
        <v>1.807</v>
      </c>
      <c r="E298" s="22">
        <v>0.165</v>
      </c>
      <c r="F298" s="22">
        <v>1.477</v>
      </c>
      <c r="G298" s="22">
        <v>0.068</v>
      </c>
      <c r="H298" s="23">
        <v>5.062</v>
      </c>
      <c r="I298" s="18">
        <v>0</v>
      </c>
      <c r="J298" s="19">
        <v>38.665</v>
      </c>
      <c r="K298" s="17">
        <v>0</v>
      </c>
      <c r="L298" s="20">
        <v>140.59</v>
      </c>
      <c r="M298" s="21">
        <f>=0</f>
        <v>0</v>
      </c>
      <c r="N298" s="16" t="s"/>
      <c r="O298" s="16" t="s"/>
    </row>
    <row r="299" spans="1:15">
      <c r="A299" s="16" t="s">
        <v>287</v>
      </c>
      <c r="B299" s="16" t="s">
        <v>288</v>
      </c>
      <c r="C299" s="16" t="s">
        <v>293</v>
      </c>
      <c r="D299" s="22">
        <v>2.776</v>
      </c>
      <c r="E299" s="22">
        <v>0.253</v>
      </c>
      <c r="F299" s="22">
        <v>1.631</v>
      </c>
      <c r="G299" s="22">
        <v>0.075</v>
      </c>
      <c r="H299" s="23">
        <v>5.589</v>
      </c>
      <c r="I299" s="18">
        <v>155.24</v>
      </c>
      <c r="J299" s="19">
        <v>42.7075</v>
      </c>
      <c r="K299" s="17">
        <v>0</v>
      </c>
      <c r="L299" s="20">
        <v>155.25</v>
      </c>
      <c r="M299" s="21">
        <f>=0</f>
        <v>0</v>
      </c>
      <c r="N299" s="16" t="s"/>
      <c r="O299" s="16" t="s"/>
    </row>
    <row r="300" spans="1:15">
      <c r="A300" s="16" t="s">
        <v>287</v>
      </c>
      <c r="B300" s="16" t="s">
        <v>288</v>
      </c>
      <c r="C300" s="16" t="s">
        <v>294</v>
      </c>
      <c r="D300" s="22">
        <v>3.557</v>
      </c>
      <c r="E300" s="22">
        <v>0.324</v>
      </c>
      <c r="F300" s="22">
        <v>2.056</v>
      </c>
      <c r="G300" s="22">
        <v>0.094</v>
      </c>
      <c r="H300" s="23">
        <v>7.048</v>
      </c>
      <c r="I300" s="18">
        <v>195.75</v>
      </c>
      <c r="J300" s="19">
        <v>53.845</v>
      </c>
      <c r="K300" s="17">
        <v>0</v>
      </c>
      <c r="L300" s="20">
        <v>195.76</v>
      </c>
      <c r="M300" s="21">
        <f>=0</f>
        <v>0</v>
      </c>
      <c r="N300" s="16" t="s"/>
      <c r="O300" s="16" t="s"/>
    </row>
    <row r="301" spans="1:15">
      <c r="A301" s="16" t="s">
        <v>287</v>
      </c>
      <c r="B301" s="16" t="s">
        <v>295</v>
      </c>
      <c r="C301" s="16" t="s">
        <v>96</v>
      </c>
      <c r="D301" s="22">
        <v>0.228</v>
      </c>
      <c r="E301" s="22">
        <v>0.021</v>
      </c>
      <c r="F301" s="22">
        <v>0.228</v>
      </c>
      <c r="G301" s="22">
        <v>0.011</v>
      </c>
      <c r="H301" s="23">
        <v>0</v>
      </c>
      <c r="I301" s="18">
        <v>21.66</v>
      </c>
      <c r="J301" s="19">
        <v>5.9675</v>
      </c>
      <c r="K301" s="17">
        <v>0</v>
      </c>
      <c r="L301" s="20">
        <v>21.67</v>
      </c>
      <c r="M301" s="21">
        <f>=0</f>
        <v>0</v>
      </c>
      <c r="N301" s="16" t="s"/>
      <c r="O301" s="16" t="s"/>
    </row>
    <row r="302" spans="1:15">
      <c r="A302" s="16" t="s">
        <v>287</v>
      </c>
      <c r="B302" s="16" t="s">
        <v>295</v>
      </c>
      <c r="C302" s="16" t="s">
        <v>97</v>
      </c>
      <c r="D302" s="22">
        <v>0.543</v>
      </c>
      <c r="E302" s="22">
        <v>0.05</v>
      </c>
      <c r="F302" s="22">
        <v>0.543</v>
      </c>
      <c r="G302" s="22">
        <v>0.025</v>
      </c>
      <c r="H302" s="23">
        <v>0</v>
      </c>
      <c r="I302" s="18">
        <v>25.83</v>
      </c>
      <c r="J302" s="19">
        <v>14.2175</v>
      </c>
      <c r="K302" s="17">
        <v>0</v>
      </c>
      <c r="L302" s="20">
        <v>25.84</v>
      </c>
      <c r="M302" s="21">
        <f>=0</f>
        <v>0</v>
      </c>
      <c r="N302" s="16" t="s"/>
      <c r="O302" s="16" t="s"/>
    </row>
    <row r="303" spans="1:15">
      <c r="A303" s="16" t="s">
        <v>287</v>
      </c>
      <c r="B303" s="16" t="s">
        <v>295</v>
      </c>
      <c r="C303" s="16" t="s">
        <v>296</v>
      </c>
      <c r="D303" s="22">
        <v>0.228</v>
      </c>
      <c r="E303" s="22">
        <v>0.021</v>
      </c>
      <c r="F303" s="22">
        <v>0.228</v>
      </c>
      <c r="G303" s="22">
        <v>0.011</v>
      </c>
      <c r="H303" s="23">
        <v>0</v>
      </c>
      <c r="I303" s="18">
        <v>21.66</v>
      </c>
      <c r="J303" s="19">
        <v>5.9675</v>
      </c>
      <c r="K303" s="17">
        <v>0</v>
      </c>
      <c r="L303" s="20">
        <v>21.67</v>
      </c>
      <c r="M303" s="21">
        <f>=0</f>
        <v>0</v>
      </c>
      <c r="N303" s="16" t="s"/>
      <c r="O303" s="16" t="s"/>
    </row>
    <row r="304" spans="1:15">
      <c r="A304" s="16" t="s">
        <v>287</v>
      </c>
      <c r="B304" s="16" t="s">
        <v>295</v>
      </c>
      <c r="C304" s="16" t="s">
        <v>297</v>
      </c>
      <c r="D304" s="22">
        <v>1.103</v>
      </c>
      <c r="E304" s="22">
        <v>0.101</v>
      </c>
      <c r="F304" s="22">
        <v>1.103</v>
      </c>
      <c r="G304" s="22">
        <v>0.051</v>
      </c>
      <c r="H304" s="23">
        <v>0</v>
      </c>
      <c r="I304" s="18">
        <v>52.5</v>
      </c>
      <c r="J304" s="19">
        <v>28.9025</v>
      </c>
      <c r="K304" s="17">
        <v>0</v>
      </c>
      <c r="L304" s="20">
        <v>52.51</v>
      </c>
      <c r="M304" s="21">
        <f>=0</f>
        <v>0</v>
      </c>
      <c r="N304" s="16" t="s"/>
      <c r="O304" s="16" t="s"/>
    </row>
    <row r="305" spans="1:15">
      <c r="A305" s="16" t="s">
        <v>287</v>
      </c>
      <c r="B305" s="16" t="s">
        <v>298</v>
      </c>
      <c r="C305" s="16" t="s">
        <v>96</v>
      </c>
      <c r="D305" s="22">
        <v>2.524</v>
      </c>
      <c r="E305" s="22">
        <v>0.23</v>
      </c>
      <c r="F305" s="22">
        <v>2.115</v>
      </c>
      <c r="G305" s="22">
        <v>0.097</v>
      </c>
      <c r="H305" s="23">
        <v>0</v>
      </c>
      <c r="I305" s="18">
        <v>200.76</v>
      </c>
      <c r="J305" s="19">
        <v>69.85</v>
      </c>
      <c r="K305" s="17">
        <v>0</v>
      </c>
      <c r="L305" s="20">
        <v>76.7</v>
      </c>
      <c r="M305" s="21">
        <f>=0</f>
        <v>0</v>
      </c>
      <c r="N305" s="16" t="s"/>
      <c r="O305" s="16" t="s"/>
    </row>
    <row r="306" spans="1:15">
      <c r="A306" s="16" t="s">
        <v>287</v>
      </c>
      <c r="B306" s="16" t="s">
        <v>298</v>
      </c>
      <c r="C306" s="16" t="s">
        <v>97</v>
      </c>
      <c r="D306" s="22">
        <v>2.819</v>
      </c>
      <c r="E306" s="22">
        <v>0.257</v>
      </c>
      <c r="F306" s="22">
        <v>2.389</v>
      </c>
      <c r="G306" s="22">
        <v>0.109</v>
      </c>
      <c r="H306" s="23">
        <v>0</v>
      </c>
      <c r="I306" s="18">
        <v>225.42</v>
      </c>
      <c r="J306" s="19">
        <v>77.385</v>
      </c>
      <c r="K306" s="17">
        <v>0</v>
      </c>
      <c r="L306" s="20">
        <v>94.97</v>
      </c>
      <c r="M306" s="21">
        <f>=0</f>
        <v>0</v>
      </c>
      <c r="N306" s="16" t="s"/>
      <c r="O306" s="16" t="s"/>
    </row>
    <row r="307" spans="1:15">
      <c r="A307" s="16" t="s">
        <v>287</v>
      </c>
      <c r="B307" s="16" t="s">
        <v>298</v>
      </c>
      <c r="C307" s="16" t="s">
        <v>296</v>
      </c>
      <c r="D307" s="22">
        <v>2.524</v>
      </c>
      <c r="E307" s="22">
        <v>0.23</v>
      </c>
      <c r="F307" s="22">
        <v>2.115</v>
      </c>
      <c r="G307" s="22">
        <v>0.097</v>
      </c>
      <c r="H307" s="23">
        <v>0</v>
      </c>
      <c r="I307" s="18">
        <v>200.76</v>
      </c>
      <c r="J307" s="19">
        <v>69.85</v>
      </c>
      <c r="K307" s="17">
        <v>0</v>
      </c>
      <c r="L307" s="20">
        <v>76.7</v>
      </c>
      <c r="M307" s="21">
        <f>=0</f>
        <v>0</v>
      </c>
      <c r="N307" s="16" t="s"/>
      <c r="O307" s="16" t="s"/>
    </row>
    <row r="308" spans="1:15">
      <c r="A308" s="16" t="s">
        <v>287</v>
      </c>
      <c r="B308" s="16" t="s">
        <v>298</v>
      </c>
      <c r="C308" s="16" t="s">
        <v>297</v>
      </c>
      <c r="D308" s="22">
        <v>5.371</v>
      </c>
      <c r="E308" s="22">
        <v>0.489</v>
      </c>
      <c r="F308" s="22">
        <v>4.529</v>
      </c>
      <c r="G308" s="22">
        <v>0.206</v>
      </c>
      <c r="H308" s="23">
        <v>0</v>
      </c>
      <c r="I308" s="18">
        <v>428.48</v>
      </c>
      <c r="J308" s="19">
        <v>147.9225</v>
      </c>
      <c r="K308" s="17">
        <v>0</v>
      </c>
      <c r="L308" s="20">
        <v>173.37</v>
      </c>
      <c r="M308" s="21">
        <f>=0</f>
        <v>0</v>
      </c>
      <c r="N308" s="16" t="s"/>
      <c r="O308" s="16" t="s"/>
    </row>
    <row r="309" spans="1:15">
      <c r="A309" s="16" t="s">
        <v>287</v>
      </c>
      <c r="B309" s="16" t="s">
        <v>299</v>
      </c>
      <c r="C309" s="16" t="s"/>
      <c r="D309" s="22">
        <v>0.473</v>
      </c>
      <c r="E309" s="22">
        <v>0.043</v>
      </c>
      <c r="F309" s="22">
        <v>0.237</v>
      </c>
      <c r="G309" s="22">
        <v>0.011</v>
      </c>
      <c r="H309" s="23">
        <v>0.811</v>
      </c>
      <c r="I309" s="18">
        <v>0</v>
      </c>
      <c r="J309" s="19">
        <v>6.215</v>
      </c>
      <c r="K309" s="17">
        <v>0</v>
      </c>
      <c r="L309" s="20">
        <v>22.51</v>
      </c>
      <c r="M309" s="21">
        <f>=0</f>
        <v>0</v>
      </c>
      <c r="N309" s="16" t="s"/>
      <c r="O309" s="16" t="s"/>
    </row>
    <row r="310" spans="1:15">
      <c r="A310" s="16" t="s">
        <v>287</v>
      </c>
      <c r="B310" s="16" t="s">
        <v>300</v>
      </c>
      <c r="C310" s="16" t="s"/>
      <c r="D310" s="22">
        <v>1.87</v>
      </c>
      <c r="E310" s="22">
        <v>0.17</v>
      </c>
      <c r="F310" s="22">
        <v>1.681</v>
      </c>
      <c r="G310" s="22">
        <v>0.077</v>
      </c>
      <c r="H310" s="23">
        <v>2.162</v>
      </c>
      <c r="I310" s="18">
        <v>60.03</v>
      </c>
      <c r="J310" s="19">
        <v>16.5275</v>
      </c>
      <c r="K310" s="17">
        <v>0</v>
      </c>
      <c r="L310" s="20">
        <v>210.04</v>
      </c>
      <c r="M310" s="21">
        <f>=0</f>
        <v>0</v>
      </c>
      <c r="N310" s="16" t="s"/>
      <c r="O310" s="16" t="s"/>
    </row>
    <row r="311" spans="1:15">
      <c r="A311" s="16" t="s">
        <v>287</v>
      </c>
      <c r="B311" s="16" t="s">
        <v>301</v>
      </c>
      <c r="C311" s="16" t="s"/>
      <c r="D311" s="22">
        <v>6.378</v>
      </c>
      <c r="E311" s="22">
        <v>0.58</v>
      </c>
      <c r="F311" s="22">
        <v>2.188</v>
      </c>
      <c r="G311" s="22">
        <v>0.1</v>
      </c>
      <c r="H311" s="23">
        <v>0</v>
      </c>
      <c r="I311" s="18">
        <v>407.86</v>
      </c>
      <c r="J311" s="19">
        <v>240.185</v>
      </c>
      <c r="K311" s="17">
        <v>0</v>
      </c>
      <c r="L311" s="20">
        <v>208.37</v>
      </c>
      <c r="M311" s="21">
        <f>=0</f>
        <v>0</v>
      </c>
      <c r="N311" s="16" t="s"/>
      <c r="O311" s="16" t="s"/>
    </row>
    <row r="312" spans="1:15">
      <c r="A312" s="16" t="s">
        <v>287</v>
      </c>
      <c r="B312" s="16" t="s">
        <v>302</v>
      </c>
      <c r="C312" s="16" t="s"/>
      <c r="D312" s="22">
        <v>16.941</v>
      </c>
      <c r="E312" s="22">
        <v>1.541</v>
      </c>
      <c r="F312" s="22">
        <v>10.966</v>
      </c>
      <c r="G312" s="22">
        <v>0.499</v>
      </c>
      <c r="H312" s="23">
        <v>0</v>
      </c>
      <c r="I312" s="18">
        <v>173.36</v>
      </c>
      <c r="J312" s="19">
        <v>0</v>
      </c>
      <c r="K312" s="17">
        <v>0</v>
      </c>
      <c r="L312" s="20">
        <v>673.37</v>
      </c>
      <c r="M312" s="21">
        <f>=0</f>
        <v>0</v>
      </c>
      <c r="N312" s="16" t="s"/>
      <c r="O312" s="16" t="s"/>
    </row>
    <row r="313" spans="1:15">
      <c r="A313" s="16" t="s">
        <v>287</v>
      </c>
      <c r="B313" s="16" t="s">
        <v>303</v>
      </c>
      <c r="C313" s="16" t="s"/>
      <c r="D313" s="22">
        <v>0.631</v>
      </c>
      <c r="E313" s="22">
        <v>0.058</v>
      </c>
      <c r="F313" s="22">
        <v>0.631</v>
      </c>
      <c r="G313" s="22">
        <v>0.029</v>
      </c>
      <c r="H313" s="23">
        <v>2.162</v>
      </c>
      <c r="I313" s="18">
        <v>60.03</v>
      </c>
      <c r="J313" s="19">
        <v>16.5275</v>
      </c>
      <c r="K313" s="17">
        <v>0</v>
      </c>
      <c r="L313" s="20">
        <v>30.02</v>
      </c>
      <c r="M313" s="21">
        <f>=0</f>
        <v>0</v>
      </c>
      <c r="N313" s="16" t="s"/>
      <c r="O313" s="16" t="s"/>
    </row>
    <row r="314" spans="1:15">
      <c r="A314" s="16" t="s">
        <v>287</v>
      </c>
      <c r="B314" s="16" t="s">
        <v>304</v>
      </c>
      <c r="C314" s="16" t="s">
        <v>75</v>
      </c>
      <c r="D314" s="22">
        <v>0</v>
      </c>
      <c r="E314" s="22">
        <v>0</v>
      </c>
      <c r="F314" s="22">
        <v>2.59</v>
      </c>
      <c r="G314" s="22">
        <v>0.118</v>
      </c>
      <c r="H314" s="23">
        <v>0</v>
      </c>
      <c r="I314" s="18">
        <v>0</v>
      </c>
      <c r="J314" s="19">
        <v>0</v>
      </c>
      <c r="K314" s="17">
        <v>0</v>
      </c>
      <c r="L314" s="20">
        <v>366.64</v>
      </c>
      <c r="M314" s="21">
        <f>=0</f>
        <v>0</v>
      </c>
      <c r="N314" s="16" t="s"/>
      <c r="O314" s="16" t="s"/>
    </row>
    <row r="315" spans="1:15">
      <c r="A315" s="16" t="s">
        <v>287</v>
      </c>
      <c r="B315" s="16" t="s">
        <v>304</v>
      </c>
      <c r="C315" s="16" t="s">
        <v>76</v>
      </c>
      <c r="D315" s="22">
        <v>0</v>
      </c>
      <c r="E315" s="22">
        <v>0</v>
      </c>
      <c r="F315" s="22">
        <v>3.273</v>
      </c>
      <c r="G315" s="22">
        <v>0.149</v>
      </c>
      <c r="H315" s="23">
        <v>0</v>
      </c>
      <c r="I315" s="18">
        <v>0</v>
      </c>
      <c r="J315" s="19">
        <v>0</v>
      </c>
      <c r="K315" s="17">
        <v>0</v>
      </c>
      <c r="L315" s="20">
        <v>416.64</v>
      </c>
      <c r="M315" s="21">
        <f>=0</f>
        <v>0</v>
      </c>
      <c r="N315" s="16" t="s"/>
      <c r="O315" s="16" t="s"/>
    </row>
    <row r="316" spans="1:15">
      <c r="A316" s="16" t="s">
        <v>287</v>
      </c>
      <c r="B316" s="16" t="s">
        <v>304</v>
      </c>
      <c r="C316" s="16" t="s">
        <v>77</v>
      </c>
      <c r="D316" s="22">
        <v>0</v>
      </c>
      <c r="E316" s="22">
        <v>0</v>
      </c>
      <c r="F316" s="22">
        <v>1.593</v>
      </c>
      <c r="G316" s="22">
        <v>0.073</v>
      </c>
      <c r="H316" s="23">
        <v>0</v>
      </c>
      <c r="I316" s="18">
        <v>0</v>
      </c>
      <c r="J316" s="19">
        <v>0</v>
      </c>
      <c r="K316" s="17">
        <v>0</v>
      </c>
      <c r="L316" s="20">
        <v>116.64</v>
      </c>
      <c r="M316" s="21">
        <f>=0</f>
        <v>0</v>
      </c>
      <c r="N316" s="16" t="s"/>
      <c r="O316" s="16" t="s"/>
    </row>
    <row r="317" spans="1:15">
      <c r="A317" s="16" t="s">
        <v>287</v>
      </c>
      <c r="B317" s="16" t="s">
        <v>305</v>
      </c>
      <c r="C317" s="16" t="s"/>
      <c r="D317" s="22">
        <v>2.883</v>
      </c>
      <c r="E317" s="22">
        <v>0.263</v>
      </c>
      <c r="F317" s="22">
        <v>2.468</v>
      </c>
      <c r="G317" s="22">
        <v>0.113</v>
      </c>
      <c r="H317" s="23">
        <v>0</v>
      </c>
      <c r="I317" s="18">
        <v>254.76</v>
      </c>
      <c r="J317" s="19">
        <v>86.35</v>
      </c>
      <c r="K317" s="17">
        <v>0</v>
      </c>
      <c r="L317" s="20">
        <v>116.71</v>
      </c>
      <c r="M317" s="21">
        <f>=0</f>
        <v>0</v>
      </c>
      <c r="N317" s="16" t="s"/>
      <c r="O317" s="16" t="s"/>
    </row>
    <row r="318" spans="1:15">
      <c r="A318" s="16" t="s">
        <v>287</v>
      </c>
      <c r="B318" s="16" t="s">
        <v>306</v>
      </c>
      <c r="C318" s="16" t="s"/>
      <c r="D318" s="22">
        <v>4.107</v>
      </c>
      <c r="E318" s="22">
        <v>0.374</v>
      </c>
      <c r="F318" s="22">
        <v>3.605</v>
      </c>
      <c r="G318" s="22">
        <v>0.164</v>
      </c>
      <c r="H318" s="23">
        <v>0</v>
      </c>
      <c r="I318" s="18">
        <v>367.22</v>
      </c>
      <c r="J318" s="19">
        <v>120.6975</v>
      </c>
      <c r="K318" s="17">
        <v>0</v>
      </c>
      <c r="L318" s="20">
        <v>200</v>
      </c>
      <c r="M318" s="21">
        <v>0</v>
      </c>
      <c r="N318" s="16" t="s"/>
      <c r="O318" s="16" t="s"/>
    </row>
    <row r="319" spans="1:15">
      <c r="A319" s="16" t="s">
        <v>307</v>
      </c>
      <c r="B319" s="16" t="s">
        <v>308</v>
      </c>
      <c r="C319" s="16" t="s">
        <v>62</v>
      </c>
      <c r="D319" s="22">
        <v>0.566</v>
      </c>
      <c r="E319" s="22">
        <v>0.052</v>
      </c>
      <c r="F319" s="22">
        <v>0.283</v>
      </c>
      <c r="G319" s="22">
        <v>0.013</v>
      </c>
      <c r="H319" s="23">
        <v>1.019</v>
      </c>
      <c r="I319" s="18">
        <v>0</v>
      </c>
      <c r="J319" s="19">
        <v>7.7825</v>
      </c>
      <c r="K319" s="17">
        <v>0</v>
      </c>
      <c r="L319" s="20">
        <v>28.3</v>
      </c>
      <c r="M319" s="21">
        <f>=0</f>
        <v>0</v>
      </c>
      <c r="N319" s="16" t="s"/>
      <c r="O319" s="16" t="s"/>
    </row>
    <row r="320" spans="1:15">
      <c r="A320" s="16" t="s">
        <v>307</v>
      </c>
      <c r="B320" s="16" t="s">
        <v>308</v>
      </c>
      <c r="C320" s="16" t="s">
        <v>63</v>
      </c>
      <c r="D320" s="22">
        <v>0.778</v>
      </c>
      <c r="E320" s="22">
        <v>0.071</v>
      </c>
      <c r="F320" s="22">
        <v>0.65</v>
      </c>
      <c r="G320" s="22">
        <v>0.03</v>
      </c>
      <c r="H320" s="23">
        <v>2.34</v>
      </c>
      <c r="I320" s="18">
        <v>0</v>
      </c>
      <c r="J320" s="19">
        <v>17.875</v>
      </c>
      <c r="K320" s="17">
        <v>0</v>
      </c>
      <c r="L320" s="20">
        <v>64.98</v>
      </c>
      <c r="M320" s="21">
        <f>=0</f>
        <v>0</v>
      </c>
      <c r="N320" s="16" t="s"/>
      <c r="O320" s="16" t="s"/>
    </row>
    <row r="321" spans="1:15">
      <c r="A321" s="16" t="s">
        <v>307</v>
      </c>
      <c r="B321" s="16" t="s">
        <v>308</v>
      </c>
      <c r="C321" s="16" t="s">
        <v>168</v>
      </c>
      <c r="D321" s="22">
        <v>2.115</v>
      </c>
      <c r="E321" s="22">
        <v>0.193</v>
      </c>
      <c r="F321" s="22">
        <v>1.623</v>
      </c>
      <c r="G321" s="22">
        <v>0.074</v>
      </c>
      <c r="H321" s="23">
        <v>5.842</v>
      </c>
      <c r="I321" s="18">
        <v>0</v>
      </c>
      <c r="J321" s="19">
        <v>44.6325</v>
      </c>
      <c r="K321" s="17">
        <v>0</v>
      </c>
      <c r="L321" s="20">
        <v>162.27</v>
      </c>
      <c r="M321" s="21">
        <f>=0</f>
        <v>0</v>
      </c>
      <c r="N321" s="16" t="s"/>
      <c r="O321" s="16" t="s"/>
    </row>
    <row r="322" spans="1:15">
      <c r="A322" s="16" t="s">
        <v>307</v>
      </c>
      <c r="B322" s="16" t="s">
        <v>308</v>
      </c>
      <c r="C322" s="16" t="s">
        <v>64</v>
      </c>
      <c r="D322" s="22">
        <v>1.889</v>
      </c>
      <c r="E322" s="22">
        <v>0.172</v>
      </c>
      <c r="F322" s="22">
        <v>1.574</v>
      </c>
      <c r="G322" s="22">
        <v>0.072</v>
      </c>
      <c r="H322" s="23">
        <v>5.666</v>
      </c>
      <c r="I322" s="18">
        <v>134.01</v>
      </c>
      <c r="J322" s="19">
        <v>43.285</v>
      </c>
      <c r="K322" s="17">
        <v>0</v>
      </c>
      <c r="L322" s="20">
        <v>157.38</v>
      </c>
      <c r="M322" s="21">
        <f>=0</f>
        <v>0</v>
      </c>
      <c r="N322" s="16" t="s"/>
      <c r="O322" s="16" t="s"/>
    </row>
    <row r="323" spans="1:15">
      <c r="A323" s="16" t="s">
        <v>307</v>
      </c>
      <c r="B323" s="16" t="s">
        <v>308</v>
      </c>
      <c r="C323" s="16" t="s">
        <v>65</v>
      </c>
      <c r="D323" s="22">
        <v>2.726</v>
      </c>
      <c r="E323" s="22">
        <v>0.248</v>
      </c>
      <c r="F323" s="22">
        <v>2.08</v>
      </c>
      <c r="G323" s="22">
        <v>0.095</v>
      </c>
      <c r="H323" s="23">
        <v>7.488</v>
      </c>
      <c r="I323" s="18">
        <v>186.25</v>
      </c>
      <c r="J323" s="19">
        <v>57.2</v>
      </c>
      <c r="K323" s="17">
        <v>0</v>
      </c>
      <c r="L323" s="20">
        <v>207.99</v>
      </c>
      <c r="M323" s="21">
        <f>=0</f>
        <v>0</v>
      </c>
      <c r="N323" s="16" t="s"/>
      <c r="O323" s="16" t="s"/>
    </row>
    <row r="324" spans="1:15">
      <c r="A324" s="16" t="s">
        <v>307</v>
      </c>
      <c r="B324" s="16" t="s">
        <v>309</v>
      </c>
      <c r="C324" s="16" t="s">
        <v>310</v>
      </c>
      <c r="D324" s="22">
        <v>0.617</v>
      </c>
      <c r="E324" s="22">
        <v>0.057</v>
      </c>
      <c r="F324" s="22">
        <v>0.617</v>
      </c>
      <c r="G324" s="22">
        <v>0.029</v>
      </c>
      <c r="H324" s="23">
        <v>0</v>
      </c>
      <c r="I324" s="18">
        <v>61.65</v>
      </c>
      <c r="J324" s="19">
        <v>16.9675</v>
      </c>
      <c r="K324" s="17">
        <v>0</v>
      </c>
      <c r="L324" s="20">
        <v>61.66</v>
      </c>
      <c r="M324" s="21">
        <f>=0</f>
        <v>0</v>
      </c>
      <c r="N324" s="16" t="s"/>
      <c r="O324" s="16" t="s"/>
    </row>
    <row r="325" spans="1:15">
      <c r="A325" s="16" t="s">
        <v>307</v>
      </c>
      <c r="B325" s="16" t="s">
        <v>309</v>
      </c>
      <c r="C325" s="16" t="s">
        <v>311</v>
      </c>
      <c r="D325" s="22">
        <v>0.692</v>
      </c>
      <c r="E325" s="22">
        <v>0.063</v>
      </c>
      <c r="F325" s="22">
        <v>0.692</v>
      </c>
      <c r="G325" s="22">
        <v>0.032</v>
      </c>
      <c r="H325" s="23">
        <v>0</v>
      </c>
      <c r="I325" s="18">
        <v>69.15</v>
      </c>
      <c r="J325" s="19">
        <v>19.03</v>
      </c>
      <c r="K325" s="17">
        <v>0</v>
      </c>
      <c r="L325" s="20">
        <v>69.15</v>
      </c>
      <c r="M325" s="21">
        <f>=0</f>
        <v>0</v>
      </c>
      <c r="N325" s="16" t="s"/>
      <c r="O325" s="16" t="s"/>
    </row>
    <row r="326" spans="1:15">
      <c r="A326" s="16" t="s">
        <v>307</v>
      </c>
      <c r="B326" s="16" t="s">
        <v>312</v>
      </c>
      <c r="C326" s="16" t="s">
        <v>310</v>
      </c>
      <c r="D326" s="22">
        <v>5.084</v>
      </c>
      <c r="E326" s="22">
        <v>0.463</v>
      </c>
      <c r="F326" s="22">
        <v>3.646</v>
      </c>
      <c r="G326" s="22">
        <v>0.166</v>
      </c>
      <c r="H326" s="23">
        <v>0</v>
      </c>
      <c r="I326" s="18">
        <v>335.41</v>
      </c>
      <c r="J326" s="19">
        <v>166.155</v>
      </c>
      <c r="K326" s="17">
        <v>0</v>
      </c>
      <c r="L326" s="20">
        <v>125.01</v>
      </c>
      <c r="M326" s="21">
        <f>=0</f>
        <v>0</v>
      </c>
      <c r="N326" s="16" t="s"/>
      <c r="O326" s="16" t="s"/>
    </row>
    <row r="327" spans="1:15">
      <c r="A327" s="16" t="s">
        <v>307</v>
      </c>
      <c r="B327" s="16" t="s">
        <v>312</v>
      </c>
      <c r="C327" s="16" t="s">
        <v>311</v>
      </c>
      <c r="D327" s="22">
        <v>5.364</v>
      </c>
      <c r="E327" s="22">
        <v>0.488</v>
      </c>
      <c r="F327" s="22">
        <v>3.896</v>
      </c>
      <c r="G327" s="22">
        <v>0.178</v>
      </c>
      <c r="H327" s="23">
        <v>0</v>
      </c>
      <c r="I327" s="18">
        <v>342.41</v>
      </c>
      <c r="J327" s="19">
        <v>174.405</v>
      </c>
      <c r="K327" s="17">
        <v>0</v>
      </c>
      <c r="L327" s="20">
        <v>145</v>
      </c>
      <c r="M327" s="21">
        <f>=0</f>
        <v>0</v>
      </c>
      <c r="N327" s="16" t="s"/>
      <c r="O327" s="16" t="s"/>
    </row>
    <row r="328" spans="1:15">
      <c r="A328" s="16" t="s">
        <v>307</v>
      </c>
      <c r="B328" s="16" t="s">
        <v>313</v>
      </c>
      <c r="C328" s="16" t="s"/>
      <c r="D328" s="22">
        <v>0.784</v>
      </c>
      <c r="E328" s="22">
        <v>0.072</v>
      </c>
      <c r="F328" s="22">
        <v>0.392</v>
      </c>
      <c r="G328" s="22">
        <v>0.018</v>
      </c>
      <c r="H328" s="23">
        <v>1.411</v>
      </c>
      <c r="I328" s="18">
        <v>0</v>
      </c>
      <c r="J328" s="19">
        <v>10.78</v>
      </c>
      <c r="K328" s="17">
        <v>0</v>
      </c>
      <c r="L328" s="20">
        <v>39.19</v>
      </c>
      <c r="M328" s="21">
        <f>=0</f>
        <v>0</v>
      </c>
      <c r="N328" s="16" t="s"/>
      <c r="O328" s="16" t="s"/>
    </row>
    <row r="329" spans="1:15">
      <c r="A329" s="16" t="s">
        <v>307</v>
      </c>
      <c r="B329" s="16" t="s">
        <v>314</v>
      </c>
      <c r="C329" s="16" t="s"/>
      <c r="D329" s="22">
        <v>3.08</v>
      </c>
      <c r="E329" s="22">
        <v>0.28</v>
      </c>
      <c r="F329" s="22">
        <v>2.6</v>
      </c>
      <c r="G329" s="22">
        <v>0.119</v>
      </c>
      <c r="H329" s="23">
        <v>5.759</v>
      </c>
      <c r="I329" s="18">
        <v>159.96</v>
      </c>
      <c r="J329" s="19">
        <v>44</v>
      </c>
      <c r="K329" s="17">
        <v>0</v>
      </c>
      <c r="L329" s="20">
        <v>309.97</v>
      </c>
      <c r="M329" s="21">
        <f>=0</f>
        <v>0</v>
      </c>
      <c r="N329" s="16" t="s"/>
      <c r="O329" s="16" t="s"/>
    </row>
    <row r="330" spans="1:15">
      <c r="A330" s="16" t="s">
        <v>307</v>
      </c>
      <c r="B330" s="16" t="s">
        <v>315</v>
      </c>
      <c r="C330" s="16" t="s">
        <v>316</v>
      </c>
      <c r="D330" s="22">
        <v>4.924</v>
      </c>
      <c r="E330" s="22">
        <v>0.448</v>
      </c>
      <c r="F330" s="22">
        <v>0.934</v>
      </c>
      <c r="G330" s="22">
        <v>0.043</v>
      </c>
      <c r="H330" s="23">
        <v>0</v>
      </c>
      <c r="I330" s="18">
        <v>292.8</v>
      </c>
      <c r="J330" s="19">
        <v>208.56</v>
      </c>
      <c r="K330" s="17">
        <v>0</v>
      </c>
      <c r="L330" s="20">
        <v>93.31</v>
      </c>
      <c r="M330" s="21">
        <f>=0</f>
        <v>0</v>
      </c>
      <c r="N330" s="16" t="s"/>
      <c r="O330" s="16" t="s"/>
    </row>
    <row r="331" spans="1:15">
      <c r="A331" s="16" t="s">
        <v>307</v>
      </c>
      <c r="B331" s="16" t="s">
        <v>317</v>
      </c>
      <c r="C331" s="16" t="s"/>
      <c r="D331" s="22">
        <v>17.186</v>
      </c>
      <c r="E331" s="22">
        <v>1.563</v>
      </c>
      <c r="F331" s="22">
        <v>2.835</v>
      </c>
      <c r="G331" s="22">
        <v>0.129</v>
      </c>
      <c r="H331" s="23">
        <v>0</v>
      </c>
      <c r="I331" s="18">
        <v>315</v>
      </c>
      <c r="J331" s="19">
        <v>0</v>
      </c>
      <c r="K331" s="17">
        <v>0</v>
      </c>
      <c r="L331" s="20">
        <v>815</v>
      </c>
      <c r="M331" s="21">
        <f>=0</f>
        <v>0</v>
      </c>
      <c r="N331" s="16" t="s"/>
      <c r="O331" s="16" t="s"/>
    </row>
    <row r="332" spans="1:15">
      <c r="A332" s="16" t="s">
        <v>307</v>
      </c>
      <c r="B332" s="16" t="s">
        <v>318</v>
      </c>
      <c r="C332" s="16" t="s"/>
      <c r="D332" s="22">
        <v>1.6</v>
      </c>
      <c r="E332" s="22">
        <v>0.146</v>
      </c>
      <c r="F332" s="22">
        <v>1.6</v>
      </c>
      <c r="G332" s="22">
        <v>0.073</v>
      </c>
      <c r="H332" s="23">
        <v>5.759</v>
      </c>
      <c r="I332" s="18">
        <v>159.96</v>
      </c>
      <c r="J332" s="19">
        <v>44</v>
      </c>
      <c r="K332" s="17">
        <v>0</v>
      </c>
      <c r="L332" s="20">
        <v>79.99</v>
      </c>
      <c r="M332" s="21">
        <f>=0</f>
        <v>0</v>
      </c>
      <c r="N332" s="16" t="s"/>
      <c r="O332" s="16" t="s"/>
    </row>
    <row r="333" spans="1:15">
      <c r="A333" s="16" t="s">
        <v>307</v>
      </c>
      <c r="B333" s="16" t="s">
        <v>319</v>
      </c>
      <c r="C333" s="16" t="s">
        <v>75</v>
      </c>
      <c r="D333" s="22">
        <v>0</v>
      </c>
      <c r="E333" s="22">
        <v>0</v>
      </c>
      <c r="F333" s="22">
        <v>2.077</v>
      </c>
      <c r="G333" s="22">
        <v>0.095</v>
      </c>
      <c r="H333" s="23">
        <v>0</v>
      </c>
      <c r="I333" s="18">
        <v>0</v>
      </c>
      <c r="J333" s="19">
        <v>0</v>
      </c>
      <c r="K333" s="17">
        <v>0</v>
      </c>
      <c r="L333" s="20">
        <v>336.64</v>
      </c>
      <c r="M333" s="21">
        <f>=0</f>
        <v>0</v>
      </c>
      <c r="N333" s="16" t="s"/>
      <c r="O333" s="16" t="s"/>
    </row>
    <row r="334" spans="1:15">
      <c r="A334" s="16" t="s">
        <v>307</v>
      </c>
      <c r="B334" s="16" t="s">
        <v>319</v>
      </c>
      <c r="C334" s="16" t="s">
        <v>76</v>
      </c>
      <c r="D334" s="22">
        <v>0</v>
      </c>
      <c r="E334" s="22">
        <v>0</v>
      </c>
      <c r="F334" s="22">
        <v>2.294</v>
      </c>
      <c r="G334" s="22">
        <v>0.105</v>
      </c>
      <c r="H334" s="23">
        <v>0</v>
      </c>
      <c r="I334" s="18">
        <v>0</v>
      </c>
      <c r="J334" s="19">
        <v>0</v>
      </c>
      <c r="K334" s="17">
        <v>0</v>
      </c>
      <c r="L334" s="20">
        <v>353.34</v>
      </c>
      <c r="M334" s="21">
        <f>=0</f>
        <v>0</v>
      </c>
      <c r="N334" s="16" t="s"/>
      <c r="O334" s="16" t="s"/>
    </row>
    <row r="335" spans="1:15">
      <c r="A335" s="16" t="s">
        <v>307</v>
      </c>
      <c r="B335" s="16" t="s">
        <v>319</v>
      </c>
      <c r="C335" s="16" t="s">
        <v>77</v>
      </c>
      <c r="D335" s="22">
        <v>0</v>
      </c>
      <c r="E335" s="22">
        <v>0</v>
      </c>
      <c r="F335" s="22">
        <v>0.694</v>
      </c>
      <c r="G335" s="22">
        <v>0.032</v>
      </c>
      <c r="H335" s="23">
        <v>0</v>
      </c>
      <c r="I335" s="18">
        <v>0</v>
      </c>
      <c r="J335" s="19">
        <v>0</v>
      </c>
      <c r="K335" s="17">
        <v>0</v>
      </c>
      <c r="L335" s="20">
        <v>53.34</v>
      </c>
      <c r="M335" s="21">
        <f>=0</f>
        <v>0</v>
      </c>
      <c r="N335" s="16" t="s"/>
      <c r="O335" s="16" t="s"/>
    </row>
    <row r="336" spans="1:15">
      <c r="A336" s="16" t="s">
        <v>307</v>
      </c>
      <c r="B336" s="16" t="s">
        <v>320</v>
      </c>
      <c r="C336" s="16" t="s"/>
      <c r="D336" s="22">
        <v>3.491</v>
      </c>
      <c r="E336" s="22">
        <v>0.318</v>
      </c>
      <c r="F336" s="22">
        <v>3.043</v>
      </c>
      <c r="G336" s="22">
        <v>0.139</v>
      </c>
      <c r="H336" s="23">
        <v>0</v>
      </c>
      <c r="I336" s="18">
        <v>326.67</v>
      </c>
      <c r="J336" s="19">
        <v>108.3225</v>
      </c>
      <c r="K336" s="17">
        <v>0</v>
      </c>
      <c r="L336" s="20">
        <v>169.97</v>
      </c>
      <c r="M336" s="21">
        <f>=0</f>
        <v>0</v>
      </c>
      <c r="N336" s="16" t="s"/>
      <c r="O336" s="16" t="s"/>
    </row>
    <row r="337" spans="1:15">
      <c r="A337" s="16" t="s">
        <v>307</v>
      </c>
      <c r="B337" s="16" t="s">
        <v>321</v>
      </c>
      <c r="C337" s="16" t="s">
        <v>322</v>
      </c>
      <c r="D337" s="22">
        <v>0.925</v>
      </c>
      <c r="E337" s="22">
        <v>0.085</v>
      </c>
      <c r="F337" s="22">
        <v>0.155</v>
      </c>
      <c r="G337" s="22">
        <v>0.008</v>
      </c>
      <c r="H337" s="23">
        <v>0</v>
      </c>
      <c r="I337" s="18">
        <v>0</v>
      </c>
      <c r="J337" s="19">
        <v>0</v>
      </c>
      <c r="K337" s="17">
        <v>0</v>
      </c>
      <c r="L337" s="20">
        <v>0</v>
      </c>
      <c r="M337" s="21">
        <f>=0</f>
        <v>0</v>
      </c>
      <c r="N337" s="16" t="s"/>
      <c r="O337" s="16" t="s"/>
    </row>
    <row r="338" spans="1:15">
      <c r="A338" s="16" t="s">
        <v>307</v>
      </c>
      <c r="B338" s="16" t="s">
        <v>321</v>
      </c>
      <c r="C338" s="16" t="s">
        <v>323</v>
      </c>
      <c r="D338" s="22">
        <v>1.275</v>
      </c>
      <c r="E338" s="22">
        <v>0.116</v>
      </c>
      <c r="F338" s="22">
        <v>0.213</v>
      </c>
      <c r="G338" s="22">
        <v>0.01</v>
      </c>
      <c r="H338" s="23">
        <v>0</v>
      </c>
      <c r="I338" s="18">
        <v>0</v>
      </c>
      <c r="J338" s="19">
        <v>0</v>
      </c>
      <c r="K338" s="17">
        <v>0</v>
      </c>
      <c r="L338" s="20">
        <v>0</v>
      </c>
      <c r="M338" s="21">
        <f>=0</f>
        <v>0</v>
      </c>
      <c r="N338" s="16" t="s"/>
      <c r="O338" s="16" t="s"/>
    </row>
    <row r="339" spans="1:15">
      <c r="A339" s="16" t="s">
        <v>307</v>
      </c>
      <c r="B339" s="16" t="s">
        <v>321</v>
      </c>
      <c r="C339" s="16" t="s">
        <v>324</v>
      </c>
      <c r="D339" s="22">
        <v>1.75</v>
      </c>
      <c r="E339" s="22">
        <v>0.16</v>
      </c>
      <c r="F339" s="22">
        <v>0.292</v>
      </c>
      <c r="G339" s="22">
        <v>0.014</v>
      </c>
      <c r="H339" s="23">
        <v>0</v>
      </c>
      <c r="I339" s="18">
        <v>0</v>
      </c>
      <c r="J339" s="19">
        <v>0</v>
      </c>
      <c r="K339" s="17">
        <v>0</v>
      </c>
      <c r="L339" s="20">
        <v>0</v>
      </c>
      <c r="M339" s="21">
        <f>=0</f>
        <v>0</v>
      </c>
      <c r="N339" s="16" t="s"/>
      <c r="O339" s="16" t="s"/>
    </row>
    <row r="340" spans="1:15">
      <c r="A340" s="16" t="s">
        <v>307</v>
      </c>
      <c r="B340" s="16" t="s">
        <v>325</v>
      </c>
      <c r="C340" s="16" t="s">
        <v>326</v>
      </c>
      <c r="D340" s="22">
        <v>2.5</v>
      </c>
      <c r="E340" s="22">
        <v>0.228</v>
      </c>
      <c r="F340" s="22">
        <v>0.2</v>
      </c>
      <c r="G340" s="22">
        <v>0.01</v>
      </c>
      <c r="H340" s="23">
        <v>0</v>
      </c>
      <c r="I340" s="18">
        <v>0</v>
      </c>
      <c r="J340" s="19">
        <v>0</v>
      </c>
      <c r="K340" s="17">
        <v>0</v>
      </c>
      <c r="L340" s="20">
        <v>0</v>
      </c>
      <c r="M340" s="21">
        <f>=0</f>
        <v>0</v>
      </c>
      <c r="N340" s="16" t="s"/>
      <c r="O340" s="16" t="s"/>
    </row>
    <row r="341" spans="1:15">
      <c r="A341" s="16" t="s">
        <v>307</v>
      </c>
      <c r="B341" s="16" t="s">
        <v>327</v>
      </c>
      <c r="C341" s="16" t="s"/>
      <c r="D341" s="25">
        <v>3</v>
      </c>
      <c r="E341" s="25">
        <v>0</v>
      </c>
      <c r="F341" s="25">
        <v>0.417</v>
      </c>
      <c r="G341" s="25">
        <v>0</v>
      </c>
      <c r="H341" s="23">
        <v>0</v>
      </c>
      <c r="I341" s="18">
        <v>41.66</v>
      </c>
      <c r="J341" s="19">
        <v>0</v>
      </c>
      <c r="K341" s="17">
        <v>0</v>
      </c>
      <c r="L341" s="20">
        <v>0</v>
      </c>
      <c r="M341" s="21">
        <f>=0</f>
        <v>0</v>
      </c>
      <c r="N341" s="16" t="s"/>
      <c r="O341" s="16" t="s"/>
    </row>
    <row r="342" spans="1:15">
      <c r="A342" s="16" t="s">
        <v>328</v>
      </c>
      <c r="B342" s="16" t="s">
        <v>329</v>
      </c>
      <c r="C342" s="26" t="s">
        <v>62</v>
      </c>
      <c r="D342" s="22">
        <v>0.392</v>
      </c>
      <c r="E342" s="22">
        <v>0.036</v>
      </c>
      <c r="F342" s="22">
        <v>0.196</v>
      </c>
      <c r="G342" s="22">
        <v>0.009</v>
      </c>
      <c r="H342" s="17">
        <v>0.641</v>
      </c>
      <c r="I342" s="18">
        <v>0</v>
      </c>
      <c r="J342" s="19">
        <v>4.9225</v>
      </c>
      <c r="K342" s="17">
        <v>0</v>
      </c>
      <c r="L342" s="20">
        <v>17.81</v>
      </c>
      <c r="M342" s="21">
        <f>=0</f>
        <v>0</v>
      </c>
      <c r="N342" s="16" t="s"/>
      <c r="O342" s="16" t="s"/>
    </row>
    <row r="343" spans="1:15">
      <c r="A343" s="16" t="s">
        <v>328</v>
      </c>
      <c r="B343" s="16" t="s">
        <v>329</v>
      </c>
      <c r="C343" s="26" t="s">
        <v>63</v>
      </c>
      <c r="D343" s="22">
        <v>0.48</v>
      </c>
      <c r="E343" s="22">
        <v>0.044</v>
      </c>
      <c r="F343" s="22">
        <v>0.329</v>
      </c>
      <c r="G343" s="22">
        <v>0.015</v>
      </c>
      <c r="H343" s="17">
        <v>1.075</v>
      </c>
      <c r="I343" s="18">
        <v>0</v>
      </c>
      <c r="J343" s="19">
        <v>8.2225</v>
      </c>
      <c r="K343" s="17">
        <v>0</v>
      </c>
      <c r="L343" s="20">
        <v>29.86</v>
      </c>
      <c r="M343" s="21">
        <f>=0</f>
        <v>0</v>
      </c>
      <c r="N343" s="16" t="s"/>
      <c r="O343" s="16" t="s"/>
    </row>
    <row r="344" spans="1:15">
      <c r="A344" s="16" t="s">
        <v>328</v>
      </c>
      <c r="B344" s="16" t="s">
        <v>329</v>
      </c>
      <c r="C344" s="26" t="s">
        <v>64</v>
      </c>
      <c r="D344" s="22">
        <v>0.553</v>
      </c>
      <c r="E344" s="22">
        <v>0.051</v>
      </c>
      <c r="F344" s="22">
        <v>0.467</v>
      </c>
      <c r="G344" s="22">
        <v>0.022</v>
      </c>
      <c r="H344" s="17">
        <v>1.526</v>
      </c>
      <c r="I344" s="18">
        <v>0</v>
      </c>
      <c r="J344" s="19">
        <v>11.66</v>
      </c>
      <c r="K344" s="17">
        <v>0</v>
      </c>
      <c r="L344" s="20">
        <v>42.38</v>
      </c>
      <c r="M344" s="21">
        <f>=0</f>
        <v>0</v>
      </c>
      <c r="N344" s="16" t="s"/>
      <c r="O344" s="16" t="s"/>
    </row>
    <row r="345" spans="1:15">
      <c r="A345" s="16" t="s">
        <v>328</v>
      </c>
      <c r="B345" s="16" t="s">
        <v>329</v>
      </c>
      <c r="C345" s="26" t="s">
        <v>330</v>
      </c>
      <c r="D345" s="22">
        <v>0.869</v>
      </c>
      <c r="E345" s="22">
        <v>0.079</v>
      </c>
      <c r="F345" s="22">
        <v>0.605</v>
      </c>
      <c r="G345" s="22">
        <v>0.028</v>
      </c>
      <c r="H345" s="17">
        <v>1.978</v>
      </c>
      <c r="I345" s="18">
        <v>0</v>
      </c>
      <c r="J345" s="19">
        <v>15.125</v>
      </c>
      <c r="K345" s="17">
        <v>0</v>
      </c>
      <c r="L345" s="20">
        <v>54.95</v>
      </c>
      <c r="M345" s="21">
        <f>=0</f>
        <v>0</v>
      </c>
      <c r="N345" s="16" t="s"/>
      <c r="O345" s="16" t="s"/>
    </row>
    <row r="346" spans="1:15">
      <c r="A346" s="16" t="s">
        <v>328</v>
      </c>
      <c r="B346" s="16" t="s">
        <v>329</v>
      </c>
      <c r="C346" s="26" t="s">
        <v>331</v>
      </c>
      <c r="D346" s="22">
        <v>0.477</v>
      </c>
      <c r="E346" s="22">
        <v>0.044</v>
      </c>
      <c r="F346" s="22">
        <v>0.332</v>
      </c>
      <c r="G346" s="22">
        <v>0.016</v>
      </c>
      <c r="H346" s="17">
        <v>1.085</v>
      </c>
      <c r="I346" s="18">
        <v>0</v>
      </c>
      <c r="J346" s="19">
        <v>8.305</v>
      </c>
      <c r="K346" s="17">
        <v>0</v>
      </c>
      <c r="L346" s="20">
        <v>30.13</v>
      </c>
      <c r="M346" s="21">
        <f>=0</f>
        <v>0</v>
      </c>
      <c r="N346" s="16" t="s"/>
      <c r="O346" s="16" t="s"/>
    </row>
    <row r="347" spans="1:15">
      <c r="A347" s="16" t="s">
        <v>328</v>
      </c>
      <c r="B347" s="16" t="s">
        <v>329</v>
      </c>
      <c r="C347" s="26" t="s">
        <v>332</v>
      </c>
      <c r="D347" s="22">
        <v>0.581</v>
      </c>
      <c r="E347" s="22">
        <v>0.053</v>
      </c>
      <c r="F347" s="22">
        <v>0.404</v>
      </c>
      <c r="G347" s="22">
        <v>0.019</v>
      </c>
      <c r="H347" s="17">
        <v>1.321</v>
      </c>
      <c r="I347" s="18">
        <v>0</v>
      </c>
      <c r="J347" s="19">
        <v>10.0925</v>
      </c>
      <c r="K347" s="17">
        <v>0</v>
      </c>
      <c r="L347" s="20">
        <v>36.69</v>
      </c>
      <c r="M347" s="21">
        <f>=0</f>
        <v>0</v>
      </c>
      <c r="N347" s="16" t="s"/>
      <c r="O347" s="16" t="s"/>
    </row>
    <row r="348" spans="1:15">
      <c r="A348" s="16" t="s">
        <v>328</v>
      </c>
      <c r="B348" s="16" t="s">
        <v>329</v>
      </c>
      <c r="C348" s="26" t="s">
        <v>333</v>
      </c>
      <c r="D348" s="22">
        <v>0.328</v>
      </c>
      <c r="E348" s="22">
        <v>0.03</v>
      </c>
      <c r="F348" s="22">
        <v>0.228</v>
      </c>
      <c r="G348" s="22">
        <v>0.011</v>
      </c>
      <c r="H348" s="17">
        <v>0.745</v>
      </c>
      <c r="I348" s="18">
        <v>0</v>
      </c>
      <c r="J348" s="19">
        <v>5.6925</v>
      </c>
      <c r="K348" s="17">
        <v>0</v>
      </c>
      <c r="L348" s="20">
        <v>20.69</v>
      </c>
      <c r="M348" s="21">
        <f>=0</f>
        <v>0</v>
      </c>
      <c r="N348" s="16" t="s"/>
      <c r="O348" s="16" t="s"/>
    </row>
    <row r="349" spans="1:15">
      <c r="A349" s="16" t="s">
        <v>328</v>
      </c>
      <c r="B349" s="16" t="s">
        <v>329</v>
      </c>
      <c r="C349" s="26" t="s">
        <v>334</v>
      </c>
      <c r="D349" s="22">
        <v>0.89</v>
      </c>
      <c r="E349" s="22">
        <v>0.081</v>
      </c>
      <c r="F349" s="22">
        <v>0.619</v>
      </c>
      <c r="G349" s="22">
        <v>0.029</v>
      </c>
      <c r="H349" s="17">
        <v>2.025</v>
      </c>
      <c r="I349" s="18">
        <v>0</v>
      </c>
      <c r="J349" s="19">
        <v>15.4825</v>
      </c>
      <c r="K349" s="17">
        <v>0</v>
      </c>
      <c r="L349" s="20">
        <v>56.23</v>
      </c>
      <c r="M349" s="21">
        <f>=0</f>
        <v>0</v>
      </c>
      <c r="N349" s="16" t="s"/>
      <c r="O349" s="16" t="s"/>
    </row>
    <row r="350" spans="1:15">
      <c r="A350" s="16" t="s">
        <v>328</v>
      </c>
      <c r="B350" s="16" t="s">
        <v>329</v>
      </c>
      <c r="C350" s="26" t="s">
        <v>65</v>
      </c>
      <c r="D350" s="22">
        <v>0.789</v>
      </c>
      <c r="E350" s="22">
        <v>0.072</v>
      </c>
      <c r="F350" s="22">
        <v>0.761</v>
      </c>
      <c r="G350" s="22">
        <v>0.035</v>
      </c>
      <c r="H350" s="17">
        <v>2.491</v>
      </c>
      <c r="I350" s="18">
        <v>55.05</v>
      </c>
      <c r="J350" s="19">
        <v>19.03</v>
      </c>
      <c r="K350" s="17">
        <v>0</v>
      </c>
      <c r="L350" s="20">
        <v>69.18</v>
      </c>
      <c r="M350" s="21">
        <f>=0</f>
        <v>0</v>
      </c>
      <c r="N350" s="16" t="s"/>
      <c r="O350" s="16" t="s"/>
    </row>
    <row r="351" spans="1:15">
      <c r="A351" s="16" t="s">
        <v>328</v>
      </c>
      <c r="B351" s="16" t="s">
        <v>329</v>
      </c>
      <c r="C351" s="26" t="s">
        <v>335</v>
      </c>
      <c r="D351" s="22">
        <v>1.636</v>
      </c>
      <c r="E351" s="22">
        <v>0.149</v>
      </c>
      <c r="F351" s="22">
        <v>1.295</v>
      </c>
      <c r="G351" s="22">
        <v>0.059</v>
      </c>
      <c r="H351" s="17">
        <v>4.762</v>
      </c>
      <c r="I351" s="18">
        <v>123.87</v>
      </c>
      <c r="J351" s="19">
        <v>36.3825</v>
      </c>
      <c r="K351" s="17">
        <v>0</v>
      </c>
      <c r="L351" s="20">
        <v>132.26</v>
      </c>
      <c r="M351" s="21">
        <f>=0</f>
        <v>0</v>
      </c>
      <c r="N351" s="16" t="s"/>
      <c r="O351" s="16" t="s"/>
    </row>
    <row r="352" spans="1:15">
      <c r="A352" s="16" t="s">
        <v>328</v>
      </c>
      <c r="B352" s="16" t="s">
        <v>329</v>
      </c>
      <c r="C352" s="26" t="s">
        <v>336</v>
      </c>
      <c r="D352" s="22">
        <v>1.229</v>
      </c>
      <c r="E352" s="22">
        <v>0.112</v>
      </c>
      <c r="F352" s="22">
        <v>0.813</v>
      </c>
      <c r="G352" s="22">
        <v>0.037</v>
      </c>
      <c r="H352" s="17">
        <v>2.798</v>
      </c>
      <c r="I352" s="18">
        <v>77.7</v>
      </c>
      <c r="J352" s="19">
        <v>21.395</v>
      </c>
      <c r="K352" s="17">
        <v>0</v>
      </c>
      <c r="L352" s="20">
        <v>77.71</v>
      </c>
      <c r="M352" s="21">
        <f>=0</f>
        <v>0</v>
      </c>
      <c r="N352" s="16" t="s"/>
      <c r="O352" s="16" t="s"/>
    </row>
    <row r="353" spans="1:15">
      <c r="A353" s="16" t="s">
        <v>328</v>
      </c>
      <c r="B353" s="16" t="s">
        <v>329</v>
      </c>
      <c r="C353" s="26" t="s">
        <v>337</v>
      </c>
      <c r="D353" s="22">
        <v>1.046</v>
      </c>
      <c r="E353" s="22">
        <v>0.096</v>
      </c>
      <c r="F353" s="22">
        <v>0.795</v>
      </c>
      <c r="G353" s="22">
        <v>0.037</v>
      </c>
      <c r="H353" s="17">
        <v>2.738</v>
      </c>
      <c r="I353" s="18">
        <v>76.05</v>
      </c>
      <c r="J353" s="19">
        <v>20.9275</v>
      </c>
      <c r="K353" s="17">
        <v>0</v>
      </c>
      <c r="L353" s="20">
        <v>76.06</v>
      </c>
      <c r="M353" s="21">
        <f>=0</f>
        <v>0</v>
      </c>
      <c r="N353" s="16" t="s"/>
      <c r="O353" s="16" t="s"/>
    </row>
    <row r="354" spans="1:15">
      <c r="A354" s="16" t="s">
        <v>328</v>
      </c>
      <c r="B354" s="16" t="s">
        <v>338</v>
      </c>
      <c r="C354" s="26" t="s"/>
      <c r="D354" s="22">
        <v>0.363</v>
      </c>
      <c r="E354" s="22">
        <v>0.033</v>
      </c>
      <c r="F354" s="22">
        <v>0.363</v>
      </c>
      <c r="G354" s="22">
        <v>0.017</v>
      </c>
      <c r="H354" s="17">
        <v>0</v>
      </c>
      <c r="I354" s="18">
        <v>30</v>
      </c>
      <c r="J354" s="19">
        <v>8.25</v>
      </c>
      <c r="K354" s="17">
        <v>0</v>
      </c>
      <c r="L354" s="20">
        <v>30</v>
      </c>
      <c r="M354" s="21">
        <f>=0</f>
        <v>0</v>
      </c>
      <c r="N354" s="16" t="s"/>
      <c r="O354" s="16" t="s"/>
    </row>
    <row r="355" spans="1:15">
      <c r="A355" s="16" t="s">
        <v>328</v>
      </c>
      <c r="B355" s="16" t="s">
        <v>339</v>
      </c>
      <c r="C355" s="26" t="s"/>
      <c r="D355" s="22">
        <v>4.863</v>
      </c>
      <c r="E355" s="22">
        <v>0.443</v>
      </c>
      <c r="F355" s="22">
        <v>4.035</v>
      </c>
      <c r="G355" s="22">
        <v>0.184</v>
      </c>
      <c r="H355" s="17">
        <v>0</v>
      </c>
      <c r="I355" s="18">
        <v>367.64</v>
      </c>
      <c r="J355" s="19">
        <v>129.3325</v>
      </c>
      <c r="K355" s="17">
        <v>0</v>
      </c>
      <c r="L355" s="20">
        <v>128.31</v>
      </c>
      <c r="M355" s="21">
        <f>=0</f>
        <v>0</v>
      </c>
      <c r="N355" s="16" t="s"/>
      <c r="O355" s="16" t="s"/>
    </row>
    <row r="356" spans="1:15">
      <c r="A356" s="16" t="s">
        <v>328</v>
      </c>
      <c r="B356" s="16" t="s">
        <v>339</v>
      </c>
      <c r="C356" s="26" t="s">
        <v>340</v>
      </c>
      <c r="D356" s="22">
        <v>2.927</v>
      </c>
      <c r="E356" s="22">
        <v>0.267</v>
      </c>
      <c r="F356" s="22">
        <v>2.477</v>
      </c>
      <c r="G356" s="22">
        <v>0.113</v>
      </c>
      <c r="H356" s="17">
        <v>0</v>
      </c>
      <c r="I356" s="18">
        <v>223.26</v>
      </c>
      <c r="J356" s="19">
        <v>76.725</v>
      </c>
      <c r="K356" s="17">
        <v>0</v>
      </c>
      <c r="L356" s="20">
        <v>93.37</v>
      </c>
      <c r="M356" s="21">
        <f>=0</f>
        <v>0</v>
      </c>
      <c r="N356" s="16" t="s"/>
      <c r="O356" s="16" t="s"/>
    </row>
    <row r="357" spans="1:15">
      <c r="A357" s="16" t="s">
        <v>328</v>
      </c>
      <c r="B357" s="16" t="s">
        <v>341</v>
      </c>
      <c r="C357" s="26" t="s"/>
      <c r="D357" s="22">
        <v>0.899</v>
      </c>
      <c r="E357" s="22">
        <v>0.082</v>
      </c>
      <c r="F357" s="22">
        <v>0.45</v>
      </c>
      <c r="G357" s="22">
        <v>0.021</v>
      </c>
      <c r="H357" s="17">
        <v>1.471</v>
      </c>
      <c r="I357" s="18">
        <v>0</v>
      </c>
      <c r="J357" s="19">
        <v>11.2475</v>
      </c>
      <c r="K357" s="17">
        <v>0</v>
      </c>
      <c r="L357" s="20">
        <v>40.85</v>
      </c>
      <c r="M357" s="21">
        <f>=0</f>
        <v>0</v>
      </c>
      <c r="N357" s="16" t="s"/>
      <c r="O357" s="16" t="s"/>
    </row>
    <row r="358" spans="1:15">
      <c r="A358" s="16" t="s">
        <v>328</v>
      </c>
      <c r="B358" s="16" t="s">
        <v>342</v>
      </c>
      <c r="C358" s="26" t="s"/>
      <c r="D358" s="22">
        <v>1.863</v>
      </c>
      <c r="E358" s="22">
        <v>0.17</v>
      </c>
      <c r="F358" s="22">
        <v>1.687</v>
      </c>
      <c r="G358" s="22">
        <v>0.077</v>
      </c>
      <c r="H358" s="17">
        <v>1.921</v>
      </c>
      <c r="I358" s="18">
        <v>53.33</v>
      </c>
      <c r="J358" s="19">
        <v>14.685</v>
      </c>
      <c r="K358" s="17">
        <v>0</v>
      </c>
      <c r="L358" s="20">
        <v>203.34</v>
      </c>
      <c r="M358" s="21">
        <f>=0</f>
        <v>0</v>
      </c>
      <c r="N358" s="16" t="s"/>
      <c r="O358" s="16" t="s"/>
    </row>
    <row r="359" spans="1:15">
      <c r="A359" s="16" t="s">
        <v>328</v>
      </c>
      <c r="B359" s="16" t="s">
        <v>343</v>
      </c>
      <c r="C359" s="26" t="s"/>
      <c r="D359" s="22">
        <v>7.121</v>
      </c>
      <c r="E359" s="22">
        <v>0.648</v>
      </c>
      <c r="F359" s="22">
        <v>2.732</v>
      </c>
      <c r="G359" s="22">
        <v>0.125</v>
      </c>
      <c r="H359" s="17">
        <v>0</v>
      </c>
      <c r="I359" s="18">
        <v>447.83</v>
      </c>
      <c r="J359" s="19">
        <v>251.185</v>
      </c>
      <c r="K359" s="17">
        <v>0</v>
      </c>
      <c r="L359" s="20">
        <v>248.34</v>
      </c>
      <c r="M359" s="21">
        <f>=0</f>
        <v>0</v>
      </c>
      <c r="N359" s="16" t="s"/>
      <c r="O359" s="16" t="s"/>
    </row>
    <row r="360" spans="1:15">
      <c r="A360" s="16" t="s">
        <v>328</v>
      </c>
      <c r="B360" s="16" t="s">
        <v>344</v>
      </c>
      <c r="C360" s="26" t="s"/>
      <c r="D360" s="22">
        <v>15.08</v>
      </c>
      <c r="E360" s="22">
        <v>1.371</v>
      </c>
      <c r="F360" s="22">
        <v>9.474</v>
      </c>
      <c r="G360" s="22">
        <v>0.431</v>
      </c>
      <c r="H360" s="17">
        <v>0</v>
      </c>
      <c r="I360" s="18">
        <v>96.69</v>
      </c>
      <c r="J360" s="19">
        <v>0</v>
      </c>
      <c r="K360" s="17">
        <v>0</v>
      </c>
      <c r="L360" s="20">
        <v>596.7</v>
      </c>
      <c r="M360" s="21">
        <f>=0</f>
        <v>0</v>
      </c>
      <c r="N360" s="16" t="s"/>
      <c r="O360" s="16" t="s"/>
    </row>
    <row r="361" spans="1:15">
      <c r="A361" s="16" t="s">
        <v>328</v>
      </c>
      <c r="B361" s="16" t="s">
        <v>345</v>
      </c>
      <c r="C361" s="26" t="s"/>
      <c r="D361" s="22">
        <v>0.697</v>
      </c>
      <c r="E361" s="22">
        <v>0.064</v>
      </c>
      <c r="F361" s="22">
        <v>0.697</v>
      </c>
      <c r="G361" s="22">
        <v>0.032</v>
      </c>
      <c r="H361" s="17">
        <v>2.28</v>
      </c>
      <c r="I361" s="18">
        <v>63.33</v>
      </c>
      <c r="J361" s="19">
        <v>17.435</v>
      </c>
      <c r="K361" s="17">
        <v>0</v>
      </c>
      <c r="L361" s="20">
        <v>31.67</v>
      </c>
      <c r="M361" s="21">
        <f>=0</f>
        <v>0</v>
      </c>
      <c r="N361" s="16" t="s"/>
      <c r="O361" s="16" t="s"/>
    </row>
    <row r="362" spans="1:15">
      <c r="A362" s="16" t="s">
        <v>328</v>
      </c>
      <c r="B362" s="16" t="s">
        <v>346</v>
      </c>
      <c r="C362" s="26" t="s">
        <v>75</v>
      </c>
      <c r="D362" s="22">
        <v>0</v>
      </c>
      <c r="E362" s="22">
        <v>0</v>
      </c>
      <c r="F362" s="22">
        <v>2.713</v>
      </c>
      <c r="G362" s="22">
        <v>0.124</v>
      </c>
      <c r="H362" s="17">
        <v>0</v>
      </c>
      <c r="I362" s="18">
        <v>0</v>
      </c>
      <c r="J362" s="19">
        <v>0</v>
      </c>
      <c r="K362" s="17">
        <v>0</v>
      </c>
      <c r="L362" s="20">
        <v>366.64</v>
      </c>
      <c r="M362" s="21">
        <f>=0</f>
        <v>0</v>
      </c>
      <c r="N362" s="16" t="s"/>
      <c r="O362" s="16" t="s"/>
    </row>
    <row r="363" spans="1:15">
      <c r="A363" s="16" t="s">
        <v>328</v>
      </c>
      <c r="B363" s="16" t="s">
        <v>346</v>
      </c>
      <c r="C363" s="26" t="s">
        <v>76</v>
      </c>
      <c r="D363" s="22">
        <v>0</v>
      </c>
      <c r="E363" s="22">
        <v>0</v>
      </c>
      <c r="F363" s="22">
        <v>3.428</v>
      </c>
      <c r="G363" s="22">
        <v>0.156</v>
      </c>
      <c r="H363" s="17">
        <v>0</v>
      </c>
      <c r="I363" s="18">
        <v>0</v>
      </c>
      <c r="J363" s="19">
        <v>0</v>
      </c>
      <c r="K363" s="17">
        <v>0</v>
      </c>
      <c r="L363" s="20">
        <v>416.64</v>
      </c>
      <c r="M363" s="21">
        <f>=0</f>
        <v>0</v>
      </c>
      <c r="N363" s="16" t="s"/>
      <c r="O363" s="16" t="s"/>
    </row>
    <row r="364" spans="1:15">
      <c r="A364" s="16" t="s">
        <v>328</v>
      </c>
      <c r="B364" s="16" t="s">
        <v>346</v>
      </c>
      <c r="C364" s="26" t="s">
        <v>77</v>
      </c>
      <c r="D364" s="22">
        <v>0</v>
      </c>
      <c r="E364" s="22">
        <v>0</v>
      </c>
      <c r="F364" s="22">
        <v>1.668</v>
      </c>
      <c r="G364" s="22">
        <v>0.076</v>
      </c>
      <c r="H364" s="17">
        <v>0</v>
      </c>
      <c r="I364" s="18">
        <v>0</v>
      </c>
      <c r="J364" s="19">
        <v>0</v>
      </c>
      <c r="K364" s="17">
        <v>0</v>
      </c>
      <c r="L364" s="20">
        <v>116.64</v>
      </c>
      <c r="M364" s="21">
        <f>=0</f>
        <v>0</v>
      </c>
      <c r="N364" s="16" t="s"/>
      <c r="O364" s="16" t="s"/>
    </row>
    <row r="365" spans="1:15">
      <c r="A365" s="16" t="s">
        <v>328</v>
      </c>
      <c r="B365" s="16" t="s">
        <v>347</v>
      </c>
      <c r="C365" s="26" t="s"/>
      <c r="D365" s="22">
        <v>2.198</v>
      </c>
      <c r="E365" s="22">
        <v>0.2</v>
      </c>
      <c r="F365" s="22">
        <v>1.823</v>
      </c>
      <c r="G365" s="22">
        <v>0.083</v>
      </c>
      <c r="H365" s="17">
        <v>0</v>
      </c>
      <c r="I365" s="18">
        <v>182.72</v>
      </c>
      <c r="J365" s="19">
        <v>64.3225</v>
      </c>
      <c r="K365" s="17">
        <v>0</v>
      </c>
      <c r="L365" s="20">
        <v>63.34</v>
      </c>
      <c r="M365" s="21">
        <f>=0</f>
        <v>0</v>
      </c>
      <c r="N365" s="16" t="s"/>
      <c r="O365" s="16" t="s"/>
    </row>
    <row r="366" spans="1:15">
      <c r="A366" s="16" t="s">
        <v>328</v>
      </c>
      <c r="B366" s="26" t="s">
        <v>329</v>
      </c>
      <c r="C366" s="26" t="s">
        <v>348</v>
      </c>
      <c r="D366" s="22">
        <v>4.354</v>
      </c>
      <c r="E366" s="22">
        <v>0.396</v>
      </c>
      <c r="F366" s="22">
        <v>1.324</v>
      </c>
      <c r="G366" s="22">
        <v>0.061</v>
      </c>
      <c r="H366" s="17">
        <v>3.609</v>
      </c>
      <c r="I366" s="18">
        <v>100.23</v>
      </c>
      <c r="J366" s="19">
        <v>215</v>
      </c>
      <c r="K366" s="17">
        <v>0</v>
      </c>
      <c r="L366" s="20">
        <v>100.24</v>
      </c>
      <c r="M366" s="21">
        <f>=0</f>
        <v>0</v>
      </c>
      <c r="N366" s="16" t="s"/>
      <c r="O366" s="16" t="s"/>
    </row>
    <row r="367" spans="1:15">
      <c r="A367" s="16" t="s">
        <v>328</v>
      </c>
      <c r="B367" s="26" t="s">
        <v>329</v>
      </c>
      <c r="C367" s="26" t="s">
        <v>349</v>
      </c>
      <c r="D367" s="22">
        <v>1.772</v>
      </c>
      <c r="E367" s="22">
        <v>0.162</v>
      </c>
      <c r="F367" s="22">
        <v>1.363</v>
      </c>
      <c r="G367" s="22">
        <v>0.062</v>
      </c>
      <c r="H367" s="17">
        <v>4.46</v>
      </c>
      <c r="I367" s="18">
        <v>123.87</v>
      </c>
      <c r="J367" s="19">
        <v>215</v>
      </c>
      <c r="K367" s="17">
        <v>0</v>
      </c>
      <c r="L367" s="20">
        <v>123.88</v>
      </c>
      <c r="M367" s="21">
        <f>=0</f>
        <v>0</v>
      </c>
      <c r="N367" s="16" t="s"/>
      <c r="O367" s="16" t="s"/>
    </row>
    <row r="368" spans="1:15">
      <c r="A368" s="16" t="s">
        <v>328</v>
      </c>
      <c r="B368" s="26" t="s">
        <v>329</v>
      </c>
      <c r="C368" s="26" t="s">
        <v>350</v>
      </c>
      <c r="D368" s="22">
        <v>3.643</v>
      </c>
      <c r="E368" s="22">
        <v>0.332</v>
      </c>
      <c r="F368" s="22">
        <v>0.855</v>
      </c>
      <c r="G368" s="22">
        <v>0.039</v>
      </c>
      <c r="H368" s="17">
        <v>2.798</v>
      </c>
      <c r="I368" s="18">
        <v>77.7</v>
      </c>
      <c r="J368" s="19">
        <v>215</v>
      </c>
      <c r="K368" s="17">
        <v>0</v>
      </c>
      <c r="L368" s="20">
        <v>77.71</v>
      </c>
      <c r="M368" s="21">
        <f>=0</f>
        <v>0</v>
      </c>
      <c r="N368" s="16" t="s"/>
      <c r="O368" s="16" t="s"/>
    </row>
    <row r="369" spans="1:15">
      <c r="A369" s="16" t="s">
        <v>328</v>
      </c>
      <c r="B369" s="26" t="s">
        <v>329</v>
      </c>
      <c r="C369" s="26" t="s">
        <v>351</v>
      </c>
      <c r="D369" s="22">
        <v>1.197</v>
      </c>
      <c r="E369" s="22">
        <v>0.109</v>
      </c>
      <c r="F369" s="22">
        <v>0.921</v>
      </c>
      <c r="G369" s="22">
        <v>0.042</v>
      </c>
      <c r="H369" s="17">
        <v>3.012</v>
      </c>
      <c r="I369" s="18">
        <v>83.66</v>
      </c>
      <c r="J369" s="19">
        <v>23.0175</v>
      </c>
      <c r="K369" s="17">
        <v>0</v>
      </c>
      <c r="L369" s="20">
        <v>83.67</v>
      </c>
      <c r="M369" s="21">
        <f>=0</f>
        <v>0</v>
      </c>
      <c r="N369" s="16" t="s"/>
      <c r="O369" s="16" t="s"/>
    </row>
    <row r="370" spans="1:15">
      <c r="A370" s="24" t="s">
        <v>352</v>
      </c>
      <c r="B370" s="16" t="s">
        <v>353</v>
      </c>
      <c r="C370" s="16" t="s">
        <v>62</v>
      </c>
      <c r="D370" s="22">
        <v>0.448</v>
      </c>
      <c r="E370" s="22">
        <v>0.041</v>
      </c>
      <c r="F370" s="22">
        <v>0.187</v>
      </c>
      <c r="G370" s="22">
        <v>0.009</v>
      </c>
      <c r="H370" s="23">
        <v>0.61</v>
      </c>
      <c r="I370" s="18">
        <v>16.94</v>
      </c>
      <c r="J370" s="19">
        <v>4.675</v>
      </c>
      <c r="K370" s="17">
        <v>0</v>
      </c>
      <c r="L370" s="20">
        <v>16.95</v>
      </c>
      <c r="M370" s="21">
        <f>=0</f>
        <v>0</v>
      </c>
      <c r="N370" s="16" t="s"/>
      <c r="O370" s="16" t="s"/>
    </row>
    <row r="371" spans="1:15">
      <c r="A371" s="24" t="s">
        <v>352</v>
      </c>
      <c r="B371" s="16" t="s">
        <v>353</v>
      </c>
      <c r="C371" s="16" t="s">
        <v>63</v>
      </c>
      <c r="D371" s="22">
        <v>0.435</v>
      </c>
      <c r="E371" s="22">
        <v>0.04</v>
      </c>
      <c r="F371" s="22">
        <v>0.308</v>
      </c>
      <c r="G371" s="22">
        <v>0.014</v>
      </c>
      <c r="H371" s="23">
        <v>1.007</v>
      </c>
      <c r="I371" s="18">
        <v>0</v>
      </c>
      <c r="J371" s="19">
        <v>7.7</v>
      </c>
      <c r="K371" s="17">
        <v>0</v>
      </c>
      <c r="L371" s="20">
        <v>27.95</v>
      </c>
      <c r="M371" s="21">
        <f>=0</f>
        <v>0</v>
      </c>
      <c r="N371" s="16" t="s"/>
      <c r="O371" s="16" t="s"/>
    </row>
    <row r="372" spans="1:15">
      <c r="A372" s="24" t="s">
        <v>352</v>
      </c>
      <c r="B372" s="16" t="s">
        <v>353</v>
      </c>
      <c r="C372" s="16" t="s">
        <v>64</v>
      </c>
      <c r="D372" s="22">
        <v>0.717</v>
      </c>
      <c r="E372" s="22">
        <v>0.066</v>
      </c>
      <c r="F372" s="22">
        <v>0.478</v>
      </c>
      <c r="G372" s="22">
        <v>0.022</v>
      </c>
      <c r="H372" s="23">
        <v>1.562</v>
      </c>
      <c r="I372" s="18">
        <v>43.37</v>
      </c>
      <c r="J372" s="19">
        <v>11.935</v>
      </c>
      <c r="K372" s="17">
        <v>0</v>
      </c>
      <c r="L372" s="20">
        <v>43.38</v>
      </c>
      <c r="M372" s="21">
        <f>=0</f>
        <v>0</v>
      </c>
      <c r="N372" s="16" t="s"/>
      <c r="O372" s="16" t="s"/>
    </row>
    <row r="373" spans="1:15">
      <c r="A373" s="24" t="s">
        <v>352</v>
      </c>
      <c r="B373" s="16" t="s">
        <v>353</v>
      </c>
      <c r="C373" s="16" t="s">
        <v>65</v>
      </c>
      <c r="D373" s="22">
        <v>0.666</v>
      </c>
      <c r="E373" s="22">
        <v>0.061</v>
      </c>
      <c r="F373" s="22">
        <v>0.304</v>
      </c>
      <c r="G373" s="22">
        <v>0.014</v>
      </c>
      <c r="H373" s="23">
        <v>0.992</v>
      </c>
      <c r="I373" s="18">
        <v>27.54</v>
      </c>
      <c r="J373" s="19">
        <v>7.59</v>
      </c>
      <c r="K373" s="17">
        <v>0</v>
      </c>
      <c r="L373" s="20">
        <v>27.55</v>
      </c>
      <c r="M373" s="21">
        <f>=0</f>
        <v>0</v>
      </c>
      <c r="N373" s="16" t="s"/>
      <c r="O373" s="16" t="s"/>
    </row>
    <row r="374" spans="1:15">
      <c r="A374" s="24" t="s">
        <v>352</v>
      </c>
      <c r="B374" s="16" t="s">
        <v>353</v>
      </c>
      <c r="C374" s="16" t="s">
        <v>81</v>
      </c>
      <c r="D374" s="22">
        <v>0.963</v>
      </c>
      <c r="E374" s="22">
        <v>0.088</v>
      </c>
      <c r="F374" s="22">
        <v>0.52</v>
      </c>
      <c r="G374" s="22">
        <v>0.024</v>
      </c>
      <c r="H374" s="23">
        <v>1.699</v>
      </c>
      <c r="I374" s="18">
        <v>47.19</v>
      </c>
      <c r="J374" s="19">
        <v>12.98</v>
      </c>
      <c r="K374" s="17">
        <v>0</v>
      </c>
      <c r="L374" s="20">
        <v>47.2</v>
      </c>
      <c r="M374" s="21">
        <f>=0</f>
        <v>0</v>
      </c>
      <c r="N374" s="16" t="s"/>
      <c r="O374" s="16" t="s"/>
    </row>
    <row r="375" spans="1:15">
      <c r="A375" s="24" t="s">
        <v>352</v>
      </c>
      <c r="B375" s="16" t="s">
        <v>354</v>
      </c>
      <c r="C375" s="16" t="s">
        <v>355</v>
      </c>
      <c r="D375" s="22">
        <v>1.254</v>
      </c>
      <c r="E375" s="22">
        <v>0.114</v>
      </c>
      <c r="F375" s="22">
        <v>0.965</v>
      </c>
      <c r="G375" s="22">
        <v>0.044</v>
      </c>
      <c r="H375" s="23">
        <v>1.578</v>
      </c>
      <c r="I375" s="18">
        <v>95.98</v>
      </c>
      <c r="J375" s="19">
        <v>24.1175</v>
      </c>
      <c r="K375" s="17">
        <v>0</v>
      </c>
      <c r="L375" s="20">
        <v>87.66</v>
      </c>
      <c r="M375" s="21">
        <f>=0</f>
        <v>0</v>
      </c>
      <c r="N375" s="16" t="s"/>
      <c r="O375" s="16" t="s"/>
    </row>
    <row r="376" spans="1:15">
      <c r="A376" s="24" t="s">
        <v>352</v>
      </c>
      <c r="B376" s="16" t="s">
        <v>354</v>
      </c>
      <c r="C376" s="16" t="s">
        <v>356</v>
      </c>
      <c r="D376" s="22">
        <v>2.328</v>
      </c>
      <c r="E376" s="22">
        <v>0.212</v>
      </c>
      <c r="F376" s="22">
        <v>1.791</v>
      </c>
      <c r="G376" s="22">
        <v>0.082</v>
      </c>
      <c r="H376" s="23">
        <v>2.931</v>
      </c>
      <c r="I376" s="18">
        <v>171.11</v>
      </c>
      <c r="J376" s="19">
        <v>44.77</v>
      </c>
      <c r="K376" s="17">
        <v>0</v>
      </c>
      <c r="L376" s="20">
        <v>162.79</v>
      </c>
      <c r="M376" s="21">
        <f>=0</f>
        <v>0</v>
      </c>
      <c r="N376" s="16" t="s"/>
      <c r="O376" s="16" t="s"/>
    </row>
    <row r="377" spans="1:15">
      <c r="A377" s="24" t="s">
        <v>352</v>
      </c>
      <c r="B377" s="16" t="s">
        <v>357</v>
      </c>
      <c r="C377" s="16" t="s"/>
      <c r="D377" s="22">
        <v>0.578</v>
      </c>
      <c r="E377" s="22">
        <v>0.053</v>
      </c>
      <c r="F377" s="22">
        <v>0.578</v>
      </c>
      <c r="G377" s="22">
        <v>0.027</v>
      </c>
      <c r="H377" s="23">
        <v>0</v>
      </c>
      <c r="I377" s="18">
        <v>52.51</v>
      </c>
      <c r="J377" s="19">
        <v>14.465</v>
      </c>
      <c r="K377" s="17">
        <v>0</v>
      </c>
      <c r="L377" s="20">
        <v>52.52</v>
      </c>
      <c r="M377" s="21">
        <f>=0</f>
        <v>0</v>
      </c>
      <c r="N377" s="16" t="s"/>
      <c r="O377" s="16" t="s"/>
    </row>
    <row r="378" spans="1:15">
      <c r="A378" s="24" t="s">
        <v>352</v>
      </c>
      <c r="B378" s="16" t="s">
        <v>357</v>
      </c>
      <c r="C378" s="16" t="s">
        <v>99</v>
      </c>
      <c r="D378" s="22">
        <v>0.624</v>
      </c>
      <c r="E378" s="22">
        <v>0.057</v>
      </c>
      <c r="F378" s="22">
        <v>0.624</v>
      </c>
      <c r="G378" s="22">
        <v>0.029</v>
      </c>
      <c r="H378" s="23">
        <v>0</v>
      </c>
      <c r="I378" s="18">
        <v>56.68</v>
      </c>
      <c r="J378" s="19">
        <v>15.5925</v>
      </c>
      <c r="K378" s="17">
        <v>0</v>
      </c>
      <c r="L378" s="20">
        <v>56.69</v>
      </c>
      <c r="M378" s="21">
        <f>=0</f>
        <v>0</v>
      </c>
      <c r="N378" s="16" t="s"/>
      <c r="O378" s="16" t="s"/>
    </row>
    <row r="379" spans="1:15">
      <c r="A379" s="24" t="s">
        <v>352</v>
      </c>
      <c r="B379" s="16" t="s">
        <v>358</v>
      </c>
      <c r="C379" s="16" t="s">
        <v>355</v>
      </c>
      <c r="D379" s="22">
        <v>5.438</v>
      </c>
      <c r="E379" s="22">
        <v>0.495</v>
      </c>
      <c r="F379" s="22">
        <v>3.786</v>
      </c>
      <c r="G379" s="22">
        <v>0.173</v>
      </c>
      <c r="H379" s="23">
        <v>0</v>
      </c>
      <c r="I379" s="18">
        <v>411.1</v>
      </c>
      <c r="J379" s="19">
        <v>136.7575</v>
      </c>
      <c r="K379" s="17">
        <v>0</v>
      </c>
      <c r="L379" s="20">
        <v>189</v>
      </c>
      <c r="M379" s="21">
        <f>=0</f>
        <v>0</v>
      </c>
      <c r="N379" s="16" t="s"/>
      <c r="O379" s="16" t="s"/>
    </row>
    <row r="380" spans="1:15">
      <c r="A380" s="24" t="s">
        <v>352</v>
      </c>
      <c r="B380" s="16" t="s">
        <v>358</v>
      </c>
      <c r="C380" s="16" t="s">
        <v>359</v>
      </c>
      <c r="D380" s="22">
        <v>0.967</v>
      </c>
      <c r="E380" s="22">
        <v>0.088</v>
      </c>
      <c r="F380" s="22">
        <v>0.657</v>
      </c>
      <c r="G380" s="22">
        <v>0.03</v>
      </c>
      <c r="H380" s="23">
        <v>0</v>
      </c>
      <c r="I380" s="18">
        <v>71.55</v>
      </c>
      <c r="J380" s="19">
        <v>24.0075</v>
      </c>
      <c r="K380" s="17">
        <v>0</v>
      </c>
      <c r="L380" s="20">
        <v>31.5</v>
      </c>
      <c r="M380" s="21">
        <f>=0</f>
        <v>0</v>
      </c>
      <c r="N380" s="16" t="s"/>
      <c r="O380" s="16" t="s"/>
    </row>
    <row r="381" spans="1:15">
      <c r="A381" s="24" t="s">
        <v>352</v>
      </c>
      <c r="B381" s="16" t="s">
        <v>360</v>
      </c>
      <c r="C381" s="16" t="s">
        <v>355</v>
      </c>
      <c r="D381" s="22">
        <v>9.581</v>
      </c>
      <c r="E381" s="22">
        <v>0.871</v>
      </c>
      <c r="F381" s="22">
        <v>5.857</v>
      </c>
      <c r="G381" s="22">
        <v>0.267</v>
      </c>
      <c r="H381" s="23">
        <v>0</v>
      </c>
      <c r="I381" s="18">
        <v>530.24</v>
      </c>
      <c r="J381" s="19">
        <v>183.975</v>
      </c>
      <c r="K381" s="17">
        <v>0</v>
      </c>
      <c r="L381" s="20">
        <v>227.37</v>
      </c>
      <c r="M381" s="21">
        <f>=0</f>
        <v>0</v>
      </c>
      <c r="N381" s="16" t="s"/>
      <c r="O381" s="16" t="s"/>
    </row>
    <row r="382" spans="1:15">
      <c r="A382" s="24" t="s">
        <v>352</v>
      </c>
      <c r="B382" s="16" t="s">
        <v>360</v>
      </c>
      <c r="C382" s="16" t="s">
        <v>359</v>
      </c>
      <c r="D382" s="22">
        <v>2.871</v>
      </c>
      <c r="E382" s="22">
        <v>0.261</v>
      </c>
      <c r="F382" s="22">
        <v>2.078</v>
      </c>
      <c r="G382" s="22">
        <v>0.095</v>
      </c>
      <c r="H382" s="23">
        <v>0</v>
      </c>
      <c r="I382" s="18">
        <v>183.65</v>
      </c>
      <c r="J382" s="19">
        <v>60.3625</v>
      </c>
      <c r="K382" s="17">
        <v>0</v>
      </c>
      <c r="L382" s="20">
        <v>110.04</v>
      </c>
      <c r="M382" s="21">
        <f>=0</f>
        <v>0</v>
      </c>
      <c r="N382" s="16" t="s"/>
      <c r="O382" s="16" t="s"/>
    </row>
    <row r="383" spans="1:15">
      <c r="A383" s="24" t="s">
        <v>352</v>
      </c>
      <c r="B383" s="16" t="s">
        <v>361</v>
      </c>
      <c r="C383" s="16" t="s"/>
      <c r="D383" s="22">
        <v>0.679</v>
      </c>
      <c r="E383" s="22">
        <v>0.062</v>
      </c>
      <c r="F383" s="22">
        <v>0.34</v>
      </c>
      <c r="G383" s="22">
        <v>0.016</v>
      </c>
      <c r="H383" s="23">
        <v>1.11</v>
      </c>
      <c r="I383" s="18">
        <v>30.83</v>
      </c>
      <c r="J383" s="19">
        <v>8.4975</v>
      </c>
      <c r="K383" s="17">
        <v>0</v>
      </c>
      <c r="L383" s="20">
        <v>30.84</v>
      </c>
      <c r="M383" s="21">
        <f>=0</f>
        <v>0</v>
      </c>
      <c r="N383" s="16" t="s"/>
      <c r="O383" s="16" t="s"/>
    </row>
    <row r="384" spans="1:15">
      <c r="A384" s="24" t="s">
        <v>352</v>
      </c>
      <c r="B384" s="16" t="s">
        <v>362</v>
      </c>
      <c r="C384" s="16" t="s"/>
      <c r="D384" s="22">
        <v>2.197</v>
      </c>
      <c r="E384" s="22">
        <v>0.2</v>
      </c>
      <c r="F384" s="22">
        <v>1.944</v>
      </c>
      <c r="G384" s="22">
        <v>0.089</v>
      </c>
      <c r="H384" s="23">
        <v>1.38</v>
      </c>
      <c r="I384" s="18">
        <v>76.66</v>
      </c>
      <c r="J384" s="19">
        <v>21.0925</v>
      </c>
      <c r="K384" s="17">
        <v>0</v>
      </c>
      <c r="L384" s="20">
        <v>226.67</v>
      </c>
      <c r="M384" s="21">
        <f>=0</f>
        <v>0</v>
      </c>
      <c r="N384" s="16" t="s"/>
      <c r="O384" s="16" t="s"/>
    </row>
    <row r="385" spans="1:15">
      <c r="A385" s="24" t="s">
        <v>352</v>
      </c>
      <c r="B385" s="16" t="s">
        <v>363</v>
      </c>
      <c r="C385" s="16" t="s"/>
      <c r="D385" s="22">
        <v>6.809</v>
      </c>
      <c r="E385" s="22">
        <v>0.619</v>
      </c>
      <c r="F385" s="22">
        <v>2.42</v>
      </c>
      <c r="G385" s="22">
        <v>0.11</v>
      </c>
      <c r="H385" s="23">
        <v>0</v>
      </c>
      <c r="I385" s="18">
        <v>1002.96</v>
      </c>
      <c r="J385" s="19">
        <v>243.375</v>
      </c>
      <c r="K385" s="17">
        <v>0</v>
      </c>
      <c r="L385" s="20">
        <v>219.97</v>
      </c>
      <c r="M385" s="21">
        <f>=0</f>
        <v>0</v>
      </c>
      <c r="N385" s="16" t="s"/>
      <c r="O385" s="16" t="s"/>
    </row>
    <row r="386" spans="1:15">
      <c r="A386" s="24" t="s">
        <v>352</v>
      </c>
      <c r="B386" s="16" t="s">
        <v>364</v>
      </c>
      <c r="C386" s="16" t="s">
        <v>157</v>
      </c>
      <c r="D386" s="22">
        <v>20.122</v>
      </c>
      <c r="E386" s="22">
        <v>1.83</v>
      </c>
      <c r="F386" s="22">
        <v>1.064</v>
      </c>
      <c r="G386" s="22">
        <v>0.049</v>
      </c>
      <c r="H386" s="23">
        <v>0</v>
      </c>
      <c r="I386" s="18">
        <v>861.16</v>
      </c>
      <c r="J386" s="19">
        <v>0</v>
      </c>
      <c r="K386" s="17">
        <v>0</v>
      </c>
      <c r="L386" s="20">
        <v>596.67</v>
      </c>
      <c r="M386" s="21">
        <f>=0</f>
        <v>0</v>
      </c>
      <c r="N386" s="16" t="s"/>
      <c r="O386" s="16" t="s"/>
    </row>
    <row r="387" spans="1:15">
      <c r="A387" s="24" t="s">
        <v>352</v>
      </c>
      <c r="B387" s="16" t="s">
        <v>365</v>
      </c>
      <c r="C387" s="16" t="s"/>
      <c r="D387" s="22">
        <v>0.844</v>
      </c>
      <c r="E387" s="22">
        <v>0.077</v>
      </c>
      <c r="F387" s="22">
        <v>0.844</v>
      </c>
      <c r="G387" s="22">
        <v>0.039</v>
      </c>
      <c r="H387" s="23">
        <v>1.38</v>
      </c>
      <c r="I387" s="18">
        <v>76.66</v>
      </c>
      <c r="J387" s="19">
        <v>21.0925</v>
      </c>
      <c r="K387" s="17">
        <v>0</v>
      </c>
      <c r="L387" s="20">
        <v>38.34</v>
      </c>
      <c r="M387" s="21">
        <f>=0</f>
        <v>0</v>
      </c>
      <c r="N387" s="16" t="s"/>
      <c r="O387" s="16" t="s"/>
    </row>
    <row r="388" spans="1:15">
      <c r="A388" s="24" t="s">
        <v>352</v>
      </c>
      <c r="B388" s="16" t="s">
        <v>366</v>
      </c>
      <c r="C388" s="16" t="s">
        <v>75</v>
      </c>
      <c r="D388" s="22">
        <v>0</v>
      </c>
      <c r="E388" s="22">
        <v>0</v>
      </c>
      <c r="F388" s="22">
        <v>2.713</v>
      </c>
      <c r="G388" s="22">
        <v>0.124</v>
      </c>
      <c r="H388" s="23">
        <v>0</v>
      </c>
      <c r="I388" s="18">
        <v>0</v>
      </c>
      <c r="J388" s="19">
        <v>0</v>
      </c>
      <c r="K388" s="17">
        <v>0</v>
      </c>
      <c r="L388" s="20">
        <v>366.64</v>
      </c>
      <c r="M388" s="21">
        <f>=0</f>
        <v>0</v>
      </c>
      <c r="N388" s="16" t="s"/>
      <c r="O388" s="16" t="s"/>
    </row>
    <row r="389" spans="1:15">
      <c r="A389" s="24" t="s">
        <v>352</v>
      </c>
      <c r="B389" s="16" t="s">
        <v>366</v>
      </c>
      <c r="C389" s="16" t="s">
        <v>76</v>
      </c>
      <c r="D389" s="22">
        <v>0</v>
      </c>
      <c r="E389" s="22">
        <v>0</v>
      </c>
      <c r="F389" s="22">
        <v>3.428</v>
      </c>
      <c r="G389" s="22">
        <v>0.156</v>
      </c>
      <c r="H389" s="23">
        <v>0</v>
      </c>
      <c r="I389" s="18">
        <v>0</v>
      </c>
      <c r="J389" s="19">
        <v>0</v>
      </c>
      <c r="K389" s="17">
        <v>0</v>
      </c>
      <c r="L389" s="20">
        <v>416.64</v>
      </c>
      <c r="M389" s="21">
        <f>=0</f>
        <v>0</v>
      </c>
      <c r="N389" s="16" t="s"/>
      <c r="O389" s="16" t="s"/>
    </row>
    <row r="390" spans="1:15">
      <c r="A390" s="24" t="s">
        <v>352</v>
      </c>
      <c r="B390" s="16" t="s">
        <v>366</v>
      </c>
      <c r="C390" s="16" t="s">
        <v>77</v>
      </c>
      <c r="D390" s="22">
        <v>0</v>
      </c>
      <c r="E390" s="22">
        <v>0</v>
      </c>
      <c r="F390" s="22">
        <v>1.668</v>
      </c>
      <c r="G390" s="22">
        <v>0.076</v>
      </c>
      <c r="H390" s="23">
        <v>0</v>
      </c>
      <c r="I390" s="18">
        <v>0</v>
      </c>
      <c r="J390" s="19">
        <v>0</v>
      </c>
      <c r="K390" s="17">
        <v>0</v>
      </c>
      <c r="L390" s="20">
        <v>116.64</v>
      </c>
      <c r="M390" s="21">
        <f>=0</f>
        <v>0</v>
      </c>
      <c r="N390" s="16" t="s"/>
      <c r="O390" s="16" t="s"/>
    </row>
    <row r="391" spans="1:15">
      <c r="A391" s="24" t="s">
        <v>352</v>
      </c>
      <c r="B391" s="16" t="s">
        <v>367</v>
      </c>
      <c r="C391" s="16" t="s"/>
      <c r="D391" s="22">
        <v>3.276</v>
      </c>
      <c r="E391" s="22">
        <v>0.298</v>
      </c>
      <c r="F391" s="22">
        <v>2.824</v>
      </c>
      <c r="G391" s="22">
        <v>0.129</v>
      </c>
      <c r="H391" s="23">
        <v>0</v>
      </c>
      <c r="I391" s="18">
        <v>277.22</v>
      </c>
      <c r="J391" s="19">
        <v>93.1975</v>
      </c>
      <c r="K391" s="17">
        <v>0</v>
      </c>
      <c r="L391" s="20">
        <v>133.34</v>
      </c>
      <c r="M391" s="21">
        <f>=0</f>
        <v>0</v>
      </c>
      <c r="N391" s="16" t="s"/>
      <c r="O391" s="16" t="s"/>
    </row>
    <row r="392" spans="1:15" ht="18" customHeight="1">
      <c r="A392" s="24" t="s">
        <v>352</v>
      </c>
      <c r="B392" s="24" t="s">
        <v>368</v>
      </c>
      <c r="C392" s="24" t="s"/>
      <c r="D392" s="25">
        <v>1.999</v>
      </c>
      <c r="E392" s="25">
        <v>0.182</v>
      </c>
      <c r="F392" s="25">
        <v>1.999</v>
      </c>
      <c r="G392" s="25">
        <v>0.091</v>
      </c>
      <c r="H392" s="23">
        <v>0</v>
      </c>
      <c r="I392" s="27">
        <v>90.83</v>
      </c>
      <c r="J392" s="19">
        <v>24.9975</v>
      </c>
      <c r="K392" s="17">
        <v>0</v>
      </c>
      <c r="L392" s="20">
        <v>90.84</v>
      </c>
      <c r="M392" s="21">
        <v>0</v>
      </c>
      <c r="N392" s="16" t="s"/>
      <c r="O392" s="16" t="s"/>
    </row>
    <row r="393" spans="1:15">
      <c r="A393" s="24" t="s">
        <v>352</v>
      </c>
      <c r="B393" s="24" t="s">
        <v>369</v>
      </c>
      <c r="C393" s="24" t="s">
        <v>370</v>
      </c>
      <c r="D393" s="25">
        <v>1.75</v>
      </c>
      <c r="E393" s="25" t="s">
        <v>371</v>
      </c>
      <c r="F393" s="25">
        <v>0</v>
      </c>
      <c r="G393" s="25">
        <v>0</v>
      </c>
      <c r="H393" s="23">
        <v>0</v>
      </c>
      <c r="I393" s="27">
        <v>60</v>
      </c>
      <c r="J393" s="19">
        <v>0</v>
      </c>
      <c r="K393" s="17">
        <v>0</v>
      </c>
      <c r="L393" s="20">
        <v>0</v>
      </c>
      <c r="M393" s="21">
        <f>=0</f>
        <v>0</v>
      </c>
      <c r="N393" s="16" t="s"/>
      <c r="O393" s="16" t="s"/>
    </row>
    <row r="394" spans="1:15">
      <c r="A394" s="16" t="s">
        <v>372</v>
      </c>
      <c r="B394" s="16" t="s">
        <v>373</v>
      </c>
      <c r="C394" s="16" t="s">
        <v>62</v>
      </c>
      <c r="D394" s="22">
        <v>0.551</v>
      </c>
      <c r="E394" s="22">
        <v>0.051</v>
      </c>
      <c r="F394" s="22">
        <v>0.18</v>
      </c>
      <c r="G394" s="22">
        <v>0.009</v>
      </c>
      <c r="H394" s="23">
        <v>0.615</v>
      </c>
      <c r="I394" s="18">
        <v>0</v>
      </c>
      <c r="J394" s="19">
        <v>4.7025</v>
      </c>
      <c r="K394" s="17">
        <v>0</v>
      </c>
      <c r="L394" s="20">
        <v>17.08</v>
      </c>
      <c r="M394" s="21">
        <f>=0</f>
        <v>0</v>
      </c>
      <c r="N394" s="16" t="s"/>
      <c r="O394" s="16" t="s">
        <v>374</v>
      </c>
    </row>
    <row r="395" spans="1:15">
      <c r="A395" s="16" t="s">
        <v>372</v>
      </c>
      <c r="B395" s="16" t="s">
        <v>373</v>
      </c>
      <c r="C395" s="16" t="s">
        <v>63</v>
      </c>
      <c r="D395" s="22">
        <v>0.597</v>
      </c>
      <c r="E395" s="22">
        <v>0.055</v>
      </c>
      <c r="F395" s="22">
        <v>0.347</v>
      </c>
      <c r="G395" s="22">
        <v>0.016</v>
      </c>
      <c r="H395" s="23">
        <v>1.189</v>
      </c>
      <c r="I395" s="18">
        <v>0</v>
      </c>
      <c r="J395" s="19">
        <v>9.1025</v>
      </c>
      <c r="K395" s="17">
        <v>0</v>
      </c>
      <c r="L395" s="20">
        <v>33.02</v>
      </c>
      <c r="M395" s="21">
        <f>=0</f>
        <v>0</v>
      </c>
      <c r="N395" s="16" t="s"/>
      <c r="O395" s="16" t="s">
        <v>374</v>
      </c>
    </row>
    <row r="396" spans="1:15">
      <c r="A396" s="16" t="s">
        <v>372</v>
      </c>
      <c r="B396" s="16" t="s">
        <v>373</v>
      </c>
      <c r="C396" s="16" t="s">
        <v>64</v>
      </c>
      <c r="D396" s="22">
        <v>1.248</v>
      </c>
      <c r="E396" s="22">
        <v>0.114</v>
      </c>
      <c r="F396" s="22">
        <v>0.716</v>
      </c>
      <c r="G396" s="22">
        <v>0.033</v>
      </c>
      <c r="H396" s="23">
        <v>2.454</v>
      </c>
      <c r="I396" s="18">
        <v>64.6</v>
      </c>
      <c r="J396" s="19">
        <v>18.755</v>
      </c>
      <c r="K396" s="17">
        <v>0</v>
      </c>
      <c r="L396" s="20">
        <v>68.17</v>
      </c>
      <c r="M396" s="21">
        <f>=0</f>
        <v>0</v>
      </c>
      <c r="N396" s="16" t="s"/>
      <c r="O396" s="16" t="s">
        <v>374</v>
      </c>
    </row>
    <row r="397" spans="1:15">
      <c r="A397" s="16" t="s">
        <v>372</v>
      </c>
      <c r="B397" s="16" t="s">
        <v>373</v>
      </c>
      <c r="C397" s="16" t="s">
        <v>65</v>
      </c>
      <c r="D397" s="22">
        <v>1.863</v>
      </c>
      <c r="E397" s="22">
        <v>0.17</v>
      </c>
      <c r="F397" s="22">
        <v>1.072</v>
      </c>
      <c r="G397" s="22">
        <v>0.049</v>
      </c>
      <c r="H397" s="23">
        <v>4.081</v>
      </c>
      <c r="I397" s="18">
        <v>0</v>
      </c>
      <c r="J397" s="19">
        <v>31.185</v>
      </c>
      <c r="K397" s="17">
        <v>0</v>
      </c>
      <c r="L397" s="20">
        <v>113.35</v>
      </c>
      <c r="M397" s="21">
        <f>=0</f>
        <v>0</v>
      </c>
      <c r="N397" s="16" t="s"/>
      <c r="O397" s="16" t="s">
        <v>374</v>
      </c>
    </row>
    <row r="398" spans="1:15">
      <c r="A398" s="16" t="s">
        <v>372</v>
      </c>
      <c r="B398" s="16" t="s">
        <v>375</v>
      </c>
      <c r="C398" s="16" t="s"/>
      <c r="D398" s="22">
        <v>0.421</v>
      </c>
      <c r="E398" s="22">
        <v>0.039</v>
      </c>
      <c r="F398" s="22">
        <v>0.421</v>
      </c>
      <c r="G398" s="22">
        <v>0.02</v>
      </c>
      <c r="H398" s="23">
        <v>0</v>
      </c>
      <c r="I398" s="18">
        <v>70.03</v>
      </c>
      <c r="J398" s="19">
        <v>11.0275</v>
      </c>
      <c r="K398" s="17">
        <v>0</v>
      </c>
      <c r="L398" s="20">
        <v>20.02</v>
      </c>
      <c r="M398" s="21">
        <f>=0</f>
        <v>0</v>
      </c>
      <c r="N398" s="16" t="s"/>
      <c r="O398" s="16" t="s"/>
    </row>
    <row r="399" spans="1:15">
      <c r="A399" s="16" t="s">
        <v>372</v>
      </c>
      <c r="B399" s="16" t="s">
        <v>376</v>
      </c>
      <c r="C399" s="16" t="s">
        <v>377</v>
      </c>
      <c r="D399" s="22">
        <v>1.669</v>
      </c>
      <c r="E399" s="22">
        <v>0.152</v>
      </c>
      <c r="F399" s="22">
        <v>1.342</v>
      </c>
      <c r="G399" s="22">
        <v>0.061</v>
      </c>
      <c r="H399" s="23">
        <v>0</v>
      </c>
      <c r="I399" s="18">
        <v>143.34</v>
      </c>
      <c r="J399" s="19">
        <v>52.305</v>
      </c>
      <c r="K399" s="17">
        <v>0</v>
      </c>
      <c r="L399" s="20">
        <v>34.17</v>
      </c>
      <c r="M399" s="21">
        <f>=0</f>
        <v>0</v>
      </c>
      <c r="N399" s="16" t="s"/>
      <c r="O399" s="16" t="s"/>
    </row>
    <row r="400" spans="1:15">
      <c r="A400" s="16" t="s">
        <v>372</v>
      </c>
      <c r="B400" s="16" t="s">
        <v>378</v>
      </c>
      <c r="C400" s="16" t="s"/>
      <c r="D400" s="22">
        <v>0.333</v>
      </c>
      <c r="E400" s="22">
        <v>0.031</v>
      </c>
      <c r="F400" s="22">
        <v>0.167</v>
      </c>
      <c r="G400" s="22">
        <v>0.008</v>
      </c>
      <c r="H400" s="23">
        <v>0.571</v>
      </c>
      <c r="I400" s="18">
        <v>0</v>
      </c>
      <c r="J400" s="19">
        <v>4.3725</v>
      </c>
      <c r="K400" s="17">
        <v>0</v>
      </c>
      <c r="L400" s="20">
        <v>15.86</v>
      </c>
      <c r="M400" s="21">
        <f>=0</f>
        <v>0</v>
      </c>
      <c r="N400" s="16" t="s"/>
      <c r="O400" s="16" t="s">
        <v>374</v>
      </c>
    </row>
    <row r="401" spans="1:15">
      <c r="A401" s="16" t="s">
        <v>372</v>
      </c>
      <c r="B401" s="16" t="s">
        <v>379</v>
      </c>
      <c r="C401" s="16" t="s"/>
      <c r="D401" s="22">
        <v>1.642</v>
      </c>
      <c r="E401" s="22">
        <v>0.15</v>
      </c>
      <c r="F401" s="22">
        <v>1.505</v>
      </c>
      <c r="G401" s="22">
        <v>0.069</v>
      </c>
      <c r="H401" s="23">
        <v>1.56</v>
      </c>
      <c r="I401" s="18">
        <v>43.33</v>
      </c>
      <c r="J401" s="19">
        <v>11.935</v>
      </c>
      <c r="K401" s="17">
        <v>0</v>
      </c>
      <c r="L401" s="20">
        <v>193.34</v>
      </c>
      <c r="M401" s="21">
        <f>=0</f>
        <v>0</v>
      </c>
      <c r="N401" s="16" t="s"/>
      <c r="O401" s="16" t="s">
        <v>374</v>
      </c>
    </row>
    <row r="402" spans="1:15">
      <c r="A402" s="16" t="s">
        <v>372</v>
      </c>
      <c r="B402" s="16" t="s">
        <v>380</v>
      </c>
      <c r="C402" s="16" t="s"/>
      <c r="D402" s="22">
        <v>5.713</v>
      </c>
      <c r="E402" s="22">
        <v>0.52</v>
      </c>
      <c r="F402" s="22">
        <v>1.523</v>
      </c>
      <c r="G402" s="22">
        <v>0.07</v>
      </c>
      <c r="H402" s="23">
        <v>0</v>
      </c>
      <c r="I402" s="18">
        <v>344.5</v>
      </c>
      <c r="J402" s="19">
        <v>222.7775</v>
      </c>
      <c r="K402" s="17">
        <v>0</v>
      </c>
      <c r="L402" s="20">
        <v>145.01</v>
      </c>
      <c r="M402" s="21">
        <f>=0</f>
        <v>0</v>
      </c>
      <c r="N402" s="16" t="s"/>
      <c r="O402" s="16" t="s"/>
    </row>
    <row r="403" spans="1:15">
      <c r="A403" s="16" t="s">
        <v>372</v>
      </c>
      <c r="B403" s="16" t="s">
        <v>381</v>
      </c>
      <c r="C403" s="16" t="s"/>
      <c r="D403" s="22">
        <v>14.788</v>
      </c>
      <c r="E403" s="22">
        <v>1.345</v>
      </c>
      <c r="F403" s="22">
        <v>1.331</v>
      </c>
      <c r="G403" s="22">
        <v>0.061</v>
      </c>
      <c r="H403" s="23">
        <v>0</v>
      </c>
      <c r="I403" s="18">
        <v>895.7</v>
      </c>
      <c r="J403" s="19">
        <v>0</v>
      </c>
      <c r="K403" s="17">
        <v>0</v>
      </c>
      <c r="L403" s="20">
        <v>626.7</v>
      </c>
      <c r="M403" s="21">
        <f>=0</f>
        <v>0</v>
      </c>
      <c r="N403" s="16" t="s"/>
      <c r="O403" s="16" t="s"/>
    </row>
    <row r="404" spans="1:15">
      <c r="A404" s="16" t="s">
        <v>372</v>
      </c>
      <c r="B404" s="16" t="s">
        <v>382</v>
      </c>
      <c r="C404" s="16" t="s"/>
      <c r="D404" s="22">
        <v>0.455</v>
      </c>
      <c r="E404" s="22">
        <v>0.042</v>
      </c>
      <c r="F404" s="22">
        <v>0.455</v>
      </c>
      <c r="G404" s="22">
        <v>0.021</v>
      </c>
      <c r="H404" s="23">
        <v>1.56</v>
      </c>
      <c r="I404" s="18">
        <v>43.33</v>
      </c>
      <c r="J404" s="19">
        <v>11.935</v>
      </c>
      <c r="K404" s="17">
        <v>0</v>
      </c>
      <c r="L404" s="20">
        <v>21.67</v>
      </c>
      <c r="M404" s="21">
        <f>=0</f>
        <v>0</v>
      </c>
      <c r="N404" s="16" t="s"/>
      <c r="O404" s="16" t="s">
        <v>374</v>
      </c>
    </row>
    <row r="405" spans="1:15">
      <c r="A405" s="16" t="s">
        <v>372</v>
      </c>
      <c r="B405" s="16" t="s">
        <v>383</v>
      </c>
      <c r="C405" s="16" t="s"/>
      <c r="D405" s="22">
        <v>3.593</v>
      </c>
      <c r="E405" s="22">
        <v>0.327</v>
      </c>
      <c r="F405" s="22">
        <v>3.128</v>
      </c>
      <c r="G405" s="22">
        <v>0.143</v>
      </c>
      <c r="H405" s="23">
        <v>0</v>
      </c>
      <c r="I405" s="18">
        <v>320.01</v>
      </c>
      <c r="J405" s="19">
        <v>106.2875</v>
      </c>
      <c r="K405" s="17">
        <v>0</v>
      </c>
      <c r="L405" s="20">
        <v>165.04</v>
      </c>
      <c r="M405" s="21">
        <f>=0</f>
        <v>0</v>
      </c>
      <c r="N405" s="16" t="s"/>
      <c r="O405" s="16" t="s"/>
    </row>
    <row r="406" spans="1:15">
      <c r="A406" s="16" t="s">
        <v>372</v>
      </c>
      <c r="B406" s="16" t="s">
        <v>373</v>
      </c>
      <c r="C406" s="16" t="s">
        <v>384</v>
      </c>
      <c r="D406" s="22">
        <v>0.403</v>
      </c>
      <c r="E406" s="22">
        <v>0.037</v>
      </c>
      <c r="F406" s="22">
        <v>0.403</v>
      </c>
      <c r="G406" s="22">
        <v>0.019</v>
      </c>
      <c r="H406" s="23">
        <v>1.38</v>
      </c>
      <c r="I406" s="18">
        <v>0</v>
      </c>
      <c r="J406" s="19">
        <v>10.56</v>
      </c>
      <c r="K406" s="17">
        <v>0</v>
      </c>
      <c r="L406" s="20">
        <v>38.34</v>
      </c>
      <c r="M406" s="21">
        <f>=0</f>
        <v>0</v>
      </c>
      <c r="N406" s="16" t="s"/>
      <c r="O406" s="16" t="s">
        <v>374</v>
      </c>
    </row>
    <row r="407" spans="1:15">
      <c r="A407" s="16" t="s">
        <v>372</v>
      </c>
      <c r="B407" s="16" t="s">
        <v>385</v>
      </c>
      <c r="C407" s="16" t="s"/>
      <c r="D407" s="22">
        <v>5.634</v>
      </c>
      <c r="E407" s="22">
        <v>0.513</v>
      </c>
      <c r="F407" s="22">
        <v>5.128</v>
      </c>
      <c r="G407" s="22">
        <v>0.234</v>
      </c>
      <c r="H407" s="23">
        <v>0</v>
      </c>
      <c r="I407" s="18">
        <v>488.33</v>
      </c>
      <c r="J407" s="19">
        <v>134.31</v>
      </c>
      <c r="K407" s="17">
        <v>0</v>
      </c>
      <c r="L407" s="20">
        <v>488.34</v>
      </c>
      <c r="M407" s="21">
        <v>0</v>
      </c>
      <c r="N407" s="16" t="s"/>
      <c r="O407" s="16" t="s">
        <v>374</v>
      </c>
    </row>
    <row r="408" spans="1:15" ht="18" customHeight="1">
      <c r="A408" s="16" t="s">
        <v>372</v>
      </c>
      <c r="B408" s="16" t="s">
        <v>386</v>
      </c>
      <c r="D408" s="22">
        <v>0.42</v>
      </c>
      <c r="E408" s="22">
        <v>0.039</v>
      </c>
      <c r="F408" s="22">
        <v>0</v>
      </c>
      <c r="G408" s="22">
        <v>0</v>
      </c>
      <c r="H408" s="23">
        <v>0</v>
      </c>
      <c r="I408" s="18">
        <v>0</v>
      </c>
      <c r="J408" s="19">
        <v>0</v>
      </c>
      <c r="K408" s="17">
        <v>0</v>
      </c>
      <c r="L408" s="20">
        <v>0</v>
      </c>
      <c r="M408" s="21">
        <v>0</v>
      </c>
      <c r="N408" s="16" t="s"/>
      <c r="O408" s="16" t="s">
        <v>374</v>
      </c>
    </row>
    <row r="409" spans="1:15">
      <c r="A409" s="16" t="s">
        <v>372</v>
      </c>
      <c r="B409" s="16" t="s">
        <v>387</v>
      </c>
      <c r="D409" s="22">
        <v>0.875</v>
      </c>
      <c r="E409" s="22">
        <v>0.08</v>
      </c>
      <c r="F409" s="22">
        <v>0</v>
      </c>
      <c r="G409" s="22">
        <v>0</v>
      </c>
      <c r="H409" s="23">
        <v>0</v>
      </c>
      <c r="I409" s="18">
        <v>0</v>
      </c>
      <c r="J409" s="19">
        <v>0</v>
      </c>
      <c r="K409" s="17">
        <v>0</v>
      </c>
      <c r="L409" s="20">
        <v>0</v>
      </c>
      <c r="M409" s="21">
        <v>0</v>
      </c>
      <c r="N409" s="16" t="s"/>
      <c r="O409" s="16" t="s"/>
    </row>
    <row r="410" spans="1:15">
      <c r="A410" s="16" t="s">
        <v>388</v>
      </c>
      <c r="B410" s="16" t="s">
        <v>389</v>
      </c>
      <c r="C410" s="16" t="s">
        <v>62</v>
      </c>
      <c r="D410" s="22">
        <v>0.488</v>
      </c>
      <c r="E410" s="22">
        <v>0.045</v>
      </c>
      <c r="F410" s="22">
        <v>0.244</v>
      </c>
      <c r="G410" s="22">
        <v>0.012</v>
      </c>
      <c r="H410" s="23">
        <v>0.679</v>
      </c>
      <c r="I410" s="18">
        <v>0</v>
      </c>
      <c r="J410" s="19">
        <v>6.105</v>
      </c>
      <c r="K410" s="17">
        <v>0</v>
      </c>
      <c r="L410" s="20">
        <v>22.18</v>
      </c>
      <c r="M410" s="21">
        <f>=0</f>
        <v>0</v>
      </c>
      <c r="N410" s="16" t="s"/>
      <c r="O410" s="16" t="s"/>
    </row>
    <row r="411" spans="1:15">
      <c r="A411" s="16" t="s">
        <v>388</v>
      </c>
      <c r="B411" s="16" t="s">
        <v>389</v>
      </c>
      <c r="C411" s="16" t="s">
        <v>63</v>
      </c>
      <c r="D411" s="22">
        <v>1.111</v>
      </c>
      <c r="E411" s="22">
        <v>0.101</v>
      </c>
      <c r="F411" s="22">
        <v>0.868</v>
      </c>
      <c r="G411" s="22">
        <v>0.04</v>
      </c>
      <c r="H411" s="23">
        <v>2.415</v>
      </c>
      <c r="I411" s="18">
        <v>0</v>
      </c>
      <c r="J411" s="19">
        <v>21.6975</v>
      </c>
      <c r="K411" s="17">
        <v>0</v>
      </c>
      <c r="L411" s="20">
        <v>78.9</v>
      </c>
      <c r="M411" s="21">
        <f>=0</f>
        <v>0</v>
      </c>
      <c r="N411" s="16" t="s"/>
      <c r="O411" s="16" t="s"/>
    </row>
    <row r="412" spans="1:15">
      <c r="A412" s="16" t="s">
        <v>388</v>
      </c>
      <c r="B412" s="16" t="s">
        <v>389</v>
      </c>
      <c r="C412" s="16" t="s">
        <v>64</v>
      </c>
      <c r="D412" s="22">
        <v>2.973</v>
      </c>
      <c r="E412" s="22">
        <v>0.271</v>
      </c>
      <c r="F412" s="22">
        <v>2.404</v>
      </c>
      <c r="G412" s="22">
        <v>0.11</v>
      </c>
      <c r="H412" s="23">
        <v>6.688</v>
      </c>
      <c r="I412" s="18">
        <v>0</v>
      </c>
      <c r="J412" s="19">
        <v>60.115</v>
      </c>
      <c r="K412" s="17">
        <v>0</v>
      </c>
      <c r="L412" s="20">
        <v>218.54</v>
      </c>
      <c r="M412" s="21">
        <f>=0</f>
        <v>0</v>
      </c>
      <c r="N412" s="16" t="s"/>
      <c r="O412" s="16" t="s"/>
    </row>
    <row r="413" spans="1:15">
      <c r="A413" s="16" t="s">
        <v>388</v>
      </c>
      <c r="B413" s="16" t="s">
        <v>390</v>
      </c>
      <c r="C413" s="16" t="s">
        <v>62</v>
      </c>
      <c r="D413" s="22">
        <v>0.996</v>
      </c>
      <c r="E413" s="22">
        <v>0.091</v>
      </c>
      <c r="F413" s="22">
        <v>0.488</v>
      </c>
      <c r="G413" s="22">
        <v>0.023</v>
      </c>
      <c r="H413" s="23">
        <v>1.358</v>
      </c>
      <c r="I413" s="18">
        <v>44.35</v>
      </c>
      <c r="J413" s="19">
        <v>12.21</v>
      </c>
      <c r="K413" s="17">
        <v>0</v>
      </c>
      <c r="L413" s="20">
        <v>44.36</v>
      </c>
      <c r="M413" s="21">
        <f>=0</f>
        <v>0</v>
      </c>
      <c r="N413" s="16" t="s"/>
      <c r="O413" s="16" t="s"/>
    </row>
    <row r="414" spans="1:15">
      <c r="A414" s="16" t="s">
        <v>388</v>
      </c>
      <c r="B414" s="16" t="s">
        <v>390</v>
      </c>
      <c r="C414" s="16" t="s">
        <v>63</v>
      </c>
      <c r="D414" s="22">
        <v>1.84</v>
      </c>
      <c r="E414" s="22">
        <v>0.168</v>
      </c>
      <c r="F414" s="22">
        <v>0.902</v>
      </c>
      <c r="G414" s="22">
        <v>0.041</v>
      </c>
      <c r="H414" s="23">
        <v>2.509</v>
      </c>
      <c r="I414" s="18">
        <v>81.99</v>
      </c>
      <c r="J414" s="19">
        <v>22.55</v>
      </c>
      <c r="K414" s="17">
        <v>0</v>
      </c>
      <c r="L414" s="20">
        <v>82</v>
      </c>
      <c r="M414" s="21">
        <f>=0</f>
        <v>0</v>
      </c>
      <c r="N414" s="16" t="s"/>
      <c r="O414" s="16" t="s"/>
    </row>
    <row r="415" spans="1:15">
      <c r="A415" s="16" t="s">
        <v>388</v>
      </c>
      <c r="B415" s="16" t="s">
        <v>390</v>
      </c>
      <c r="C415" s="16" t="s">
        <v>64</v>
      </c>
      <c r="D415" s="22">
        <v>4.962</v>
      </c>
      <c r="E415" s="22">
        <v>0.452</v>
      </c>
      <c r="F415" s="22">
        <v>2.455</v>
      </c>
      <c r="G415" s="22">
        <v>0.112</v>
      </c>
      <c r="H415" s="23">
        <v>6.428</v>
      </c>
      <c r="I415" s="18">
        <v>223.17</v>
      </c>
      <c r="J415" s="19">
        <v>61.38</v>
      </c>
      <c r="K415" s="17">
        <v>0</v>
      </c>
      <c r="L415" s="20">
        <v>223.18</v>
      </c>
      <c r="M415" s="21">
        <f>=0</f>
        <v>0</v>
      </c>
      <c r="N415" s="16" t="s"/>
      <c r="O415" s="16" t="s"/>
    </row>
    <row r="416" spans="1:15">
      <c r="A416" s="16" t="s">
        <v>388</v>
      </c>
      <c r="B416" s="16" t="s">
        <v>391</v>
      </c>
      <c r="C416" s="16" t="s">
        <v>152</v>
      </c>
      <c r="D416" s="22">
        <v>0.623</v>
      </c>
      <c r="E416" s="22">
        <v>0.057</v>
      </c>
      <c r="F416" s="22">
        <v>0.623</v>
      </c>
      <c r="G416" s="22">
        <v>0.029</v>
      </c>
      <c r="H416" s="23">
        <v>2.038</v>
      </c>
      <c r="I416" s="18">
        <v>56.59</v>
      </c>
      <c r="J416" s="19">
        <v>15.565</v>
      </c>
      <c r="K416" s="17">
        <v>0</v>
      </c>
      <c r="L416" s="20">
        <v>56.6</v>
      </c>
      <c r="M416" s="21">
        <f>=0</f>
        <v>0</v>
      </c>
      <c r="N416" s="16" t="s"/>
      <c r="O416" s="16" t="s"/>
    </row>
    <row r="417" spans="1:15">
      <c r="A417" s="16" t="s">
        <v>388</v>
      </c>
      <c r="B417" s="16" t="s">
        <v>391</v>
      </c>
      <c r="C417" s="16" t="s">
        <v>392</v>
      </c>
      <c r="D417" s="22">
        <v>1.276</v>
      </c>
      <c r="E417" s="22">
        <v>0.116</v>
      </c>
      <c r="F417" s="22">
        <v>0.982</v>
      </c>
      <c r="G417" s="22">
        <v>0.045</v>
      </c>
      <c r="H417" s="23">
        <v>3.211</v>
      </c>
      <c r="I417" s="18">
        <v>89.19</v>
      </c>
      <c r="J417" s="19">
        <v>24.53</v>
      </c>
      <c r="K417" s="17">
        <v>0</v>
      </c>
      <c r="L417" s="20">
        <v>89.2</v>
      </c>
      <c r="M417" s="21">
        <f>=0</f>
        <v>0</v>
      </c>
      <c r="N417" s="16" t="s"/>
      <c r="O417" s="16" t="s"/>
    </row>
    <row r="418" spans="1:15">
      <c r="A418" s="16" t="s">
        <v>388</v>
      </c>
      <c r="B418" s="16" t="s">
        <v>391</v>
      </c>
      <c r="C418" s="16" t="s">
        <v>393</v>
      </c>
      <c r="D418" s="22">
        <v>1.582</v>
      </c>
      <c r="E418" s="22">
        <v>0.144</v>
      </c>
      <c r="F418" s="22">
        <v>1.217</v>
      </c>
      <c r="G418" s="22">
        <v>0.056</v>
      </c>
      <c r="H418" s="23">
        <v>3.981</v>
      </c>
      <c r="I418" s="18">
        <v>110.56</v>
      </c>
      <c r="J418" s="19">
        <v>30.415</v>
      </c>
      <c r="K418" s="17">
        <v>0</v>
      </c>
      <c r="L418" s="20">
        <v>110.57</v>
      </c>
      <c r="M418" s="21">
        <f>=0</f>
        <v>0</v>
      </c>
      <c r="N418" s="16" t="s"/>
      <c r="O418" s="16" t="s"/>
    </row>
    <row r="419" spans="1:15">
      <c r="A419" s="16" t="s">
        <v>388</v>
      </c>
      <c r="B419" s="16" t="s">
        <v>394</v>
      </c>
      <c r="C419" s="16" t="s"/>
      <c r="D419" s="22">
        <v>0.505</v>
      </c>
      <c r="E419" s="22">
        <v>0.046</v>
      </c>
      <c r="F419" s="22">
        <v>0.505</v>
      </c>
      <c r="G419" s="22">
        <v>0.023</v>
      </c>
      <c r="H419" s="23">
        <v>0</v>
      </c>
      <c r="I419" s="18">
        <v>45.84</v>
      </c>
      <c r="J419" s="19">
        <v>12.6225</v>
      </c>
      <c r="K419" s="17">
        <v>0</v>
      </c>
      <c r="L419" s="20">
        <v>45.85</v>
      </c>
      <c r="M419" s="21">
        <f>=0</f>
        <v>0</v>
      </c>
      <c r="N419" s="16" t="s"/>
      <c r="O419" s="16" t="s"/>
    </row>
    <row r="420" spans="1:15">
      <c r="A420" s="16" t="s">
        <v>388</v>
      </c>
      <c r="B420" s="16" t="s">
        <v>395</v>
      </c>
      <c r="C420" s="16" t="s"/>
      <c r="D420" s="22">
        <v>3.772</v>
      </c>
      <c r="E420" s="22">
        <v>0.343</v>
      </c>
      <c r="F420" s="22">
        <v>4.051</v>
      </c>
      <c r="G420" s="22">
        <v>0.185</v>
      </c>
      <c r="H420" s="23">
        <v>0</v>
      </c>
      <c r="I420" s="18">
        <v>403.73</v>
      </c>
      <c r="J420" s="19">
        <v>140.36</v>
      </c>
      <c r="K420" s="17">
        <v>0</v>
      </c>
      <c r="L420" s="20">
        <v>155.04</v>
      </c>
      <c r="M420" s="21">
        <f>=0</f>
        <v>0</v>
      </c>
      <c r="N420" s="16" t="s"/>
      <c r="O420" s="16" t="s"/>
    </row>
    <row r="421" spans="1:15">
      <c r="A421" s="16" t="s">
        <v>388</v>
      </c>
      <c r="B421" s="16" t="s">
        <v>396</v>
      </c>
      <c r="C421" s="16" t="s"/>
      <c r="D421" s="22">
        <v>5.533</v>
      </c>
      <c r="E421" s="22">
        <v>0.503</v>
      </c>
      <c r="F421" s="22">
        <v>3.717</v>
      </c>
      <c r="G421" s="22">
        <v>0.169</v>
      </c>
      <c r="H421" s="23">
        <v>0</v>
      </c>
      <c r="I421" s="18">
        <v>372.19</v>
      </c>
      <c r="J421" s="19">
        <v>130.7075</v>
      </c>
      <c r="K421" s="17">
        <v>0</v>
      </c>
      <c r="L421" s="20">
        <v>131.67</v>
      </c>
      <c r="M421" s="21">
        <f>=0</f>
        <v>0</v>
      </c>
      <c r="N421" s="16" t="s"/>
      <c r="O421" s="16" t="s"/>
    </row>
    <row r="422" spans="1:15">
      <c r="A422" s="16" t="s">
        <v>388</v>
      </c>
      <c r="B422" s="16" t="s">
        <v>397</v>
      </c>
      <c r="C422" s="16" t="s"/>
      <c r="D422" s="22">
        <v>0.77</v>
      </c>
      <c r="E422" s="22">
        <v>0.07</v>
      </c>
      <c r="F422" s="22">
        <v>0.385</v>
      </c>
      <c r="G422" s="22">
        <v>0.018</v>
      </c>
      <c r="H422" s="23">
        <v>1.26</v>
      </c>
      <c r="I422" s="18">
        <v>0</v>
      </c>
      <c r="J422" s="19">
        <v>9.625</v>
      </c>
      <c r="K422" s="17">
        <v>0</v>
      </c>
      <c r="L422" s="20">
        <v>34.99</v>
      </c>
      <c r="M422" s="21">
        <f>=0</f>
        <v>0</v>
      </c>
      <c r="N422" s="16" t="s"/>
      <c r="O422" s="16" t="s"/>
    </row>
    <row r="423" spans="1:15">
      <c r="A423" s="16" t="s">
        <v>388</v>
      </c>
      <c r="B423" s="16" t="s">
        <v>398</v>
      </c>
      <c r="C423" s="16" t="s"/>
      <c r="D423" s="22">
        <v>1.457</v>
      </c>
      <c r="E423" s="22">
        <v>0.133</v>
      </c>
      <c r="F423" s="22">
        <v>0.788</v>
      </c>
      <c r="G423" s="22">
        <v>0.036</v>
      </c>
      <c r="H423" s="23">
        <v>2.579</v>
      </c>
      <c r="I423" s="18">
        <v>71.63</v>
      </c>
      <c r="J423" s="19">
        <v>19.7175</v>
      </c>
      <c r="K423" s="17">
        <v>0</v>
      </c>
      <c r="L423" s="20">
        <v>35.82</v>
      </c>
      <c r="M423" s="21">
        <f>=0</f>
        <v>0</v>
      </c>
      <c r="N423" s="16" t="s"/>
      <c r="O423" s="16" t="s"/>
    </row>
    <row r="424" spans="1:15">
      <c r="A424" s="16" t="s">
        <v>388</v>
      </c>
      <c r="B424" s="16" t="s">
        <v>399</v>
      </c>
      <c r="C424" s="16" t="s"/>
      <c r="D424" s="22">
        <v>1.526</v>
      </c>
      <c r="E424" s="22">
        <v>0.139</v>
      </c>
      <c r="F424" s="22">
        <v>2.274</v>
      </c>
      <c r="G424" s="22">
        <v>0.104</v>
      </c>
      <c r="H424" s="23">
        <v>3.842</v>
      </c>
      <c r="I424" s="18">
        <v>106.7</v>
      </c>
      <c r="J424" s="19">
        <v>29.37</v>
      </c>
      <c r="K424" s="17">
        <v>0</v>
      </c>
      <c r="L424" s="20">
        <v>256.71</v>
      </c>
      <c r="M424" s="21">
        <f>=0</f>
        <v>0</v>
      </c>
      <c r="N424" s="16" t="s"/>
      <c r="O424" s="16" t="s"/>
    </row>
    <row r="425" spans="1:15">
      <c r="A425" s="16" t="s">
        <v>388</v>
      </c>
      <c r="B425" s="16" t="s">
        <v>400</v>
      </c>
      <c r="C425" s="16" t="s"/>
      <c r="D425" s="22">
        <v>7.946</v>
      </c>
      <c r="E425" s="22">
        <v>0.723</v>
      </c>
      <c r="F425" s="22">
        <v>3.557</v>
      </c>
      <c r="G425" s="22">
        <v>0.162</v>
      </c>
      <c r="H425" s="23">
        <v>0</v>
      </c>
      <c r="I425" s="18">
        <v>522.83</v>
      </c>
      <c r="J425" s="19">
        <v>271.81</v>
      </c>
      <c r="K425" s="17">
        <v>0</v>
      </c>
      <c r="L425" s="20">
        <v>323.34</v>
      </c>
      <c r="M425" s="21">
        <f>=0</f>
        <v>0</v>
      </c>
      <c r="N425" s="16" t="s"/>
      <c r="O425" s="16" t="s"/>
    </row>
    <row r="426" spans="1:15">
      <c r="A426" s="16" t="s">
        <v>388</v>
      </c>
      <c r="B426" s="16" t="s">
        <v>401</v>
      </c>
      <c r="C426" s="16" t="s"/>
      <c r="D426" s="22">
        <v>18.908</v>
      </c>
      <c r="E426" s="22">
        <v>1.719</v>
      </c>
      <c r="F426" s="22">
        <v>1.852</v>
      </c>
      <c r="G426" s="22">
        <v>0.085</v>
      </c>
      <c r="H426" s="23">
        <v>0</v>
      </c>
      <c r="I426" s="18">
        <v>168.33</v>
      </c>
      <c r="J426" s="19">
        <v>0</v>
      </c>
      <c r="K426" s="17">
        <v>0</v>
      </c>
      <c r="L426" s="20">
        <v>668.34</v>
      </c>
      <c r="M426" s="21">
        <f>=0</f>
        <v>0</v>
      </c>
      <c r="N426" s="16" t="s"/>
      <c r="O426" s="16" t="s"/>
    </row>
    <row r="427" spans="1:15">
      <c r="A427" s="16" t="s">
        <v>388</v>
      </c>
      <c r="B427" s="16" t="s">
        <v>402</v>
      </c>
      <c r="C427" s="16" t="s"/>
      <c r="D427" s="22">
        <v>1.211</v>
      </c>
      <c r="E427" s="22">
        <v>0.111</v>
      </c>
      <c r="F427" s="22">
        <v>1.211</v>
      </c>
      <c r="G427" s="22">
        <v>0.056</v>
      </c>
      <c r="H427" s="23">
        <v>3.962</v>
      </c>
      <c r="I427" s="18">
        <v>110.03</v>
      </c>
      <c r="J427" s="19">
        <v>30.2775</v>
      </c>
      <c r="K427" s="17">
        <v>0</v>
      </c>
      <c r="L427" s="20">
        <v>55.02</v>
      </c>
      <c r="M427" s="21">
        <f>=0</f>
        <v>0</v>
      </c>
      <c r="N427" s="16" t="s"/>
      <c r="O427" s="16" t="s"/>
    </row>
    <row r="428" spans="1:15">
      <c r="A428" s="16" t="s">
        <v>388</v>
      </c>
      <c r="B428" s="16" t="s">
        <v>403</v>
      </c>
      <c r="C428" s="16" t="s">
        <v>75</v>
      </c>
      <c r="D428" s="22">
        <v>0</v>
      </c>
      <c r="E428" s="22">
        <v>0</v>
      </c>
      <c r="F428" s="22">
        <v>2.713</v>
      </c>
      <c r="G428" s="22">
        <v>0.124</v>
      </c>
      <c r="H428" s="23">
        <v>0</v>
      </c>
      <c r="I428" s="18">
        <v>0</v>
      </c>
      <c r="J428" s="19">
        <v>0</v>
      </c>
      <c r="K428" s="17">
        <v>0</v>
      </c>
      <c r="L428" s="20">
        <v>366.64</v>
      </c>
      <c r="M428" s="21">
        <f>=0</f>
        <v>0</v>
      </c>
      <c r="N428" s="16" t="s"/>
      <c r="O428" s="16" t="s"/>
    </row>
    <row r="429" spans="1:15">
      <c r="A429" s="16" t="s">
        <v>388</v>
      </c>
      <c r="B429" s="16" t="s">
        <v>403</v>
      </c>
      <c r="C429" s="16" t="s">
        <v>76</v>
      </c>
      <c r="D429" s="22">
        <v>0</v>
      </c>
      <c r="E429" s="22">
        <v>0</v>
      </c>
      <c r="F429" s="22">
        <v>3.428</v>
      </c>
      <c r="G429" s="22">
        <v>0.156</v>
      </c>
      <c r="H429" s="23">
        <v>0</v>
      </c>
      <c r="I429" s="18">
        <v>0</v>
      </c>
      <c r="J429" s="19">
        <v>0</v>
      </c>
      <c r="K429" s="17">
        <v>0</v>
      </c>
      <c r="L429" s="20">
        <v>416.64</v>
      </c>
      <c r="M429" s="21">
        <f>=0</f>
        <v>0</v>
      </c>
      <c r="N429" s="16" t="s"/>
      <c r="O429" s="16" t="s"/>
    </row>
    <row r="430" spans="1:15">
      <c r="A430" s="16" t="s">
        <v>388</v>
      </c>
      <c r="B430" s="16" t="s">
        <v>403</v>
      </c>
      <c r="C430" s="16" t="s">
        <v>77</v>
      </c>
      <c r="D430" s="22">
        <v>0</v>
      </c>
      <c r="E430" s="22">
        <v>0</v>
      </c>
      <c r="F430" s="22">
        <v>1.668</v>
      </c>
      <c r="G430" s="22">
        <v>0.076</v>
      </c>
      <c r="H430" s="23">
        <v>0</v>
      </c>
      <c r="I430" s="18">
        <v>0</v>
      </c>
      <c r="J430" s="19">
        <v>0</v>
      </c>
      <c r="K430" s="17">
        <v>0</v>
      </c>
      <c r="L430" s="20">
        <v>116.64</v>
      </c>
      <c r="M430" s="21">
        <f>=0</f>
        <v>0</v>
      </c>
      <c r="N430" s="16" t="s"/>
      <c r="O430" s="16" t="s"/>
    </row>
    <row r="431" spans="1:15">
      <c r="A431" s="16" t="s">
        <v>388</v>
      </c>
      <c r="B431" s="16" t="s">
        <v>404</v>
      </c>
      <c r="C431" s="16" t="s"/>
      <c r="D431" s="22">
        <v>4.379</v>
      </c>
      <c r="E431" s="22">
        <v>0.399</v>
      </c>
      <c r="F431" s="22">
        <v>3.848</v>
      </c>
      <c r="G431" s="22">
        <v>0.175</v>
      </c>
      <c r="H431" s="23">
        <v>0</v>
      </c>
      <c r="I431" s="18">
        <v>373.92</v>
      </c>
      <c r="J431" s="19">
        <v>122.76</v>
      </c>
      <c r="K431" s="17">
        <v>0</v>
      </c>
      <c r="L431" s="20">
        <v>204.97</v>
      </c>
      <c r="M431" s="21">
        <f>=0</f>
        <v>0</v>
      </c>
      <c r="N431" s="16" t="s"/>
      <c r="O431" s="16" t="s"/>
    </row>
    <row r="432" spans="1:15">
      <c r="A432" s="16" t="s">
        <v>388</v>
      </c>
      <c r="B432" s="16" t="s">
        <v>405</v>
      </c>
      <c r="C432" s="16" t="s">
        <v>406</v>
      </c>
      <c r="D432" s="22">
        <v>0.324</v>
      </c>
      <c r="E432" s="22">
        <v>0.03</v>
      </c>
      <c r="F432" s="22">
        <v>0.148</v>
      </c>
      <c r="G432" s="22">
        <v>0.007</v>
      </c>
      <c r="H432" s="23">
        <v>0.482</v>
      </c>
      <c r="I432" s="18">
        <v>13.36</v>
      </c>
      <c r="J432" s="19">
        <v>3.685</v>
      </c>
      <c r="K432" s="17">
        <v>0</v>
      </c>
      <c r="L432" s="20">
        <v>13.37</v>
      </c>
      <c r="M432" s="21">
        <v>0</v>
      </c>
      <c r="N432" s="16" t="s"/>
      <c r="O432" s="16" t="s"/>
    </row>
    <row r="433" spans="1:15" ht="18" customHeight="1">
      <c r="A433" s="16" t="s">
        <v>388</v>
      </c>
      <c r="B433" s="16" t="s">
        <v>405</v>
      </c>
      <c r="C433" s="16" t="s">
        <v>407</v>
      </c>
      <c r="D433" s="22">
        <v>0.324</v>
      </c>
      <c r="E433" s="22">
        <v>0.03</v>
      </c>
      <c r="F433" s="22">
        <v>0.148</v>
      </c>
      <c r="G433" s="22">
        <v>0.007</v>
      </c>
      <c r="H433" s="23">
        <v>0.482</v>
      </c>
      <c r="I433" s="18">
        <v>13.36</v>
      </c>
      <c r="J433" s="19">
        <v>3.685</v>
      </c>
      <c r="K433" s="17">
        <v>0</v>
      </c>
      <c r="L433" s="20">
        <v>13.37</v>
      </c>
      <c r="M433" s="21">
        <v>0</v>
      </c>
      <c r="N433" s="16" t="s"/>
      <c r="O433" s="16" t="s"/>
    </row>
    <row r="434" spans="1:15" ht="18" customHeight="1">
      <c r="A434" s="16" t="s">
        <v>388</v>
      </c>
      <c r="B434" s="16" t="s">
        <v>405</v>
      </c>
      <c r="C434" s="16" t="s">
        <v>408</v>
      </c>
      <c r="D434" s="22">
        <v>0.243</v>
      </c>
      <c r="E434" s="22">
        <v>0.023</v>
      </c>
      <c r="F434" s="22">
        <v>0.111</v>
      </c>
      <c r="G434" s="22">
        <v>0.006</v>
      </c>
      <c r="H434" s="23">
        <v>0.361</v>
      </c>
      <c r="I434" s="18">
        <v>10.02</v>
      </c>
      <c r="J434" s="19">
        <v>2.7775</v>
      </c>
      <c r="K434" s="17">
        <v>0</v>
      </c>
      <c r="L434" s="20">
        <v>10.03</v>
      </c>
      <c r="M434" s="21">
        <v>0</v>
      </c>
      <c r="N434" s="16" t="s"/>
      <c r="O434" s="16" t="s"/>
    </row>
    <row r="435" spans="1:15" ht="18" customHeight="1">
      <c r="A435" s="16" t="s">
        <v>388</v>
      </c>
      <c r="B435" s="16" t="s">
        <v>405</v>
      </c>
      <c r="C435" s="16" t="s">
        <v>409</v>
      </c>
      <c r="D435" s="22">
        <v>0.324</v>
      </c>
      <c r="E435" s="22">
        <v>0.03</v>
      </c>
      <c r="F435" s="22">
        <v>0.148</v>
      </c>
      <c r="G435" s="22">
        <v>0.007</v>
      </c>
      <c r="H435" s="23">
        <v>0.482</v>
      </c>
      <c r="I435" s="18">
        <v>13.36</v>
      </c>
      <c r="J435" s="19">
        <v>3.685</v>
      </c>
      <c r="K435" s="17">
        <v>0</v>
      </c>
      <c r="L435" s="20">
        <v>13.37</v>
      </c>
      <c r="M435" s="21">
        <v>0</v>
      </c>
      <c r="N435" s="16" t="s"/>
      <c r="O435" s="16" t="s"/>
    </row>
    <row r="436" spans="1:15">
      <c r="A436" s="16" t="s">
        <v>388</v>
      </c>
      <c r="B436" s="16" t="s">
        <v>405</v>
      </c>
      <c r="C436" s="16" t="s">
        <v>410</v>
      </c>
      <c r="D436" s="22">
        <v>0.243</v>
      </c>
      <c r="E436" s="22">
        <v>0.023</v>
      </c>
      <c r="F436" s="22">
        <v>0.111</v>
      </c>
      <c r="G436" s="22">
        <v>0.006</v>
      </c>
      <c r="H436" s="23">
        <v>0.361</v>
      </c>
      <c r="I436" s="18">
        <v>10.02</v>
      </c>
      <c r="J436" s="19">
        <v>2.7775</v>
      </c>
      <c r="K436" s="17">
        <v>0</v>
      </c>
      <c r="L436" s="20">
        <v>10.03</v>
      </c>
      <c r="M436" s="21">
        <v>0</v>
      </c>
      <c r="N436" s="16" t="s"/>
      <c r="O436" s="16" t="s"/>
    </row>
    <row r="437" spans="1:15">
      <c r="A437" s="16" t="s">
        <v>388</v>
      </c>
      <c r="B437" s="16" t="s">
        <v>411</v>
      </c>
      <c r="C437" s="16" t="s">
        <v>62</v>
      </c>
      <c r="D437" s="22">
        <v>2.302</v>
      </c>
      <c r="E437" s="22">
        <v>0.21</v>
      </c>
      <c r="F437" s="22">
        <v>0.67</v>
      </c>
      <c r="G437" s="22">
        <v>0.031</v>
      </c>
      <c r="H437" s="23">
        <v>1.862</v>
      </c>
      <c r="I437" s="18">
        <v>121.66</v>
      </c>
      <c r="J437" s="19">
        <v>16.7475</v>
      </c>
      <c r="K437" s="17">
        <v>0</v>
      </c>
      <c r="L437" s="20">
        <v>91.25</v>
      </c>
      <c r="M437" s="21">
        <v>0</v>
      </c>
      <c r="N437" s="16" t="s"/>
      <c r="O437" s="16" t="s"/>
    </row>
    <row r="438" spans="1:15">
      <c r="A438" s="16" t="s">
        <v>388</v>
      </c>
      <c r="B438" s="16" t="s">
        <v>411</v>
      </c>
      <c r="C438" s="16" t="s">
        <v>63</v>
      </c>
      <c r="D438" s="22">
        <v>1.468</v>
      </c>
      <c r="E438" s="22">
        <v>0.134</v>
      </c>
      <c r="F438" s="22">
        <v>0.842</v>
      </c>
      <c r="G438" s="22">
        <v>0.039</v>
      </c>
      <c r="H438" s="23">
        <v>2.341</v>
      </c>
      <c r="I438" s="18">
        <v>49.96</v>
      </c>
      <c r="J438" s="19">
        <v>21.0375</v>
      </c>
      <c r="K438" s="17">
        <v>0</v>
      </c>
      <c r="L438" s="20">
        <v>54.64</v>
      </c>
      <c r="M438" s="21">
        <v>0</v>
      </c>
      <c r="N438" s="16" t="s"/>
      <c r="O438" s="16" t="s"/>
    </row>
    <row r="439" spans="1:15">
      <c r="A439" s="16" t="s">
        <v>412</v>
      </c>
      <c r="B439" s="16" t="s">
        <v>413</v>
      </c>
      <c r="C439" s="26" t="s">
        <v>62</v>
      </c>
      <c r="D439" s="22">
        <v>0.424</v>
      </c>
      <c r="E439" s="22">
        <v>0.039</v>
      </c>
      <c r="F439" s="22">
        <v>0.265</v>
      </c>
      <c r="G439" s="22">
        <v>0.013</v>
      </c>
      <c r="H439" s="23">
        <v>0.867</v>
      </c>
      <c r="I439" s="18">
        <v>0</v>
      </c>
      <c r="J439" s="19">
        <v>6.6275</v>
      </c>
      <c r="K439" s="17">
        <v>0</v>
      </c>
      <c r="L439" s="20">
        <v>24.07</v>
      </c>
      <c r="M439" s="21">
        <f>=0</f>
        <v>0</v>
      </c>
      <c r="N439" s="16" t="s"/>
      <c r="O439" s="16" t="s">
        <v>185</v>
      </c>
    </row>
    <row r="440" spans="1:15">
      <c r="A440" s="16" t="s">
        <v>412</v>
      </c>
      <c r="B440" s="16" t="s">
        <v>413</v>
      </c>
      <c r="C440" s="26" t="s">
        <v>63</v>
      </c>
      <c r="D440" s="22">
        <v>0.398</v>
      </c>
      <c r="E440" s="22">
        <v>0.037</v>
      </c>
      <c r="F440" s="22">
        <v>0.443</v>
      </c>
      <c r="G440" s="22">
        <v>0.021</v>
      </c>
      <c r="H440" s="23">
        <v>1.45</v>
      </c>
      <c r="I440" s="18">
        <v>0</v>
      </c>
      <c r="J440" s="19">
        <v>11.0825</v>
      </c>
      <c r="K440" s="17">
        <v>0</v>
      </c>
      <c r="L440" s="20">
        <v>40.28</v>
      </c>
      <c r="M440" s="21">
        <f>=0</f>
        <v>0</v>
      </c>
      <c r="N440" s="16" t="s"/>
      <c r="O440" s="16" t="s">
        <v>185</v>
      </c>
    </row>
    <row r="441" spans="1:15">
      <c r="A441" s="16" t="s">
        <v>412</v>
      </c>
      <c r="B441" s="16" t="s">
        <v>413</v>
      </c>
      <c r="C441" s="26" t="s">
        <v>64</v>
      </c>
      <c r="D441" s="22">
        <v>0.709</v>
      </c>
      <c r="E441" s="22">
        <v>0.065</v>
      </c>
      <c r="F441" s="22">
        <v>0.661</v>
      </c>
      <c r="G441" s="22">
        <v>0.031</v>
      </c>
      <c r="H441" s="23">
        <v>2.164</v>
      </c>
      <c r="I441" s="18">
        <v>0</v>
      </c>
      <c r="J441" s="19">
        <v>16.5275</v>
      </c>
      <c r="K441" s="17">
        <v>0</v>
      </c>
      <c r="L441" s="20">
        <v>60.09</v>
      </c>
      <c r="M441" s="21">
        <f>=0</f>
        <v>0</v>
      </c>
      <c r="N441" s="16" t="s"/>
      <c r="O441" s="16" t="s">
        <v>185</v>
      </c>
    </row>
    <row r="442" spans="1:15">
      <c r="A442" s="16" t="s">
        <v>412</v>
      </c>
      <c r="B442" s="16" t="s">
        <v>413</v>
      </c>
      <c r="C442" s="26" t="s">
        <v>65</v>
      </c>
      <c r="D442" s="22">
        <v>0.901</v>
      </c>
      <c r="E442" s="22">
        <v>0.082</v>
      </c>
      <c r="F442" s="22">
        <v>0.896</v>
      </c>
      <c r="G442" s="22">
        <v>0.041</v>
      </c>
      <c r="H442" s="23">
        <v>2.93</v>
      </c>
      <c r="I442" s="18">
        <v>49.17</v>
      </c>
      <c r="J442" s="19">
        <v>22.385</v>
      </c>
      <c r="K442" s="17">
        <v>0</v>
      </c>
      <c r="L442" s="20">
        <v>81.38</v>
      </c>
      <c r="M442" s="21">
        <f>=0</f>
        <v>0</v>
      </c>
      <c r="N442" s="16" t="s"/>
      <c r="O442" s="16" t="s">
        <v>185</v>
      </c>
    </row>
    <row r="443" spans="1:15">
      <c r="A443" s="16" t="s">
        <v>412</v>
      </c>
      <c r="B443" s="16" t="s">
        <v>413</v>
      </c>
      <c r="C443" s="26" t="s">
        <v>81</v>
      </c>
      <c r="D443" s="22">
        <v>1.329</v>
      </c>
      <c r="E443" s="22">
        <v>0.121</v>
      </c>
      <c r="F443" s="22">
        <v>1.154</v>
      </c>
      <c r="G443" s="22">
        <v>0.053</v>
      </c>
      <c r="H443" s="23">
        <v>3.777</v>
      </c>
      <c r="I443" s="18">
        <v>65.84</v>
      </c>
      <c r="J443" s="19">
        <v>28.875</v>
      </c>
      <c r="K443" s="17">
        <v>0</v>
      </c>
      <c r="L443" s="20">
        <v>104.91</v>
      </c>
      <c r="M443" s="21">
        <f>=0</f>
        <v>0</v>
      </c>
      <c r="N443" s="16" t="s"/>
      <c r="O443" s="16" t="s">
        <v>185</v>
      </c>
    </row>
    <row r="444" spans="1:15">
      <c r="A444" s="16" t="s">
        <v>412</v>
      </c>
      <c r="B444" s="16" t="s">
        <v>414</v>
      </c>
      <c r="C444" s="26" t="s"/>
      <c r="D444" s="22">
        <v>0.695</v>
      </c>
      <c r="E444" s="22">
        <v>0.064</v>
      </c>
      <c r="F444" s="22">
        <v>0.487</v>
      </c>
      <c r="G444" s="22">
        <v>0.023</v>
      </c>
      <c r="H444" s="23">
        <v>1.593</v>
      </c>
      <c r="I444" s="18">
        <v>0</v>
      </c>
      <c r="J444" s="19">
        <v>12.1825</v>
      </c>
      <c r="K444" s="17">
        <v>0</v>
      </c>
      <c r="L444" s="20">
        <v>44.23</v>
      </c>
      <c r="M444" s="21">
        <f>=0</f>
        <v>0</v>
      </c>
      <c r="N444" s="16" t="s"/>
      <c r="O444" s="16" t="s">
        <v>185</v>
      </c>
    </row>
    <row r="445" spans="1:15">
      <c r="A445" s="16" t="s">
        <v>412</v>
      </c>
      <c r="B445" s="16" t="s">
        <v>415</v>
      </c>
      <c r="C445" s="26" t="s"/>
      <c r="D445" s="22">
        <v>1.054</v>
      </c>
      <c r="E445" s="22">
        <v>0.096</v>
      </c>
      <c r="F445" s="22">
        <v>0.527</v>
      </c>
      <c r="G445" s="22">
        <v>0.024</v>
      </c>
      <c r="H445" s="23">
        <v>1.724</v>
      </c>
      <c r="I445" s="18">
        <v>33.51</v>
      </c>
      <c r="J445" s="19">
        <v>13.1725</v>
      </c>
      <c r="K445" s="17">
        <v>0</v>
      </c>
      <c r="L445" s="20">
        <v>47.88</v>
      </c>
      <c r="M445" s="21">
        <f>=0</f>
        <v>0</v>
      </c>
      <c r="N445" s="16" t="s"/>
      <c r="O445" s="16" t="s">
        <v>185</v>
      </c>
    </row>
    <row r="446" spans="1:15">
      <c r="A446" s="16" t="s">
        <v>412</v>
      </c>
      <c r="B446" s="16" t="s">
        <v>416</v>
      </c>
      <c r="C446" s="26" t="s"/>
      <c r="D446" s="22">
        <v>0.159</v>
      </c>
      <c r="E446" s="22">
        <v>0.015</v>
      </c>
      <c r="F446" s="22">
        <v>0</v>
      </c>
      <c r="G446" s="22">
        <v>0</v>
      </c>
      <c r="H446" s="23">
        <v>0</v>
      </c>
      <c r="I446" s="18">
        <v>0</v>
      </c>
      <c r="J446" s="19">
        <v>0</v>
      </c>
      <c r="K446" s="17">
        <v>0</v>
      </c>
      <c r="L446" s="20">
        <v>0</v>
      </c>
      <c r="M446" s="21">
        <f>=0</f>
        <v>0</v>
      </c>
      <c r="N446" s="16" t="s"/>
      <c r="O446" s="16" t="s"/>
    </row>
    <row r="447" spans="1:15">
      <c r="A447" s="16" t="s">
        <v>412</v>
      </c>
      <c r="B447" s="16" t="s">
        <v>417</v>
      </c>
      <c r="C447" s="26" t="s"/>
      <c r="D447" s="22">
        <v>0.523</v>
      </c>
      <c r="E447" s="22">
        <v>0.048</v>
      </c>
      <c r="F447" s="22">
        <v>0.523</v>
      </c>
      <c r="G447" s="22">
        <v>0.024</v>
      </c>
      <c r="H447" s="23">
        <v>0</v>
      </c>
      <c r="I447" s="18">
        <v>33.26</v>
      </c>
      <c r="J447" s="19">
        <v>13.09</v>
      </c>
      <c r="K447" s="17">
        <v>0</v>
      </c>
      <c r="L447" s="20">
        <v>47.52</v>
      </c>
      <c r="M447" s="21">
        <f>=0</f>
        <v>0</v>
      </c>
      <c r="N447" s="16" t="s"/>
      <c r="O447" s="16" t="s">
        <v>185</v>
      </c>
    </row>
    <row r="448" spans="1:15">
      <c r="A448" s="16" t="s">
        <v>412</v>
      </c>
      <c r="B448" s="16" t="s">
        <v>418</v>
      </c>
      <c r="C448" s="26" t="s"/>
      <c r="D448" s="22">
        <v>4.493</v>
      </c>
      <c r="E448" s="22">
        <v>0.409</v>
      </c>
      <c r="F448" s="22">
        <v>4.49</v>
      </c>
      <c r="G448" s="22">
        <v>0.205</v>
      </c>
      <c r="H448" s="23">
        <v>0</v>
      </c>
      <c r="I448" s="18">
        <v>319.11</v>
      </c>
      <c r="J448" s="19">
        <v>164.78</v>
      </c>
      <c r="K448" s="17">
        <v>0</v>
      </c>
      <c r="L448" s="20">
        <v>121.64</v>
      </c>
      <c r="M448" s="21">
        <f>=0</f>
        <v>0</v>
      </c>
      <c r="N448" s="16" t="s"/>
      <c r="O448" s="16" t="s"/>
    </row>
    <row r="449" spans="1:15">
      <c r="A449" s="16" t="s">
        <v>412</v>
      </c>
      <c r="B449" s="16" t="s">
        <v>419</v>
      </c>
      <c r="C449" s="26" t="s"/>
      <c r="D449" s="22">
        <v>0.807</v>
      </c>
      <c r="E449" s="22">
        <v>0.074</v>
      </c>
      <c r="F449" s="22">
        <v>0.404</v>
      </c>
      <c r="G449" s="22">
        <v>0.019</v>
      </c>
      <c r="H449" s="23">
        <v>1.321</v>
      </c>
      <c r="I449" s="18">
        <v>0</v>
      </c>
      <c r="J449" s="19">
        <v>10.0925</v>
      </c>
      <c r="K449" s="17">
        <v>0</v>
      </c>
      <c r="L449" s="20">
        <v>36.67</v>
      </c>
      <c r="M449" s="21">
        <f>=0</f>
        <v>0</v>
      </c>
      <c r="N449" s="16" t="s"/>
      <c r="O449" s="16" t="s">
        <v>185</v>
      </c>
    </row>
    <row r="450" spans="1:15">
      <c r="A450" s="16" t="s">
        <v>412</v>
      </c>
      <c r="B450" s="16" t="s">
        <v>420</v>
      </c>
      <c r="C450" s="26" t="s"/>
      <c r="D450" s="22">
        <v>2.196</v>
      </c>
      <c r="E450" s="22">
        <v>0.2</v>
      </c>
      <c r="F450" s="22">
        <v>1.943</v>
      </c>
      <c r="G450" s="22">
        <v>0.089</v>
      </c>
      <c r="H450" s="23">
        <v>2.759</v>
      </c>
      <c r="I450" s="18">
        <v>53.64</v>
      </c>
      <c r="J450" s="19">
        <v>21.0925</v>
      </c>
      <c r="K450" s="17">
        <v>0</v>
      </c>
      <c r="L450" s="20">
        <v>226.64</v>
      </c>
      <c r="M450" s="21">
        <f>=0</f>
        <v>0</v>
      </c>
      <c r="N450" s="16" t="s"/>
      <c r="O450" s="16" t="s"/>
    </row>
    <row r="451" spans="1:15">
      <c r="A451" s="16" t="s">
        <v>412</v>
      </c>
      <c r="B451" s="16" t="s">
        <v>421</v>
      </c>
      <c r="C451" s="26" t="s"/>
      <c r="D451" s="22">
        <v>5.176</v>
      </c>
      <c r="E451" s="22">
        <v>0.471</v>
      </c>
      <c r="F451" s="22">
        <v>1.834</v>
      </c>
      <c r="G451" s="22">
        <v>0.084</v>
      </c>
      <c r="H451" s="23">
        <v>0</v>
      </c>
      <c r="I451" s="18">
        <v>256.33</v>
      </c>
      <c r="J451" s="19">
        <v>228.7175</v>
      </c>
      <c r="K451" s="17">
        <v>0</v>
      </c>
      <c r="L451" s="20">
        <v>166.7</v>
      </c>
      <c r="M451" s="21">
        <f>=0</f>
        <v>0</v>
      </c>
      <c r="N451" s="16" t="s"/>
      <c r="O451" s="16" t="s"/>
    </row>
    <row r="452" spans="1:15">
      <c r="A452" s="16" t="s">
        <v>412</v>
      </c>
      <c r="B452" s="16" t="s">
        <v>422</v>
      </c>
      <c r="C452" s="26" t="s"/>
      <c r="D452" s="22">
        <v>19.539</v>
      </c>
      <c r="E452" s="22">
        <v>1.777</v>
      </c>
      <c r="F452" s="22">
        <v>1.069</v>
      </c>
      <c r="G452" s="22">
        <v>0.049</v>
      </c>
      <c r="H452" s="23">
        <v>0</v>
      </c>
      <c r="I452" s="18">
        <v>61.81</v>
      </c>
      <c r="J452" s="19">
        <v>0</v>
      </c>
      <c r="K452" s="17">
        <v>0</v>
      </c>
      <c r="L452" s="20">
        <v>588.31</v>
      </c>
      <c r="M452" s="21">
        <f>=0</f>
        <v>0</v>
      </c>
      <c r="N452" s="16" t="s"/>
      <c r="O452" s="16" t="s"/>
    </row>
    <row r="453" spans="1:15">
      <c r="A453" s="16" t="s">
        <v>412</v>
      </c>
      <c r="B453" s="16" t="s">
        <v>423</v>
      </c>
      <c r="C453" s="26" t="s"/>
      <c r="D453" s="22">
        <v>0.843</v>
      </c>
      <c r="E453" s="22">
        <v>0.077</v>
      </c>
      <c r="F453" s="22">
        <v>0.843</v>
      </c>
      <c r="G453" s="22">
        <v>0.039</v>
      </c>
      <c r="H453" s="23">
        <v>2.759</v>
      </c>
      <c r="I453" s="18">
        <v>53.64</v>
      </c>
      <c r="J453" s="19">
        <v>21.0925</v>
      </c>
      <c r="K453" s="17">
        <v>0</v>
      </c>
      <c r="L453" s="20">
        <v>38.32</v>
      </c>
      <c r="M453" s="21">
        <f>=0</f>
        <v>0</v>
      </c>
      <c r="N453" s="16" t="s"/>
      <c r="O453" s="16" t="s"/>
    </row>
    <row r="454" spans="1:15">
      <c r="A454" s="16" t="s">
        <v>412</v>
      </c>
      <c r="B454" s="16" t="s">
        <v>424</v>
      </c>
      <c r="C454" s="26" t="s">
        <v>75</v>
      </c>
      <c r="D454" s="22">
        <v>0</v>
      </c>
      <c r="E454" s="22">
        <v>0</v>
      </c>
      <c r="F454" s="22">
        <v>2.476</v>
      </c>
      <c r="G454" s="22">
        <v>0.113</v>
      </c>
      <c r="H454" s="23">
        <v>0</v>
      </c>
      <c r="I454" s="18">
        <v>0</v>
      </c>
      <c r="J454" s="19">
        <v>0</v>
      </c>
      <c r="K454" s="17">
        <v>0</v>
      </c>
      <c r="L454" s="20">
        <v>350.04</v>
      </c>
      <c r="M454" s="21">
        <f>=0</f>
        <v>0</v>
      </c>
      <c r="N454" s="16" t="s"/>
      <c r="O454" s="16" t="s"/>
    </row>
    <row r="455" spans="1:15">
      <c r="A455" s="16" t="s">
        <v>412</v>
      </c>
      <c r="B455" s="16" t="s">
        <v>424</v>
      </c>
      <c r="C455" s="26" t="s">
        <v>76</v>
      </c>
      <c r="D455" s="22">
        <v>0</v>
      </c>
      <c r="E455" s="22">
        <v>0</v>
      </c>
      <c r="F455" s="22">
        <v>2.952</v>
      </c>
      <c r="G455" s="22">
        <v>0.135</v>
      </c>
      <c r="H455" s="23">
        <v>0</v>
      </c>
      <c r="I455" s="18">
        <v>0</v>
      </c>
      <c r="J455" s="19">
        <v>0</v>
      </c>
      <c r="K455" s="17">
        <v>0</v>
      </c>
      <c r="L455" s="20">
        <v>383.34</v>
      </c>
      <c r="M455" s="21">
        <f>=0</f>
        <v>0</v>
      </c>
      <c r="N455" s="16" t="s"/>
      <c r="O455" s="16" t="s"/>
    </row>
    <row r="456" spans="1:15">
      <c r="A456" s="16" t="s">
        <v>412</v>
      </c>
      <c r="B456" s="16" t="s">
        <v>424</v>
      </c>
      <c r="C456" s="26" t="s">
        <v>77</v>
      </c>
      <c r="D456" s="22">
        <v>0</v>
      </c>
      <c r="E456" s="22">
        <v>0</v>
      </c>
      <c r="F456" s="22">
        <v>1.192</v>
      </c>
      <c r="G456" s="22">
        <v>0.055</v>
      </c>
      <c r="H456" s="23">
        <v>0</v>
      </c>
      <c r="I456" s="18">
        <v>0</v>
      </c>
      <c r="J456" s="19">
        <v>0</v>
      </c>
      <c r="K456" s="17">
        <v>0</v>
      </c>
      <c r="L456" s="20">
        <v>83.34</v>
      </c>
      <c r="M456" s="21">
        <f>=0</f>
        <v>0</v>
      </c>
      <c r="N456" s="16" t="s"/>
      <c r="O456" s="16" t="s"/>
    </row>
    <row r="457" spans="1:15">
      <c r="A457" s="16" t="s">
        <v>412</v>
      </c>
      <c r="B457" s="16" t="s">
        <v>425</v>
      </c>
      <c r="C457" s="26" t="s"/>
      <c r="D457" s="22">
        <v>3.071</v>
      </c>
      <c r="E457" s="22">
        <v>0.28</v>
      </c>
      <c r="F457" s="22">
        <v>2.633</v>
      </c>
      <c r="G457" s="22">
        <v>0.12</v>
      </c>
      <c r="H457" s="23">
        <v>0</v>
      </c>
      <c r="I457" s="18">
        <v>181.45</v>
      </c>
      <c r="J457" s="19">
        <v>87.6975</v>
      </c>
      <c r="K457" s="17">
        <v>0</v>
      </c>
      <c r="L457" s="20">
        <v>120.01</v>
      </c>
      <c r="M457" s="21">
        <f>=0</f>
        <v>0</v>
      </c>
      <c r="N457" s="16" t="s"/>
      <c r="O457" s="16" t="s"/>
    </row>
    <row r="458" spans="1:15">
      <c r="A458" s="16" t="s">
        <v>412</v>
      </c>
      <c r="B458" s="16" t="s">
        <v>426</v>
      </c>
      <c r="C458" s="26" t="s">
        <v>62</v>
      </c>
      <c r="D458" s="22">
        <v>1.623</v>
      </c>
      <c r="E458" s="22">
        <v>0.148</v>
      </c>
      <c r="F458" s="22">
        <v>0.66</v>
      </c>
      <c r="G458" s="22">
        <v>0.03</v>
      </c>
      <c r="H458" s="23">
        <v>1.08</v>
      </c>
      <c r="I458" s="18">
        <v>41.97</v>
      </c>
      <c r="J458" s="19">
        <v>16.5</v>
      </c>
      <c r="K458" s="17">
        <v>0</v>
      </c>
      <c r="L458" s="20">
        <v>29.99</v>
      </c>
      <c r="M458" s="21">
        <f>=0</f>
        <v>0</v>
      </c>
      <c r="N458" s="16" t="s"/>
      <c r="O458" s="16" t="s"/>
    </row>
    <row r="459" spans="1:15">
      <c r="A459" s="16" t="s">
        <v>412</v>
      </c>
      <c r="B459" s="16" t="s">
        <v>426</v>
      </c>
      <c r="C459" s="26" t="s">
        <v>63</v>
      </c>
      <c r="D459" s="22">
        <v>1.666</v>
      </c>
      <c r="E459" s="22">
        <v>0.152</v>
      </c>
      <c r="F459" s="22">
        <v>0.459</v>
      </c>
      <c r="G459" s="22">
        <v>0.021</v>
      </c>
      <c r="H459" s="23">
        <v>0.751</v>
      </c>
      <c r="I459" s="18">
        <v>29.16</v>
      </c>
      <c r="J459" s="19">
        <v>11.4675</v>
      </c>
      <c r="K459" s="17">
        <v>0</v>
      </c>
      <c r="L459" s="20">
        <v>41.67</v>
      </c>
      <c r="M459" s="21">
        <f>=0</f>
        <v>0</v>
      </c>
      <c r="N459" s="16" t="s"/>
      <c r="O459" s="16" t="s"/>
    </row>
    <row r="460" spans="1:15">
      <c r="A460" s="16" t="s">
        <v>412</v>
      </c>
      <c r="B460" s="16" t="s">
        <v>426</v>
      </c>
      <c r="C460" s="26" t="s">
        <v>64</v>
      </c>
      <c r="D460" s="22">
        <v>1.896</v>
      </c>
      <c r="E460" s="22">
        <v>0.173</v>
      </c>
      <c r="F460" s="22">
        <v>0.495</v>
      </c>
      <c r="G460" s="22">
        <v>0.023</v>
      </c>
      <c r="H460" s="23">
        <v>0.81</v>
      </c>
      <c r="I460" s="18">
        <v>31.47</v>
      </c>
      <c r="J460" s="19">
        <v>12.375</v>
      </c>
      <c r="K460" s="17">
        <v>0</v>
      </c>
      <c r="L460" s="20">
        <v>44.97</v>
      </c>
      <c r="M460" s="21">
        <f>=0</f>
        <v>0</v>
      </c>
      <c r="N460" s="16" t="s"/>
      <c r="O460" s="16" t="s"/>
    </row>
    <row r="461" spans="1:15">
      <c r="A461" s="16" t="s">
        <v>412</v>
      </c>
      <c r="B461" s="16" t="s">
        <v>427</v>
      </c>
      <c r="C461" s="26" t="s"/>
      <c r="D461" s="22">
        <v>5.131</v>
      </c>
      <c r="E461" s="22">
        <v>0.467</v>
      </c>
      <c r="F461" s="22">
        <v>4.657</v>
      </c>
      <c r="G461" s="22">
        <v>0.212</v>
      </c>
      <c r="H461" s="23">
        <v>0</v>
      </c>
      <c r="I461" s="18">
        <v>330.13</v>
      </c>
      <c r="J461" s="19">
        <v>169.5925</v>
      </c>
      <c r="K461" s="17">
        <v>0</v>
      </c>
      <c r="L461" s="20">
        <v>133.3</v>
      </c>
      <c r="M461" s="21">
        <v>0</v>
      </c>
      <c r="N461" s="16" t="s"/>
      <c r="O461" s="16" t="s"/>
    </row>
    <row r="462" spans="1:15">
      <c r="A462" s="16" t="s">
        <v>412</v>
      </c>
      <c r="B462" s="16" t="s">
        <v>428</v>
      </c>
      <c r="C462" s="26" t="s"/>
      <c r="D462" s="22">
        <v>2.365</v>
      </c>
      <c r="E462" s="22">
        <v>0.215</v>
      </c>
      <c r="F462" s="22">
        <v>0.321</v>
      </c>
      <c r="G462" s="22">
        <v>0.015</v>
      </c>
      <c r="H462" s="23">
        <v>0</v>
      </c>
      <c r="I462" s="18">
        <v>18.54</v>
      </c>
      <c r="J462" s="19">
        <v>0</v>
      </c>
      <c r="K462" s="17">
        <v>0</v>
      </c>
      <c r="L462" s="20">
        <v>176.5</v>
      </c>
      <c r="M462" s="21">
        <v>0</v>
      </c>
      <c r="N462" s="16" t="s"/>
      <c r="O462" s="16" t="s"/>
    </row>
    <row r="463" spans="1:15">
      <c r="A463" s="16" t="s">
        <v>412</v>
      </c>
      <c r="B463" s="16" t="s">
        <v>429</v>
      </c>
      <c r="C463" s="26" t="s">
        <v>430</v>
      </c>
      <c r="D463" s="22">
        <v>0.412</v>
      </c>
      <c r="E463" s="22">
        <v>0.038</v>
      </c>
      <c r="F463" s="22">
        <v>0</v>
      </c>
      <c r="G463" s="22">
        <v>0</v>
      </c>
      <c r="H463" s="23">
        <v>0</v>
      </c>
      <c r="I463" s="18">
        <v>0</v>
      </c>
      <c r="J463" s="19">
        <v>0</v>
      </c>
      <c r="K463" s="17">
        <v>0</v>
      </c>
      <c r="L463" s="20">
        <v>0</v>
      </c>
      <c r="M463" s="21">
        <v>0</v>
      </c>
      <c r="N463" s="16" t="s"/>
      <c r="O463" s="16" t="s"/>
    </row>
    <row r="464" spans="1:15">
      <c r="A464" s="16" t="s">
        <v>431</v>
      </c>
      <c r="B464" s="16" t="s">
        <v>432</v>
      </c>
      <c r="C464" s="16" t="s">
        <v>62</v>
      </c>
      <c r="D464" s="22">
        <v>0.44</v>
      </c>
      <c r="E464" s="22">
        <v>0.04</v>
      </c>
      <c r="F464" s="22">
        <v>0.245</v>
      </c>
      <c r="G464" s="22">
        <v>0.012</v>
      </c>
      <c r="H464" s="23">
        <v>0.838</v>
      </c>
      <c r="I464" s="18">
        <v>0</v>
      </c>
      <c r="J464" s="19">
        <v>6.4075</v>
      </c>
      <c r="K464" s="17">
        <v>0</v>
      </c>
      <c r="L464" s="20">
        <v>23.28</v>
      </c>
      <c r="M464" s="21">
        <f>=0</f>
        <v>0</v>
      </c>
      <c r="N464" s="16" t="s"/>
      <c r="O464" s="16" t="s">
        <v>185</v>
      </c>
    </row>
    <row r="465" spans="1:15">
      <c r="A465" s="16" t="s">
        <v>431</v>
      </c>
      <c r="B465" s="16" t="s">
        <v>432</v>
      </c>
      <c r="C465" s="16" t="s">
        <v>63</v>
      </c>
      <c r="D465" s="22">
        <v>1.114</v>
      </c>
      <c r="E465" s="22">
        <v>0.102</v>
      </c>
      <c r="F465" s="22">
        <v>0.884</v>
      </c>
      <c r="G465" s="22">
        <v>0.041</v>
      </c>
      <c r="H465" s="23">
        <v>3.029</v>
      </c>
      <c r="I465" s="18">
        <v>0</v>
      </c>
      <c r="J465" s="19">
        <v>16.5275</v>
      </c>
      <c r="K465" s="17">
        <v>0</v>
      </c>
      <c r="L465" s="20">
        <v>67.84</v>
      </c>
      <c r="M465" s="21">
        <f>=0</f>
        <v>0</v>
      </c>
      <c r="N465" s="16" t="s"/>
      <c r="O465" s="16" t="s">
        <v>185</v>
      </c>
    </row>
    <row r="466" spans="1:15">
      <c r="A466" s="16" t="s">
        <v>431</v>
      </c>
      <c r="B466" s="16" t="s">
        <v>432</v>
      </c>
      <c r="C466" s="16" t="s">
        <v>64</v>
      </c>
      <c r="D466" s="22">
        <v>1.171</v>
      </c>
      <c r="E466" s="22">
        <v>0.107</v>
      </c>
      <c r="F466" s="22">
        <v>0.966</v>
      </c>
      <c r="G466" s="22">
        <v>0.044</v>
      </c>
      <c r="H466" s="23">
        <v>3.31</v>
      </c>
      <c r="I466" s="18">
        <v>83.63</v>
      </c>
      <c r="J466" s="19">
        <v>38.61</v>
      </c>
      <c r="K466" s="17">
        <v>0</v>
      </c>
      <c r="L466" s="20">
        <v>91.94</v>
      </c>
      <c r="M466" s="21">
        <f>=0</f>
        <v>0</v>
      </c>
      <c r="N466" s="16" t="s"/>
      <c r="O466" s="16" t="s">
        <v>185</v>
      </c>
    </row>
    <row r="467" spans="1:15">
      <c r="A467" s="16" t="s">
        <v>431</v>
      </c>
      <c r="B467" s="16" t="s">
        <v>432</v>
      </c>
      <c r="C467" s="16" t="s">
        <v>65</v>
      </c>
      <c r="D467" s="22">
        <v>1.839</v>
      </c>
      <c r="E467" s="22">
        <v>0.168</v>
      </c>
      <c r="F467" s="22">
        <v>1.468</v>
      </c>
      <c r="G467" s="22">
        <v>0.067</v>
      </c>
      <c r="H467" s="23">
        <v>5.59</v>
      </c>
      <c r="I467" s="18">
        <v>104.74</v>
      </c>
      <c r="J467" s="19">
        <v>34.1825</v>
      </c>
      <c r="K467" s="17">
        <v>0</v>
      </c>
      <c r="L467" s="20">
        <v>155.28</v>
      </c>
      <c r="M467" s="21">
        <f>=0</f>
        <v>0</v>
      </c>
      <c r="N467" s="16" t="s"/>
      <c r="O467" s="16" t="s">
        <v>185</v>
      </c>
    </row>
    <row r="468" spans="1:15">
      <c r="A468" s="16" t="s">
        <v>431</v>
      </c>
      <c r="B468" s="16" t="s">
        <v>433</v>
      </c>
      <c r="C468" s="16" t="s"/>
      <c r="D468" s="22">
        <v>3.151</v>
      </c>
      <c r="E468" s="22">
        <v>0.287</v>
      </c>
      <c r="F468" s="22">
        <v>3.151</v>
      </c>
      <c r="G468" s="22">
        <v>0.144</v>
      </c>
      <c r="H468" s="23">
        <v>10.802</v>
      </c>
      <c r="I468" s="18">
        <v>300.03</v>
      </c>
      <c r="J468" s="19">
        <v>82.5275</v>
      </c>
      <c r="K468" s="17">
        <v>0</v>
      </c>
      <c r="L468" s="20">
        <v>300.04</v>
      </c>
      <c r="M468" s="21">
        <f>=0</f>
        <v>0</v>
      </c>
      <c r="N468" s="16" t="s"/>
      <c r="O468" s="16" t="s"/>
    </row>
    <row r="469" spans="1:15">
      <c r="A469" s="16" t="s">
        <v>431</v>
      </c>
      <c r="B469" s="16" t="s">
        <v>434</v>
      </c>
      <c r="C469" s="16" t="s"/>
      <c r="D469" s="22">
        <v>0.613</v>
      </c>
      <c r="E469" s="22">
        <v>0.056</v>
      </c>
      <c r="F469" s="22">
        <v>0.613</v>
      </c>
      <c r="G469" s="22">
        <v>0.028</v>
      </c>
      <c r="H469" s="23">
        <v>0</v>
      </c>
      <c r="I469" s="18">
        <v>58.35</v>
      </c>
      <c r="J469" s="19">
        <v>16.06</v>
      </c>
      <c r="K469" s="17">
        <v>0</v>
      </c>
      <c r="L469" s="20">
        <v>58.36</v>
      </c>
      <c r="M469" s="21">
        <f>=0</f>
        <v>0</v>
      </c>
      <c r="N469" s="16" t="s"/>
      <c r="O469" s="16" t="s">
        <v>185</v>
      </c>
    </row>
    <row r="470" spans="1:15">
      <c r="A470" s="16" t="s">
        <v>431</v>
      </c>
      <c r="B470" s="16" t="s">
        <v>435</v>
      </c>
      <c r="C470" s="16" t="s"/>
      <c r="D470" s="22">
        <v>5.46</v>
      </c>
      <c r="E470" s="22">
        <v>0.497</v>
      </c>
      <c r="F470" s="22">
        <v>4.445</v>
      </c>
      <c r="G470" s="22">
        <v>0.203</v>
      </c>
      <c r="H470" s="23">
        <v>0</v>
      </c>
      <c r="I470" s="18">
        <v>471.62</v>
      </c>
      <c r="J470" s="19">
        <v>114.5925</v>
      </c>
      <c r="K470" s="17">
        <v>0</v>
      </c>
      <c r="L470" s="20">
        <v>133.3</v>
      </c>
      <c r="M470" s="21">
        <f>=0</f>
        <v>0</v>
      </c>
      <c r="N470" s="16" t="s"/>
      <c r="O470" s="16" t="s"/>
    </row>
    <row r="471" spans="1:15">
      <c r="A471" s="16" t="s">
        <v>431</v>
      </c>
      <c r="B471" s="16" t="s">
        <v>436</v>
      </c>
      <c r="C471" s="16" t="s"/>
      <c r="D471" s="22">
        <v>1.05</v>
      </c>
      <c r="E471" s="22">
        <v>0.096</v>
      </c>
      <c r="F471" s="22">
        <v>0.525</v>
      </c>
      <c r="G471" s="22">
        <v>0.024</v>
      </c>
      <c r="H471" s="23">
        <v>1.8</v>
      </c>
      <c r="I471" s="18">
        <v>0</v>
      </c>
      <c r="J471" s="19">
        <v>13.75</v>
      </c>
      <c r="K471" s="17">
        <v>0</v>
      </c>
      <c r="L471" s="20">
        <v>50</v>
      </c>
      <c r="M471" s="21">
        <f>=0</f>
        <v>0</v>
      </c>
      <c r="N471" s="16" t="s"/>
      <c r="O471" s="16" t="s">
        <v>185</v>
      </c>
    </row>
    <row r="472" spans="1:15">
      <c r="A472" s="16" t="s">
        <v>431</v>
      </c>
      <c r="B472" s="16" t="s">
        <v>437</v>
      </c>
      <c r="C472" s="16" t="s"/>
      <c r="D472" s="22">
        <v>2.276</v>
      </c>
      <c r="E472" s="22">
        <v>0.207</v>
      </c>
      <c r="F472" s="22">
        <v>2.276</v>
      </c>
      <c r="G472" s="22">
        <v>0.104</v>
      </c>
      <c r="H472" s="23">
        <v>4.202</v>
      </c>
      <c r="I472" s="18">
        <v>116.7</v>
      </c>
      <c r="J472" s="19">
        <v>32.12</v>
      </c>
      <c r="K472" s="17">
        <v>0</v>
      </c>
      <c r="L472" s="20">
        <v>266.71</v>
      </c>
      <c r="M472" s="21">
        <f>=0</f>
        <v>0</v>
      </c>
      <c r="N472" s="16" t="s"/>
      <c r="O472" s="16" t="s">
        <v>185</v>
      </c>
    </row>
    <row r="473" spans="1:15" ht="14.25" customHeight="1">
      <c r="A473" s="16" t="s">
        <v>431</v>
      </c>
      <c r="B473" s="16" t="s">
        <v>438</v>
      </c>
      <c r="C473" s="16" t="s"/>
      <c r="D473" s="22">
        <v>10.13</v>
      </c>
      <c r="E473" s="22">
        <v>0.921</v>
      </c>
      <c r="F473" s="22">
        <v>1.751</v>
      </c>
      <c r="G473" s="22">
        <v>0.08</v>
      </c>
      <c r="H473" s="23">
        <v>0</v>
      </c>
      <c r="I473" s="18">
        <v>366.2</v>
      </c>
      <c r="J473" s="19">
        <v>228.745</v>
      </c>
      <c r="K473" s="17">
        <v>0</v>
      </c>
      <c r="L473" s="20">
        <v>166.71</v>
      </c>
      <c r="M473" s="21">
        <f>=0</f>
        <v>0</v>
      </c>
      <c r="N473" s="16" t="s"/>
      <c r="O473" s="16" t="s"/>
    </row>
    <row r="474" spans="1:15">
      <c r="A474" s="16" t="s">
        <v>431</v>
      </c>
      <c r="B474" s="16" t="s">
        <v>439</v>
      </c>
      <c r="C474" s="16" t="s"/>
      <c r="D474" s="22">
        <v>21.167</v>
      </c>
      <c r="E474" s="22">
        <v>1.925</v>
      </c>
      <c r="F474" s="22">
        <v>1.138</v>
      </c>
      <c r="G474" s="22">
        <v>0.052</v>
      </c>
      <c r="H474" s="23">
        <v>0</v>
      </c>
      <c r="I474" s="18">
        <v>108.37</v>
      </c>
      <c r="J474" s="19">
        <v>0</v>
      </c>
      <c r="K474" s="17">
        <v>0</v>
      </c>
      <c r="L474" s="20">
        <v>733.38</v>
      </c>
      <c r="M474" s="21">
        <f>=0</f>
        <v>0</v>
      </c>
      <c r="N474" s="16" t="s"/>
      <c r="O474" s="16" t="s"/>
    </row>
    <row r="475" spans="1:15">
      <c r="A475" s="16" t="s">
        <v>431</v>
      </c>
      <c r="B475" s="16" t="s">
        <v>440</v>
      </c>
      <c r="C475" s="16" t="s"/>
      <c r="D475" s="22">
        <v>1.226</v>
      </c>
      <c r="E475" s="22">
        <v>0.112</v>
      </c>
      <c r="F475" s="22">
        <v>1.226</v>
      </c>
      <c r="G475" s="22">
        <v>0.056</v>
      </c>
      <c r="H475" s="23">
        <v>4.202</v>
      </c>
      <c r="I475" s="18">
        <v>116.7</v>
      </c>
      <c r="J475" s="19">
        <v>32.12</v>
      </c>
      <c r="K475" s="17">
        <v>0</v>
      </c>
      <c r="L475" s="20">
        <v>58.36</v>
      </c>
      <c r="M475" s="21">
        <f>=0</f>
        <v>0</v>
      </c>
      <c r="N475" s="16" t="s"/>
      <c r="O475" s="16" t="s">
        <v>185</v>
      </c>
    </row>
    <row r="476" spans="1:15">
      <c r="A476" s="16" t="s">
        <v>431</v>
      </c>
      <c r="B476" s="16" t="s">
        <v>441</v>
      </c>
      <c r="C476" s="16" t="s"/>
      <c r="D476" s="22">
        <v>3.494</v>
      </c>
      <c r="E476" s="22">
        <v>0.318</v>
      </c>
      <c r="F476" s="22">
        <v>3.036</v>
      </c>
      <c r="G476" s="22">
        <v>0.138</v>
      </c>
      <c r="H476" s="23">
        <v>0</v>
      </c>
      <c r="I476" s="18">
        <v>310.92</v>
      </c>
      <c r="J476" s="19">
        <v>103.51</v>
      </c>
      <c r="K476" s="17">
        <v>0</v>
      </c>
      <c r="L476" s="20">
        <v>158.3</v>
      </c>
      <c r="M476" s="21">
        <f>=0</f>
        <v>0</v>
      </c>
      <c r="N476" s="16" t="s"/>
      <c r="O476" s="16" t="s">
        <v>185</v>
      </c>
    </row>
    <row r="477" spans="1:15">
      <c r="A477" s="16" t="s">
        <v>442</v>
      </c>
      <c r="B477" s="16" t="s">
        <v>443</v>
      </c>
      <c r="C477" s="26" t="s">
        <v>62</v>
      </c>
      <c r="D477" s="22">
        <v>0.566</v>
      </c>
      <c r="E477" s="22">
        <v>0.052</v>
      </c>
      <c r="F477" s="22">
        <v>0.278</v>
      </c>
      <c r="G477" s="22">
        <v>0.013</v>
      </c>
      <c r="H477" s="17">
        <v>1.009</v>
      </c>
      <c r="I477" s="18">
        <v>0</v>
      </c>
      <c r="J477" s="19">
        <v>6.9575</v>
      </c>
      <c r="K477" s="17">
        <v>0</v>
      </c>
      <c r="L477" s="20">
        <v>28.01</v>
      </c>
      <c r="M477" s="21">
        <f>=0</f>
        <v>0</v>
      </c>
      <c r="N477" s="16" t="s"/>
      <c r="O477" s="16" t="s"/>
    </row>
    <row r="478" spans="1:15">
      <c r="A478" s="16" t="s">
        <v>442</v>
      </c>
      <c r="B478" s="16" t="s">
        <v>443</v>
      </c>
      <c r="C478" s="26" t="s">
        <v>63</v>
      </c>
      <c r="D478" s="22">
        <v>0.997</v>
      </c>
      <c r="E478" s="22">
        <v>0.091</v>
      </c>
      <c r="F478" s="22">
        <v>0.681</v>
      </c>
      <c r="G478" s="22">
        <v>0.031</v>
      </c>
      <c r="H478" s="17">
        <v>2.474</v>
      </c>
      <c r="I478" s="18">
        <v>0</v>
      </c>
      <c r="J478" s="19">
        <v>17.0225</v>
      </c>
      <c r="K478" s="17">
        <v>0</v>
      </c>
      <c r="L478" s="20">
        <v>68.71</v>
      </c>
      <c r="M478" s="21">
        <f>=0</f>
        <v>0</v>
      </c>
      <c r="N478" s="16" t="s"/>
      <c r="O478" s="16" t="s"/>
    </row>
    <row r="479" spans="1:15">
      <c r="A479" s="16" t="s">
        <v>442</v>
      </c>
      <c r="B479" s="16" t="s">
        <v>443</v>
      </c>
      <c r="C479" s="26" t="s">
        <v>64</v>
      </c>
      <c r="D479" s="22">
        <v>1.131</v>
      </c>
      <c r="E479" s="22">
        <v>0.103</v>
      </c>
      <c r="F479" s="22">
        <v>0.694</v>
      </c>
      <c r="G479" s="22">
        <v>0.032</v>
      </c>
      <c r="H479" s="17">
        <v>2.522</v>
      </c>
      <c r="I479" s="18">
        <v>79.91</v>
      </c>
      <c r="J479" s="19">
        <v>17.3525</v>
      </c>
      <c r="K479" s="17">
        <v>0</v>
      </c>
      <c r="L479" s="20">
        <v>70.04</v>
      </c>
      <c r="M479" s="21">
        <f>=0</f>
        <v>0</v>
      </c>
      <c r="N479" s="16" t="s"/>
      <c r="O479" s="16" t="s"/>
    </row>
    <row r="480" spans="1:15">
      <c r="A480" s="16" t="s">
        <v>442</v>
      </c>
      <c r="B480" s="16" t="s">
        <v>443</v>
      </c>
      <c r="C480" s="26" t="s">
        <v>65</v>
      </c>
      <c r="D480" s="22">
        <v>1.266</v>
      </c>
      <c r="E480" s="22">
        <v>0.116</v>
      </c>
      <c r="F480" s="22">
        <v>0.776</v>
      </c>
      <c r="G480" s="22">
        <v>0.036</v>
      </c>
      <c r="H480" s="17">
        <v>2.822</v>
      </c>
      <c r="I480" s="18">
        <v>89.42</v>
      </c>
      <c r="J480" s="19">
        <v>19.415</v>
      </c>
      <c r="K480" s="17">
        <v>0</v>
      </c>
      <c r="L480" s="20">
        <v>78.37</v>
      </c>
      <c r="M480" s="21">
        <f>=0</f>
        <v>0</v>
      </c>
      <c r="N480" s="16" t="s"/>
      <c r="O480" s="16" t="s"/>
    </row>
    <row r="481" spans="1:15">
      <c r="A481" s="16" t="s">
        <v>442</v>
      </c>
      <c r="B481" s="16" t="s">
        <v>443</v>
      </c>
      <c r="C481" s="26" t="s">
        <v>81</v>
      </c>
      <c r="D481" s="22">
        <v>2.369</v>
      </c>
      <c r="E481" s="22">
        <v>0.216</v>
      </c>
      <c r="F481" s="22">
        <v>1.452</v>
      </c>
      <c r="G481" s="22">
        <v>0.066</v>
      </c>
      <c r="H481" s="17">
        <v>5.28</v>
      </c>
      <c r="I481" s="18">
        <v>167.35</v>
      </c>
      <c r="J481" s="19">
        <v>36.3</v>
      </c>
      <c r="K481" s="17">
        <v>0</v>
      </c>
      <c r="L481" s="20">
        <v>146.67</v>
      </c>
      <c r="M481" s="21">
        <f>=0</f>
        <v>0</v>
      </c>
      <c r="N481" s="16" t="s"/>
      <c r="O481" s="16" t="s"/>
    </row>
    <row r="482" spans="1:15">
      <c r="A482" s="16" t="s">
        <v>442</v>
      </c>
      <c r="B482" s="16" t="s">
        <v>444</v>
      </c>
      <c r="C482" s="26" t="s">
        <v>62</v>
      </c>
      <c r="D482" s="22">
        <v>1.131</v>
      </c>
      <c r="E482" s="22">
        <v>0.103</v>
      </c>
      <c r="F482" s="22">
        <v>0.555</v>
      </c>
      <c r="G482" s="22">
        <v>0.026</v>
      </c>
      <c r="H482" s="17">
        <v>2.017</v>
      </c>
      <c r="I482" s="18">
        <v>0</v>
      </c>
      <c r="J482" s="19">
        <v>13.8875</v>
      </c>
      <c r="K482" s="17">
        <v>0</v>
      </c>
      <c r="L482" s="20">
        <v>56.03</v>
      </c>
      <c r="M482" s="21">
        <f>=0</f>
        <v>0</v>
      </c>
      <c r="N482" s="16" t="s"/>
      <c r="O482" s="16" t="s"/>
    </row>
    <row r="483" spans="1:15">
      <c r="A483" s="16" t="s">
        <v>442</v>
      </c>
      <c r="B483" s="16" t="s">
        <v>444</v>
      </c>
      <c r="C483" s="26" t="s">
        <v>63</v>
      </c>
      <c r="D483" s="22">
        <v>1.292</v>
      </c>
      <c r="E483" s="22">
        <v>0.118</v>
      </c>
      <c r="F483" s="22">
        <v>0.931</v>
      </c>
      <c r="G483" s="22">
        <v>0.043</v>
      </c>
      <c r="H483" s="17">
        <v>3.385</v>
      </c>
      <c r="I483" s="18">
        <v>0</v>
      </c>
      <c r="J483" s="19">
        <v>23.2925</v>
      </c>
      <c r="K483" s="17">
        <v>0</v>
      </c>
      <c r="L483" s="20">
        <v>94.01</v>
      </c>
      <c r="M483" s="21">
        <f>=0</f>
        <v>0</v>
      </c>
      <c r="N483" s="16" t="s"/>
      <c r="O483" s="16" t="s"/>
    </row>
    <row r="484" spans="1:15">
      <c r="A484" s="16" t="s">
        <v>442</v>
      </c>
      <c r="B484" s="16" t="s">
        <v>444</v>
      </c>
      <c r="C484" s="26" t="s">
        <v>64</v>
      </c>
      <c r="D484" s="22">
        <v>0.728</v>
      </c>
      <c r="E484" s="22">
        <v>0.067</v>
      </c>
      <c r="F484" s="22">
        <v>0.446</v>
      </c>
      <c r="G484" s="22">
        <v>0.021</v>
      </c>
      <c r="H484" s="17">
        <v>1.622</v>
      </c>
      <c r="I484" s="18">
        <v>51.38</v>
      </c>
      <c r="J484" s="19">
        <v>11.165</v>
      </c>
      <c r="K484" s="17">
        <v>0</v>
      </c>
      <c r="L484" s="20">
        <v>45.04</v>
      </c>
      <c r="M484" s="21">
        <f>=0</f>
        <v>0</v>
      </c>
      <c r="N484" s="16" t="s"/>
      <c r="O484" s="16" t="s"/>
    </row>
    <row r="485" spans="1:15">
      <c r="A485" s="16" t="s">
        <v>442</v>
      </c>
      <c r="B485" s="16" t="s">
        <v>444</v>
      </c>
      <c r="C485" s="26" t="s">
        <v>65</v>
      </c>
      <c r="D485" s="22">
        <v>1.077</v>
      </c>
      <c r="E485" s="22">
        <v>0.098</v>
      </c>
      <c r="F485" s="22">
        <v>0.661</v>
      </c>
      <c r="G485" s="22">
        <v>0.031</v>
      </c>
      <c r="H485" s="17">
        <v>2.401</v>
      </c>
      <c r="I485" s="18">
        <v>76.07</v>
      </c>
      <c r="J485" s="19">
        <v>16.5275</v>
      </c>
      <c r="K485" s="17">
        <v>0</v>
      </c>
      <c r="L485" s="20">
        <v>66.67</v>
      </c>
      <c r="M485" s="21">
        <f>=0</f>
        <v>0</v>
      </c>
      <c r="N485" s="16" t="s"/>
      <c r="O485" s="16" t="s"/>
    </row>
    <row r="486" spans="1:15">
      <c r="A486" s="16" t="s">
        <v>442</v>
      </c>
      <c r="B486" s="16" t="s">
        <v>444</v>
      </c>
      <c r="C486" s="26" t="s">
        <v>81</v>
      </c>
      <c r="D486" s="22">
        <v>2.718</v>
      </c>
      <c r="E486" s="22">
        <v>0.248</v>
      </c>
      <c r="F486" s="22">
        <v>1.667</v>
      </c>
      <c r="G486" s="22">
        <v>0.076</v>
      </c>
      <c r="H486" s="17">
        <v>6.059</v>
      </c>
      <c r="I486" s="18">
        <v>192.04</v>
      </c>
      <c r="J486" s="19">
        <v>41.6625</v>
      </c>
      <c r="K486" s="17">
        <v>0</v>
      </c>
      <c r="L486" s="20">
        <v>168.31</v>
      </c>
      <c r="M486" s="21">
        <f>=0</f>
        <v>0</v>
      </c>
      <c r="N486" s="16" t="s"/>
      <c r="O486" s="16" t="s"/>
    </row>
    <row r="487" spans="1:15">
      <c r="A487" s="16" t="s">
        <v>442</v>
      </c>
      <c r="B487" s="16" t="s">
        <v>445</v>
      </c>
      <c r="C487" s="26" t="s"/>
      <c r="D487" s="22">
        <v>1.174</v>
      </c>
      <c r="E487" s="22">
        <v>0.107</v>
      </c>
      <c r="F487" s="22">
        <v>1.057</v>
      </c>
      <c r="G487" s="22">
        <v>0.049</v>
      </c>
      <c r="H487" s="17">
        <v>0</v>
      </c>
      <c r="I487" s="18">
        <v>96</v>
      </c>
      <c r="J487" s="19">
        <v>26.4275</v>
      </c>
      <c r="K487" s="17">
        <v>0</v>
      </c>
      <c r="L487" s="20">
        <v>53.34</v>
      </c>
      <c r="M487" s="21">
        <f>=0</f>
        <v>0</v>
      </c>
      <c r="N487" s="16" t="s"/>
      <c r="O487" s="16" t="s"/>
    </row>
    <row r="488" spans="1:15">
      <c r="A488" s="16" t="s">
        <v>442</v>
      </c>
      <c r="B488" s="16" t="s">
        <v>446</v>
      </c>
      <c r="C488" s="26" t="s"/>
      <c r="D488" s="22">
        <v>0.504</v>
      </c>
      <c r="E488" s="22">
        <v>0.046</v>
      </c>
      <c r="F488" s="22">
        <v>0.454</v>
      </c>
      <c r="G488" s="22">
        <v>0.021</v>
      </c>
      <c r="H488" s="17">
        <v>1.65</v>
      </c>
      <c r="I488" s="18">
        <v>0</v>
      </c>
      <c r="J488" s="19">
        <v>11.3575</v>
      </c>
      <c r="K488" s="17">
        <v>0</v>
      </c>
      <c r="L488" s="20">
        <v>45.82</v>
      </c>
      <c r="M488" s="21">
        <f>=0</f>
        <v>0</v>
      </c>
      <c r="N488" s="16" t="s"/>
      <c r="O488" s="16" t="s"/>
    </row>
    <row r="489" spans="1:15">
      <c r="A489" s="16" t="s">
        <v>442</v>
      </c>
      <c r="B489" s="16" t="s">
        <v>447</v>
      </c>
      <c r="C489" s="26" t="s"/>
      <c r="D489" s="22">
        <v>2.316</v>
      </c>
      <c r="E489" s="22">
        <v>0.211</v>
      </c>
      <c r="F489" s="22">
        <v>1.832</v>
      </c>
      <c r="G489" s="22">
        <v>0.084</v>
      </c>
      <c r="H489" s="17">
        <v>3.062</v>
      </c>
      <c r="I489" s="18">
        <v>76.52</v>
      </c>
      <c r="J489" s="19">
        <v>21.065</v>
      </c>
      <c r="K489" s="17">
        <v>0</v>
      </c>
      <c r="L489" s="20">
        <v>235.04</v>
      </c>
      <c r="M489" s="21">
        <f>=0</f>
        <v>0</v>
      </c>
      <c r="N489" s="16" t="s"/>
      <c r="O489" s="16" t="s"/>
    </row>
    <row r="490" spans="1:15">
      <c r="A490" s="16" t="s">
        <v>442</v>
      </c>
      <c r="B490" s="16" t="s">
        <v>448</v>
      </c>
      <c r="C490" s="26" t="s"/>
      <c r="D490" s="22">
        <v>5.931</v>
      </c>
      <c r="E490" s="22">
        <v>0.54</v>
      </c>
      <c r="F490" s="22">
        <v>1.783</v>
      </c>
      <c r="G490" s="22">
        <v>0.082</v>
      </c>
      <c r="H490" s="17">
        <v>0</v>
      </c>
      <c r="I490" s="18">
        <v>359.58</v>
      </c>
      <c r="J490" s="19">
        <v>214.115</v>
      </c>
      <c r="K490" s="17">
        <v>0</v>
      </c>
      <c r="L490" s="20">
        <v>200.04</v>
      </c>
      <c r="M490" s="21">
        <f>=0</f>
        <v>0</v>
      </c>
      <c r="N490" s="16" t="s"/>
      <c r="O490" s="16" t="s"/>
    </row>
    <row r="491" spans="1:15">
      <c r="A491" s="16" t="s">
        <v>442</v>
      </c>
      <c r="B491" s="16" t="s">
        <v>449</v>
      </c>
      <c r="C491" s="26" t="s"/>
      <c r="D491" s="22">
        <v>15.118</v>
      </c>
      <c r="E491" s="22">
        <v>1.375</v>
      </c>
      <c r="F491" s="22">
        <v>0.975</v>
      </c>
      <c r="G491" s="22">
        <v>0.045</v>
      </c>
      <c r="H491" s="17">
        <v>0</v>
      </c>
      <c r="I491" s="18">
        <v>904.39</v>
      </c>
      <c r="J491" s="19">
        <v>0</v>
      </c>
      <c r="K491" s="17">
        <v>0</v>
      </c>
      <c r="L491" s="20">
        <v>721.64</v>
      </c>
      <c r="M491" s="21">
        <f>=0</f>
        <v>0</v>
      </c>
      <c r="N491" s="16" t="s"/>
      <c r="O491" s="16" t="s"/>
    </row>
    <row r="492" spans="1:15">
      <c r="A492" s="16" t="s">
        <v>442</v>
      </c>
      <c r="B492" s="16" t="s">
        <v>450</v>
      </c>
      <c r="C492" s="26" t="s"/>
      <c r="D492" s="22">
        <v>0.936</v>
      </c>
      <c r="E492" s="22">
        <v>0.086</v>
      </c>
      <c r="F492" s="22">
        <v>0.842</v>
      </c>
      <c r="G492" s="22">
        <v>0.039</v>
      </c>
      <c r="H492" s="17">
        <v>3.062</v>
      </c>
      <c r="I492" s="18">
        <v>76.52</v>
      </c>
      <c r="J492" s="19">
        <v>21.065</v>
      </c>
      <c r="K492" s="17">
        <v>0</v>
      </c>
      <c r="L492" s="20">
        <v>42.52</v>
      </c>
      <c r="M492" s="21">
        <f>=0</f>
        <v>0</v>
      </c>
      <c r="N492" s="16" t="s"/>
      <c r="O492" s="16" t="s"/>
    </row>
    <row r="493" spans="1:15">
      <c r="A493" s="16" t="s">
        <v>442</v>
      </c>
      <c r="B493" s="16" t="s">
        <v>451</v>
      </c>
      <c r="C493" s="26" t="s">
        <v>75</v>
      </c>
      <c r="D493" s="22">
        <v>0</v>
      </c>
      <c r="E493" s="22">
        <v>0</v>
      </c>
      <c r="F493" s="22">
        <v>2.442</v>
      </c>
      <c r="G493" s="22">
        <v>0.111</v>
      </c>
      <c r="H493" s="17">
        <v>0</v>
      </c>
      <c r="I493" s="18">
        <v>0</v>
      </c>
      <c r="J493" s="19">
        <v>0</v>
      </c>
      <c r="K493" s="17">
        <v>0</v>
      </c>
      <c r="L493" s="20">
        <v>366.64</v>
      </c>
      <c r="M493" s="21">
        <f>=0</f>
        <v>0</v>
      </c>
      <c r="N493" s="16" t="s"/>
      <c r="O493" s="16" t="s"/>
    </row>
    <row r="494" spans="1:15">
      <c r="A494" s="16" t="s">
        <v>442</v>
      </c>
      <c r="B494" s="16" t="s">
        <v>451</v>
      </c>
      <c r="C494" s="26" t="s">
        <v>76</v>
      </c>
      <c r="D494" s="22">
        <v>0</v>
      </c>
      <c r="E494" s="22">
        <v>0</v>
      </c>
      <c r="F494" s="22">
        <v>3.086</v>
      </c>
      <c r="G494" s="22">
        <v>0.141</v>
      </c>
      <c r="H494" s="17">
        <v>0</v>
      </c>
      <c r="I494" s="18">
        <v>0</v>
      </c>
      <c r="J494" s="19">
        <v>0</v>
      </c>
      <c r="K494" s="17">
        <v>0</v>
      </c>
      <c r="L494" s="20">
        <v>416.64</v>
      </c>
      <c r="M494" s="21">
        <f>=0</f>
        <v>0</v>
      </c>
      <c r="N494" s="16" t="s"/>
      <c r="O494" s="16" t="s"/>
    </row>
    <row r="495" spans="1:15">
      <c r="A495" s="16" t="s">
        <v>442</v>
      </c>
      <c r="B495" s="16" t="s">
        <v>451</v>
      </c>
      <c r="C495" s="26" t="s">
        <v>77</v>
      </c>
      <c r="D495" s="22">
        <v>0</v>
      </c>
      <c r="E495" s="22">
        <v>0</v>
      </c>
      <c r="F495" s="22">
        <v>1.502</v>
      </c>
      <c r="G495" s="22">
        <v>0.069</v>
      </c>
      <c r="H495" s="17">
        <v>0</v>
      </c>
      <c r="I495" s="18">
        <v>0</v>
      </c>
      <c r="J495" s="19">
        <v>0</v>
      </c>
      <c r="K495" s="17">
        <v>0</v>
      </c>
      <c r="L495" s="20">
        <v>116.64</v>
      </c>
      <c r="M495" s="21">
        <f>=0</f>
        <v>0</v>
      </c>
      <c r="N495" s="16" t="s"/>
      <c r="O495" s="16" t="s"/>
    </row>
    <row r="496" spans="1:15">
      <c r="A496" s="16" t="s">
        <v>442</v>
      </c>
      <c r="B496" s="16" t="s">
        <v>452</v>
      </c>
      <c r="C496" s="26" t="s"/>
      <c r="D496" s="22">
        <v>4.071</v>
      </c>
      <c r="E496" s="22">
        <v>0.371</v>
      </c>
      <c r="F496" s="22">
        <v>3.206</v>
      </c>
      <c r="G496" s="22">
        <v>0.146</v>
      </c>
      <c r="H496" s="17">
        <v>0</v>
      </c>
      <c r="I496" s="18">
        <v>312.23</v>
      </c>
      <c r="J496" s="19">
        <v>103.07</v>
      </c>
      <c r="K496" s="17">
        <v>0</v>
      </c>
      <c r="L496" s="20">
        <v>184.97</v>
      </c>
      <c r="M496" s="21">
        <f>=0</f>
        <v>0</v>
      </c>
      <c r="N496" s="16" t="s"/>
      <c r="O496" s="16" t="s"/>
    </row>
    <row r="497" spans="1:15">
      <c r="A497" s="16" t="s">
        <v>442</v>
      </c>
      <c r="B497" s="16" t="s">
        <v>453</v>
      </c>
      <c r="C497" s="26" t="s">
        <v>454</v>
      </c>
      <c r="D497" s="22">
        <v>1.638</v>
      </c>
      <c r="E497" s="22">
        <v>0.149</v>
      </c>
      <c r="F497" s="22">
        <v>1.271</v>
      </c>
      <c r="G497" s="22">
        <v>0.058</v>
      </c>
      <c r="H497" s="17">
        <v>0</v>
      </c>
      <c r="I497" s="18">
        <v>143.5</v>
      </c>
      <c r="J497" s="19">
        <v>41.9375</v>
      </c>
      <c r="K497" s="17">
        <v>0</v>
      </c>
      <c r="L497" s="20">
        <v>66.67</v>
      </c>
      <c r="M497" s="21">
        <f>=0</f>
        <v>0</v>
      </c>
      <c r="N497" s="16" t="s"/>
      <c r="O497" s="16" t="s"/>
    </row>
    <row r="498" spans="1:15">
      <c r="A498" s="16" t="s">
        <v>442</v>
      </c>
      <c r="B498" s="16" t="s">
        <v>453</v>
      </c>
      <c r="C498" s="26" t="s">
        <v>455</v>
      </c>
      <c r="D498" s="22">
        <v>3.778</v>
      </c>
      <c r="E498" s="22">
        <v>0.344</v>
      </c>
      <c r="F498" s="22">
        <v>1.096</v>
      </c>
      <c r="G498" s="22">
        <v>0.05</v>
      </c>
      <c r="H498" s="17">
        <v>0</v>
      </c>
      <c r="I498" s="18">
        <v>268.54</v>
      </c>
      <c r="J498" s="19">
        <v>76.34</v>
      </c>
      <c r="K498" s="17">
        <v>0</v>
      </c>
      <c r="L498" s="20">
        <v>66.7</v>
      </c>
      <c r="M498" s="21">
        <f>=0</f>
        <v>0</v>
      </c>
      <c r="N498" s="16" t="s"/>
      <c r="O498" s="16" t="s"/>
    </row>
    <row r="499" spans="1:15">
      <c r="A499" s="16" t="s">
        <v>456</v>
      </c>
      <c r="B499" s="16" t="s">
        <v>457</v>
      </c>
      <c r="C499" s="16" t="s">
        <v>62</v>
      </c>
      <c r="D499" s="22">
        <v>0.431</v>
      </c>
      <c r="E499" s="22">
        <v>0.04</v>
      </c>
      <c r="F499" s="22">
        <v>0.216</v>
      </c>
      <c r="G499" s="22">
        <v>0.01</v>
      </c>
      <c r="H499" s="23">
        <v>0.705</v>
      </c>
      <c r="I499" s="18">
        <v>0</v>
      </c>
      <c r="J499" s="19">
        <v>5.39</v>
      </c>
      <c r="K499" s="17">
        <v>0</v>
      </c>
      <c r="L499" s="20">
        <v>19.59</v>
      </c>
      <c r="M499" s="21">
        <f>=0</f>
        <v>0</v>
      </c>
      <c r="N499" s="16" t="s"/>
      <c r="O499" s="16" t="s">
        <v>185</v>
      </c>
    </row>
    <row r="500" spans="1:15">
      <c r="A500" s="16" t="s">
        <v>456</v>
      </c>
      <c r="B500" s="16" t="s">
        <v>457</v>
      </c>
      <c r="C500" s="16" t="s">
        <v>63</v>
      </c>
      <c r="D500" s="22">
        <v>1.264</v>
      </c>
      <c r="E500" s="22">
        <v>0.115</v>
      </c>
      <c r="F500" s="22">
        <v>0.973</v>
      </c>
      <c r="G500" s="22">
        <v>0.045</v>
      </c>
      <c r="H500" s="23">
        <v>3.182</v>
      </c>
      <c r="I500" s="18">
        <v>104.77</v>
      </c>
      <c r="J500" s="19">
        <v>24.31</v>
      </c>
      <c r="K500" s="17">
        <v>0</v>
      </c>
      <c r="L500" s="20">
        <v>88.38</v>
      </c>
      <c r="M500" s="21">
        <f>=0</f>
        <v>0</v>
      </c>
      <c r="N500" s="16" t="s"/>
      <c r="O500" s="16" t="s">
        <v>185</v>
      </c>
    </row>
    <row r="501" spans="1:15">
      <c r="A501" s="16" t="s">
        <v>456</v>
      </c>
      <c r="B501" s="16" t="s">
        <v>457</v>
      </c>
      <c r="C501" s="16" t="s">
        <v>64</v>
      </c>
      <c r="D501" s="22">
        <v>1.373</v>
      </c>
      <c r="E501" s="22">
        <v>0.125</v>
      </c>
      <c r="F501" s="22">
        <v>0.947</v>
      </c>
      <c r="G501" s="22">
        <v>0.044</v>
      </c>
      <c r="H501" s="23">
        <v>3.097</v>
      </c>
      <c r="I501" s="18">
        <v>0</v>
      </c>
      <c r="J501" s="19">
        <v>23.6775</v>
      </c>
      <c r="K501" s="17">
        <v>0</v>
      </c>
      <c r="L501" s="20">
        <v>86.01</v>
      </c>
      <c r="M501" s="21">
        <f>=0</f>
        <v>0</v>
      </c>
      <c r="N501" s="16" t="s"/>
      <c r="O501" s="16" t="s">
        <v>185</v>
      </c>
    </row>
    <row r="502" spans="1:15">
      <c r="A502" s="16" t="s">
        <v>456</v>
      </c>
      <c r="B502" s="16" t="s">
        <v>457</v>
      </c>
      <c r="C502" s="16" t="s">
        <v>65</v>
      </c>
      <c r="D502" s="22">
        <v>1.51</v>
      </c>
      <c r="E502" s="22">
        <v>0.138</v>
      </c>
      <c r="F502" s="22">
        <v>1.243</v>
      </c>
      <c r="G502" s="22">
        <v>0.057</v>
      </c>
      <c r="H502" s="23">
        <v>4.066</v>
      </c>
      <c r="I502" s="18">
        <v>59.12</v>
      </c>
      <c r="J502" s="19">
        <v>31.075</v>
      </c>
      <c r="K502" s="17">
        <v>0</v>
      </c>
      <c r="L502" s="20">
        <v>112.94</v>
      </c>
      <c r="M502" s="21">
        <f>=0</f>
        <v>0</v>
      </c>
      <c r="N502" s="16" t="s"/>
      <c r="O502" s="16" t="s">
        <v>185</v>
      </c>
    </row>
    <row r="503" spans="1:15">
      <c r="A503" s="16" t="s">
        <v>456</v>
      </c>
      <c r="B503" s="16" t="s">
        <v>457</v>
      </c>
      <c r="C503" s="16" t="s">
        <v>81</v>
      </c>
      <c r="D503" s="22">
        <v>1.622</v>
      </c>
      <c r="E503" s="22">
        <v>0.148</v>
      </c>
      <c r="F503" s="22">
        <v>1.392</v>
      </c>
      <c r="G503" s="22">
        <v>0.064</v>
      </c>
      <c r="H503" s="23">
        <v>4.554</v>
      </c>
      <c r="I503" s="18">
        <v>60.05</v>
      </c>
      <c r="J503" s="19">
        <v>34.7875</v>
      </c>
      <c r="K503" s="17">
        <v>0</v>
      </c>
      <c r="L503" s="20">
        <v>126.5</v>
      </c>
      <c r="M503" s="21">
        <f>=0</f>
        <v>0</v>
      </c>
      <c r="N503" s="16" t="s"/>
      <c r="O503" s="16" t="s">
        <v>185</v>
      </c>
    </row>
    <row r="504" spans="1:15">
      <c r="A504" s="16" t="s">
        <v>456</v>
      </c>
      <c r="B504" s="16" t="s">
        <v>458</v>
      </c>
      <c r="C504" s="16" t="s">
        <v>459</v>
      </c>
      <c r="D504" s="22">
        <v>0.537</v>
      </c>
      <c r="E504" s="22">
        <v>0.049</v>
      </c>
      <c r="F504" s="22">
        <v>0.596</v>
      </c>
      <c r="G504" s="22">
        <v>0.028</v>
      </c>
      <c r="H504" s="23">
        <v>0.991</v>
      </c>
      <c r="I504" s="18">
        <v>0</v>
      </c>
      <c r="J504" s="19">
        <v>7.59</v>
      </c>
      <c r="K504" s="17">
        <v>0</v>
      </c>
      <c r="L504" s="20">
        <v>54.16</v>
      </c>
      <c r="M504" s="21">
        <f>=0</f>
        <v>0</v>
      </c>
      <c r="N504" s="16" t="s"/>
      <c r="O504" s="16" t="s">
        <v>185</v>
      </c>
    </row>
    <row r="505" spans="1:15">
      <c r="A505" s="16" t="s">
        <v>456</v>
      </c>
      <c r="B505" s="16" t="s">
        <v>458</v>
      </c>
      <c r="C505" s="16" t="s">
        <v>460</v>
      </c>
      <c r="D505" s="22">
        <v>0.537</v>
      </c>
      <c r="E505" s="22">
        <v>0.049</v>
      </c>
      <c r="F505" s="22">
        <v>0.596</v>
      </c>
      <c r="G505" s="22">
        <v>0.028</v>
      </c>
      <c r="H505" s="23">
        <v>1.835</v>
      </c>
      <c r="I505" s="18">
        <v>0</v>
      </c>
      <c r="J505" s="19">
        <v>14.025</v>
      </c>
      <c r="K505" s="17">
        <v>0</v>
      </c>
      <c r="L505" s="20">
        <v>54.16</v>
      </c>
      <c r="M505" s="21">
        <f>=0</f>
        <v>0</v>
      </c>
      <c r="N505" s="16" t="s"/>
      <c r="O505" s="16" t="s">
        <v>185</v>
      </c>
    </row>
    <row r="506" spans="1:15">
      <c r="A506" s="16" t="s">
        <v>456</v>
      </c>
      <c r="B506" s="16" t="s">
        <v>458</v>
      </c>
      <c r="C506" s="16" t="s">
        <v>461</v>
      </c>
      <c r="D506" s="22">
        <v>1.609</v>
      </c>
      <c r="E506" s="22">
        <v>0.147</v>
      </c>
      <c r="F506" s="22">
        <v>1.787</v>
      </c>
      <c r="G506" s="22">
        <v>0.082</v>
      </c>
      <c r="H506" s="23">
        <v>4.906</v>
      </c>
      <c r="I506" s="18">
        <v>0</v>
      </c>
      <c r="J506" s="19">
        <v>37.4825</v>
      </c>
      <c r="K506" s="17">
        <v>0</v>
      </c>
      <c r="L506" s="20">
        <v>162.46</v>
      </c>
      <c r="M506" s="21">
        <f>=0</f>
        <v>0</v>
      </c>
      <c r="N506" s="16" t="s"/>
      <c r="O506" s="16" t="s">
        <v>185</v>
      </c>
    </row>
    <row r="507" spans="1:15">
      <c r="A507" s="16" t="s">
        <v>456</v>
      </c>
      <c r="B507" s="16" t="s">
        <v>458</v>
      </c>
      <c r="C507" s="16" t="s">
        <v>462</v>
      </c>
      <c r="D507" s="22">
        <v>1.359</v>
      </c>
      <c r="E507" s="22">
        <v>0.124</v>
      </c>
      <c r="F507" s="22">
        <v>0.596</v>
      </c>
      <c r="G507" s="22">
        <v>0.028</v>
      </c>
      <c r="H507" s="23">
        <v>0.991</v>
      </c>
      <c r="I507" s="18">
        <v>54.15</v>
      </c>
      <c r="J507" s="19">
        <v>7.59</v>
      </c>
      <c r="K507" s="17">
        <v>0</v>
      </c>
      <c r="L507" s="20">
        <v>54.16</v>
      </c>
      <c r="M507" s="21">
        <f>=0</f>
        <v>0</v>
      </c>
      <c r="N507" s="16" t="s"/>
      <c r="O507" s="16" t="s">
        <v>185</v>
      </c>
    </row>
    <row r="508" spans="1:15">
      <c r="A508" s="16" t="s">
        <v>456</v>
      </c>
      <c r="B508" s="16" t="s">
        <v>458</v>
      </c>
      <c r="C508" s="16" t="s">
        <v>463</v>
      </c>
      <c r="D508" s="22">
        <v>1.359</v>
      </c>
      <c r="E508" s="22">
        <v>0.124</v>
      </c>
      <c r="F508" s="22">
        <v>0.596</v>
      </c>
      <c r="G508" s="22">
        <v>0.028</v>
      </c>
      <c r="H508" s="23">
        <v>1.835</v>
      </c>
      <c r="I508" s="18">
        <v>54.15</v>
      </c>
      <c r="J508" s="19">
        <v>14.025</v>
      </c>
      <c r="K508" s="17">
        <v>0</v>
      </c>
      <c r="L508" s="20">
        <v>54.16</v>
      </c>
      <c r="M508" s="21">
        <f>=0</f>
        <v>0</v>
      </c>
      <c r="N508" s="16" t="s"/>
      <c r="O508" s="16" t="s">
        <v>185</v>
      </c>
    </row>
    <row r="509" spans="1:15">
      <c r="A509" s="16" t="s">
        <v>456</v>
      </c>
      <c r="B509" s="16" t="s">
        <v>458</v>
      </c>
      <c r="C509" s="16" t="s">
        <v>464</v>
      </c>
      <c r="D509" s="22">
        <v>4.077</v>
      </c>
      <c r="E509" s="22">
        <v>0.371</v>
      </c>
      <c r="F509" s="22">
        <v>1.787</v>
      </c>
      <c r="G509" s="22">
        <v>0.082</v>
      </c>
      <c r="H509" s="23">
        <v>4.906</v>
      </c>
      <c r="I509" s="18">
        <v>162.45</v>
      </c>
      <c r="J509" s="19">
        <v>37.4825</v>
      </c>
      <c r="K509" s="17">
        <v>0</v>
      </c>
      <c r="L509" s="20">
        <v>162.46</v>
      </c>
      <c r="M509" s="21">
        <f>=0</f>
        <v>0</v>
      </c>
      <c r="N509" s="16" t="s"/>
      <c r="O509" s="16" t="s">
        <v>185</v>
      </c>
    </row>
    <row r="510" spans="1:15">
      <c r="A510" s="16" t="s">
        <v>456</v>
      </c>
      <c r="B510" s="16" t="s">
        <v>465</v>
      </c>
      <c r="C510" s="16" t="s"/>
      <c r="D510" s="22">
        <v>0.184</v>
      </c>
      <c r="E510" s="22">
        <v>0.017</v>
      </c>
      <c r="F510" s="22">
        <v>0.184</v>
      </c>
      <c r="G510" s="22">
        <v>0.009</v>
      </c>
      <c r="H510" s="23">
        <v>0</v>
      </c>
      <c r="I510" s="18">
        <v>16.65</v>
      </c>
      <c r="J510" s="19">
        <v>4.5925</v>
      </c>
      <c r="K510" s="17">
        <v>0</v>
      </c>
      <c r="L510" s="20">
        <v>16.66</v>
      </c>
      <c r="M510" s="21">
        <f>=0</f>
        <v>0</v>
      </c>
      <c r="N510" s="16" t="s"/>
      <c r="O510" s="16" t="s">
        <v>185</v>
      </c>
    </row>
    <row r="511" spans="1:15">
      <c r="A511" s="16" t="s">
        <v>456</v>
      </c>
      <c r="B511" s="16" t="s">
        <v>466</v>
      </c>
      <c r="C511" s="16" t="s"/>
      <c r="D511" s="22">
        <v>5.874</v>
      </c>
      <c r="E511" s="22">
        <v>0.534</v>
      </c>
      <c r="F511" s="22">
        <v>4.8</v>
      </c>
      <c r="G511" s="22">
        <v>0.219</v>
      </c>
      <c r="H511" s="23">
        <v>0</v>
      </c>
      <c r="I511" s="18">
        <v>485.12</v>
      </c>
      <c r="J511" s="19">
        <v>173.7175</v>
      </c>
      <c r="K511" s="17">
        <v>0</v>
      </c>
      <c r="L511" s="20">
        <v>143.3</v>
      </c>
      <c r="M511" s="21">
        <f>=0</f>
        <v>0</v>
      </c>
      <c r="N511" s="16" t="s"/>
      <c r="O511" s="16" t="s"/>
    </row>
    <row r="512" spans="1:15">
      <c r="A512" s="16" t="s">
        <v>456</v>
      </c>
      <c r="B512" s="16" t="s">
        <v>467</v>
      </c>
      <c r="C512" s="16" t="s"/>
      <c r="D512" s="22">
        <v>0.551</v>
      </c>
      <c r="E512" s="22">
        <v>0.051</v>
      </c>
      <c r="F512" s="22">
        <v>0.276</v>
      </c>
      <c r="G512" s="22">
        <v>0.013</v>
      </c>
      <c r="H512" s="23">
        <v>0.901</v>
      </c>
      <c r="I512" s="18">
        <v>50</v>
      </c>
      <c r="J512" s="19">
        <v>6.9025</v>
      </c>
      <c r="K512" s="17">
        <v>0</v>
      </c>
      <c r="L512" s="20">
        <v>25.01</v>
      </c>
      <c r="M512" s="21">
        <f>=0</f>
        <v>0</v>
      </c>
      <c r="N512" s="16" t="s"/>
      <c r="O512" s="16" t="s">
        <v>185</v>
      </c>
    </row>
    <row r="513" spans="1:15">
      <c r="A513" s="16" t="s">
        <v>456</v>
      </c>
      <c r="B513" s="16" t="s">
        <v>468</v>
      </c>
      <c r="C513" s="16" t="s">
        <v>469</v>
      </c>
      <c r="D513" s="22">
        <v>0.537</v>
      </c>
      <c r="E513" s="22">
        <v>0.049</v>
      </c>
      <c r="F513" s="22">
        <v>0.596</v>
      </c>
      <c r="G513" s="22">
        <v>0.028</v>
      </c>
      <c r="H513" s="23">
        <v>1.171</v>
      </c>
      <c r="I513" s="18">
        <v>0</v>
      </c>
      <c r="J513" s="19">
        <v>8.965</v>
      </c>
      <c r="K513" s="17">
        <v>0</v>
      </c>
      <c r="L513" s="20">
        <v>32.51</v>
      </c>
      <c r="M513" s="21">
        <f>=0</f>
        <v>0</v>
      </c>
      <c r="N513" s="16" t="s"/>
      <c r="O513" s="16" t="s">
        <v>185</v>
      </c>
    </row>
    <row r="514" spans="1:15">
      <c r="A514" s="16" t="s">
        <v>456</v>
      </c>
      <c r="B514" s="16" t="s">
        <v>468</v>
      </c>
      <c r="C514" s="16" t="s">
        <v>470</v>
      </c>
      <c r="D514" s="22">
        <v>1.359</v>
      </c>
      <c r="E514" s="22">
        <v>0.124</v>
      </c>
      <c r="F514" s="22">
        <v>0.596</v>
      </c>
      <c r="G514" s="22">
        <v>0.028</v>
      </c>
      <c r="H514" s="23">
        <v>2.341</v>
      </c>
      <c r="I514" s="18">
        <v>54.15</v>
      </c>
      <c r="J514" s="19">
        <v>17.9025</v>
      </c>
      <c r="K514" s="17">
        <v>0</v>
      </c>
      <c r="L514" s="20">
        <v>65.01</v>
      </c>
      <c r="M514" s="21">
        <f>=0</f>
        <v>0</v>
      </c>
      <c r="N514" s="16" t="s"/>
      <c r="O514" s="16" t="s">
        <v>185</v>
      </c>
    </row>
    <row r="515" spans="1:15">
      <c r="A515" s="16" t="s">
        <v>456</v>
      </c>
      <c r="B515" s="16" t="s">
        <v>471</v>
      </c>
      <c r="C515" s="16" t="s"/>
      <c r="D515" s="22">
        <v>1.768</v>
      </c>
      <c r="E515" s="22">
        <v>0.161</v>
      </c>
      <c r="F515" s="22">
        <v>1.614</v>
      </c>
      <c r="G515" s="22">
        <v>0.074</v>
      </c>
      <c r="H515" s="23">
        <v>1.682</v>
      </c>
      <c r="I515" s="18">
        <v>46.7</v>
      </c>
      <c r="J515" s="19">
        <v>12.87</v>
      </c>
      <c r="K515" s="17">
        <v>0</v>
      </c>
      <c r="L515" s="20">
        <v>196.71</v>
      </c>
      <c r="M515" s="21">
        <f>=0</f>
        <v>0</v>
      </c>
      <c r="N515" s="16" t="s"/>
      <c r="O515" s="16" t="s">
        <v>185</v>
      </c>
    </row>
    <row r="516" spans="1:15">
      <c r="A516" s="16" t="s">
        <v>456</v>
      </c>
      <c r="B516" s="16" t="s">
        <v>472</v>
      </c>
      <c r="C516" s="16" t="s"/>
      <c r="D516" s="22">
        <v>5.875</v>
      </c>
      <c r="E516" s="22">
        <v>0.535</v>
      </c>
      <c r="F516" s="22">
        <v>1.486</v>
      </c>
      <c r="G516" s="22">
        <v>0.068</v>
      </c>
      <c r="H516" s="23">
        <v>0</v>
      </c>
      <c r="I516" s="18">
        <v>334.5</v>
      </c>
      <c r="J516" s="19">
        <v>220.0275</v>
      </c>
      <c r="K516" s="17">
        <v>0</v>
      </c>
      <c r="L516" s="20">
        <v>135.01</v>
      </c>
      <c r="M516" s="21">
        <f>=0</f>
        <v>0</v>
      </c>
      <c r="N516" s="16" t="s"/>
      <c r="O516" s="16" t="s"/>
    </row>
    <row r="517" spans="1:15">
      <c r="A517" s="16" t="s">
        <v>456</v>
      </c>
      <c r="B517" s="16" t="s">
        <v>473</v>
      </c>
      <c r="C517" s="16" t="s"/>
      <c r="D517" s="22">
        <v>19.776</v>
      </c>
      <c r="E517" s="22">
        <v>1.798</v>
      </c>
      <c r="F517" s="22">
        <v>1.251</v>
      </c>
      <c r="G517" s="22">
        <v>0.0627</v>
      </c>
      <c r="H517" s="23">
        <v>0</v>
      </c>
      <c r="I517" s="18">
        <v>103.33</v>
      </c>
      <c r="J517" s="19">
        <v>0</v>
      </c>
      <c r="K517" s="17">
        <v>0</v>
      </c>
      <c r="L517" s="20">
        <v>603.34</v>
      </c>
      <c r="M517" s="21">
        <f>=0</f>
        <v>0</v>
      </c>
      <c r="N517" s="16" t="s"/>
      <c r="O517" s="16" t="s"/>
    </row>
    <row r="518" spans="1:15">
      <c r="A518" s="16" t="s">
        <v>456</v>
      </c>
      <c r="B518" s="16" t="s">
        <v>474</v>
      </c>
      <c r="C518" s="16" t="s"/>
      <c r="D518" s="22">
        <v>0.514</v>
      </c>
      <c r="E518" s="22">
        <v>0.047</v>
      </c>
      <c r="F518" s="22">
        <v>0.514</v>
      </c>
      <c r="G518" s="22">
        <v>0.024</v>
      </c>
      <c r="H518" s="23">
        <v>1.682</v>
      </c>
      <c r="I518" s="18">
        <v>46.7</v>
      </c>
      <c r="J518" s="19">
        <v>12.87</v>
      </c>
      <c r="K518" s="17">
        <v>0</v>
      </c>
      <c r="L518" s="20">
        <v>23.36</v>
      </c>
      <c r="M518" s="21">
        <f>=0</f>
        <v>0</v>
      </c>
      <c r="N518" s="16" t="s"/>
      <c r="O518" s="16" t="s">
        <v>185</v>
      </c>
    </row>
    <row r="519" spans="1:15">
      <c r="A519" s="16" t="s">
        <v>456</v>
      </c>
      <c r="B519" s="16" t="s">
        <v>475</v>
      </c>
      <c r="C519" s="16" t="s"/>
      <c r="D519" s="22">
        <v>3.558</v>
      </c>
      <c r="E519" s="22">
        <v>0.324</v>
      </c>
      <c r="F519" s="22">
        <v>3.086</v>
      </c>
      <c r="G519" s="22">
        <v>0.141</v>
      </c>
      <c r="H519" s="23">
        <v>0</v>
      </c>
      <c r="I519" s="18">
        <v>301.97</v>
      </c>
      <c r="J519" s="19">
        <v>100.76</v>
      </c>
      <c r="K519" s="17">
        <v>0</v>
      </c>
      <c r="L519" s="20">
        <v>151.67</v>
      </c>
      <c r="M519" s="21">
        <f>=0</f>
        <v>0</v>
      </c>
      <c r="N519" s="16" t="s"/>
      <c r="O519" s="16" t="s">
        <v>185</v>
      </c>
    </row>
    <row r="520" spans="1:15">
      <c r="A520" s="16" t="s">
        <v>476</v>
      </c>
      <c r="B520" s="16" t="s">
        <v>477</v>
      </c>
      <c r="C520" s="16" t="s">
        <v>62</v>
      </c>
      <c r="D520" s="22">
        <v>0.472</v>
      </c>
      <c r="E520" s="22">
        <v>0.043</v>
      </c>
      <c r="F520" s="22">
        <v>0.236</v>
      </c>
      <c r="G520" s="22">
        <v>0.011</v>
      </c>
      <c r="H520" s="23">
        <v>0.771</v>
      </c>
      <c r="I520" s="18">
        <v>0</v>
      </c>
      <c r="J520" s="19">
        <v>5.9125</v>
      </c>
      <c r="K520" s="17">
        <v>0</v>
      </c>
      <c r="L520" s="20">
        <v>21.42</v>
      </c>
      <c r="M520" s="21">
        <f>=0</f>
        <v>0</v>
      </c>
      <c r="N520" s="21">
        <v>0</v>
      </c>
      <c r="O520" s="16" t="s"/>
    </row>
    <row r="521" spans="1:15">
      <c r="A521" s="16" t="s">
        <v>476</v>
      </c>
      <c r="B521" s="16" t="s">
        <v>477</v>
      </c>
      <c r="C521" s="16" t="s">
        <v>478</v>
      </c>
      <c r="D521" s="22">
        <v>1.103</v>
      </c>
      <c r="E521" s="22">
        <v>0.101</v>
      </c>
      <c r="F521" s="22">
        <v>0.552</v>
      </c>
      <c r="G521" s="22">
        <v>0.026</v>
      </c>
      <c r="H521" s="23">
        <v>1.805</v>
      </c>
      <c r="I521" s="18">
        <v>0</v>
      </c>
      <c r="J521" s="19">
        <v>13.805</v>
      </c>
      <c r="K521" s="17">
        <v>0</v>
      </c>
      <c r="L521" s="20">
        <v>50.14</v>
      </c>
      <c r="M521" s="21">
        <f>=0</f>
        <v>0</v>
      </c>
      <c r="N521" s="21">
        <v>0</v>
      </c>
      <c r="O521" s="16" t="s"/>
    </row>
    <row r="522" spans="1:15">
      <c r="A522" s="16" t="s">
        <v>476</v>
      </c>
      <c r="B522" s="16" t="s">
        <v>477</v>
      </c>
      <c r="C522" s="16" t="s">
        <v>63</v>
      </c>
      <c r="D522" s="22">
        <v>1.221</v>
      </c>
      <c r="E522" s="22">
        <v>0.111</v>
      </c>
      <c r="F522" s="22">
        <v>0.822</v>
      </c>
      <c r="G522" s="22">
        <v>0.038</v>
      </c>
      <c r="H522" s="23">
        <v>2.689</v>
      </c>
      <c r="I522" s="18">
        <v>0</v>
      </c>
      <c r="J522" s="19">
        <v>23.925</v>
      </c>
      <c r="K522" s="17">
        <v>0</v>
      </c>
      <c r="L522" s="20">
        <v>74.69</v>
      </c>
      <c r="M522" s="21">
        <f>=0</f>
        <v>0</v>
      </c>
      <c r="N522" s="21">
        <v>0</v>
      </c>
      <c r="O522" s="16" t="s"/>
    </row>
    <row r="523" spans="1:15">
      <c r="A523" s="16" t="s">
        <v>476</v>
      </c>
      <c r="B523" s="16" t="s">
        <v>477</v>
      </c>
      <c r="C523" s="16" t="s">
        <v>64</v>
      </c>
      <c r="D523" s="22">
        <v>0.176</v>
      </c>
      <c r="E523" s="22">
        <v>0.016</v>
      </c>
      <c r="F523" s="22">
        <v>0.191</v>
      </c>
      <c r="G523" s="22">
        <v>0.009</v>
      </c>
      <c r="H523" s="23">
        <v>0.48</v>
      </c>
      <c r="I523" s="18">
        <v>13.33</v>
      </c>
      <c r="J523" s="19">
        <v>3.685</v>
      </c>
      <c r="K523" s="17">
        <v>0</v>
      </c>
      <c r="L523" s="20">
        <v>13.34</v>
      </c>
      <c r="M523" s="21">
        <f>=0</f>
        <v>0</v>
      </c>
      <c r="N523" s="21">
        <v>3.3334</v>
      </c>
      <c r="O523" s="16" t="s"/>
    </row>
    <row r="524" spans="1:15">
      <c r="A524" s="16" t="s">
        <v>476</v>
      </c>
      <c r="B524" s="16" t="s">
        <v>477</v>
      </c>
      <c r="C524" s="16" t="s">
        <v>65</v>
      </c>
      <c r="D524" s="22">
        <v>1.064</v>
      </c>
      <c r="E524" s="22">
        <v>0.097</v>
      </c>
      <c r="F524" s="22">
        <v>1.063</v>
      </c>
      <c r="G524" s="22">
        <v>0.049</v>
      </c>
      <c r="H524" s="23">
        <v>3.477</v>
      </c>
      <c r="I524" s="18">
        <v>64.54</v>
      </c>
      <c r="J524" s="19">
        <v>26.565</v>
      </c>
      <c r="K524" s="17">
        <v>0</v>
      </c>
      <c r="L524" s="20">
        <v>96.58</v>
      </c>
      <c r="M524" s="21">
        <f>=0</f>
        <v>0</v>
      </c>
      <c r="N524" s="21">
        <v>3.2271</v>
      </c>
      <c r="O524" s="16" t="s"/>
    </row>
    <row r="525" spans="1:15">
      <c r="A525" s="16" t="s">
        <v>476</v>
      </c>
      <c r="B525" s="16" t="s">
        <v>477</v>
      </c>
      <c r="C525" s="16" t="s">
        <v>479</v>
      </c>
      <c r="D525" s="22">
        <v>2.344</v>
      </c>
      <c r="E525" s="22">
        <v>0.214</v>
      </c>
      <c r="F525" s="22">
        <v>2.047</v>
      </c>
      <c r="G525" s="22">
        <v>0.094</v>
      </c>
      <c r="H525" s="23">
        <v>6.698</v>
      </c>
      <c r="I525" s="18">
        <v>153.99</v>
      </c>
      <c r="J525" s="19">
        <v>51.1775</v>
      </c>
      <c r="K525" s="17">
        <v>0</v>
      </c>
      <c r="L525" s="20">
        <v>186.03</v>
      </c>
      <c r="M525" s="21">
        <f>=0</f>
        <v>0</v>
      </c>
      <c r="N525" s="21">
        <v>7.6999</v>
      </c>
      <c r="O525" s="16" t="s"/>
    </row>
    <row r="526" spans="1:15">
      <c r="A526" s="16" t="s">
        <v>476</v>
      </c>
      <c r="B526" s="16" t="s">
        <v>480</v>
      </c>
      <c r="C526" s="16" t="s"/>
      <c r="D526" s="22">
        <v>0.856</v>
      </c>
      <c r="E526" s="22">
        <v>0.078</v>
      </c>
      <c r="F526" s="22">
        <v>0.856</v>
      </c>
      <c r="G526" s="22">
        <v>0.039</v>
      </c>
      <c r="H526" s="23">
        <v>2.799</v>
      </c>
      <c r="I526" s="18">
        <v>77.74</v>
      </c>
      <c r="J526" s="19">
        <v>21.395</v>
      </c>
      <c r="K526" s="17">
        <v>0</v>
      </c>
      <c r="L526" s="20">
        <v>77.75</v>
      </c>
      <c r="M526" s="21">
        <f>=0</f>
        <v>0</v>
      </c>
      <c r="N526" s="21">
        <v>1.9436</v>
      </c>
      <c r="O526" s="16" t="s"/>
    </row>
    <row r="527" spans="1:15">
      <c r="A527" s="16" t="s">
        <v>476</v>
      </c>
      <c r="B527" s="16" t="s">
        <v>481</v>
      </c>
      <c r="C527" s="16" t="s">
        <v>482</v>
      </c>
      <c r="D527" s="22">
        <v>4.487</v>
      </c>
      <c r="E527" s="22">
        <v>0.408</v>
      </c>
      <c r="F527" s="22">
        <v>2.719</v>
      </c>
      <c r="G527" s="22">
        <v>0.124</v>
      </c>
      <c r="H527" s="23">
        <v>6.845</v>
      </c>
      <c r="I527" s="18">
        <v>190.13</v>
      </c>
      <c r="J527" s="19">
        <v>52.305</v>
      </c>
      <c r="K527" s="17">
        <v>0</v>
      </c>
      <c r="L527" s="20">
        <v>190.14</v>
      </c>
      <c r="M527" s="21">
        <f>=0</f>
        <v>0</v>
      </c>
      <c r="N527" s="21">
        <v>0</v>
      </c>
      <c r="O527" s="16" t="s"/>
    </row>
    <row r="528" spans="1:15">
      <c r="A528" s="16" t="s">
        <v>476</v>
      </c>
      <c r="B528" s="16" t="s">
        <v>481</v>
      </c>
      <c r="C528" s="16" t="s">
        <v>356</v>
      </c>
      <c r="D528" s="22">
        <v>3.944</v>
      </c>
      <c r="E528" s="22">
        <v>0.359</v>
      </c>
      <c r="F528" s="22">
        <v>2.176</v>
      </c>
      <c r="G528" s="22">
        <v>0.099</v>
      </c>
      <c r="H528" s="23">
        <v>5.478</v>
      </c>
      <c r="I528" s="18">
        <v>152.14</v>
      </c>
      <c r="J528" s="19">
        <v>41.855</v>
      </c>
      <c r="K528" s="17">
        <v>0</v>
      </c>
      <c r="L528" s="20">
        <v>152.15</v>
      </c>
      <c r="M528" s="21">
        <f>=0</f>
        <v>0</v>
      </c>
      <c r="N528" s="21">
        <v>0</v>
      </c>
      <c r="O528" s="16" t="s"/>
    </row>
    <row r="529" spans="1:15">
      <c r="A529" s="16" t="s">
        <v>476</v>
      </c>
      <c r="B529" s="16" t="s">
        <v>483</v>
      </c>
      <c r="C529" s="16" t="s"/>
      <c r="D529" s="22">
        <v>0.624</v>
      </c>
      <c r="E529" s="22">
        <v>0.057</v>
      </c>
      <c r="F529" s="22">
        <v>0.624</v>
      </c>
      <c r="G529" s="22">
        <v>0.029</v>
      </c>
      <c r="H529" s="23">
        <v>0</v>
      </c>
      <c r="I529" s="18">
        <v>56.68</v>
      </c>
      <c r="J529" s="19">
        <v>15.5925</v>
      </c>
      <c r="K529" s="17">
        <v>0</v>
      </c>
      <c r="L529" s="20">
        <v>56.69</v>
      </c>
      <c r="M529" s="21">
        <f>=0</f>
        <v>0</v>
      </c>
      <c r="N529" s="21">
        <v>2.8342</v>
      </c>
      <c r="O529" s="16" t="s"/>
    </row>
    <row r="530" spans="1:15">
      <c r="A530" s="16" t="s">
        <v>476</v>
      </c>
      <c r="B530" s="16" t="s">
        <v>484</v>
      </c>
      <c r="C530" s="16" t="s">
        <v>96</v>
      </c>
      <c r="D530" s="22">
        <v>1.507</v>
      </c>
      <c r="E530" s="22">
        <v>0.137</v>
      </c>
      <c r="F530" s="22">
        <v>1.111</v>
      </c>
      <c r="G530" s="22">
        <v>0.051</v>
      </c>
      <c r="H530" s="23">
        <v>0</v>
      </c>
      <c r="I530" s="18">
        <v>124.65</v>
      </c>
      <c r="J530" s="19">
        <v>40.865</v>
      </c>
      <c r="K530" s="17">
        <v>0</v>
      </c>
      <c r="L530" s="20">
        <v>38.33</v>
      </c>
      <c r="M530" s="21">
        <f>=0</f>
        <v>0</v>
      </c>
      <c r="N530" s="21">
        <v>5.6162</v>
      </c>
      <c r="O530" s="16" t="s"/>
    </row>
    <row r="531" spans="1:15">
      <c r="A531" s="16" t="s">
        <v>476</v>
      </c>
      <c r="B531" s="16" t="s">
        <v>484</v>
      </c>
      <c r="C531" s="16" t="s">
        <v>97</v>
      </c>
      <c r="D531" s="22">
        <v>2.11</v>
      </c>
      <c r="E531" s="22">
        <v>0.192</v>
      </c>
      <c r="F531" s="22">
        <v>1.555</v>
      </c>
      <c r="G531" s="22">
        <v>0.071</v>
      </c>
      <c r="H531" s="23">
        <v>0</v>
      </c>
      <c r="I531" s="18">
        <v>174.51</v>
      </c>
      <c r="J531" s="19">
        <v>57.2</v>
      </c>
      <c r="K531" s="17">
        <v>0</v>
      </c>
      <c r="L531" s="20">
        <v>53.66</v>
      </c>
      <c r="M531" s="21">
        <f>=0</f>
        <v>0</v>
      </c>
      <c r="N531" s="21">
        <v>7.8626</v>
      </c>
      <c r="O531" s="16" t="s"/>
    </row>
    <row r="532" spans="1:15">
      <c r="A532" s="16" t="s">
        <v>476</v>
      </c>
      <c r="B532" s="16" t="s">
        <v>484</v>
      </c>
      <c r="C532" s="16" t="s">
        <v>211</v>
      </c>
      <c r="D532" s="22">
        <v>2.411</v>
      </c>
      <c r="E532" s="22">
        <v>0.22</v>
      </c>
      <c r="F532" s="22">
        <v>1.777</v>
      </c>
      <c r="G532" s="22">
        <v>0.081</v>
      </c>
      <c r="H532" s="23">
        <v>0</v>
      </c>
      <c r="I532" s="18">
        <v>199.44</v>
      </c>
      <c r="J532" s="19">
        <v>65.3675</v>
      </c>
      <c r="K532" s="17">
        <v>0</v>
      </c>
      <c r="L532" s="20">
        <v>61.32</v>
      </c>
      <c r="M532" s="21">
        <f>=0</f>
        <v>0</v>
      </c>
      <c r="N532" s="21">
        <v>8.9858</v>
      </c>
      <c r="O532" s="16" t="s"/>
    </row>
    <row r="533" spans="1:15">
      <c r="A533" s="16" t="s">
        <v>476</v>
      </c>
      <c r="B533" s="16" t="s">
        <v>485</v>
      </c>
      <c r="C533" s="16" t="s"/>
      <c r="D533" s="22">
        <v>0.495</v>
      </c>
      <c r="E533" s="22">
        <v>0.045</v>
      </c>
      <c r="F533" s="22">
        <v>0.248</v>
      </c>
      <c r="G533" s="22">
        <v>0.012</v>
      </c>
      <c r="H533" s="23">
        <v>0.81</v>
      </c>
      <c r="I533" s="18">
        <v>0</v>
      </c>
      <c r="J533" s="19">
        <v>6.1875</v>
      </c>
      <c r="K533" s="17">
        <v>0</v>
      </c>
      <c r="L533" s="20">
        <v>22.49</v>
      </c>
      <c r="M533" s="21">
        <f>=0</f>
        <v>0</v>
      </c>
      <c r="N533" s="21">
        <v>0</v>
      </c>
      <c r="O533" s="16" t="s"/>
    </row>
    <row r="534" spans="1:15">
      <c r="A534" s="16" t="s">
        <v>476</v>
      </c>
      <c r="B534" s="16" t="s">
        <v>486</v>
      </c>
      <c r="C534" s="16" t="s"/>
      <c r="D534" s="22">
        <v>2.84</v>
      </c>
      <c r="E534" s="22">
        <v>0.259</v>
      </c>
      <c r="F534" s="22">
        <v>1.904</v>
      </c>
      <c r="G534" s="22">
        <v>0.087</v>
      </c>
      <c r="H534" s="23">
        <v>4.381</v>
      </c>
      <c r="I534" s="18">
        <v>121.66</v>
      </c>
      <c r="J534" s="19">
        <v>33.4675</v>
      </c>
      <c r="K534" s="17">
        <v>0</v>
      </c>
      <c r="L534" s="20">
        <v>271.67</v>
      </c>
      <c r="M534" s="21">
        <f>=0</f>
        <v>0</v>
      </c>
      <c r="N534" s="21">
        <v>16.0834</v>
      </c>
      <c r="O534" s="16" t="s"/>
    </row>
    <row r="535" spans="1:15">
      <c r="A535" s="16" t="s">
        <v>476</v>
      </c>
      <c r="B535" s="16" t="s">
        <v>487</v>
      </c>
      <c r="C535" s="16" t="s"/>
      <c r="D535" s="22">
        <v>6.479</v>
      </c>
      <c r="E535" s="22">
        <v>0.589</v>
      </c>
      <c r="F535" s="22">
        <v>2.09</v>
      </c>
      <c r="G535" s="22">
        <v>0.095</v>
      </c>
      <c r="H535" s="23">
        <v>0</v>
      </c>
      <c r="I535" s="18">
        <v>389.46</v>
      </c>
      <c r="J535" s="19">
        <v>235.125</v>
      </c>
      <c r="K535" s="17">
        <v>0</v>
      </c>
      <c r="L535" s="20">
        <v>189.97</v>
      </c>
      <c r="M535" s="21">
        <f>=0</f>
        <v>0</v>
      </c>
      <c r="N535" s="21">
        <v>25</v>
      </c>
      <c r="O535" s="16" t="s"/>
    </row>
    <row r="536" spans="1:15">
      <c r="A536" s="16" t="s">
        <v>476</v>
      </c>
      <c r="B536" s="16" t="s">
        <v>488</v>
      </c>
      <c r="C536" s="16" t="s"/>
      <c r="D536" s="22">
        <v>16.707</v>
      </c>
      <c r="E536" s="22">
        <v>1.519</v>
      </c>
      <c r="F536" s="22">
        <v>10.971</v>
      </c>
      <c r="G536" s="22">
        <v>0.499</v>
      </c>
      <c r="H536" s="23">
        <v>0</v>
      </c>
      <c r="I536" s="18">
        <v>215.03</v>
      </c>
      <c r="J536" s="19">
        <v>0</v>
      </c>
      <c r="K536" s="17">
        <v>0</v>
      </c>
      <c r="L536" s="20">
        <v>715.04</v>
      </c>
      <c r="M536" s="21">
        <f>=0</f>
        <v>0</v>
      </c>
      <c r="N536" s="21">
        <v>80</v>
      </c>
      <c r="O536" s="16" t="s"/>
    </row>
    <row r="537" spans="1:15">
      <c r="A537" s="16" t="s">
        <v>476</v>
      </c>
      <c r="B537" s="16" t="s">
        <v>489</v>
      </c>
      <c r="C537" s="16" t="s"/>
      <c r="D537" s="22">
        <v>1.339</v>
      </c>
      <c r="E537" s="22">
        <v>0.122</v>
      </c>
      <c r="F537" s="22">
        <v>1.339</v>
      </c>
      <c r="G537" s="22">
        <v>0.061</v>
      </c>
      <c r="H537" s="23">
        <v>4.381</v>
      </c>
      <c r="I537" s="18">
        <v>121.66</v>
      </c>
      <c r="J537" s="19">
        <v>33.4675</v>
      </c>
      <c r="K537" s="17">
        <v>0</v>
      </c>
      <c r="L537" s="20">
        <v>60.84</v>
      </c>
      <c r="M537" s="21">
        <f>=0</f>
        <v>0</v>
      </c>
      <c r="N537" s="21">
        <v>6.0834</v>
      </c>
      <c r="O537" s="16" t="s"/>
    </row>
    <row r="538" spans="1:15">
      <c r="A538" s="16" t="s">
        <v>476</v>
      </c>
      <c r="B538" s="16" t="s">
        <v>490</v>
      </c>
      <c r="C538" s="16" t="s">
        <v>75</v>
      </c>
      <c r="D538" s="22">
        <v>0</v>
      </c>
      <c r="E538" s="22">
        <v>0</v>
      </c>
      <c r="F538" s="22">
        <v>2.493</v>
      </c>
      <c r="G538" s="22">
        <v>0.114</v>
      </c>
      <c r="H538" s="23">
        <v>0</v>
      </c>
      <c r="I538" s="18">
        <v>0</v>
      </c>
      <c r="J538" s="19">
        <v>0</v>
      </c>
      <c r="K538" s="17">
        <v>0</v>
      </c>
      <c r="L538" s="20">
        <v>366.64</v>
      </c>
      <c r="M538" s="21">
        <f>=0</f>
        <v>0</v>
      </c>
      <c r="N538" s="21">
        <v>0</v>
      </c>
      <c r="O538" s="16" t="s"/>
    </row>
    <row r="539" spans="1:15">
      <c r="A539" s="16" t="s">
        <v>476</v>
      </c>
      <c r="B539" s="16" t="s">
        <v>490</v>
      </c>
      <c r="C539" s="16" t="s">
        <v>76</v>
      </c>
      <c r="D539" s="22">
        <v>0</v>
      </c>
      <c r="E539" s="22">
        <v>0</v>
      </c>
      <c r="F539" s="22">
        <v>3.043</v>
      </c>
      <c r="G539" s="22">
        <v>0.139</v>
      </c>
      <c r="H539" s="23">
        <v>0</v>
      </c>
      <c r="I539" s="18">
        <v>0</v>
      </c>
      <c r="J539" s="19">
        <v>0</v>
      </c>
      <c r="K539" s="17">
        <v>0</v>
      </c>
      <c r="L539" s="20">
        <v>416.64</v>
      </c>
      <c r="M539" s="21">
        <f>=0</f>
        <v>0</v>
      </c>
      <c r="N539" s="21">
        <v>0</v>
      </c>
      <c r="O539" s="16" t="s"/>
    </row>
    <row r="540" spans="1:15">
      <c r="A540" s="16" t="s">
        <v>476</v>
      </c>
      <c r="B540" s="16" t="s">
        <v>490</v>
      </c>
      <c r="C540" s="16" t="s">
        <v>77</v>
      </c>
      <c r="D540" s="22">
        <v>0</v>
      </c>
      <c r="E540" s="22">
        <v>0</v>
      </c>
      <c r="F540" s="22">
        <v>1.283</v>
      </c>
      <c r="G540" s="22">
        <v>0.059</v>
      </c>
      <c r="H540" s="23">
        <v>0</v>
      </c>
      <c r="I540" s="18">
        <v>0</v>
      </c>
      <c r="J540" s="19">
        <v>0</v>
      </c>
      <c r="K540" s="17">
        <v>0</v>
      </c>
      <c r="L540" s="20">
        <v>116.64</v>
      </c>
      <c r="M540" s="21">
        <f>=0</f>
        <v>0</v>
      </c>
      <c r="N540" s="21">
        <v>0</v>
      </c>
      <c r="O540" s="16" t="s"/>
    </row>
    <row r="541" spans="1:15">
      <c r="A541" s="16" t="s">
        <v>476</v>
      </c>
      <c r="B541" s="16" t="s">
        <v>491</v>
      </c>
      <c r="C541" s="16" t="s"/>
      <c r="D541" s="22">
        <v>3.764</v>
      </c>
      <c r="E541" s="22">
        <v>0.343</v>
      </c>
      <c r="F541" s="22">
        <v>2.79</v>
      </c>
      <c r="G541" s="22">
        <v>0.127</v>
      </c>
      <c r="H541" s="23">
        <v>0</v>
      </c>
      <c r="I541" s="18">
        <v>320.01</v>
      </c>
      <c r="J541" s="19">
        <v>45.4025</v>
      </c>
      <c r="K541" s="17">
        <v>0</v>
      </c>
      <c r="L541" s="20">
        <v>165.04</v>
      </c>
      <c r="M541" s="21">
        <f>=0</f>
        <v>0</v>
      </c>
      <c r="N541" s="21">
        <v>14.8939</v>
      </c>
      <c r="O541" s="16" t="s"/>
    </row>
    <row r="542" spans="1:15">
      <c r="A542" s="16" t="s">
        <v>492</v>
      </c>
      <c r="B542" s="16" t="s">
        <v>493</v>
      </c>
      <c r="C542" s="16" t="s">
        <v>62</v>
      </c>
      <c r="D542" s="22">
        <v>0.361</v>
      </c>
      <c r="E542" s="22">
        <v>0.033</v>
      </c>
      <c r="F542" s="22">
        <v>0.153</v>
      </c>
      <c r="G542" s="22">
        <v>0.007</v>
      </c>
      <c r="H542" s="23">
        <v>0.501</v>
      </c>
      <c r="I542" s="18">
        <v>21.34</v>
      </c>
      <c r="J542" s="19">
        <v>3.8225</v>
      </c>
      <c r="K542" s="17">
        <v>0</v>
      </c>
      <c r="L542" s="20">
        <v>13.9</v>
      </c>
      <c r="M542" s="21">
        <f>=0</f>
        <v>0</v>
      </c>
      <c r="N542" s="21" t="s">
        <v>494</v>
      </c>
      <c r="O542" s="16" t="s"/>
    </row>
    <row r="543" spans="1:15">
      <c r="A543" s="16" t="s">
        <v>492</v>
      </c>
      <c r="B543" s="16" t="s">
        <v>493</v>
      </c>
      <c r="C543" s="16" t="s">
        <v>63</v>
      </c>
      <c r="D543" s="22">
        <v>0.623</v>
      </c>
      <c r="E543" s="22">
        <v>0.057</v>
      </c>
      <c r="F543" s="22">
        <v>0.443</v>
      </c>
      <c r="G543" s="22">
        <v>0.021</v>
      </c>
      <c r="H543" s="23">
        <v>1.448</v>
      </c>
      <c r="I543" s="18">
        <v>52.06</v>
      </c>
      <c r="J543" s="19">
        <v>11.055</v>
      </c>
      <c r="K543" s="17">
        <v>0</v>
      </c>
      <c r="L543" s="20">
        <v>40.2</v>
      </c>
      <c r="M543" s="21">
        <f>=0</f>
        <v>0</v>
      </c>
      <c r="N543" s="21" t="s">
        <v>495</v>
      </c>
      <c r="O543" s="16" t="s"/>
    </row>
    <row r="544" spans="1:15">
      <c r="A544" s="16" t="s">
        <v>492</v>
      </c>
      <c r="B544" s="16" t="s">
        <v>493</v>
      </c>
      <c r="C544" s="16" t="s">
        <v>64</v>
      </c>
      <c r="D544" s="22">
        <v>0.835</v>
      </c>
      <c r="E544" s="22">
        <v>0.076</v>
      </c>
      <c r="F544" s="22">
        <v>0.595</v>
      </c>
      <c r="G544" s="22">
        <v>0.028</v>
      </c>
      <c r="H544" s="23">
        <v>1.946</v>
      </c>
      <c r="I544" s="18">
        <v>68.78</v>
      </c>
      <c r="J544" s="19">
        <v>14.8775</v>
      </c>
      <c r="K544" s="17">
        <v>0</v>
      </c>
      <c r="L544" s="20">
        <v>54.04</v>
      </c>
      <c r="M544" s="21">
        <f>=0</f>
        <v>0</v>
      </c>
      <c r="N544" s="21" t="s">
        <v>496</v>
      </c>
      <c r="O544" s="16" t="s"/>
    </row>
    <row r="545" spans="1:15">
      <c r="A545" s="16" t="s">
        <v>492</v>
      </c>
      <c r="B545" s="16" t="s">
        <v>493</v>
      </c>
      <c r="C545" s="16" t="s">
        <v>65</v>
      </c>
      <c r="D545" s="22">
        <v>1.634</v>
      </c>
      <c r="E545" s="22">
        <v>0.149</v>
      </c>
      <c r="F545" s="22">
        <v>1.097</v>
      </c>
      <c r="G545" s="22">
        <v>0.05</v>
      </c>
      <c r="H545" s="23">
        <v>3.589</v>
      </c>
      <c r="I545" s="18">
        <v>127.45</v>
      </c>
      <c r="J545" s="19">
        <v>27.4175</v>
      </c>
      <c r="K545" s="17">
        <v>0</v>
      </c>
      <c r="L545" s="20">
        <v>99.69</v>
      </c>
      <c r="M545" s="21">
        <f>=0</f>
        <v>0</v>
      </c>
      <c r="N545" s="21" t="s">
        <v>497</v>
      </c>
      <c r="O545" s="16" t="s"/>
    </row>
    <row r="546" spans="1:15">
      <c r="A546" s="16" t="s">
        <v>492</v>
      </c>
      <c r="B546" s="16" t="s">
        <v>493</v>
      </c>
      <c r="C546" s="16" t="s">
        <v>81</v>
      </c>
      <c r="D546" s="22">
        <v>0.988</v>
      </c>
      <c r="E546" s="22">
        <v>0.09</v>
      </c>
      <c r="F546" s="22">
        <v>0.687</v>
      </c>
      <c r="G546" s="22">
        <v>0.032</v>
      </c>
      <c r="H546" s="23">
        <v>2.246</v>
      </c>
      <c r="I546" s="18">
        <v>76.71</v>
      </c>
      <c r="J546" s="19">
        <v>17.16</v>
      </c>
      <c r="K546" s="17">
        <v>0</v>
      </c>
      <c r="L546" s="20">
        <v>62.38</v>
      </c>
      <c r="M546" s="21">
        <f>=0</f>
        <v>0</v>
      </c>
      <c r="N546" s="21" t="s">
        <v>498</v>
      </c>
      <c r="O546" s="16" t="s"/>
    </row>
    <row r="547" spans="1:15">
      <c r="A547" s="16" t="s">
        <v>492</v>
      </c>
      <c r="B547" s="16" t="s">
        <v>493</v>
      </c>
      <c r="C547" s="16" t="s">
        <v>166</v>
      </c>
      <c r="D547" s="22">
        <v>2.913</v>
      </c>
      <c r="E547" s="22">
        <v>0.265</v>
      </c>
      <c r="F547" s="22">
        <v>2</v>
      </c>
      <c r="G547" s="22">
        <v>0.091</v>
      </c>
      <c r="H547" s="23">
        <v>6.543</v>
      </c>
      <c r="I547" s="18">
        <v>226.62</v>
      </c>
      <c r="J547" s="19">
        <v>49.995</v>
      </c>
      <c r="K547" s="17">
        <v>0</v>
      </c>
      <c r="L547" s="20">
        <v>181.75</v>
      </c>
      <c r="M547" s="21">
        <f>=0</f>
        <v>0</v>
      </c>
      <c r="N547" s="21" t="s">
        <v>499</v>
      </c>
      <c r="O547" s="16" t="s"/>
    </row>
    <row r="548" spans="1:15">
      <c r="A548" s="16" t="s">
        <v>492</v>
      </c>
      <c r="B548" s="16" t="s">
        <v>500</v>
      </c>
      <c r="C548" s="16" t="s">
        <v>501</v>
      </c>
      <c r="D548" s="22">
        <v>3.008</v>
      </c>
      <c r="E548" s="22">
        <v>0.274</v>
      </c>
      <c r="F548" s="22">
        <v>2.292</v>
      </c>
      <c r="G548" s="22">
        <v>0.105</v>
      </c>
      <c r="H548" s="23">
        <v>7.499</v>
      </c>
      <c r="I548" s="18">
        <v>273.4</v>
      </c>
      <c r="J548" s="19">
        <v>57.2825</v>
      </c>
      <c r="K548" s="17">
        <v>0</v>
      </c>
      <c r="L548" s="20">
        <v>208.3</v>
      </c>
      <c r="M548" s="21">
        <f>=0</f>
        <v>0</v>
      </c>
      <c r="N548" s="21" t="s">
        <v>502</v>
      </c>
      <c r="O548" s="16" t="s"/>
    </row>
    <row r="549" spans="1:15">
      <c r="A549" s="16" t="s">
        <v>492</v>
      </c>
      <c r="B549" s="16" t="s">
        <v>500</v>
      </c>
      <c r="C549" s="16" t="s">
        <v>356</v>
      </c>
      <c r="D549" s="22">
        <v>1.613</v>
      </c>
      <c r="E549" s="22">
        <v>0.147</v>
      </c>
      <c r="F549" s="22">
        <v>1.229</v>
      </c>
      <c r="G549" s="22">
        <v>0.056</v>
      </c>
      <c r="H549" s="23">
        <v>4.02</v>
      </c>
      <c r="I549" s="18">
        <v>146.56</v>
      </c>
      <c r="J549" s="19">
        <v>30.7175</v>
      </c>
      <c r="K549" s="17">
        <v>0</v>
      </c>
      <c r="L549" s="20">
        <v>111.67</v>
      </c>
      <c r="M549" s="21">
        <f>=0</f>
        <v>0</v>
      </c>
      <c r="N549" s="21" t="s">
        <v>503</v>
      </c>
      <c r="O549" s="16" t="s"/>
    </row>
    <row r="550" spans="1:15">
      <c r="A550" s="16" t="s">
        <v>492</v>
      </c>
      <c r="B550" s="16" t="s">
        <v>504</v>
      </c>
      <c r="C550" s="16" t="s"/>
      <c r="D550" s="22">
        <v>0.578</v>
      </c>
      <c r="E550" s="22">
        <v>0.053</v>
      </c>
      <c r="F550" s="22">
        <v>0.578</v>
      </c>
      <c r="G550" s="22">
        <v>0.027</v>
      </c>
      <c r="H550" s="23">
        <v>0</v>
      </c>
      <c r="I550" s="18">
        <v>52.5</v>
      </c>
      <c r="J550" s="19">
        <v>14.4375</v>
      </c>
      <c r="K550" s="17">
        <v>0</v>
      </c>
      <c r="L550" s="20">
        <v>52.5</v>
      </c>
      <c r="M550" s="21">
        <f>=0</f>
        <v>0</v>
      </c>
      <c r="N550" s="21" t="s">
        <v>505</v>
      </c>
      <c r="O550" s="16" t="s"/>
    </row>
    <row r="551" spans="1:15">
      <c r="A551" s="16" t="s">
        <v>492</v>
      </c>
      <c r="B551" s="16" t="s">
        <v>506</v>
      </c>
      <c r="C551" s="16" t="s"/>
      <c r="D551" s="22">
        <v>5.747</v>
      </c>
      <c r="E551" s="22">
        <v>0.523</v>
      </c>
      <c r="F551" s="22">
        <v>4.681</v>
      </c>
      <c r="G551" s="22">
        <v>0.213</v>
      </c>
      <c r="H551" s="23">
        <v>0</v>
      </c>
      <c r="I551" s="18">
        <v>473.96</v>
      </c>
      <c r="J551" s="19">
        <v>170.3075</v>
      </c>
      <c r="K551" s="17">
        <v>0</v>
      </c>
      <c r="L551" s="20">
        <v>135.04</v>
      </c>
      <c r="M551" s="21">
        <f>=0</f>
        <v>0</v>
      </c>
      <c r="N551" s="21" t="s">
        <v>507</v>
      </c>
      <c r="O551" s="16" t="s"/>
    </row>
    <row r="552" spans="1:15">
      <c r="A552" s="16" t="s">
        <v>492</v>
      </c>
      <c r="B552" s="16" t="s">
        <v>508</v>
      </c>
      <c r="C552" s="16" t="s">
        <v>62</v>
      </c>
      <c r="D552" s="22">
        <v>0.715</v>
      </c>
      <c r="E552" s="22">
        <v>0.065</v>
      </c>
      <c r="F552" s="22">
        <v>0.358</v>
      </c>
      <c r="G552" s="22">
        <v>0.017</v>
      </c>
      <c r="H552" s="23">
        <v>1.17</v>
      </c>
      <c r="I552" s="18">
        <v>32.5</v>
      </c>
      <c r="J552" s="19">
        <v>8.9375</v>
      </c>
      <c r="K552" s="17">
        <v>0</v>
      </c>
      <c r="L552" s="20">
        <v>32.5</v>
      </c>
      <c r="M552" s="21">
        <f>=0</f>
        <v>0</v>
      </c>
      <c r="N552" s="21" t="s">
        <v>509</v>
      </c>
      <c r="O552" s="16" t="s"/>
    </row>
    <row r="553" spans="1:15">
      <c r="A553" s="16" t="s">
        <v>492</v>
      </c>
      <c r="B553" s="16" t="s">
        <v>508</v>
      </c>
      <c r="C553" s="16" t="s">
        <v>63</v>
      </c>
      <c r="D553" s="22">
        <v>0.715</v>
      </c>
      <c r="E553" s="22">
        <v>0.065</v>
      </c>
      <c r="F553" s="22">
        <v>0.358</v>
      </c>
      <c r="G553" s="22">
        <v>0.017</v>
      </c>
      <c r="H553" s="23">
        <v>1.17</v>
      </c>
      <c r="I553" s="18">
        <v>32.5</v>
      </c>
      <c r="J553" s="19">
        <v>8.9375</v>
      </c>
      <c r="K553" s="17">
        <v>0</v>
      </c>
      <c r="L553" s="20">
        <v>32.5</v>
      </c>
      <c r="M553" s="21">
        <f>=0</f>
        <v>0</v>
      </c>
      <c r="N553" s="21" t="s">
        <v>509</v>
      </c>
      <c r="O553" s="16" t="s"/>
    </row>
    <row r="554" spans="1:15">
      <c r="A554" s="16" t="s">
        <v>492</v>
      </c>
      <c r="B554" s="16" t="s">
        <v>510</v>
      </c>
      <c r="C554" s="16" t="s"/>
      <c r="D554" s="22">
        <v>1.045</v>
      </c>
      <c r="E554" s="22">
        <v>0.095</v>
      </c>
      <c r="F554" s="22">
        <v>0.523</v>
      </c>
      <c r="G554" s="22">
        <v>0.024</v>
      </c>
      <c r="H554" s="23">
        <v>1.71</v>
      </c>
      <c r="I554" s="18">
        <v>47.48</v>
      </c>
      <c r="J554" s="19">
        <v>13.0625</v>
      </c>
      <c r="K554" s="17">
        <v>0</v>
      </c>
      <c r="L554" s="20">
        <v>47.49</v>
      </c>
      <c r="M554" s="21">
        <f>=0</f>
        <v>0</v>
      </c>
      <c r="N554" s="21" t="s">
        <v>511</v>
      </c>
      <c r="O554" s="16" t="s"/>
    </row>
    <row r="555" spans="1:15">
      <c r="A555" s="16" t="s">
        <v>492</v>
      </c>
      <c r="B555" s="16" t="s">
        <v>512</v>
      </c>
      <c r="C555" s="16" t="s">
        <v>62</v>
      </c>
      <c r="D555" s="22">
        <v>3.412</v>
      </c>
      <c r="E555" s="22">
        <v>0.311</v>
      </c>
      <c r="F555" s="22">
        <v>2.292</v>
      </c>
      <c r="G555" s="22">
        <v>0.105</v>
      </c>
      <c r="H555" s="23">
        <v>3.9</v>
      </c>
      <c r="I555" s="18">
        <v>177.67</v>
      </c>
      <c r="J555" s="19">
        <v>29.81</v>
      </c>
      <c r="K555" s="17">
        <v>0</v>
      </c>
      <c r="L555" s="20">
        <v>258.34</v>
      </c>
      <c r="M555" s="21">
        <f>=0</f>
        <v>0</v>
      </c>
      <c r="N555" s="21" t="s">
        <v>513</v>
      </c>
      <c r="O555" s="16" t="s"/>
    </row>
    <row r="556" spans="1:15">
      <c r="A556" s="16" t="s">
        <v>492</v>
      </c>
      <c r="B556" s="16" t="s">
        <v>512</v>
      </c>
      <c r="C556" s="16" t="s">
        <v>63</v>
      </c>
      <c r="D556" s="22">
        <v>3.412</v>
      </c>
      <c r="E556" s="22">
        <v>0.311</v>
      </c>
      <c r="F556" s="22">
        <v>2.292</v>
      </c>
      <c r="G556" s="22">
        <v>0.105</v>
      </c>
      <c r="H556" s="23">
        <v>3.9</v>
      </c>
      <c r="I556" s="18">
        <v>177.67</v>
      </c>
      <c r="J556" s="19">
        <v>29.81</v>
      </c>
      <c r="K556" s="17">
        <v>0</v>
      </c>
      <c r="L556" s="20">
        <v>258.34</v>
      </c>
      <c r="M556" s="21">
        <f>=0</f>
        <v>0</v>
      </c>
      <c r="N556" s="21" t="s">
        <v>513</v>
      </c>
      <c r="O556" s="16" t="s"/>
    </row>
    <row r="557" spans="1:15">
      <c r="A557" s="16" t="s">
        <v>492</v>
      </c>
      <c r="B557" s="16" t="s">
        <v>514</v>
      </c>
      <c r="C557" s="16" t="s"/>
      <c r="D557" s="22">
        <v>3.87</v>
      </c>
      <c r="E557" s="22">
        <v>0.352</v>
      </c>
      <c r="F557" s="22">
        <v>2.475</v>
      </c>
      <c r="G557" s="22">
        <v>0.113</v>
      </c>
      <c r="H557" s="23">
        <v>4.499</v>
      </c>
      <c r="I557" s="18">
        <v>194.31</v>
      </c>
      <c r="J557" s="19">
        <v>34.375</v>
      </c>
      <c r="K557" s="17">
        <v>0</v>
      </c>
      <c r="L557" s="20">
        <v>274.97</v>
      </c>
      <c r="M557" s="21">
        <f>=0</f>
        <v>0</v>
      </c>
      <c r="N557" s="21" t="s">
        <v>515</v>
      </c>
      <c r="O557" s="16" t="s"/>
    </row>
    <row r="558" spans="1:15">
      <c r="A558" s="16" t="s">
        <v>492</v>
      </c>
      <c r="B558" s="16" t="s">
        <v>516</v>
      </c>
      <c r="C558" s="16" t="s"/>
      <c r="D558" s="22">
        <v>6.326</v>
      </c>
      <c r="E558" s="22">
        <v>0.576</v>
      </c>
      <c r="F558" s="22">
        <v>2.376</v>
      </c>
      <c r="G558" s="22">
        <v>0.108</v>
      </c>
      <c r="H558" s="23">
        <v>0</v>
      </c>
      <c r="I558" s="18">
        <v>439.46</v>
      </c>
      <c r="J558" s="19">
        <v>248.875</v>
      </c>
      <c r="K558" s="17">
        <v>0</v>
      </c>
      <c r="L558" s="20">
        <v>239.97</v>
      </c>
      <c r="M558" s="21">
        <f>=0</f>
        <v>0</v>
      </c>
      <c r="N558" s="21" t="s">
        <v>517</v>
      </c>
      <c r="O558" s="16" t="s"/>
    </row>
    <row r="559" spans="1:15">
      <c r="A559" s="16" t="s">
        <v>492</v>
      </c>
      <c r="B559" s="16" t="s">
        <v>518</v>
      </c>
      <c r="C559" s="16" t="s"/>
      <c r="D559" s="22">
        <v>14.706</v>
      </c>
      <c r="E559" s="22">
        <v>1.337</v>
      </c>
      <c r="F559" s="22">
        <v>1.865</v>
      </c>
      <c r="G559" s="22">
        <v>0.085</v>
      </c>
      <c r="H559" s="23">
        <v>0</v>
      </c>
      <c r="I559" s="18">
        <v>966.58</v>
      </c>
      <c r="J559" s="19">
        <v>0</v>
      </c>
      <c r="K559" s="17">
        <v>0</v>
      </c>
      <c r="L559" s="20">
        <v>688.34</v>
      </c>
      <c r="M559" s="21">
        <f>=0</f>
        <v>0</v>
      </c>
      <c r="N559" s="21" t="s">
        <v>517</v>
      </c>
      <c r="O559" s="16" t="s"/>
    </row>
    <row r="560" spans="1:15">
      <c r="A560" s="16" t="s">
        <v>492</v>
      </c>
      <c r="B560" s="16" t="s">
        <v>519</v>
      </c>
      <c r="C560" s="16" t="s"/>
      <c r="D560" s="22">
        <v>1.192</v>
      </c>
      <c r="E560" s="22">
        <v>0.109</v>
      </c>
      <c r="F560" s="22">
        <v>1.192</v>
      </c>
      <c r="G560" s="22">
        <v>0.055</v>
      </c>
      <c r="H560" s="23">
        <v>3.9</v>
      </c>
      <c r="I560" s="18">
        <v>108.33</v>
      </c>
      <c r="J560" s="19">
        <v>29.81</v>
      </c>
      <c r="K560" s="17">
        <v>0</v>
      </c>
      <c r="L560" s="20">
        <v>54.17</v>
      </c>
      <c r="M560" s="21">
        <f>=0</f>
        <v>0</v>
      </c>
      <c r="N560" s="21" t="s">
        <v>520</v>
      </c>
      <c r="O560" s="16" t="s"/>
    </row>
    <row r="561" spans="1:15">
      <c r="A561" s="16" t="s">
        <v>492</v>
      </c>
      <c r="B561" s="16" t="s">
        <v>521</v>
      </c>
      <c r="C561" s="16" t="s"/>
      <c r="D561" s="22">
        <v>1.375</v>
      </c>
      <c r="E561" s="22">
        <v>0.125</v>
      </c>
      <c r="F561" s="22">
        <v>1.375</v>
      </c>
      <c r="G561" s="22">
        <v>0.063</v>
      </c>
      <c r="H561" s="23">
        <v>4.499</v>
      </c>
      <c r="I561" s="18">
        <v>124.96</v>
      </c>
      <c r="J561" s="19">
        <v>34.375</v>
      </c>
      <c r="K561" s="17">
        <v>0</v>
      </c>
      <c r="L561" s="20">
        <v>62.49</v>
      </c>
      <c r="M561" s="21">
        <f>=0</f>
        <v>0</v>
      </c>
      <c r="N561" s="21" t="s">
        <v>522</v>
      </c>
      <c r="O561" s="16" t="s"/>
    </row>
    <row r="562" spans="1:15">
      <c r="A562" s="16" t="s">
        <v>492</v>
      </c>
      <c r="B562" s="16" t="s">
        <v>523</v>
      </c>
      <c r="C562" s="16" t="s">
        <v>75</v>
      </c>
      <c r="D562" s="22">
        <v>0</v>
      </c>
      <c r="E562" s="22">
        <v>0</v>
      </c>
      <c r="F562" s="22">
        <v>2.713</v>
      </c>
      <c r="G562" s="22">
        <v>0.124</v>
      </c>
      <c r="H562" s="23">
        <v>0</v>
      </c>
      <c r="I562" s="18">
        <v>0</v>
      </c>
      <c r="J562" s="19">
        <v>0</v>
      </c>
      <c r="K562" s="17">
        <v>0</v>
      </c>
      <c r="L562" s="20">
        <v>366.64</v>
      </c>
      <c r="M562" s="21">
        <f>=0</f>
        <v>0</v>
      </c>
      <c r="N562" s="21" t="s">
        <v>524</v>
      </c>
      <c r="O562" s="16" t="s"/>
    </row>
    <row r="563" spans="1:15">
      <c r="A563" s="16" t="s">
        <v>492</v>
      </c>
      <c r="B563" s="16" t="s">
        <v>523</v>
      </c>
      <c r="C563" s="16" t="s">
        <v>76</v>
      </c>
      <c r="D563" s="22">
        <v>0</v>
      </c>
      <c r="E563" s="22">
        <v>0</v>
      </c>
      <c r="F563" s="22">
        <v>3.428</v>
      </c>
      <c r="G563" s="22">
        <v>0.156</v>
      </c>
      <c r="H563" s="23">
        <v>0</v>
      </c>
      <c r="I563" s="18">
        <v>0</v>
      </c>
      <c r="J563" s="19">
        <v>0</v>
      </c>
      <c r="K563" s="17">
        <v>0</v>
      </c>
      <c r="L563" s="20">
        <v>416.64</v>
      </c>
      <c r="M563" s="21">
        <f>=0</f>
        <v>0</v>
      </c>
      <c r="N563" s="21" t="s">
        <v>524</v>
      </c>
      <c r="O563" s="16" t="s"/>
    </row>
    <row r="564" spans="1:15">
      <c r="A564" s="16" t="s">
        <v>492</v>
      </c>
      <c r="B564" s="16" t="s">
        <v>523</v>
      </c>
      <c r="C564" s="16" t="s">
        <v>77</v>
      </c>
      <c r="D564" s="22">
        <v>0</v>
      </c>
      <c r="E564" s="22">
        <v>0</v>
      </c>
      <c r="F564" s="22">
        <v>1.668</v>
      </c>
      <c r="G564" s="22">
        <v>0.076</v>
      </c>
      <c r="H564" s="23">
        <v>0</v>
      </c>
      <c r="I564" s="18">
        <v>0</v>
      </c>
      <c r="J564" s="19">
        <v>0</v>
      </c>
      <c r="K564" s="17">
        <v>0</v>
      </c>
      <c r="L564" s="20">
        <v>116.64</v>
      </c>
      <c r="M564" s="21">
        <f>=0</f>
        <v>0</v>
      </c>
      <c r="N564" s="21" t="s">
        <v>524</v>
      </c>
      <c r="O564" s="16" t="s"/>
    </row>
    <row r="565" spans="1:15">
      <c r="A565" s="16" t="s">
        <v>492</v>
      </c>
      <c r="B565" s="16" t="s">
        <v>525</v>
      </c>
      <c r="C565" s="16" t="s"/>
      <c r="D565" s="22">
        <v>3.455</v>
      </c>
      <c r="E565" s="22">
        <v>0.315</v>
      </c>
      <c r="F565" s="22">
        <v>2.99</v>
      </c>
      <c r="G565" s="22">
        <v>0.136</v>
      </c>
      <c r="H565" s="23">
        <v>0</v>
      </c>
      <c r="I565" s="18">
        <v>292.92</v>
      </c>
      <c r="J565" s="19">
        <v>98.01</v>
      </c>
      <c r="K565" s="17">
        <v>0</v>
      </c>
      <c r="L565" s="20">
        <v>144.97</v>
      </c>
      <c r="M565" s="21">
        <f>=0</f>
        <v>0</v>
      </c>
      <c r="N565" s="21" t="s">
        <v>526</v>
      </c>
      <c r="O565" s="16" t="s"/>
    </row>
    <row r="566" spans="1:15">
      <c r="A566" s="16" t="s">
        <v>527</v>
      </c>
      <c r="B566" s="16" t="s">
        <v>528</v>
      </c>
      <c r="C566" s="16" t="s">
        <v>62</v>
      </c>
      <c r="D566" s="22">
        <v>0.362</v>
      </c>
      <c r="E566" s="22">
        <v>0.033</v>
      </c>
      <c r="F566" s="22">
        <v>0.181</v>
      </c>
      <c r="G566" s="22">
        <v>0.009</v>
      </c>
      <c r="H566" s="23">
        <v>0.652</v>
      </c>
      <c r="I566" s="18">
        <v>0</v>
      </c>
      <c r="J566" s="19">
        <v>4.9775</v>
      </c>
      <c r="K566" s="17">
        <v>0</v>
      </c>
      <c r="L566" s="20">
        <v>18.09</v>
      </c>
      <c r="M566" s="21">
        <f>=0</f>
        <v>0</v>
      </c>
      <c r="N566" s="16" t="s"/>
      <c r="O566" s="16" t="s"/>
    </row>
    <row r="567" spans="1:15">
      <c r="A567" s="16" t="s">
        <v>527</v>
      </c>
      <c r="B567" s="16" t="s">
        <v>528</v>
      </c>
      <c r="C567" s="16" t="s">
        <v>63</v>
      </c>
      <c r="D567" s="22">
        <v>0.565</v>
      </c>
      <c r="E567" s="22">
        <v>0.052</v>
      </c>
      <c r="F567" s="22">
        <v>0.451</v>
      </c>
      <c r="G567" s="22">
        <v>0.021</v>
      </c>
      <c r="H567" s="23">
        <v>1.624</v>
      </c>
      <c r="I567" s="18">
        <v>0</v>
      </c>
      <c r="J567" s="19">
        <v>12.4025</v>
      </c>
      <c r="K567" s="17">
        <v>0</v>
      </c>
      <c r="L567" s="20">
        <v>45.1</v>
      </c>
      <c r="M567" s="21">
        <f>=0</f>
        <v>0</v>
      </c>
      <c r="N567" s="16" t="s"/>
      <c r="O567" s="16" t="s"/>
    </row>
    <row r="568" spans="1:15">
      <c r="A568" s="16" t="s">
        <v>527</v>
      </c>
      <c r="B568" s="16" t="s">
        <v>528</v>
      </c>
      <c r="C568" s="16" t="s">
        <v>64</v>
      </c>
      <c r="D568" s="22">
        <v>1.933</v>
      </c>
      <c r="E568" s="22">
        <v>0.176</v>
      </c>
      <c r="F568" s="22">
        <v>1.513</v>
      </c>
      <c r="G568" s="22">
        <v>0.069</v>
      </c>
      <c r="H568" s="23">
        <v>5.445</v>
      </c>
      <c r="I568" s="18">
        <v>0</v>
      </c>
      <c r="J568" s="19">
        <v>41.6075</v>
      </c>
      <c r="K568" s="17">
        <v>0</v>
      </c>
      <c r="L568" s="20">
        <v>151.24</v>
      </c>
      <c r="M568" s="21">
        <f>=0</f>
        <v>0</v>
      </c>
      <c r="N568" s="16" t="s"/>
      <c r="O568" s="16" t="s"/>
    </row>
    <row r="569" spans="1:15">
      <c r="A569" s="16" t="s">
        <v>527</v>
      </c>
      <c r="B569" s="16" t="s">
        <v>528</v>
      </c>
      <c r="C569" s="16" t="s">
        <v>65</v>
      </c>
      <c r="D569" s="22">
        <v>0.974</v>
      </c>
      <c r="E569" s="22">
        <v>0.089</v>
      </c>
      <c r="F569" s="22">
        <v>0.805</v>
      </c>
      <c r="G569" s="22">
        <v>0.037</v>
      </c>
      <c r="H569" s="23">
        <v>2.895</v>
      </c>
      <c r="I569" s="18">
        <v>80.41</v>
      </c>
      <c r="J569" s="19">
        <v>22.1375</v>
      </c>
      <c r="K569" s="17">
        <v>0</v>
      </c>
      <c r="L569" s="20">
        <v>80.42</v>
      </c>
      <c r="M569" s="21">
        <f>=0</f>
        <v>0</v>
      </c>
      <c r="N569" s="16" t="s"/>
      <c r="O569" s="16" t="s"/>
    </row>
    <row r="570" spans="1:15">
      <c r="A570" s="16" t="s">
        <v>527</v>
      </c>
      <c r="B570" s="16" t="s">
        <v>529</v>
      </c>
      <c r="C570" s="16" t="s">
        <v>501</v>
      </c>
      <c r="D570" s="22">
        <v>3.828</v>
      </c>
      <c r="E570" s="22">
        <v>0.348</v>
      </c>
      <c r="F570" s="22">
        <v>1.617</v>
      </c>
      <c r="G570" s="22">
        <v>0.074</v>
      </c>
      <c r="H570" s="23">
        <v>5.821</v>
      </c>
      <c r="I570" s="18">
        <v>161.68</v>
      </c>
      <c r="J570" s="19">
        <v>44.4675</v>
      </c>
      <c r="K570" s="17">
        <v>0</v>
      </c>
      <c r="L570" s="20">
        <v>143.61</v>
      </c>
      <c r="M570" s="21">
        <f>=0</f>
        <v>0</v>
      </c>
      <c r="N570" s="16" t="s"/>
      <c r="O570" s="16" t="s"/>
    </row>
    <row r="571" spans="1:15">
      <c r="A571" s="16" t="s">
        <v>527</v>
      </c>
      <c r="B571" s="16" t="s">
        <v>529</v>
      </c>
      <c r="C571" s="16" t="s">
        <v>356</v>
      </c>
      <c r="D571" s="22">
        <v>4.242</v>
      </c>
      <c r="E571" s="22">
        <v>0.386</v>
      </c>
      <c r="F571" s="22">
        <v>1.455</v>
      </c>
      <c r="G571" s="22">
        <v>0.067</v>
      </c>
      <c r="H571" s="23">
        <v>4.76</v>
      </c>
      <c r="I571" s="18">
        <v>132.2</v>
      </c>
      <c r="J571" s="19">
        <v>36.3825</v>
      </c>
      <c r="K571" s="17">
        <v>0</v>
      </c>
      <c r="L571" s="20">
        <v>132.21</v>
      </c>
      <c r="M571" s="21">
        <f>=0</f>
        <v>0</v>
      </c>
      <c r="N571" s="16" t="s"/>
      <c r="O571" s="16" t="s"/>
    </row>
    <row r="572" spans="1:15">
      <c r="A572" s="16" t="s">
        <v>527</v>
      </c>
      <c r="B572" s="16" t="s">
        <v>530</v>
      </c>
      <c r="C572" s="16" t="s"/>
      <c r="D572" s="22">
        <v>0.692</v>
      </c>
      <c r="E572" s="22">
        <v>0.063</v>
      </c>
      <c r="F572" s="22">
        <v>0.692</v>
      </c>
      <c r="G572" s="22">
        <v>0.032</v>
      </c>
      <c r="H572" s="23">
        <v>0</v>
      </c>
      <c r="I572" s="18">
        <v>69.18</v>
      </c>
      <c r="J572" s="19">
        <v>19.03</v>
      </c>
      <c r="K572" s="17">
        <v>0</v>
      </c>
      <c r="L572" s="20">
        <v>69.19</v>
      </c>
      <c r="M572" s="21">
        <f>=0</f>
        <v>0</v>
      </c>
      <c r="N572" s="16" t="s"/>
      <c r="O572" s="16" t="s"/>
    </row>
    <row r="573" spans="1:15">
      <c r="A573" s="16" t="s">
        <v>527</v>
      </c>
      <c r="B573" s="16" t="s">
        <v>531</v>
      </c>
      <c r="C573" s="16" t="s"/>
      <c r="D573" s="22">
        <v>6.46</v>
      </c>
      <c r="E573" s="22">
        <v>0.588</v>
      </c>
      <c r="F573" s="22">
        <v>5.404</v>
      </c>
      <c r="G573" s="22">
        <v>0.246</v>
      </c>
      <c r="H573" s="23">
        <v>0</v>
      </c>
      <c r="I573" s="18">
        <v>593.16</v>
      </c>
      <c r="J573" s="19">
        <v>206.7175</v>
      </c>
      <c r="K573" s="17">
        <v>0</v>
      </c>
      <c r="L573" s="20">
        <v>223.34</v>
      </c>
      <c r="M573" s="21">
        <f>=0</f>
        <v>0</v>
      </c>
      <c r="N573" s="16" t="s"/>
      <c r="O573" s="16" t="s"/>
    </row>
    <row r="574" spans="1:15">
      <c r="A574" s="16" t="s">
        <v>527</v>
      </c>
      <c r="B574" s="16" t="s">
        <v>531</v>
      </c>
      <c r="C574" s="16" t="s">
        <v>532</v>
      </c>
      <c r="D574" s="22">
        <v>9.998</v>
      </c>
      <c r="E574" s="22">
        <v>0.909</v>
      </c>
      <c r="F574" s="22">
        <v>8.49</v>
      </c>
      <c r="G574" s="22">
        <v>0.386</v>
      </c>
      <c r="H574" s="23">
        <v>0</v>
      </c>
      <c r="I574" s="18">
        <v>924.38</v>
      </c>
      <c r="J574" s="19">
        <v>316.415</v>
      </c>
      <c r="K574" s="17">
        <v>0</v>
      </c>
      <c r="L574" s="20">
        <v>396.67</v>
      </c>
      <c r="M574" s="21">
        <f>=0</f>
        <v>0</v>
      </c>
      <c r="N574" s="16" t="s"/>
      <c r="O574" s="16" t="s"/>
    </row>
    <row r="575" spans="1:15">
      <c r="A575" s="16" t="s">
        <v>527</v>
      </c>
      <c r="B575" s="16" t="s">
        <v>533</v>
      </c>
      <c r="C575" s="16" t="s"/>
      <c r="D575" s="22">
        <v>1.1</v>
      </c>
      <c r="E575" s="22">
        <v>0.1</v>
      </c>
      <c r="F575" s="22">
        <v>0.55</v>
      </c>
      <c r="G575" s="22">
        <v>0.025</v>
      </c>
      <c r="H575" s="23">
        <v>1.98</v>
      </c>
      <c r="I575" s="18">
        <v>0</v>
      </c>
      <c r="J575" s="19">
        <v>15.125</v>
      </c>
      <c r="K575" s="17">
        <v>0</v>
      </c>
      <c r="L575" s="20">
        <v>54.99</v>
      </c>
      <c r="M575" s="21">
        <f>=0</f>
        <v>0</v>
      </c>
      <c r="N575" s="16" t="s"/>
      <c r="O575" s="16" t="s"/>
    </row>
    <row r="576" spans="1:15">
      <c r="A576" s="16" t="s">
        <v>527</v>
      </c>
      <c r="B576" s="16" t="s">
        <v>534</v>
      </c>
      <c r="C576" s="16" t="s"/>
      <c r="D576" s="22">
        <v>2.3</v>
      </c>
      <c r="E576" s="22">
        <v>0.21</v>
      </c>
      <c r="F576" s="22">
        <v>2</v>
      </c>
      <c r="G576" s="22">
        <v>0.091</v>
      </c>
      <c r="H576" s="23">
        <v>3.6</v>
      </c>
      <c r="I576" s="18">
        <v>100</v>
      </c>
      <c r="J576" s="19">
        <v>27.5</v>
      </c>
      <c r="K576" s="17">
        <v>0</v>
      </c>
      <c r="L576" s="20">
        <v>250</v>
      </c>
      <c r="M576" s="21">
        <f>=0</f>
        <v>0</v>
      </c>
      <c r="N576" s="16" t="s"/>
      <c r="O576" s="16" t="s"/>
    </row>
    <row r="577" spans="1:15">
      <c r="A577" s="16" t="s">
        <v>527</v>
      </c>
      <c r="B577" s="16" t="s">
        <v>535</v>
      </c>
      <c r="C577" s="16" t="s"/>
      <c r="D577" s="22">
        <v>7.041</v>
      </c>
      <c r="E577" s="22">
        <v>0.641</v>
      </c>
      <c r="F577" s="22">
        <v>3.051</v>
      </c>
      <c r="G577" s="22">
        <v>0.139</v>
      </c>
      <c r="H577" s="23">
        <v>0</v>
      </c>
      <c r="I577" s="18">
        <v>504.53</v>
      </c>
      <c r="J577" s="19">
        <v>266.7775</v>
      </c>
      <c r="K577" s="17">
        <v>0</v>
      </c>
      <c r="L577" s="20">
        <v>305.04</v>
      </c>
      <c r="M577" s="21">
        <f>=0</f>
        <v>0</v>
      </c>
      <c r="N577" s="16" t="s"/>
      <c r="O577" s="16" t="s"/>
    </row>
    <row r="578" spans="1:15">
      <c r="A578" s="16" t="s">
        <v>527</v>
      </c>
      <c r="B578" s="16" t="s">
        <v>536</v>
      </c>
      <c r="C578" s="16" t="s"/>
      <c r="D578" s="22">
        <v>20.243</v>
      </c>
      <c r="E578" s="22">
        <v>1.841</v>
      </c>
      <c r="F578" s="22">
        <v>4.033</v>
      </c>
      <c r="G578" s="22">
        <v>0.184</v>
      </c>
      <c r="H578" s="23">
        <v>0</v>
      </c>
      <c r="I578" s="18">
        <v>403.29</v>
      </c>
      <c r="J578" s="19">
        <v>0</v>
      </c>
      <c r="K578" s="17">
        <v>0</v>
      </c>
      <c r="L578" s="20">
        <v>903.3</v>
      </c>
      <c r="M578" s="21">
        <f>=0</f>
        <v>0</v>
      </c>
      <c r="N578" s="16" t="s"/>
      <c r="O578" s="16" t="s"/>
    </row>
    <row r="579" spans="1:15">
      <c r="A579" s="16" t="s">
        <v>527</v>
      </c>
      <c r="B579" s="16" t="s">
        <v>537</v>
      </c>
      <c r="C579" s="16" t="s"/>
      <c r="D579" s="22">
        <v>1</v>
      </c>
      <c r="E579" s="22">
        <v>0.091</v>
      </c>
      <c r="F579" s="22">
        <v>1</v>
      </c>
      <c r="G579" s="22">
        <v>0.046</v>
      </c>
      <c r="H579" s="23">
        <v>3.6</v>
      </c>
      <c r="I579" s="18">
        <v>100</v>
      </c>
      <c r="J579" s="19">
        <v>27.5</v>
      </c>
      <c r="K579" s="17">
        <v>0</v>
      </c>
      <c r="L579" s="20">
        <v>50</v>
      </c>
      <c r="M579" s="21">
        <f>=0</f>
        <v>0</v>
      </c>
      <c r="N579" s="16" t="s"/>
      <c r="O579" s="16" t="s"/>
    </row>
    <row r="580" spans="1:15">
      <c r="A580" s="16" t="s">
        <v>527</v>
      </c>
      <c r="B580" s="16" t="s">
        <v>538</v>
      </c>
      <c r="C580" s="16" t="s">
        <v>75</v>
      </c>
      <c r="D580" s="22">
        <v>0</v>
      </c>
      <c r="E580" s="22">
        <v>0</v>
      </c>
      <c r="F580" s="22">
        <v>2.467</v>
      </c>
      <c r="G580" s="22">
        <v>0.113</v>
      </c>
      <c r="H580" s="23">
        <v>0</v>
      </c>
      <c r="I580" s="18">
        <v>0</v>
      </c>
      <c r="J580" s="19">
        <v>0</v>
      </c>
      <c r="K580" s="17">
        <v>0</v>
      </c>
      <c r="L580" s="20">
        <v>366.64</v>
      </c>
      <c r="M580" s="21">
        <f>=0</f>
        <v>0</v>
      </c>
      <c r="N580" s="16" t="s"/>
      <c r="O580" s="16" t="s"/>
    </row>
    <row r="581" spans="1:15">
      <c r="A581" s="16" t="s">
        <v>527</v>
      </c>
      <c r="B581" s="16" t="s">
        <v>538</v>
      </c>
      <c r="C581" s="16" t="s">
        <v>76</v>
      </c>
      <c r="D581" s="22">
        <v>0</v>
      </c>
      <c r="E581" s="22">
        <v>0</v>
      </c>
      <c r="F581" s="22">
        <v>3.117</v>
      </c>
      <c r="G581" s="22">
        <v>0.142</v>
      </c>
      <c r="H581" s="23">
        <v>0</v>
      </c>
      <c r="I581" s="18">
        <v>0</v>
      </c>
      <c r="J581" s="19">
        <v>0</v>
      </c>
      <c r="K581" s="17">
        <v>0</v>
      </c>
      <c r="L581" s="20">
        <v>416.64</v>
      </c>
      <c r="M581" s="21">
        <f>=0</f>
        <v>0</v>
      </c>
      <c r="N581" s="16" t="s"/>
      <c r="O581" s="16" t="s"/>
    </row>
    <row r="582" spans="1:15">
      <c r="A582" s="16" t="s">
        <v>527</v>
      </c>
      <c r="B582" s="16" t="s">
        <v>538</v>
      </c>
      <c r="C582" s="16" t="s">
        <v>77</v>
      </c>
      <c r="D582" s="22">
        <v>0</v>
      </c>
      <c r="E582" s="22">
        <v>0</v>
      </c>
      <c r="F582" s="22">
        <v>1.517</v>
      </c>
      <c r="G582" s="22">
        <v>0.069</v>
      </c>
      <c r="H582" s="23">
        <v>0</v>
      </c>
      <c r="I582" s="18">
        <v>0</v>
      </c>
      <c r="J582" s="19">
        <v>0</v>
      </c>
      <c r="K582" s="17">
        <v>0</v>
      </c>
      <c r="L582" s="20">
        <v>116.64</v>
      </c>
      <c r="M582" s="21">
        <f>=0</f>
        <v>0</v>
      </c>
      <c r="N582" s="16" t="s"/>
      <c r="O582" s="16" t="s"/>
    </row>
    <row r="583" spans="1:15">
      <c r="A583" s="16" t="s">
        <v>527</v>
      </c>
      <c r="B583" s="16" t="s">
        <v>539</v>
      </c>
      <c r="C583" s="16" t="s"/>
      <c r="D583" s="22">
        <v>4.285</v>
      </c>
      <c r="E583" s="22">
        <v>0.39</v>
      </c>
      <c r="F583" s="22">
        <v>3.78</v>
      </c>
      <c r="G583" s="22">
        <v>0.172</v>
      </c>
      <c r="H583" s="23">
        <v>0</v>
      </c>
      <c r="I583" s="18">
        <v>403.22</v>
      </c>
      <c r="J583" s="19">
        <v>131.6975</v>
      </c>
      <c r="K583" s="17">
        <v>0</v>
      </c>
      <c r="L583" s="20">
        <v>226.67</v>
      </c>
      <c r="M583" s="21">
        <f>=0</f>
        <v>0</v>
      </c>
      <c r="N583" s="16" t="s"/>
      <c r="O583" s="16" t="s"/>
    </row>
    <row r="584" spans="1:15">
      <c r="A584" s="16" t="s">
        <v>540</v>
      </c>
      <c r="B584" s="16" t="s">
        <v>541</v>
      </c>
      <c r="C584" s="16" t="s">
        <v>62</v>
      </c>
      <c r="D584" s="22">
        <v>0.59</v>
      </c>
      <c r="E584" s="22">
        <v>0.054</v>
      </c>
      <c r="F584" s="22">
        <v>0.295</v>
      </c>
      <c r="G584" s="22">
        <v>0.014</v>
      </c>
      <c r="H584" s="23">
        <v>1.062</v>
      </c>
      <c r="I584" s="18">
        <v>29.48</v>
      </c>
      <c r="J584" s="19">
        <v>8.1125</v>
      </c>
      <c r="K584" s="17">
        <v>0</v>
      </c>
      <c r="L584" s="20">
        <v>29.49</v>
      </c>
      <c r="M584" s="21">
        <f>=0</f>
        <v>0</v>
      </c>
      <c r="N584" s="16" t="s"/>
      <c r="O584" s="16" t="s"/>
    </row>
    <row r="585" spans="1:15">
      <c r="A585" s="16" t="s">
        <v>540</v>
      </c>
      <c r="B585" s="16" t="s">
        <v>541</v>
      </c>
      <c r="C585" s="16" t="s">
        <v>63</v>
      </c>
      <c r="D585" s="22">
        <v>0.788</v>
      </c>
      <c r="E585" s="22">
        <v>0.072</v>
      </c>
      <c r="F585" s="22">
        <v>0.645</v>
      </c>
      <c r="G585" s="22">
        <v>0.03</v>
      </c>
      <c r="H585" s="23">
        <v>2.319</v>
      </c>
      <c r="I585" s="18">
        <v>64.4</v>
      </c>
      <c r="J585" s="19">
        <v>17.7375</v>
      </c>
      <c r="K585" s="17">
        <v>0</v>
      </c>
      <c r="L585" s="20">
        <v>64.41</v>
      </c>
      <c r="M585" s="21">
        <f>=0</f>
        <v>0</v>
      </c>
      <c r="N585" s="16" t="s"/>
      <c r="O585" s="16" t="s"/>
    </row>
    <row r="586" spans="1:15">
      <c r="A586" s="16" t="s">
        <v>540</v>
      </c>
      <c r="B586" s="16" t="s">
        <v>541</v>
      </c>
      <c r="C586" s="16" t="s">
        <v>64</v>
      </c>
      <c r="D586" s="22">
        <v>1.501</v>
      </c>
      <c r="E586" s="22">
        <v>0.137</v>
      </c>
      <c r="F586" s="22">
        <v>1.219</v>
      </c>
      <c r="G586" s="22">
        <v>0.056</v>
      </c>
      <c r="H586" s="23">
        <v>4.389</v>
      </c>
      <c r="I586" s="18">
        <v>121.89</v>
      </c>
      <c r="J586" s="19">
        <v>33.5225</v>
      </c>
      <c r="K586" s="17">
        <v>0</v>
      </c>
      <c r="L586" s="20">
        <v>121.9</v>
      </c>
      <c r="M586" s="21">
        <f>=0</f>
        <v>0</v>
      </c>
      <c r="N586" s="16" t="s"/>
      <c r="O586" s="16" t="s"/>
    </row>
    <row r="587" spans="1:15">
      <c r="A587" s="16" t="s">
        <v>540</v>
      </c>
      <c r="B587" s="16" t="s">
        <v>541</v>
      </c>
      <c r="C587" s="16" t="s">
        <v>65</v>
      </c>
      <c r="D587" s="22">
        <v>3.206</v>
      </c>
      <c r="E587" s="22">
        <v>0.292</v>
      </c>
      <c r="F587" s="22">
        <v>2.522</v>
      </c>
      <c r="G587" s="22">
        <v>0.115</v>
      </c>
      <c r="H587" s="23">
        <v>9.077</v>
      </c>
      <c r="I587" s="18">
        <v>252.11</v>
      </c>
      <c r="J587" s="19">
        <v>69.355</v>
      </c>
      <c r="K587" s="17">
        <v>0</v>
      </c>
      <c r="L587" s="20">
        <v>252.12</v>
      </c>
      <c r="M587" s="21">
        <f>=0</f>
        <v>0</v>
      </c>
      <c r="N587" s="16" t="s"/>
      <c r="O587" s="16" t="s"/>
    </row>
    <row r="588" spans="1:15">
      <c r="A588" s="16" t="s">
        <v>540</v>
      </c>
      <c r="B588" s="16" t="s">
        <v>542</v>
      </c>
      <c r="C588" s="16" t="s"/>
      <c r="D588" s="22">
        <v>2.717</v>
      </c>
      <c r="E588" s="22">
        <v>0.247</v>
      </c>
      <c r="F588" s="22">
        <v>2.717</v>
      </c>
      <c r="G588" s="22">
        <v>0.124</v>
      </c>
      <c r="H588" s="23">
        <v>0</v>
      </c>
      <c r="I588" s="18">
        <v>271.66</v>
      </c>
      <c r="J588" s="19">
        <v>37.3725</v>
      </c>
      <c r="K588" s="17">
        <v>0</v>
      </c>
      <c r="L588" s="20">
        <v>271.67</v>
      </c>
      <c r="M588" s="21">
        <f>=0</f>
        <v>0</v>
      </c>
      <c r="N588" s="16" t="s"/>
      <c r="O588" s="16" t="s"/>
    </row>
    <row r="589" spans="1:15">
      <c r="A589" s="16" t="s">
        <v>540</v>
      </c>
      <c r="B589" s="16" t="s">
        <v>543</v>
      </c>
      <c r="C589" s="16" t="s">
        <v>130</v>
      </c>
      <c r="D589" s="22">
        <v>0.934</v>
      </c>
      <c r="E589" s="22">
        <v>0.085</v>
      </c>
      <c r="F589" s="22">
        <v>0.934</v>
      </c>
      <c r="G589" s="22">
        <v>0.043</v>
      </c>
      <c r="H589" s="23">
        <v>0</v>
      </c>
      <c r="I589" s="18">
        <v>93.33</v>
      </c>
      <c r="J589" s="19">
        <v>25.685</v>
      </c>
      <c r="K589" s="17">
        <v>0</v>
      </c>
      <c r="L589" s="20">
        <v>93.34</v>
      </c>
      <c r="M589" s="21">
        <f>=0</f>
        <v>0</v>
      </c>
      <c r="N589" s="16" t="s"/>
      <c r="O589" s="16" t="s"/>
    </row>
    <row r="590" spans="1:15">
      <c r="A590" s="16" t="s">
        <v>540</v>
      </c>
      <c r="B590" s="16" t="s">
        <v>543</v>
      </c>
      <c r="C590" s="16" t="s">
        <v>131</v>
      </c>
      <c r="D590" s="22">
        <v>1.034</v>
      </c>
      <c r="E590" s="22">
        <v>0.094</v>
      </c>
      <c r="F590" s="22">
        <v>1.034</v>
      </c>
      <c r="G590" s="22">
        <v>0.047</v>
      </c>
      <c r="H590" s="23">
        <v>0</v>
      </c>
      <c r="I590" s="18">
        <v>103.36</v>
      </c>
      <c r="J590" s="19">
        <v>28.435</v>
      </c>
      <c r="K590" s="17">
        <v>0</v>
      </c>
      <c r="L590" s="20">
        <v>103.37</v>
      </c>
      <c r="M590" s="21">
        <f>=0</f>
        <v>0</v>
      </c>
      <c r="N590" s="16" t="s"/>
      <c r="O590" s="16" t="s"/>
    </row>
    <row r="591" spans="1:15">
      <c r="A591" s="16" t="s">
        <v>540</v>
      </c>
      <c r="B591" s="16" t="s">
        <v>543</v>
      </c>
      <c r="C591" s="16" t="s">
        <v>544</v>
      </c>
      <c r="D591" s="22">
        <v>2.35</v>
      </c>
      <c r="E591" s="22">
        <v>0.214</v>
      </c>
      <c r="F591" s="22">
        <v>2.35</v>
      </c>
      <c r="G591" s="22">
        <v>0.107</v>
      </c>
      <c r="H591" s="23">
        <v>0</v>
      </c>
      <c r="I591" s="18">
        <v>235</v>
      </c>
      <c r="J591" s="19">
        <v>64.625</v>
      </c>
      <c r="K591" s="17">
        <v>0</v>
      </c>
      <c r="L591" s="20">
        <v>235</v>
      </c>
      <c r="M591" s="21">
        <f>=0</f>
        <v>0</v>
      </c>
      <c r="N591" s="16" t="s"/>
      <c r="O591" s="16" t="s"/>
    </row>
    <row r="592" spans="1:15">
      <c r="A592" s="16" t="s">
        <v>540</v>
      </c>
      <c r="B592" s="16" t="s">
        <v>545</v>
      </c>
      <c r="C592" s="16" t="s"/>
      <c r="D592" s="22">
        <v>6.129</v>
      </c>
      <c r="E592" s="22">
        <v>0.558</v>
      </c>
      <c r="F592" s="22">
        <v>3.968</v>
      </c>
      <c r="G592" s="22">
        <v>0.181</v>
      </c>
      <c r="H592" s="23">
        <v>0</v>
      </c>
      <c r="I592" s="18">
        <v>532.55</v>
      </c>
      <c r="J592" s="19">
        <v>126.1975</v>
      </c>
      <c r="K592" s="17">
        <v>0</v>
      </c>
      <c r="L592" s="20">
        <v>213.34</v>
      </c>
      <c r="M592" s="21">
        <f>=0</f>
        <v>0</v>
      </c>
      <c r="N592" s="16" t="s"/>
      <c r="O592" s="16" t="s"/>
    </row>
    <row r="593" spans="1:15">
      <c r="A593" s="16" t="s">
        <v>540</v>
      </c>
      <c r="B593" s="16" t="s">
        <v>546</v>
      </c>
      <c r="C593" s="16" t="s">
        <v>547</v>
      </c>
      <c r="D593" s="22">
        <v>1.871</v>
      </c>
      <c r="E593" s="22">
        <v>0.171</v>
      </c>
      <c r="F593" s="22">
        <v>1.096</v>
      </c>
      <c r="G593" s="22">
        <v>0.05</v>
      </c>
      <c r="H593" s="23">
        <v>0</v>
      </c>
      <c r="I593" s="18">
        <v>161.25</v>
      </c>
      <c r="J593" s="19">
        <v>37.0975</v>
      </c>
      <c r="K593" s="17">
        <v>0</v>
      </c>
      <c r="L593" s="20">
        <v>46.67</v>
      </c>
      <c r="M593" s="21">
        <f>=0</f>
        <v>0</v>
      </c>
      <c r="N593" s="16" t="s"/>
      <c r="O593" s="16" t="s"/>
    </row>
    <row r="594" spans="1:15">
      <c r="A594" s="16" t="s">
        <v>540</v>
      </c>
      <c r="B594" s="16" t="s">
        <v>548</v>
      </c>
      <c r="C594" s="16" t="s"/>
      <c r="D594" s="22">
        <v>0.901</v>
      </c>
      <c r="E594" s="22">
        <v>0.082</v>
      </c>
      <c r="F594" s="22">
        <v>0.451</v>
      </c>
      <c r="G594" s="22">
        <v>0.021</v>
      </c>
      <c r="H594" s="23">
        <v>1.621</v>
      </c>
      <c r="I594" s="18">
        <v>45.01</v>
      </c>
      <c r="J594" s="19">
        <v>12.4025</v>
      </c>
      <c r="K594" s="17">
        <v>0</v>
      </c>
      <c r="L594" s="20">
        <v>45.02</v>
      </c>
      <c r="M594" s="21">
        <f>=0</f>
        <v>0</v>
      </c>
      <c r="N594" s="16" t="s"/>
      <c r="O594" s="16" t="s"/>
    </row>
    <row r="595" spans="1:15">
      <c r="A595" s="16" t="s">
        <v>540</v>
      </c>
      <c r="B595" s="16" t="s">
        <v>549</v>
      </c>
      <c r="C595" s="16" t="s"/>
      <c r="D595" s="22">
        <v>2.69</v>
      </c>
      <c r="E595" s="22">
        <v>0.245</v>
      </c>
      <c r="F595" s="22">
        <v>2.3</v>
      </c>
      <c r="G595" s="22">
        <v>0.105</v>
      </c>
      <c r="H595" s="23">
        <v>4.679</v>
      </c>
      <c r="I595" s="18">
        <v>129.96</v>
      </c>
      <c r="J595" s="19">
        <v>35.75</v>
      </c>
      <c r="K595" s="17">
        <v>0</v>
      </c>
      <c r="L595" s="20">
        <v>279.97</v>
      </c>
      <c r="M595" s="21">
        <f>=0</f>
        <v>0</v>
      </c>
      <c r="N595" s="16" t="s"/>
      <c r="O595" s="16" t="s"/>
    </row>
    <row r="596" spans="1:15">
      <c r="A596" s="16" t="s">
        <v>540</v>
      </c>
      <c r="B596" s="16" t="s">
        <v>550</v>
      </c>
      <c r="C596" s="16" t="s"/>
      <c r="D596" s="22">
        <v>6.523</v>
      </c>
      <c r="E596" s="22">
        <v>0.593</v>
      </c>
      <c r="F596" s="22">
        <v>2.533</v>
      </c>
      <c r="G596" s="22">
        <v>0.116</v>
      </c>
      <c r="H596" s="23">
        <v>0</v>
      </c>
      <c r="I596" s="18">
        <v>452.79</v>
      </c>
      <c r="J596" s="19">
        <v>252.5325</v>
      </c>
      <c r="K596" s="17">
        <v>0</v>
      </c>
      <c r="L596" s="20">
        <v>253.3</v>
      </c>
      <c r="M596" s="21">
        <f>=0</f>
        <v>0</v>
      </c>
      <c r="N596" s="16" t="s"/>
      <c r="O596" s="16" t="s"/>
    </row>
    <row r="597" spans="1:15">
      <c r="A597" s="16" t="s">
        <v>540</v>
      </c>
      <c r="B597" s="16" t="s">
        <v>551</v>
      </c>
      <c r="C597" s="16" t="s"/>
      <c r="D597" s="22">
        <v>16.604</v>
      </c>
      <c r="E597" s="22">
        <v>1.51</v>
      </c>
      <c r="F597" s="22">
        <v>3.283</v>
      </c>
      <c r="G597" s="22">
        <v>0.15</v>
      </c>
      <c r="H597" s="23">
        <v>0</v>
      </c>
      <c r="I597" s="18">
        <v>1127.54</v>
      </c>
      <c r="J597" s="19">
        <v>0</v>
      </c>
      <c r="K597" s="17">
        <v>0</v>
      </c>
      <c r="L597" s="20">
        <v>828.3</v>
      </c>
      <c r="M597" s="21">
        <f>=0</f>
        <v>0</v>
      </c>
      <c r="N597" s="16" t="s"/>
      <c r="O597" s="16" t="s"/>
    </row>
    <row r="598" spans="1:15">
      <c r="A598" s="16" t="s">
        <v>540</v>
      </c>
      <c r="B598" s="16" t="s">
        <v>552</v>
      </c>
      <c r="C598" s="16" t="s"/>
      <c r="D598" s="22">
        <v>1.3</v>
      </c>
      <c r="E598" s="22">
        <v>0.119</v>
      </c>
      <c r="F598" s="22">
        <v>1.3</v>
      </c>
      <c r="G598" s="22">
        <v>0.06</v>
      </c>
      <c r="H598" s="23">
        <v>4.679</v>
      </c>
      <c r="I598" s="18">
        <v>129.96</v>
      </c>
      <c r="J598" s="19">
        <v>35.75</v>
      </c>
      <c r="K598" s="17">
        <v>0</v>
      </c>
      <c r="L598" s="20">
        <v>64.99</v>
      </c>
      <c r="M598" s="21">
        <f>=0</f>
        <v>0</v>
      </c>
      <c r="N598" s="16" t="s"/>
      <c r="O598" s="16" t="s"/>
    </row>
    <row r="599" spans="1:15">
      <c r="A599" s="16" t="s">
        <v>540</v>
      </c>
      <c r="B599" s="16" t="s">
        <v>553</v>
      </c>
      <c r="C599" s="16" t="s">
        <v>75</v>
      </c>
      <c r="D599" s="22">
        <v>0</v>
      </c>
      <c r="E599" s="22">
        <v>0</v>
      </c>
      <c r="F599" s="22">
        <v>2.467</v>
      </c>
      <c r="G599" s="22">
        <v>0.113</v>
      </c>
      <c r="H599" s="23">
        <v>0</v>
      </c>
      <c r="I599" s="18">
        <v>0</v>
      </c>
      <c r="J599" s="19">
        <v>0</v>
      </c>
      <c r="K599" s="17">
        <v>0</v>
      </c>
      <c r="L599" s="20">
        <v>366.64</v>
      </c>
      <c r="M599" s="21">
        <f>=0</f>
        <v>0</v>
      </c>
      <c r="N599" s="16" t="s"/>
      <c r="O599" s="16" t="s"/>
    </row>
    <row r="600" spans="1:15">
      <c r="A600" s="16" t="s">
        <v>540</v>
      </c>
      <c r="B600" s="16" t="s">
        <v>553</v>
      </c>
      <c r="C600" s="16" t="s">
        <v>76</v>
      </c>
      <c r="D600" s="22">
        <v>0</v>
      </c>
      <c r="E600" s="22">
        <v>0</v>
      </c>
      <c r="F600" s="22">
        <v>3.117</v>
      </c>
      <c r="G600" s="22">
        <v>0.142</v>
      </c>
      <c r="H600" s="23">
        <v>0</v>
      </c>
      <c r="I600" s="18">
        <v>0</v>
      </c>
      <c r="J600" s="19">
        <v>0</v>
      </c>
      <c r="K600" s="17">
        <v>0</v>
      </c>
      <c r="L600" s="20">
        <v>416.64</v>
      </c>
      <c r="M600" s="21">
        <f>=0</f>
        <v>0</v>
      </c>
      <c r="N600" s="16" t="s"/>
      <c r="O600" s="16" t="s"/>
    </row>
    <row r="601" spans="1:15">
      <c r="A601" s="16" t="s">
        <v>540</v>
      </c>
      <c r="B601" s="16" t="s">
        <v>553</v>
      </c>
      <c r="C601" s="16" t="s">
        <v>77</v>
      </c>
      <c r="D601" s="22">
        <v>0</v>
      </c>
      <c r="E601" s="22">
        <v>0</v>
      </c>
      <c r="F601" s="22">
        <v>1.517</v>
      </c>
      <c r="G601" s="22">
        <v>0.069</v>
      </c>
      <c r="H601" s="23">
        <v>0</v>
      </c>
      <c r="I601" s="18">
        <v>0</v>
      </c>
      <c r="J601" s="19">
        <v>0</v>
      </c>
      <c r="K601" s="17">
        <v>0</v>
      </c>
      <c r="L601" s="20">
        <v>116.64</v>
      </c>
      <c r="M601" s="21">
        <f>=0</f>
        <v>0</v>
      </c>
      <c r="N601" s="16" t="s"/>
      <c r="O601" s="16" t="s"/>
    </row>
    <row r="602" spans="1:15">
      <c r="A602" s="16" t="s">
        <v>540</v>
      </c>
      <c r="B602" s="16" t="s">
        <v>554</v>
      </c>
      <c r="C602" s="16" t="s"/>
      <c r="D602" s="22">
        <v>4.005</v>
      </c>
      <c r="E602" s="22">
        <v>0.365</v>
      </c>
      <c r="F602" s="22">
        <v>3.52</v>
      </c>
      <c r="G602" s="22">
        <v>0.16</v>
      </c>
      <c r="H602" s="23">
        <v>0</v>
      </c>
      <c r="I602" s="18">
        <v>376.22</v>
      </c>
      <c r="J602" s="19">
        <v>123.4475</v>
      </c>
      <c r="K602" s="17">
        <v>0</v>
      </c>
      <c r="L602" s="20">
        <v>206.67</v>
      </c>
      <c r="M602" s="21">
        <f>=0</f>
        <v>0</v>
      </c>
      <c r="N602" s="16" t="s"/>
      <c r="O602" s="16" t="s"/>
    </row>
    <row r="603" spans="1:15">
      <c r="A603" s="16" t="s">
        <v>555</v>
      </c>
      <c r="B603" s="16" t="s">
        <v>556</v>
      </c>
      <c r="C603" s="16" t="s">
        <v>62</v>
      </c>
      <c r="D603" s="22">
        <v>0.431</v>
      </c>
      <c r="E603" s="22">
        <v>0.04</v>
      </c>
      <c r="F603" s="22">
        <v>0.216</v>
      </c>
      <c r="G603" s="22">
        <v>0.01</v>
      </c>
      <c r="H603" s="23">
        <v>0.705</v>
      </c>
      <c r="I603" s="18">
        <v>0</v>
      </c>
      <c r="J603" s="19">
        <v>5.39</v>
      </c>
      <c r="K603" s="17">
        <v>0</v>
      </c>
      <c r="L603" s="20">
        <v>19.59</v>
      </c>
      <c r="M603" s="21">
        <v>0</v>
      </c>
      <c r="N603" s="16" t="s"/>
      <c r="O603" s="16" t="s"/>
    </row>
    <row r="604" spans="1:15">
      <c r="A604" s="16" t="s">
        <v>555</v>
      </c>
      <c r="B604" s="16" t="s">
        <v>556</v>
      </c>
      <c r="C604" s="16" t="s">
        <v>63</v>
      </c>
      <c r="D604" s="22">
        <v>0.741</v>
      </c>
      <c r="E604" s="22">
        <v>0.068</v>
      </c>
      <c r="F604" s="22">
        <v>0.549</v>
      </c>
      <c r="G604" s="22">
        <v>0.025</v>
      </c>
      <c r="H604" s="23">
        <v>1.796</v>
      </c>
      <c r="I604" s="18">
        <v>0</v>
      </c>
      <c r="J604" s="19">
        <v>13.7225</v>
      </c>
      <c r="K604" s="17">
        <v>0</v>
      </c>
      <c r="L604" s="20">
        <v>49.88</v>
      </c>
      <c r="M604" s="21">
        <v>0</v>
      </c>
      <c r="N604" s="16" t="s"/>
      <c r="O604" s="16" t="s"/>
    </row>
    <row r="605" spans="1:15">
      <c r="A605" s="16" t="s">
        <v>555</v>
      </c>
      <c r="B605" s="16" t="s">
        <v>556</v>
      </c>
      <c r="C605" s="16" t="s">
        <v>64</v>
      </c>
      <c r="D605" s="22">
        <v>1.696</v>
      </c>
      <c r="E605" s="22">
        <v>0.155</v>
      </c>
      <c r="F605" s="22">
        <v>1.281</v>
      </c>
      <c r="G605" s="22">
        <v>0.059</v>
      </c>
      <c r="H605" s="23">
        <v>4.191</v>
      </c>
      <c r="I605" s="18">
        <v>0</v>
      </c>
      <c r="J605" s="19">
        <v>32.0375</v>
      </c>
      <c r="K605" s="17">
        <v>0</v>
      </c>
      <c r="L605" s="20">
        <v>116.41</v>
      </c>
      <c r="M605" s="21">
        <v>0</v>
      </c>
      <c r="N605" s="16" t="s"/>
      <c r="O605" s="16" t="s"/>
    </row>
    <row r="606" spans="1:15">
      <c r="A606" s="16" t="s">
        <v>555</v>
      </c>
      <c r="B606" s="16" t="s">
        <v>556</v>
      </c>
      <c r="C606" s="16" t="s">
        <v>557</v>
      </c>
      <c r="D606" s="22">
        <v>1.491</v>
      </c>
      <c r="E606" s="22">
        <v>0.136</v>
      </c>
      <c r="F606" s="22">
        <v>1.258</v>
      </c>
      <c r="G606" s="22">
        <v>0.058</v>
      </c>
      <c r="H606" s="23">
        <v>4.115</v>
      </c>
      <c r="I606" s="18">
        <v>95.81</v>
      </c>
      <c r="J606" s="19">
        <v>31.46</v>
      </c>
      <c r="K606" s="17">
        <v>0</v>
      </c>
      <c r="L606" s="20">
        <v>114.31</v>
      </c>
      <c r="M606" s="21">
        <v>0</v>
      </c>
      <c r="N606" s="16" t="s"/>
      <c r="O606" s="16" t="s"/>
    </row>
    <row r="607" spans="1:15">
      <c r="A607" s="16" t="s">
        <v>555</v>
      </c>
      <c r="B607" s="16" t="s">
        <v>556</v>
      </c>
      <c r="C607" s="16" t="s">
        <v>558</v>
      </c>
      <c r="D607" s="22">
        <v>0.586</v>
      </c>
      <c r="E607" s="22">
        <v>0.054</v>
      </c>
      <c r="F607" s="22">
        <v>0.501</v>
      </c>
      <c r="G607" s="22">
        <v>0.023</v>
      </c>
      <c r="H607" s="23">
        <v>1.637</v>
      </c>
      <c r="I607" s="18">
        <v>36.17</v>
      </c>
      <c r="J607" s="19">
        <v>12.5125</v>
      </c>
      <c r="K607" s="17">
        <v>0</v>
      </c>
      <c r="L607" s="20">
        <v>45.46</v>
      </c>
      <c r="M607" s="21">
        <v>0</v>
      </c>
      <c r="N607" s="16" t="s"/>
      <c r="O607" s="16" t="s"/>
    </row>
    <row r="608" spans="1:15">
      <c r="A608" s="16" t="s">
        <v>555</v>
      </c>
      <c r="B608" s="16" t="s">
        <v>556</v>
      </c>
      <c r="C608" s="16" t="s">
        <v>559</v>
      </c>
      <c r="D608" s="22">
        <v>1.18</v>
      </c>
      <c r="E608" s="22">
        <v>0.108</v>
      </c>
      <c r="F608" s="22">
        <v>0.957</v>
      </c>
      <c r="G608" s="22">
        <v>0.044</v>
      </c>
      <c r="H608" s="23">
        <v>3.132</v>
      </c>
      <c r="I608" s="18">
        <v>77.7</v>
      </c>
      <c r="J608" s="19">
        <v>23.925</v>
      </c>
      <c r="K608" s="17">
        <v>0</v>
      </c>
      <c r="L608" s="20">
        <v>87</v>
      </c>
      <c r="M608" s="21">
        <v>0</v>
      </c>
      <c r="N608" s="16" t="s"/>
      <c r="O608" s="16" t="s"/>
    </row>
    <row r="609" spans="1:15">
      <c r="A609" s="16" t="s">
        <v>555</v>
      </c>
      <c r="B609" s="16" t="s">
        <v>560</v>
      </c>
      <c r="C609" s="16" t="s"/>
      <c r="D609" s="22">
        <v>0.853</v>
      </c>
      <c r="E609" s="22">
        <v>0.078</v>
      </c>
      <c r="F609" s="22">
        <v>0.853</v>
      </c>
      <c r="G609" s="22">
        <v>0.039</v>
      </c>
      <c r="H609" s="23">
        <v>0</v>
      </c>
      <c r="I609" s="18">
        <v>77.51</v>
      </c>
      <c r="J609" s="19">
        <v>21.34</v>
      </c>
      <c r="K609" s="17">
        <v>0</v>
      </c>
      <c r="L609" s="20">
        <v>77.52</v>
      </c>
      <c r="M609" s="21">
        <v>0</v>
      </c>
      <c r="N609" s="16" t="s"/>
      <c r="O609" s="16" t="s"/>
    </row>
    <row r="610" spans="1:15">
      <c r="A610" s="16" t="s">
        <v>555</v>
      </c>
      <c r="B610" s="16" t="s">
        <v>561</v>
      </c>
      <c r="C610" s="16" t="s">
        <v>96</v>
      </c>
      <c r="D610" s="22">
        <v>0.187</v>
      </c>
      <c r="E610" s="22">
        <v>0.017</v>
      </c>
      <c r="F610" s="22">
        <v>4.324</v>
      </c>
      <c r="G610" s="22">
        <v>0.197</v>
      </c>
      <c r="H610" s="23">
        <v>0</v>
      </c>
      <c r="I610" s="18">
        <v>22.54</v>
      </c>
      <c r="J610" s="19">
        <v>7.755</v>
      </c>
      <c r="K610" s="17">
        <v>0</v>
      </c>
      <c r="L610" s="20">
        <v>9.51</v>
      </c>
      <c r="M610" s="21">
        <v>0</v>
      </c>
      <c r="N610" s="16" t="s"/>
      <c r="O610" s="16" t="s"/>
    </row>
    <row r="611" spans="1:15">
      <c r="A611" s="16" t="s">
        <v>555</v>
      </c>
      <c r="B611" s="16" t="s">
        <v>561</v>
      </c>
      <c r="C611" s="16" t="s">
        <v>97</v>
      </c>
      <c r="D611" s="22">
        <v>3.545</v>
      </c>
      <c r="E611" s="22">
        <v>0.323</v>
      </c>
      <c r="F611" s="22">
        <v>0.228</v>
      </c>
      <c r="G611" s="22">
        <v>0.011</v>
      </c>
      <c r="H611" s="23">
        <v>0</v>
      </c>
      <c r="I611" s="18">
        <v>428.43</v>
      </c>
      <c r="J611" s="19">
        <v>147.0425</v>
      </c>
      <c r="K611" s="17">
        <v>0</v>
      </c>
      <c r="L611" s="20">
        <v>180.54</v>
      </c>
      <c r="M611" s="21">
        <v>0</v>
      </c>
      <c r="N611" s="16" t="s"/>
      <c r="O611" s="16" t="s"/>
    </row>
    <row r="612" spans="1:15">
      <c r="A612" s="16" t="s">
        <v>555</v>
      </c>
      <c r="B612" s="16" t="s">
        <v>562</v>
      </c>
      <c r="C612" s="16" t="s"/>
      <c r="D612" s="22">
        <v>0.935</v>
      </c>
      <c r="E612" s="22">
        <v>0.085</v>
      </c>
      <c r="F612" s="22">
        <v>0.468</v>
      </c>
      <c r="G612" s="22">
        <v>0.022</v>
      </c>
      <c r="H612" s="23">
        <v>1.53</v>
      </c>
      <c r="I612" s="18">
        <v>0</v>
      </c>
      <c r="J612" s="19">
        <v>11.6875</v>
      </c>
      <c r="K612" s="17">
        <v>0</v>
      </c>
      <c r="L612" s="20">
        <v>42.49</v>
      </c>
      <c r="M612" s="21">
        <v>0</v>
      </c>
      <c r="N612" s="16" t="s"/>
      <c r="O612" s="16" t="s"/>
    </row>
    <row r="613" spans="1:15">
      <c r="A613" s="16" t="s">
        <v>555</v>
      </c>
      <c r="B613" s="16" t="s">
        <v>563</v>
      </c>
      <c r="C613" s="16" t="s"/>
      <c r="D613" s="22">
        <v>2.459</v>
      </c>
      <c r="E613" s="22">
        <v>0.224</v>
      </c>
      <c r="F613" s="22">
        <v>2.145</v>
      </c>
      <c r="G613" s="22">
        <v>0.098</v>
      </c>
      <c r="H613" s="23">
        <v>3.42</v>
      </c>
      <c r="I613" s="18">
        <v>95</v>
      </c>
      <c r="J613" s="19">
        <v>26.125</v>
      </c>
      <c r="K613" s="17">
        <v>0</v>
      </c>
      <c r="L613" s="20">
        <v>245</v>
      </c>
      <c r="M613" s="21">
        <v>0</v>
      </c>
      <c r="N613" s="16" t="s"/>
      <c r="O613" s="16" t="s"/>
    </row>
    <row r="614" spans="1:15">
      <c r="A614" s="16" t="s">
        <v>555</v>
      </c>
      <c r="B614" s="16" t="s">
        <v>563</v>
      </c>
      <c r="C614" s="16" t="s">
        <v>564</v>
      </c>
      <c r="D614" s="22">
        <v>1.621</v>
      </c>
      <c r="E614" s="22">
        <v>0.148</v>
      </c>
      <c r="F614" s="22">
        <v>1.247</v>
      </c>
      <c r="G614" s="22">
        <v>0.057</v>
      </c>
      <c r="H614" s="23">
        <v>4.08</v>
      </c>
      <c r="I614" s="18">
        <v>113.33</v>
      </c>
      <c r="J614" s="19">
        <v>31.185</v>
      </c>
      <c r="K614" s="17">
        <v>0</v>
      </c>
      <c r="L614" s="20">
        <v>113.34</v>
      </c>
      <c r="M614" s="21">
        <v>0</v>
      </c>
      <c r="N614" s="16" t="s"/>
      <c r="O614" s="16" t="s"/>
    </row>
    <row r="615" spans="1:15">
      <c r="A615" s="16" t="s">
        <v>555</v>
      </c>
      <c r="B615" s="16" t="s">
        <v>563</v>
      </c>
      <c r="C615" s="16" t="s">
        <v>565</v>
      </c>
      <c r="D615" s="22">
        <v>2.121</v>
      </c>
      <c r="E615" s="22">
        <v>0.193</v>
      </c>
      <c r="F615" s="22">
        <v>1.632</v>
      </c>
      <c r="G615" s="22">
        <v>0.075</v>
      </c>
      <c r="H615" s="23">
        <v>5.339</v>
      </c>
      <c r="I615" s="18">
        <v>148.3</v>
      </c>
      <c r="J615" s="19">
        <v>40.81</v>
      </c>
      <c r="K615" s="17">
        <v>0</v>
      </c>
      <c r="L615" s="20">
        <v>148.31</v>
      </c>
      <c r="M615" s="21">
        <v>0</v>
      </c>
      <c r="N615" s="16" t="s"/>
      <c r="O615" s="16" t="s"/>
    </row>
    <row r="616" spans="1:15">
      <c r="A616" s="16" t="s">
        <v>555</v>
      </c>
      <c r="B616" s="16" t="s">
        <v>566</v>
      </c>
      <c r="C616" s="16" t="s">
        <v>557</v>
      </c>
      <c r="D616" s="22">
        <v>7.011</v>
      </c>
      <c r="E616" s="22">
        <v>0.638</v>
      </c>
      <c r="F616" s="22">
        <v>2.622</v>
      </c>
      <c r="G616" s="22">
        <v>0.12</v>
      </c>
      <c r="H616" s="23">
        <v>0</v>
      </c>
      <c r="I616" s="18">
        <v>437.83</v>
      </c>
      <c r="J616" s="19">
        <v>248.435</v>
      </c>
      <c r="K616" s="17">
        <v>0</v>
      </c>
      <c r="L616" s="20">
        <v>238.34</v>
      </c>
      <c r="M616" s="21">
        <v>0</v>
      </c>
      <c r="N616" s="16" t="s"/>
      <c r="O616" s="16" t="s"/>
    </row>
    <row r="617" spans="1:15">
      <c r="A617" s="16" t="s">
        <v>555</v>
      </c>
      <c r="B617" s="16" t="s">
        <v>567</v>
      </c>
      <c r="C617" s="16" t="s"/>
      <c r="D617" s="22">
        <v>15.271</v>
      </c>
      <c r="E617" s="22">
        <v>1.389</v>
      </c>
      <c r="F617" s="22">
        <v>2.642</v>
      </c>
      <c r="G617" s="22">
        <v>0.121</v>
      </c>
      <c r="H617" s="23">
        <v>0</v>
      </c>
      <c r="I617" s="18">
        <v>218.33</v>
      </c>
      <c r="J617" s="19">
        <v>0</v>
      </c>
      <c r="K617" s="17">
        <v>0</v>
      </c>
      <c r="L617" s="20">
        <v>718.34</v>
      </c>
      <c r="M617" s="21">
        <v>0</v>
      </c>
      <c r="N617" s="16" t="s"/>
      <c r="O617" s="16" t="s"/>
    </row>
    <row r="618" spans="1:15">
      <c r="A618" s="16" t="s">
        <v>555</v>
      </c>
      <c r="B618" s="16" t="s">
        <v>568</v>
      </c>
      <c r="C618" s="16" t="s"/>
      <c r="D618" s="22">
        <v>1.045</v>
      </c>
      <c r="E618" s="22">
        <v>0.095</v>
      </c>
      <c r="F618" s="22">
        <v>0.523</v>
      </c>
      <c r="G618" s="22">
        <v>0.024</v>
      </c>
      <c r="H618" s="23">
        <v>1.71</v>
      </c>
      <c r="I618" s="18">
        <v>47.5</v>
      </c>
      <c r="J618" s="19">
        <v>13.0625</v>
      </c>
      <c r="K618" s="17">
        <v>0</v>
      </c>
      <c r="L618" s="20">
        <v>47.5</v>
      </c>
      <c r="M618" s="21">
        <v>0</v>
      </c>
      <c r="N618" s="16" t="s"/>
      <c r="O618" s="16" t="s"/>
    </row>
    <row r="619" spans="1:15">
      <c r="A619" s="16" t="s">
        <v>555</v>
      </c>
      <c r="B619" s="16" t="s">
        <v>569</v>
      </c>
      <c r="C619" s="16" t="s">
        <v>75</v>
      </c>
      <c r="D619" s="22">
        <v>0</v>
      </c>
      <c r="E619" s="22">
        <v>0</v>
      </c>
      <c r="F619" s="22">
        <v>2.713</v>
      </c>
      <c r="G619" s="22">
        <v>0.124</v>
      </c>
      <c r="H619" s="23">
        <v>0</v>
      </c>
      <c r="I619" s="18">
        <v>0</v>
      </c>
      <c r="J619" s="19">
        <v>0</v>
      </c>
      <c r="K619" s="17">
        <v>0</v>
      </c>
      <c r="L619" s="20">
        <v>366.64</v>
      </c>
      <c r="M619" s="21">
        <v>0</v>
      </c>
      <c r="N619" s="16" t="s"/>
      <c r="O619" s="16" t="s"/>
    </row>
    <row r="620" spans="1:15">
      <c r="A620" s="16" t="s">
        <v>555</v>
      </c>
      <c r="B620" s="16" t="s">
        <v>569</v>
      </c>
      <c r="C620" s="16" t="s">
        <v>76</v>
      </c>
      <c r="D620" s="22">
        <v>0</v>
      </c>
      <c r="E620" s="22">
        <v>0</v>
      </c>
      <c r="F620" s="22">
        <v>3.428</v>
      </c>
      <c r="G620" s="22">
        <v>0.156</v>
      </c>
      <c r="H620" s="23">
        <v>0</v>
      </c>
      <c r="I620" s="18">
        <v>0</v>
      </c>
      <c r="J620" s="19">
        <v>0</v>
      </c>
      <c r="K620" s="17">
        <v>0</v>
      </c>
      <c r="L620" s="20">
        <v>416.64</v>
      </c>
      <c r="M620" s="21">
        <v>0</v>
      </c>
      <c r="N620" s="16" t="s"/>
      <c r="O620" s="16" t="s"/>
    </row>
    <row r="621" spans="1:15">
      <c r="A621" s="16" t="s">
        <v>555</v>
      </c>
      <c r="B621" s="16" t="s">
        <v>569</v>
      </c>
      <c r="C621" s="16" t="s">
        <v>77</v>
      </c>
      <c r="D621" s="22">
        <v>0</v>
      </c>
      <c r="E621" s="22">
        <v>0</v>
      </c>
      <c r="F621" s="22">
        <v>1.668</v>
      </c>
      <c r="G621" s="22">
        <v>0.076</v>
      </c>
      <c r="H621" s="23">
        <v>0</v>
      </c>
      <c r="I621" s="18">
        <v>0</v>
      </c>
      <c r="J621" s="19">
        <v>0</v>
      </c>
      <c r="K621" s="17">
        <v>0</v>
      </c>
      <c r="L621" s="20">
        <v>116.64</v>
      </c>
      <c r="M621" s="21">
        <v>0</v>
      </c>
      <c r="N621" s="16" t="s"/>
      <c r="O621" s="16" t="s"/>
    </row>
    <row r="622" spans="1:15">
      <c r="A622" s="16" t="s">
        <v>555</v>
      </c>
      <c r="B622" s="16" t="s">
        <v>570</v>
      </c>
      <c r="C622" s="16" t="s"/>
      <c r="D622" s="22">
        <v>2.917</v>
      </c>
      <c r="E622" s="22">
        <v>0.266</v>
      </c>
      <c r="F622" s="22">
        <v>2.491</v>
      </c>
      <c r="G622" s="22">
        <v>0.114</v>
      </c>
      <c r="H622" s="23">
        <v>0</v>
      </c>
      <c r="I622" s="18">
        <v>245.76</v>
      </c>
      <c r="J622" s="19">
        <v>83.6</v>
      </c>
      <c r="K622" s="17">
        <v>0</v>
      </c>
      <c r="L622" s="20">
        <v>110.04</v>
      </c>
      <c r="M622" s="21">
        <v>0</v>
      </c>
      <c r="N622" s="16" t="s"/>
      <c r="O622" s="16" t="s"/>
    </row>
    <row r="623" spans="1:15">
      <c r="A623" s="16" t="s">
        <v>555</v>
      </c>
      <c r="B623" s="16" t="s">
        <v>571</v>
      </c>
      <c r="C623" s="16" t="s">
        <v>557</v>
      </c>
      <c r="D623" s="22">
        <v>1.434</v>
      </c>
      <c r="E623" s="22">
        <v>0.131</v>
      </c>
      <c r="F623" s="22">
        <v>1.103</v>
      </c>
      <c r="G623" s="22">
        <v>0.051</v>
      </c>
      <c r="H623" s="23">
        <v>3.609</v>
      </c>
      <c r="I623" s="18">
        <v>100.23</v>
      </c>
      <c r="J623" s="19">
        <v>27.5825</v>
      </c>
      <c r="K623" s="17">
        <v>0</v>
      </c>
      <c r="L623" s="20">
        <v>100.24</v>
      </c>
      <c r="M623" s="21">
        <v>0</v>
      </c>
      <c r="N623" s="16" t="s"/>
      <c r="O623" s="16" t="s"/>
    </row>
    <row r="624" spans="1:15">
      <c r="A624" s="16" t="s">
        <v>555</v>
      </c>
      <c r="B624" s="16" t="s">
        <v>571</v>
      </c>
      <c r="C624" s="16" t="s">
        <v>558</v>
      </c>
      <c r="D624" s="22">
        <v>0.867</v>
      </c>
      <c r="E624" s="22">
        <v>0.079</v>
      </c>
      <c r="F624" s="22">
        <v>0.667</v>
      </c>
      <c r="G624" s="22">
        <v>0.031</v>
      </c>
      <c r="H624" s="23">
        <v>2.181</v>
      </c>
      <c r="I624" s="18">
        <v>60.56</v>
      </c>
      <c r="J624" s="19">
        <v>16.665</v>
      </c>
      <c r="K624" s="17">
        <v>0</v>
      </c>
      <c r="L624" s="20">
        <v>60.57</v>
      </c>
      <c r="M624" s="21">
        <v>0</v>
      </c>
      <c r="N624" s="16" t="s"/>
      <c r="O624" s="16" t="s"/>
    </row>
    <row r="625" spans="1:15">
      <c r="A625" s="16" t="s">
        <v>555</v>
      </c>
      <c r="B625" s="16" t="s">
        <v>571</v>
      </c>
      <c r="C625" s="16" t="s">
        <v>559</v>
      </c>
      <c r="D625" s="22">
        <v>1.706</v>
      </c>
      <c r="E625" s="22">
        <v>0.156</v>
      </c>
      <c r="F625" s="22">
        <v>1.312</v>
      </c>
      <c r="G625" s="22">
        <v>0.06</v>
      </c>
      <c r="H625" s="23">
        <v>4.293</v>
      </c>
      <c r="I625" s="18">
        <v>119.24</v>
      </c>
      <c r="J625" s="19">
        <v>32.8075</v>
      </c>
      <c r="K625" s="17">
        <v>0</v>
      </c>
      <c r="L625" s="20">
        <v>119.25</v>
      </c>
      <c r="M625" s="21">
        <v>0</v>
      </c>
      <c r="N625" s="16" t="s"/>
      <c r="O625" s="16" t="s"/>
    </row>
    <row r="626" spans="1:15">
      <c r="A626" s="16" t="s">
        <v>555</v>
      </c>
      <c r="B626" s="16" t="s">
        <v>568</v>
      </c>
      <c r="C626" s="16" t="s">
        <v>564</v>
      </c>
      <c r="D626" s="22">
        <v>1.247</v>
      </c>
      <c r="E626" s="22">
        <v>0.114</v>
      </c>
      <c r="F626" s="22">
        <v>0.624</v>
      </c>
      <c r="G626" s="22">
        <v>0.029</v>
      </c>
      <c r="H626" s="23">
        <v>2.04</v>
      </c>
      <c r="I626" s="18">
        <v>56.66</v>
      </c>
      <c r="J626" s="19">
        <v>15.5925</v>
      </c>
      <c r="K626" s="17">
        <v>0</v>
      </c>
      <c r="L626" s="20">
        <v>56.67</v>
      </c>
      <c r="M626" s="21">
        <v>0</v>
      </c>
      <c r="N626" s="16" t="s"/>
      <c r="O626" s="16" t="s"/>
    </row>
    <row r="627" spans="1:15">
      <c r="A627" s="16" t="s">
        <v>555</v>
      </c>
      <c r="B627" s="16" t="s">
        <v>568</v>
      </c>
      <c r="C627" s="16" t="s">
        <v>565</v>
      </c>
      <c r="D627" s="22">
        <v>1.632</v>
      </c>
      <c r="E627" s="22">
        <v>0.149</v>
      </c>
      <c r="F627" s="22">
        <v>0.816</v>
      </c>
      <c r="G627" s="22">
        <v>0.038</v>
      </c>
      <c r="H627" s="23">
        <v>2.67</v>
      </c>
      <c r="I627" s="18">
        <v>74.15</v>
      </c>
      <c r="J627" s="19">
        <v>20.405</v>
      </c>
      <c r="K627" s="17">
        <v>0</v>
      </c>
      <c r="L627" s="20">
        <v>74.16</v>
      </c>
      <c r="M627" s="21">
        <v>0</v>
      </c>
      <c r="N627" s="16" t="s"/>
      <c r="O627" s="16" t="s"/>
    </row>
    <row r="628" spans="1:15">
      <c r="A628" s="16" t="s">
        <v>572</v>
      </c>
      <c r="B628" s="16" t="s">
        <v>573</v>
      </c>
      <c r="C628" s="16" t="s">
        <v>62</v>
      </c>
      <c r="D628" s="22">
        <v>0.145</v>
      </c>
      <c r="E628" s="22">
        <v>0.014</v>
      </c>
      <c r="F628" s="22">
        <v>0.117</v>
      </c>
      <c r="G628" s="22">
        <v>0.006</v>
      </c>
      <c r="H628" s="23">
        <v>0.383</v>
      </c>
      <c r="I628" s="18">
        <v>0</v>
      </c>
      <c r="J628" s="19">
        <v>2.9425</v>
      </c>
      <c r="K628" s="17">
        <v>0</v>
      </c>
      <c r="L628" s="20">
        <v>11.32</v>
      </c>
      <c r="M628" s="21">
        <v>0</v>
      </c>
      <c r="N628" s="16" t="s"/>
      <c r="O628" s="16" t="s"/>
    </row>
    <row r="629" spans="1:15">
      <c r="A629" s="16" t="s">
        <v>572</v>
      </c>
      <c r="B629" s="16" t="s">
        <v>573</v>
      </c>
      <c r="C629" s="16" t="s">
        <v>63</v>
      </c>
      <c r="D629" s="22">
        <v>0.444</v>
      </c>
      <c r="E629" s="22">
        <v>0.041</v>
      </c>
      <c r="F629" s="22">
        <v>0.324</v>
      </c>
      <c r="G629" s="22">
        <v>0.015</v>
      </c>
      <c r="H629" s="23">
        <v>1.058</v>
      </c>
      <c r="I629" s="18">
        <v>28.67</v>
      </c>
      <c r="J629" s="19">
        <v>8.085</v>
      </c>
      <c r="K629" s="17">
        <v>0</v>
      </c>
      <c r="L629" s="20">
        <v>31.18</v>
      </c>
      <c r="M629" s="21">
        <v>0</v>
      </c>
      <c r="N629" s="16" t="s"/>
      <c r="O629" s="16" t="s"/>
    </row>
    <row r="630" spans="1:15">
      <c r="A630" s="16" t="s">
        <v>572</v>
      </c>
      <c r="B630" s="16" t="s">
        <v>573</v>
      </c>
      <c r="C630" s="16" t="s">
        <v>64</v>
      </c>
      <c r="D630" s="22">
        <v>0.415</v>
      </c>
      <c r="E630" s="22">
        <v>0.038</v>
      </c>
      <c r="F630" s="22">
        <v>0.254</v>
      </c>
      <c r="G630" s="22">
        <v>0.012</v>
      </c>
      <c r="H630" s="23">
        <v>0.829</v>
      </c>
      <c r="I630" s="18">
        <v>26.73</v>
      </c>
      <c r="J630" s="19">
        <v>6.3525</v>
      </c>
      <c r="K630" s="17">
        <v>0</v>
      </c>
      <c r="L630" s="20">
        <v>24.24</v>
      </c>
      <c r="M630" s="21">
        <v>0</v>
      </c>
      <c r="N630" s="16" t="s"/>
      <c r="O630" s="16" t="s"/>
    </row>
    <row r="631" spans="1:15">
      <c r="A631" s="16" t="s">
        <v>572</v>
      </c>
      <c r="B631" s="16" t="s">
        <v>573</v>
      </c>
      <c r="C631" s="16" t="s">
        <v>65</v>
      </c>
      <c r="D631" s="22">
        <v>0.867</v>
      </c>
      <c r="E631" s="22">
        <v>0.079</v>
      </c>
      <c r="F631" s="22">
        <v>0.536</v>
      </c>
      <c r="G631" s="22">
        <v>0.025</v>
      </c>
      <c r="H631" s="23">
        <v>1.754</v>
      </c>
      <c r="I631" s="18">
        <v>51.2</v>
      </c>
      <c r="J631" s="19">
        <v>13.42</v>
      </c>
      <c r="K631" s="17">
        <v>0</v>
      </c>
      <c r="L631" s="20">
        <v>51.21</v>
      </c>
      <c r="M631" s="21">
        <v>0</v>
      </c>
      <c r="N631" s="16" t="s"/>
      <c r="O631" s="16" t="s"/>
    </row>
    <row r="632" spans="1:15">
      <c r="A632" s="16" t="s">
        <v>572</v>
      </c>
      <c r="B632" s="16" t="s">
        <v>573</v>
      </c>
      <c r="C632" s="16" t="s">
        <v>81</v>
      </c>
      <c r="D632" s="22">
        <v>1.816</v>
      </c>
      <c r="E632" s="22">
        <v>0.166</v>
      </c>
      <c r="F632" s="22">
        <v>1.182</v>
      </c>
      <c r="G632" s="22">
        <v>0.054</v>
      </c>
      <c r="H632" s="23">
        <v>3.867</v>
      </c>
      <c r="I632" s="18">
        <v>101.2</v>
      </c>
      <c r="J632" s="19">
        <v>29.5625</v>
      </c>
      <c r="K632" s="17">
        <v>0</v>
      </c>
      <c r="L632" s="20">
        <v>101.21</v>
      </c>
      <c r="M632" s="21">
        <v>0</v>
      </c>
      <c r="N632" s="16" t="s"/>
      <c r="O632" s="16" t="s"/>
    </row>
    <row r="633" spans="1:15">
      <c r="A633" s="16" t="s">
        <v>572</v>
      </c>
      <c r="B633" s="16" t="s">
        <v>573</v>
      </c>
      <c r="C633" s="16" t="s">
        <v>574</v>
      </c>
      <c r="D633" s="22">
        <v>1.584</v>
      </c>
      <c r="E633" s="22">
        <v>0.144</v>
      </c>
      <c r="F633" s="22">
        <v>1.036</v>
      </c>
      <c r="G633" s="22">
        <v>0.048</v>
      </c>
      <c r="H633" s="23">
        <v>3.39</v>
      </c>
      <c r="I633" s="18">
        <v>94.16</v>
      </c>
      <c r="J633" s="19">
        <v>25.905</v>
      </c>
      <c r="K633" s="17">
        <v>0</v>
      </c>
      <c r="L633" s="20">
        <v>94.17</v>
      </c>
      <c r="M633" s="21">
        <v>0</v>
      </c>
      <c r="N633" s="16" t="s"/>
      <c r="O633" s="16" t="s"/>
    </row>
    <row r="634" spans="1:15">
      <c r="A634" s="16" t="s">
        <v>572</v>
      </c>
      <c r="B634" s="16" t="s">
        <v>575</v>
      </c>
      <c r="C634" s="16" t="s"/>
      <c r="D634" s="22">
        <v>0.395</v>
      </c>
      <c r="E634" s="22">
        <v>0.036</v>
      </c>
      <c r="F634" s="22">
        <v>0.395</v>
      </c>
      <c r="G634" s="22">
        <v>0.018</v>
      </c>
      <c r="H634" s="23">
        <v>0</v>
      </c>
      <c r="I634" s="18">
        <v>35.83</v>
      </c>
      <c r="J634" s="19">
        <v>9.8725</v>
      </c>
      <c r="K634" s="17">
        <v>0</v>
      </c>
      <c r="L634" s="20">
        <v>35.84</v>
      </c>
      <c r="M634" s="21">
        <v>0</v>
      </c>
      <c r="N634" s="16" t="s"/>
      <c r="O634" s="16" t="s"/>
    </row>
    <row r="635" spans="1:15">
      <c r="A635" s="16" t="s">
        <v>572</v>
      </c>
      <c r="B635" s="16" t="s">
        <v>576</v>
      </c>
      <c r="C635" s="16" t="s"/>
      <c r="D635" s="22">
        <v>4.95</v>
      </c>
      <c r="E635" s="22">
        <v>0.45</v>
      </c>
      <c r="F635" s="22">
        <v>0.55</v>
      </c>
      <c r="G635" s="22">
        <v>0.025</v>
      </c>
      <c r="H635" s="23">
        <v>0</v>
      </c>
      <c r="I635" s="18">
        <v>50</v>
      </c>
      <c r="J635" s="19">
        <v>0</v>
      </c>
      <c r="K635" s="17">
        <v>0</v>
      </c>
      <c r="L635" s="20">
        <v>0</v>
      </c>
      <c r="M635" s="21">
        <v>0</v>
      </c>
      <c r="N635" s="16" t="s"/>
      <c r="O635" s="16" t="s"/>
    </row>
    <row r="636" spans="1:15">
      <c r="A636" s="16" t="s">
        <v>572</v>
      </c>
      <c r="B636" s="16" t="s">
        <v>577</v>
      </c>
      <c r="C636" s="16" t="s"/>
      <c r="D636" s="22">
        <v>2.809</v>
      </c>
      <c r="E636" s="22">
        <v>0.256</v>
      </c>
      <c r="F636" s="22">
        <v>2.809</v>
      </c>
      <c r="G636" s="22">
        <v>0.128</v>
      </c>
      <c r="H636" s="23">
        <v>0</v>
      </c>
      <c r="I636" s="18">
        <v>283.33</v>
      </c>
      <c r="J636" s="19">
        <v>58.2175</v>
      </c>
      <c r="K636" s="17">
        <v>0</v>
      </c>
      <c r="L636" s="20">
        <v>143.34</v>
      </c>
      <c r="M636" s="21">
        <v>0</v>
      </c>
      <c r="N636" s="16" t="s"/>
      <c r="O636" s="16" t="s"/>
    </row>
    <row r="637" spans="1:15">
      <c r="A637" s="16" t="s">
        <v>572</v>
      </c>
      <c r="B637" s="16" t="s">
        <v>578</v>
      </c>
      <c r="C637" s="16" t="s"/>
      <c r="D637" s="22">
        <v>6.784</v>
      </c>
      <c r="E637" s="22">
        <v>0.617</v>
      </c>
      <c r="F637" s="22">
        <v>0.55</v>
      </c>
      <c r="G637" s="22">
        <v>0.025</v>
      </c>
      <c r="H637" s="23">
        <v>0</v>
      </c>
      <c r="I637" s="18">
        <v>50</v>
      </c>
      <c r="J637" s="19">
        <v>57.31</v>
      </c>
      <c r="K637" s="17">
        <v>0</v>
      </c>
      <c r="L637" s="20">
        <v>0</v>
      </c>
      <c r="M637" s="21">
        <v>0</v>
      </c>
      <c r="N637" s="16" t="s"/>
      <c r="O637" s="16" t="s"/>
    </row>
    <row r="638" spans="1:15">
      <c r="A638" s="16" t="s">
        <v>572</v>
      </c>
      <c r="B638" s="16" t="s">
        <v>579</v>
      </c>
      <c r="C638" s="16" t="s">
        <v>580</v>
      </c>
      <c r="D638" s="22">
        <v>3.894</v>
      </c>
      <c r="E638" s="22">
        <v>0.354</v>
      </c>
      <c r="F638" s="22">
        <v>0.33</v>
      </c>
      <c r="G638" s="22">
        <v>0.015</v>
      </c>
      <c r="H638" s="23">
        <v>0</v>
      </c>
      <c r="I638" s="18">
        <v>24</v>
      </c>
      <c r="J638" s="19">
        <v>24.915</v>
      </c>
      <c r="K638" s="17">
        <v>0</v>
      </c>
      <c r="L638" s="20">
        <v>24</v>
      </c>
      <c r="M638" s="21">
        <v>0</v>
      </c>
      <c r="N638" s="16" t="s"/>
      <c r="O638" s="16" t="s"/>
    </row>
    <row r="639" spans="1:15">
      <c r="A639" s="16" t="s">
        <v>572</v>
      </c>
      <c r="B639" s="16" t="s">
        <v>581</v>
      </c>
      <c r="C639" s="16" t="s"/>
      <c r="D639" s="22">
        <v>0.623</v>
      </c>
      <c r="E639" s="22">
        <v>0.057</v>
      </c>
      <c r="F639" s="22">
        <v>0.312</v>
      </c>
      <c r="G639" s="22">
        <v>0.015</v>
      </c>
      <c r="H639" s="23">
        <v>0.51</v>
      </c>
      <c r="I639" s="18">
        <v>0</v>
      </c>
      <c r="J639" s="19">
        <v>7.81</v>
      </c>
      <c r="K639" s="17">
        <v>0</v>
      </c>
      <c r="L639" s="20">
        <v>28.32</v>
      </c>
      <c r="M639" s="21">
        <v>0</v>
      </c>
      <c r="N639" s="16" t="s"/>
      <c r="O639" s="16" t="s"/>
    </row>
    <row r="640" spans="1:15">
      <c r="A640" s="16" t="s">
        <v>572</v>
      </c>
      <c r="B640" s="16" t="s">
        <v>582</v>
      </c>
      <c r="C640" s="16" t="s"/>
      <c r="D640" s="22">
        <v>2.578</v>
      </c>
      <c r="E640" s="22">
        <v>0.235</v>
      </c>
      <c r="F640" s="22">
        <v>2.237</v>
      </c>
      <c r="G640" s="22">
        <v>0.102</v>
      </c>
      <c r="H640" s="23">
        <v>1.86</v>
      </c>
      <c r="I640" s="18">
        <v>103.33</v>
      </c>
      <c r="J640" s="19">
        <v>28.435</v>
      </c>
      <c r="K640" s="17">
        <v>0</v>
      </c>
      <c r="L640" s="20">
        <v>253.34</v>
      </c>
      <c r="M640" s="21">
        <v>0</v>
      </c>
      <c r="N640" s="16" t="s"/>
      <c r="O640" s="16" t="s"/>
    </row>
    <row r="641" spans="1:15">
      <c r="A641" s="16" t="s">
        <v>572</v>
      </c>
      <c r="B641" s="16" t="s">
        <v>583</v>
      </c>
      <c r="C641" s="16" t="s"/>
      <c r="D641" s="22">
        <v>6.263</v>
      </c>
      <c r="E641" s="22">
        <v>0.57</v>
      </c>
      <c r="F641" s="22">
        <v>3.337</v>
      </c>
      <c r="G641" s="22">
        <v>0.152</v>
      </c>
      <c r="H641" s="23">
        <v>0</v>
      </c>
      <c r="I641" s="18">
        <v>502.79</v>
      </c>
      <c r="J641" s="19">
        <v>266.2825</v>
      </c>
      <c r="K641" s="17">
        <v>0</v>
      </c>
      <c r="L641" s="20">
        <v>303.3</v>
      </c>
      <c r="M641" s="21">
        <v>0</v>
      </c>
      <c r="N641" s="16" t="s"/>
      <c r="O641" s="16" t="s"/>
    </row>
    <row r="642" spans="1:15">
      <c r="A642" s="16" t="s">
        <v>572</v>
      </c>
      <c r="B642" s="16" t="s">
        <v>584</v>
      </c>
      <c r="C642" s="16" t="s"/>
      <c r="D642" s="22">
        <v>6.987</v>
      </c>
      <c r="E642" s="22">
        <v>0.636</v>
      </c>
      <c r="F642" s="22">
        <v>0.297</v>
      </c>
      <c r="G642" s="22">
        <v>0.014</v>
      </c>
      <c r="H642" s="23">
        <v>0</v>
      </c>
      <c r="I642" s="18">
        <v>27</v>
      </c>
      <c r="J642" s="19">
        <v>0</v>
      </c>
      <c r="K642" s="17">
        <v>0</v>
      </c>
      <c r="L642" s="20">
        <v>327</v>
      </c>
      <c r="M642" s="21">
        <v>0</v>
      </c>
      <c r="N642" s="16" t="s"/>
      <c r="O642" s="16" t="s"/>
    </row>
    <row r="643" spans="1:15">
      <c r="A643" s="16" t="s">
        <v>572</v>
      </c>
      <c r="B643" s="16" t="s">
        <v>584</v>
      </c>
      <c r="C643" s="16" t="s">
        <v>585</v>
      </c>
      <c r="D643" s="22">
        <v>4.658</v>
      </c>
      <c r="E643" s="22">
        <v>0.424</v>
      </c>
      <c r="F643" s="22">
        <v>0.198</v>
      </c>
      <c r="G643" s="22">
        <v>0.009</v>
      </c>
      <c r="H643" s="23">
        <v>0</v>
      </c>
      <c r="I643" s="18">
        <v>18</v>
      </c>
      <c r="J643" s="19">
        <v>0</v>
      </c>
      <c r="K643" s="17">
        <v>0</v>
      </c>
      <c r="L643" s="20">
        <v>218</v>
      </c>
      <c r="M643" s="21">
        <v>0</v>
      </c>
      <c r="N643" s="16" t="s"/>
      <c r="O643" s="16" t="s"/>
    </row>
    <row r="644" spans="1:15">
      <c r="A644" s="16" t="s">
        <v>572</v>
      </c>
      <c r="B644" s="16" t="s">
        <v>586</v>
      </c>
      <c r="C644" s="16" t="s"/>
      <c r="D644" s="22">
        <v>1.137</v>
      </c>
      <c r="E644" s="22">
        <v>0.104</v>
      </c>
      <c r="F644" s="22">
        <v>1.137</v>
      </c>
      <c r="G644" s="22">
        <v>0.052</v>
      </c>
      <c r="H644" s="23">
        <v>0.93</v>
      </c>
      <c r="I644" s="18">
        <v>51.66</v>
      </c>
      <c r="J644" s="19">
        <v>28.435</v>
      </c>
      <c r="K644" s="17">
        <v>0</v>
      </c>
      <c r="L644" s="20">
        <v>51.67</v>
      </c>
      <c r="M644" s="21">
        <v>0</v>
      </c>
      <c r="N644" s="16" t="s"/>
      <c r="O644" s="16" t="s"/>
    </row>
    <row r="645" spans="1:15">
      <c r="A645" s="16" t="s">
        <v>572</v>
      </c>
      <c r="B645" s="16" t="s">
        <v>587</v>
      </c>
      <c r="C645" s="16" t="s">
        <v>75</v>
      </c>
      <c r="D645" s="22">
        <v>0</v>
      </c>
      <c r="E645" s="22">
        <v>0</v>
      </c>
      <c r="F645" s="22">
        <v>2.713</v>
      </c>
      <c r="G645" s="22">
        <v>0.124</v>
      </c>
      <c r="H645" s="23">
        <v>0</v>
      </c>
      <c r="I645" s="18">
        <v>0</v>
      </c>
      <c r="J645" s="19">
        <v>0</v>
      </c>
      <c r="K645" s="17">
        <v>0</v>
      </c>
      <c r="L645" s="20">
        <v>366.64</v>
      </c>
      <c r="M645" s="21">
        <v>0</v>
      </c>
      <c r="N645" s="16" t="s"/>
      <c r="O645" s="16" t="s"/>
    </row>
    <row r="646" spans="1:15">
      <c r="A646" s="16" t="s">
        <v>572</v>
      </c>
      <c r="B646" s="16" t="s">
        <v>587</v>
      </c>
      <c r="C646" s="16" t="s">
        <v>76</v>
      </c>
      <c r="D646" s="22">
        <v>0</v>
      </c>
      <c r="E646" s="22">
        <v>0</v>
      </c>
      <c r="F646" s="22">
        <v>3.428</v>
      </c>
      <c r="G646" s="22">
        <v>0.156</v>
      </c>
      <c r="H646" s="23">
        <v>0</v>
      </c>
      <c r="I646" s="18">
        <v>0</v>
      </c>
      <c r="J646" s="19">
        <v>0</v>
      </c>
      <c r="K646" s="17">
        <v>0</v>
      </c>
      <c r="L646" s="20">
        <v>416.64</v>
      </c>
      <c r="M646" s="21">
        <v>0</v>
      </c>
      <c r="N646" s="16" t="s"/>
      <c r="O646" s="16" t="s"/>
    </row>
    <row r="647" spans="1:15">
      <c r="A647" s="16" t="s">
        <v>572</v>
      </c>
      <c r="B647" s="16" t="s">
        <v>587</v>
      </c>
      <c r="C647" s="16" t="s">
        <v>77</v>
      </c>
      <c r="D647" s="22">
        <v>0</v>
      </c>
      <c r="E647" s="22">
        <v>0</v>
      </c>
      <c r="F647" s="22">
        <v>1.668</v>
      </c>
      <c r="G647" s="22">
        <v>0.076</v>
      </c>
      <c r="H647" s="23">
        <v>0</v>
      </c>
      <c r="I647" s="18">
        <v>0</v>
      </c>
      <c r="J647" s="19">
        <v>0</v>
      </c>
      <c r="K647" s="17">
        <v>0</v>
      </c>
      <c r="L647" s="20">
        <v>116.64</v>
      </c>
      <c r="M647" s="21">
        <v>0</v>
      </c>
      <c r="N647" s="16" t="s"/>
      <c r="O647" s="16" t="s"/>
    </row>
    <row r="648" spans="1:15">
      <c r="A648" s="16" t="s">
        <v>572</v>
      </c>
      <c r="B648" s="16" t="s">
        <v>588</v>
      </c>
      <c r="C648" s="16" t="s"/>
      <c r="D648" s="22">
        <v>3.609</v>
      </c>
      <c r="E648" s="22">
        <v>0.329</v>
      </c>
      <c r="F648" s="22">
        <v>3.133</v>
      </c>
      <c r="G648" s="22">
        <v>0.143</v>
      </c>
      <c r="H648" s="23">
        <v>0</v>
      </c>
      <c r="I648" s="18">
        <v>306.42</v>
      </c>
      <c r="J648" s="19">
        <v>102.135</v>
      </c>
      <c r="K648" s="17">
        <v>0</v>
      </c>
      <c r="L648" s="20">
        <v>154.97</v>
      </c>
      <c r="M648" s="21">
        <v>0</v>
      </c>
      <c r="N648" s="16" t="s"/>
      <c r="O648" s="16" t="s"/>
    </row>
    <row r="649" spans="1:15">
      <c r="A649" s="16" t="s">
        <v>572</v>
      </c>
      <c r="B649" s="16" t="s">
        <v>589</v>
      </c>
      <c r="C649" s="16" t="s"/>
      <c r="D649" s="22">
        <v>2.596</v>
      </c>
      <c r="E649" s="22">
        <v>0.236</v>
      </c>
      <c r="F649" s="22">
        <v>0.22</v>
      </c>
      <c r="G649" s="22">
        <v>0.01</v>
      </c>
      <c r="H649" s="23">
        <v>0</v>
      </c>
      <c r="I649" s="18">
        <v>16</v>
      </c>
      <c r="J649" s="19">
        <v>16.61</v>
      </c>
      <c r="K649" s="17">
        <v>0</v>
      </c>
      <c r="L649" s="20">
        <v>16</v>
      </c>
      <c r="M649" s="21">
        <v>0</v>
      </c>
      <c r="N649" s="16" t="s"/>
      <c r="O649" s="16" t="s"/>
    </row>
    <row r="650" spans="1:15">
      <c r="A650" s="16" t="s">
        <v>590</v>
      </c>
      <c r="B650" s="16" t="s">
        <v>591</v>
      </c>
      <c r="C650" s="16" t="s">
        <v>62</v>
      </c>
      <c r="D650" s="22">
        <v>0.438</v>
      </c>
      <c r="E650" s="22">
        <v>0.04</v>
      </c>
      <c r="F650" s="22">
        <v>0.413</v>
      </c>
      <c r="G650" s="22">
        <v>0.019</v>
      </c>
      <c r="H650" s="23">
        <v>0.675</v>
      </c>
      <c r="I650" s="18">
        <v>37.45</v>
      </c>
      <c r="J650" s="19">
        <v>10.3125</v>
      </c>
      <c r="K650" s="17">
        <v>0</v>
      </c>
      <c r="L650" s="20">
        <v>37.46</v>
      </c>
      <c r="M650" s="21">
        <f>=0</f>
        <v>0</v>
      </c>
      <c r="N650" s="16" t="s"/>
      <c r="O650" s="16" t="s">
        <v>592</v>
      </c>
    </row>
    <row r="651" spans="1:15">
      <c r="A651" s="16" t="s">
        <v>590</v>
      </c>
      <c r="B651" s="16" t="s">
        <v>591</v>
      </c>
      <c r="C651" s="16" t="s">
        <v>63</v>
      </c>
      <c r="D651" s="22">
        <v>0.591</v>
      </c>
      <c r="E651" s="22">
        <v>0.054</v>
      </c>
      <c r="F651" s="22">
        <v>0.564</v>
      </c>
      <c r="G651" s="22">
        <v>0.026</v>
      </c>
      <c r="H651" s="23">
        <v>0.923</v>
      </c>
      <c r="I651" s="18">
        <v>51.25</v>
      </c>
      <c r="J651" s="19">
        <v>14.1075</v>
      </c>
      <c r="K651" s="17">
        <v>0</v>
      </c>
      <c r="L651" s="20">
        <v>51.26</v>
      </c>
      <c r="M651" s="21">
        <f>=0</f>
        <v>0</v>
      </c>
      <c r="N651" s="16" t="s"/>
      <c r="O651" s="16" t="s">
        <v>592</v>
      </c>
    </row>
    <row r="652" spans="1:15">
      <c r="A652" s="16" t="s">
        <v>590</v>
      </c>
      <c r="B652" s="16" t="s">
        <v>591</v>
      </c>
      <c r="C652" s="16" t="s">
        <v>593</v>
      </c>
      <c r="D652" s="22">
        <v>1.209</v>
      </c>
      <c r="E652" s="22">
        <v>0.11</v>
      </c>
      <c r="F652" s="22">
        <v>1.148</v>
      </c>
      <c r="G652" s="22">
        <v>0.053</v>
      </c>
      <c r="H652" s="23">
        <v>1.878</v>
      </c>
      <c r="I652" s="18">
        <v>104.31</v>
      </c>
      <c r="J652" s="19">
        <v>28.71</v>
      </c>
      <c r="K652" s="17">
        <v>0</v>
      </c>
      <c r="L652" s="20">
        <v>104.32</v>
      </c>
      <c r="M652" s="21">
        <f>=0</f>
        <v>0</v>
      </c>
      <c r="N652" s="16" t="s"/>
      <c r="O652" s="16" t="s">
        <v>592</v>
      </c>
    </row>
    <row r="653" spans="1:15">
      <c r="A653" s="16" t="s">
        <v>590</v>
      </c>
      <c r="B653" s="16" t="s">
        <v>591</v>
      </c>
      <c r="C653" s="16" t="s">
        <v>594</v>
      </c>
      <c r="D653" s="22">
        <v>2.707</v>
      </c>
      <c r="E653" s="22">
        <v>0.247</v>
      </c>
      <c r="F653" s="22">
        <v>2.194</v>
      </c>
      <c r="G653" s="22">
        <v>0.1</v>
      </c>
      <c r="H653" s="23">
        <v>3.59</v>
      </c>
      <c r="I653" s="18">
        <v>199.39</v>
      </c>
      <c r="J653" s="19">
        <v>54.835</v>
      </c>
      <c r="K653" s="17">
        <v>0</v>
      </c>
      <c r="L653" s="20">
        <v>199.4</v>
      </c>
      <c r="M653" s="21">
        <f>=0</f>
        <v>0</v>
      </c>
      <c r="N653" s="16" t="s"/>
      <c r="O653" s="16" t="s">
        <v>592</v>
      </c>
    </row>
    <row r="654" spans="1:15">
      <c r="A654" s="16" t="s">
        <v>590</v>
      </c>
      <c r="B654" s="16" t="s">
        <v>595</v>
      </c>
      <c r="C654" s="16" t="s">
        <v>62</v>
      </c>
      <c r="D654" s="22">
        <v>0.55</v>
      </c>
      <c r="E654" s="22">
        <v>0.05</v>
      </c>
      <c r="F654" s="22">
        <v>0.484</v>
      </c>
      <c r="G654" s="22">
        <v>0.022</v>
      </c>
      <c r="H654" s="23">
        <v>0.634</v>
      </c>
      <c r="I654" s="18">
        <v>17.59</v>
      </c>
      <c r="J654" s="19">
        <v>4.84</v>
      </c>
      <c r="K654" s="17">
        <v>0</v>
      </c>
      <c r="L654" s="20">
        <v>43.98</v>
      </c>
      <c r="M654" s="21">
        <f>=0</f>
        <v>0</v>
      </c>
      <c r="N654" s="16" t="s"/>
      <c r="O654" s="16" t="s">
        <v>592</v>
      </c>
    </row>
    <row r="655" spans="1:15">
      <c r="A655" s="16" t="s">
        <v>590</v>
      </c>
      <c r="B655" s="16" t="s">
        <v>595</v>
      </c>
      <c r="C655" s="16" t="s">
        <v>63</v>
      </c>
      <c r="D655" s="22">
        <v>0.55</v>
      </c>
      <c r="E655" s="22">
        <v>0.05</v>
      </c>
      <c r="F655" s="22">
        <v>0.484</v>
      </c>
      <c r="G655" s="22">
        <v>0.022</v>
      </c>
      <c r="H655" s="23">
        <v>0.634</v>
      </c>
      <c r="I655" s="18">
        <v>17.59</v>
      </c>
      <c r="J655" s="19">
        <v>4.84</v>
      </c>
      <c r="K655" s="17">
        <v>0</v>
      </c>
      <c r="L655" s="20">
        <v>43.98</v>
      </c>
      <c r="M655" s="21">
        <f>=0</f>
        <v>0</v>
      </c>
      <c r="N655" s="16" t="s"/>
      <c r="O655" s="16" t="s">
        <v>592</v>
      </c>
    </row>
    <row r="656" spans="1:15">
      <c r="A656" s="16" t="s">
        <v>590</v>
      </c>
      <c r="B656" s="16" t="s">
        <v>595</v>
      </c>
      <c r="C656" s="16" t="s">
        <v>596</v>
      </c>
      <c r="D656" s="22">
        <v>0.55</v>
      </c>
      <c r="E656" s="22">
        <v>0.05</v>
      </c>
      <c r="F656" s="22">
        <v>0.484</v>
      </c>
      <c r="G656" s="22">
        <v>0.022</v>
      </c>
      <c r="H656" s="23">
        <v>0.634</v>
      </c>
      <c r="I656" s="18">
        <v>17.59</v>
      </c>
      <c r="J656" s="19">
        <v>4.84</v>
      </c>
      <c r="K656" s="17">
        <v>0</v>
      </c>
      <c r="L656" s="20">
        <v>43.98</v>
      </c>
      <c r="M656" s="21">
        <f>=0</f>
        <v>0</v>
      </c>
      <c r="N656" s="16" t="s"/>
      <c r="O656" s="16" t="s">
        <v>592</v>
      </c>
    </row>
    <row r="657" spans="1:15">
      <c r="A657" s="16" t="s">
        <v>590</v>
      </c>
      <c r="B657" s="16" t="s">
        <v>597</v>
      </c>
      <c r="C657" s="16" t="s">
        <v>598</v>
      </c>
      <c r="D657" s="22">
        <v>0.55</v>
      </c>
      <c r="E657" s="22">
        <v>0.05</v>
      </c>
      <c r="F657" s="22">
        <v>0.484</v>
      </c>
      <c r="G657" s="22">
        <v>0.022</v>
      </c>
      <c r="H657" s="23">
        <v>0.634</v>
      </c>
      <c r="I657" s="18">
        <v>17.59</v>
      </c>
      <c r="J657" s="19">
        <v>4.84</v>
      </c>
      <c r="K657" s="17">
        <v>0</v>
      </c>
      <c r="L657" s="20">
        <v>43.98</v>
      </c>
      <c r="M657" s="21">
        <f>=0</f>
        <v>0</v>
      </c>
      <c r="N657" s="16" t="s"/>
      <c r="O657" s="16" t="s">
        <v>592</v>
      </c>
    </row>
    <row r="658" spans="1:15">
      <c r="A658" s="16" t="s">
        <v>590</v>
      </c>
      <c r="B658" s="16" t="s">
        <v>599</v>
      </c>
      <c r="C658" s="16" t="s"/>
      <c r="D658" s="22">
        <v>0.55</v>
      </c>
      <c r="E658" s="22">
        <v>0.05</v>
      </c>
      <c r="F658" s="22">
        <v>0.484</v>
      </c>
      <c r="G658" s="22">
        <v>0.022</v>
      </c>
      <c r="H658" s="23">
        <v>0.634</v>
      </c>
      <c r="I658" s="18">
        <v>17.59</v>
      </c>
      <c r="J658" s="19">
        <v>4.84</v>
      </c>
      <c r="K658" s="17">
        <v>0</v>
      </c>
      <c r="L658" s="20">
        <v>43.98</v>
      </c>
      <c r="M658" s="21">
        <f>=0</f>
        <v>0</v>
      </c>
      <c r="N658" s="16" t="s"/>
      <c r="O658" s="16" t="s">
        <v>592</v>
      </c>
    </row>
    <row r="659" spans="1:15">
      <c r="A659" s="16" t="s">
        <v>590</v>
      </c>
      <c r="B659" s="16" t="s">
        <v>600</v>
      </c>
      <c r="C659" s="16" t="s">
        <v>601</v>
      </c>
      <c r="D659" s="22">
        <v>0.55</v>
      </c>
      <c r="E659" s="22">
        <v>0.05</v>
      </c>
      <c r="F659" s="22">
        <v>0.484</v>
      </c>
      <c r="G659" s="22">
        <v>0.022</v>
      </c>
      <c r="H659" s="23">
        <v>0</v>
      </c>
      <c r="I659" s="18">
        <v>17.59</v>
      </c>
      <c r="J659" s="19">
        <v>0</v>
      </c>
      <c r="K659" s="17">
        <v>0</v>
      </c>
      <c r="L659" s="20">
        <v>43.98</v>
      </c>
      <c r="M659" s="21">
        <f>=0</f>
        <v>0</v>
      </c>
      <c r="N659" s="16" t="s"/>
      <c r="O659" s="16" t="s">
        <v>592</v>
      </c>
    </row>
    <row r="660" spans="1:15">
      <c r="A660" s="16" t="s">
        <v>590</v>
      </c>
      <c r="B660" s="16" t="s">
        <v>600</v>
      </c>
      <c r="C660" s="16" t="s">
        <v>602</v>
      </c>
      <c r="D660" s="22">
        <v>0.55</v>
      </c>
      <c r="E660" s="22">
        <v>0.05</v>
      </c>
      <c r="F660" s="22">
        <v>0.484</v>
      </c>
      <c r="G660" s="22">
        <v>0.022</v>
      </c>
      <c r="H660" s="23">
        <v>0</v>
      </c>
      <c r="I660" s="18">
        <v>17.59</v>
      </c>
      <c r="J660" s="19">
        <v>0</v>
      </c>
      <c r="K660" s="17">
        <v>0</v>
      </c>
      <c r="L660" s="20">
        <v>43.98</v>
      </c>
      <c r="M660" s="21">
        <f>=0</f>
        <v>0</v>
      </c>
      <c r="N660" s="16" t="s"/>
      <c r="O660" s="16" t="s">
        <v>592</v>
      </c>
    </row>
    <row r="661" spans="1:15">
      <c r="A661" s="16" t="s">
        <v>590</v>
      </c>
      <c r="B661" s="16" t="s">
        <v>603</v>
      </c>
      <c r="C661" s="16" t="s">
        <v>604</v>
      </c>
      <c r="D661" s="22">
        <v>0.46</v>
      </c>
      <c r="E661" s="22">
        <v>0.042</v>
      </c>
      <c r="F661" s="22">
        <v>0</v>
      </c>
      <c r="G661" s="22">
        <v>0</v>
      </c>
      <c r="H661" s="23">
        <v>0</v>
      </c>
      <c r="I661" s="18">
        <v>29.77</v>
      </c>
      <c r="J661" s="19">
        <v>0</v>
      </c>
      <c r="K661" s="17">
        <v>0</v>
      </c>
      <c r="L661" s="20">
        <v>0</v>
      </c>
      <c r="M661" s="21">
        <f>=0</f>
        <v>0</v>
      </c>
      <c r="N661" s="16" t="s"/>
      <c r="O661" s="16" t="s"/>
    </row>
    <row r="662" spans="1:15">
      <c r="A662" s="16" t="s">
        <v>590</v>
      </c>
      <c r="B662" s="16" t="s">
        <v>603</v>
      </c>
      <c r="C662" s="16" t="s">
        <v>605</v>
      </c>
      <c r="D662" s="22">
        <v>0.24</v>
      </c>
      <c r="E662" s="22">
        <v>0.022</v>
      </c>
      <c r="F662" s="22">
        <v>0</v>
      </c>
      <c r="G662" s="22">
        <v>0</v>
      </c>
      <c r="H662" s="23">
        <v>0</v>
      </c>
      <c r="I662" s="18">
        <v>10.32</v>
      </c>
      <c r="J662" s="19">
        <v>0</v>
      </c>
      <c r="K662" s="17">
        <v>0</v>
      </c>
      <c r="L662" s="20">
        <v>0</v>
      </c>
      <c r="M662" s="21">
        <f>=0</f>
        <v>0</v>
      </c>
      <c r="N662" s="16" t="s"/>
      <c r="O662" s="16" t="s"/>
    </row>
    <row r="663" spans="1:15">
      <c r="A663" s="16" t="s">
        <v>590</v>
      </c>
      <c r="B663" s="16" t="s">
        <v>606</v>
      </c>
      <c r="C663" s="16" t="s"/>
      <c r="D663" s="22">
        <v>0.807</v>
      </c>
      <c r="E663" s="22">
        <v>0.074</v>
      </c>
      <c r="F663" s="22">
        <v>0.404</v>
      </c>
      <c r="G663" s="22">
        <v>0.019</v>
      </c>
      <c r="H663" s="23">
        <v>1.32</v>
      </c>
      <c r="I663" s="18">
        <v>36.64</v>
      </c>
      <c r="J663" s="19">
        <v>10.0925</v>
      </c>
      <c r="K663" s="17">
        <v>0</v>
      </c>
      <c r="L663" s="20">
        <v>36.65</v>
      </c>
      <c r="M663" s="21">
        <f>=0</f>
        <v>0</v>
      </c>
      <c r="N663" s="16" t="s"/>
      <c r="O663" s="16" t="s">
        <v>592</v>
      </c>
    </row>
    <row r="664" spans="1:15">
      <c r="A664" s="16" t="s">
        <v>590</v>
      </c>
      <c r="B664" s="16" t="s">
        <v>607</v>
      </c>
      <c r="C664" s="16" t="s"/>
      <c r="D664" s="22">
        <v>1.1</v>
      </c>
      <c r="E664" s="22">
        <v>0.1</v>
      </c>
      <c r="F664" s="22">
        <v>0.968</v>
      </c>
      <c r="G664" s="22">
        <v>0.044</v>
      </c>
      <c r="H664" s="23">
        <v>1.267</v>
      </c>
      <c r="I664" s="18">
        <v>35.18</v>
      </c>
      <c r="J664" s="19">
        <v>9.68</v>
      </c>
      <c r="K664" s="17">
        <v>0</v>
      </c>
      <c r="L664" s="20">
        <v>87.96</v>
      </c>
      <c r="M664" s="21">
        <f>=0</f>
        <v>0</v>
      </c>
      <c r="N664" s="16" t="s"/>
      <c r="O664" s="16" t="s">
        <v>592</v>
      </c>
    </row>
    <row r="665" spans="1:15">
      <c r="A665" s="16" t="s">
        <v>590</v>
      </c>
      <c r="B665" s="16" t="s">
        <v>608</v>
      </c>
      <c r="C665" s="16" t="s"/>
      <c r="D665" s="22">
        <v>6.718</v>
      </c>
      <c r="E665" s="22">
        <v>0.611</v>
      </c>
      <c r="F665" s="22">
        <v>2.329</v>
      </c>
      <c r="G665" s="22">
        <v>0.106</v>
      </c>
      <c r="H665" s="23">
        <v>0</v>
      </c>
      <c r="I665" s="18">
        <v>411.16</v>
      </c>
      <c r="J665" s="19">
        <v>241.0925</v>
      </c>
      <c r="K665" s="17">
        <v>0</v>
      </c>
      <c r="L665" s="20">
        <v>211.67</v>
      </c>
      <c r="M665" s="21">
        <f>=0</f>
        <v>0</v>
      </c>
      <c r="N665" s="16" t="s"/>
      <c r="O665" s="16" t="s"/>
    </row>
    <row r="666" spans="1:15">
      <c r="A666" s="16" t="s">
        <v>590</v>
      </c>
      <c r="B666" s="16" t="s">
        <v>609</v>
      </c>
      <c r="C666" s="16" t="s"/>
      <c r="D666" s="22">
        <v>19.598</v>
      </c>
      <c r="E666" s="22">
        <v>1.782</v>
      </c>
      <c r="F666" s="22">
        <v>2.383</v>
      </c>
      <c r="G666" s="22">
        <v>0.109</v>
      </c>
      <c r="H666" s="23">
        <v>0</v>
      </c>
      <c r="I666" s="18">
        <v>216.63</v>
      </c>
      <c r="J666" s="19">
        <v>0</v>
      </c>
      <c r="K666" s="17">
        <v>0</v>
      </c>
      <c r="L666" s="20">
        <v>716.64</v>
      </c>
      <c r="M666" s="21">
        <f>=0</f>
        <v>0</v>
      </c>
      <c r="N666" s="16" t="s"/>
      <c r="O666" s="16" t="s"/>
    </row>
    <row r="667" spans="1:15">
      <c r="A667" s="16" t="s">
        <v>590</v>
      </c>
      <c r="B667" s="16" t="s">
        <v>610</v>
      </c>
      <c r="C667" s="16" t="s"/>
      <c r="D667" s="22">
        <v>0.55</v>
      </c>
      <c r="E667" s="22">
        <v>0.05</v>
      </c>
      <c r="F667" s="22">
        <v>0.484</v>
      </c>
      <c r="G667" s="22">
        <v>0.022</v>
      </c>
      <c r="H667" s="23">
        <v>0.634</v>
      </c>
      <c r="I667" s="18">
        <v>17.59</v>
      </c>
      <c r="J667" s="19">
        <v>4.84</v>
      </c>
      <c r="K667" s="17">
        <v>0</v>
      </c>
      <c r="L667" s="20">
        <v>43.98</v>
      </c>
      <c r="M667" s="21">
        <f>=0</f>
        <v>0</v>
      </c>
      <c r="N667" s="16" t="s"/>
      <c r="O667" s="16" t="s">
        <v>592</v>
      </c>
    </row>
    <row r="668" spans="1:15">
      <c r="A668" s="16" t="s">
        <v>590</v>
      </c>
      <c r="B668" s="16" t="s">
        <v>611</v>
      </c>
      <c r="C668" s="16" t="s"/>
      <c r="D668" s="22">
        <v>3.046</v>
      </c>
      <c r="E668" s="22">
        <v>0.277</v>
      </c>
      <c r="F668" s="22">
        <v>2.61</v>
      </c>
      <c r="G668" s="22">
        <v>0.119</v>
      </c>
      <c r="H668" s="23">
        <v>0</v>
      </c>
      <c r="I668" s="18">
        <v>257.01</v>
      </c>
      <c r="J668" s="19">
        <v>87.0375</v>
      </c>
      <c r="K668" s="17">
        <v>0</v>
      </c>
      <c r="L668" s="20">
        <v>118.37</v>
      </c>
      <c r="M668" s="21">
        <f>=0</f>
        <v>0</v>
      </c>
      <c r="N668" s="16" t="s"/>
      <c r="O668" s="16" t="s">
        <v>592</v>
      </c>
    </row>
    <row r="669" spans="1:15">
      <c r="A669" s="16" t="s">
        <v>612</v>
      </c>
      <c r="B669" s="16" t="s">
        <v>613</v>
      </c>
      <c r="C669" s="16" t="s">
        <v>62</v>
      </c>
      <c r="D669" s="22">
        <v>0.512</v>
      </c>
      <c r="E669" s="22">
        <v>0.047</v>
      </c>
      <c r="F669" s="22">
        <v>0.256</v>
      </c>
      <c r="G669" s="22">
        <v>0.012</v>
      </c>
      <c r="H669" s="23">
        <v>0.838</v>
      </c>
      <c r="I669" s="18">
        <v>0</v>
      </c>
      <c r="J669" s="19">
        <v>6.4075</v>
      </c>
      <c r="K669" s="17">
        <v>0</v>
      </c>
      <c r="L669" s="20">
        <v>23.28</v>
      </c>
      <c r="M669" s="21">
        <f>=0</f>
        <v>0</v>
      </c>
      <c r="N669" s="16" t="s"/>
      <c r="O669" s="16" t="s"/>
    </row>
    <row r="670" spans="1:15">
      <c r="A670" s="16" t="s">
        <v>612</v>
      </c>
      <c r="B670" s="16" t="s">
        <v>613</v>
      </c>
      <c r="C670" s="16" t="s">
        <v>63</v>
      </c>
      <c r="D670" s="22">
        <v>0.621</v>
      </c>
      <c r="E670" s="22">
        <v>0.057</v>
      </c>
      <c r="F670" s="22">
        <v>0.538</v>
      </c>
      <c r="G670" s="22">
        <v>0.025</v>
      </c>
      <c r="H670" s="23">
        <v>1.761</v>
      </c>
      <c r="I670" s="18">
        <v>0</v>
      </c>
      <c r="J670" s="19">
        <v>13.4475</v>
      </c>
      <c r="K670" s="17">
        <v>0</v>
      </c>
      <c r="L670" s="20">
        <v>48.9</v>
      </c>
      <c r="M670" s="21">
        <f>=0</f>
        <v>0</v>
      </c>
      <c r="N670" s="16" t="s"/>
      <c r="O670" s="16" t="s"/>
    </row>
    <row r="671" spans="1:15">
      <c r="A671" s="16" t="s">
        <v>612</v>
      </c>
      <c r="B671" s="16" t="s">
        <v>613</v>
      </c>
      <c r="C671" s="16" t="s">
        <v>64</v>
      </c>
      <c r="D671" s="22">
        <v>0.782</v>
      </c>
      <c r="E671" s="22">
        <v>0.072</v>
      </c>
      <c r="F671" s="22">
        <v>0.621</v>
      </c>
      <c r="G671" s="22">
        <v>0.029</v>
      </c>
      <c r="H671" s="23">
        <v>2.031</v>
      </c>
      <c r="I671" s="18">
        <v>0</v>
      </c>
      <c r="J671" s="19">
        <v>15.5375</v>
      </c>
      <c r="K671" s="17">
        <v>0</v>
      </c>
      <c r="L671" s="20">
        <v>56.42</v>
      </c>
      <c r="M671" s="21">
        <f>=0</f>
        <v>0</v>
      </c>
      <c r="N671" s="16" t="s"/>
      <c r="O671" s="16" t="s"/>
    </row>
    <row r="672" spans="1:15">
      <c r="A672" s="16" t="s">
        <v>612</v>
      </c>
      <c r="B672" s="16" t="s">
        <v>613</v>
      </c>
      <c r="C672" s="16" t="s">
        <v>65</v>
      </c>
      <c r="D672" s="22">
        <v>1.867</v>
      </c>
      <c r="E672" s="22">
        <v>0.17</v>
      </c>
      <c r="F672" s="22">
        <v>1.53</v>
      </c>
      <c r="G672" s="22">
        <v>0.07</v>
      </c>
      <c r="H672" s="23">
        <v>5.006</v>
      </c>
      <c r="I672" s="18">
        <v>139.03</v>
      </c>
      <c r="J672" s="19">
        <v>38.2525</v>
      </c>
      <c r="K672" s="17">
        <v>0</v>
      </c>
      <c r="L672" s="20">
        <v>139.04</v>
      </c>
      <c r="M672" s="21">
        <f>=0</f>
        <v>0</v>
      </c>
      <c r="N672" s="16" t="s"/>
      <c r="O672" s="16" t="s"/>
    </row>
    <row r="673" spans="1:15">
      <c r="A673" s="16" t="s">
        <v>612</v>
      </c>
      <c r="B673" s="16" t="s">
        <v>613</v>
      </c>
      <c r="C673" s="16" t="s">
        <v>81</v>
      </c>
      <c r="D673" s="22">
        <v>2.234</v>
      </c>
      <c r="E673" s="22">
        <v>0.204</v>
      </c>
      <c r="F673" s="22">
        <v>1.683</v>
      </c>
      <c r="G673" s="22">
        <v>0.077</v>
      </c>
      <c r="H673" s="23">
        <v>5.505</v>
      </c>
      <c r="I673" s="18">
        <v>152.91</v>
      </c>
      <c r="J673" s="19">
        <v>42.075</v>
      </c>
      <c r="K673" s="17">
        <v>0</v>
      </c>
      <c r="L673" s="20">
        <v>152.92</v>
      </c>
      <c r="M673" s="21">
        <f>=0</f>
        <v>0</v>
      </c>
      <c r="N673" s="16" t="s"/>
      <c r="O673" s="16" t="s"/>
    </row>
    <row r="674" spans="1:15">
      <c r="A674" s="16" t="s">
        <v>612</v>
      </c>
      <c r="B674" s="16" t="s">
        <v>614</v>
      </c>
      <c r="C674" s="16" t="s"/>
      <c r="D674" s="22">
        <v>2.264</v>
      </c>
      <c r="E674" s="22">
        <v>0.206</v>
      </c>
      <c r="F674" s="22">
        <v>1.211</v>
      </c>
      <c r="G674" s="22">
        <v>0.056</v>
      </c>
      <c r="H674" s="23">
        <v>3.962</v>
      </c>
      <c r="I674" s="18">
        <v>110.03</v>
      </c>
      <c r="J674" s="19">
        <v>30.2775</v>
      </c>
      <c r="K674" s="17">
        <v>0</v>
      </c>
      <c r="L674" s="20">
        <v>110.04</v>
      </c>
      <c r="M674" s="21">
        <f>=0</f>
        <v>0</v>
      </c>
      <c r="N674" s="16" t="s"/>
      <c r="O674" s="16" t="s"/>
    </row>
    <row r="675" spans="1:15">
      <c r="A675" s="16" t="s">
        <v>612</v>
      </c>
      <c r="B675" s="16" t="s">
        <v>615</v>
      </c>
      <c r="C675" s="16" t="s"/>
      <c r="D675" s="22">
        <v>2.452</v>
      </c>
      <c r="E675" s="22">
        <v>0.223</v>
      </c>
      <c r="F675" s="22">
        <v>1.248</v>
      </c>
      <c r="G675" s="22">
        <v>0.057</v>
      </c>
      <c r="H675" s="23">
        <v>4.082</v>
      </c>
      <c r="I675" s="18">
        <v>113.36</v>
      </c>
      <c r="J675" s="19">
        <v>31.185</v>
      </c>
      <c r="K675" s="17">
        <v>0</v>
      </c>
      <c r="L675" s="20">
        <v>113.37</v>
      </c>
      <c r="M675" s="21">
        <f>=0</f>
        <v>0</v>
      </c>
      <c r="N675" s="16" t="s"/>
      <c r="O675" s="16" t="s"/>
    </row>
    <row r="676" spans="1:15">
      <c r="A676" s="16" t="s">
        <v>612</v>
      </c>
      <c r="B676" s="16" t="s">
        <v>616</v>
      </c>
      <c r="C676" s="16" t="s">
        <v>62</v>
      </c>
      <c r="D676" s="22">
        <v>0.523</v>
      </c>
      <c r="E676" s="22">
        <v>0.048</v>
      </c>
      <c r="F676" s="22">
        <v>0.523</v>
      </c>
      <c r="G676" s="22">
        <v>0.024</v>
      </c>
      <c r="H676" s="23">
        <v>0</v>
      </c>
      <c r="I676" s="18">
        <v>47.48</v>
      </c>
      <c r="J676" s="19">
        <v>26.125</v>
      </c>
      <c r="K676" s="17">
        <v>0</v>
      </c>
      <c r="L676" s="20">
        <v>47.49</v>
      </c>
      <c r="M676" s="21">
        <f>=0</f>
        <v>0</v>
      </c>
      <c r="N676" s="16" t="s"/>
      <c r="O676" s="16" t="s"/>
    </row>
    <row r="677" spans="1:15">
      <c r="A677" s="16" t="s">
        <v>612</v>
      </c>
      <c r="B677" s="16" t="s">
        <v>617</v>
      </c>
      <c r="C677" s="16" t="s">
        <v>618</v>
      </c>
      <c r="D677" s="22">
        <v>0.404</v>
      </c>
      <c r="E677" s="22">
        <v>0.037</v>
      </c>
      <c r="F677" s="22">
        <v>0.404</v>
      </c>
      <c r="G677" s="22">
        <v>0.019</v>
      </c>
      <c r="H677" s="23">
        <v>0</v>
      </c>
      <c r="I677" s="18">
        <v>36.64</v>
      </c>
      <c r="J677" s="19">
        <v>20.1575</v>
      </c>
      <c r="K677" s="17">
        <v>0</v>
      </c>
      <c r="L677" s="20">
        <v>36.65</v>
      </c>
      <c r="M677" s="21">
        <f>=0</f>
        <v>0</v>
      </c>
      <c r="N677" s="16" t="s"/>
      <c r="O677" s="16" t="s"/>
    </row>
    <row r="678" spans="1:15">
      <c r="A678" s="16" t="s">
        <v>612</v>
      </c>
      <c r="B678" s="16" t="s">
        <v>617</v>
      </c>
      <c r="C678" s="16" t="s">
        <v>227</v>
      </c>
      <c r="D678" s="22">
        <v>0.34</v>
      </c>
      <c r="E678" s="22">
        <v>0.031</v>
      </c>
      <c r="F678" s="22">
        <v>0.34</v>
      </c>
      <c r="G678" s="22">
        <v>0.016</v>
      </c>
      <c r="H678" s="23">
        <v>0</v>
      </c>
      <c r="I678" s="18">
        <v>30.84</v>
      </c>
      <c r="J678" s="19">
        <v>16.9675</v>
      </c>
      <c r="K678" s="17">
        <v>0</v>
      </c>
      <c r="L678" s="20">
        <v>30.85</v>
      </c>
      <c r="M678" s="21">
        <f>=0</f>
        <v>0</v>
      </c>
      <c r="N678" s="16" t="s"/>
      <c r="O678" s="16" t="s"/>
    </row>
    <row r="679" spans="1:15">
      <c r="A679" s="16" t="s">
        <v>612</v>
      </c>
      <c r="B679" s="16" t="s">
        <v>619</v>
      </c>
      <c r="C679" s="16" t="s">
        <v>618</v>
      </c>
      <c r="D679" s="22">
        <v>5.412</v>
      </c>
      <c r="E679" s="22">
        <v>0.492</v>
      </c>
      <c r="F679" s="22">
        <v>4.371</v>
      </c>
      <c r="G679" s="22">
        <v>0.199</v>
      </c>
      <c r="H679" s="23">
        <v>0</v>
      </c>
      <c r="I679" s="18">
        <v>444.62</v>
      </c>
      <c r="J679" s="19">
        <v>161.3425</v>
      </c>
      <c r="K679" s="17">
        <v>0</v>
      </c>
      <c r="L679" s="20">
        <v>113.31</v>
      </c>
      <c r="M679" s="21">
        <f>=0</f>
        <v>0</v>
      </c>
      <c r="N679" s="16" t="s"/>
      <c r="O679" s="16" t="s"/>
    </row>
    <row r="680" spans="1:15">
      <c r="A680" s="16" t="s">
        <v>612</v>
      </c>
      <c r="B680" s="16" t="s">
        <v>619</v>
      </c>
      <c r="C680" s="16" t="s">
        <v>227</v>
      </c>
      <c r="D680" s="22">
        <v>0.596</v>
      </c>
      <c r="E680" s="22">
        <v>0.055</v>
      </c>
      <c r="F680" s="22">
        <v>0.596</v>
      </c>
      <c r="G680" s="22">
        <v>0.028</v>
      </c>
      <c r="H680" s="23">
        <v>0</v>
      </c>
      <c r="I680" s="18">
        <v>56.2</v>
      </c>
      <c r="J680" s="19">
        <v>17.1875</v>
      </c>
      <c r="K680" s="17">
        <v>0</v>
      </c>
      <c r="L680" s="20">
        <v>41.64</v>
      </c>
      <c r="M680" s="21">
        <f>=0</f>
        <v>0</v>
      </c>
      <c r="N680" s="16" t="s"/>
      <c r="O680" s="16" t="s"/>
    </row>
    <row r="681" spans="1:15">
      <c r="A681" s="16" t="s">
        <v>612</v>
      </c>
      <c r="B681" s="16" t="s">
        <v>620</v>
      </c>
      <c r="C681" s="16" t="s"/>
      <c r="D681" s="22">
        <v>0.605</v>
      </c>
      <c r="E681" s="22">
        <v>0.055</v>
      </c>
      <c r="F681" s="22">
        <v>0.303</v>
      </c>
      <c r="G681" s="22">
        <v>0.014</v>
      </c>
      <c r="H681" s="23">
        <v>0.99</v>
      </c>
      <c r="I681" s="18">
        <v>0</v>
      </c>
      <c r="J681" s="19">
        <v>7.5625</v>
      </c>
      <c r="K681" s="17">
        <v>0</v>
      </c>
      <c r="L681" s="20">
        <v>27.49</v>
      </c>
      <c r="M681" s="21">
        <f>=0</f>
        <v>0</v>
      </c>
      <c r="N681" s="16" t="s"/>
      <c r="O681" s="16" t="s"/>
    </row>
    <row r="682" spans="1:15">
      <c r="A682" s="16" t="s">
        <v>612</v>
      </c>
      <c r="B682" s="16" t="s">
        <v>621</v>
      </c>
      <c r="C682" s="16" t="s"/>
      <c r="D682" s="22">
        <v>2.102</v>
      </c>
      <c r="E682" s="22">
        <v>0.192</v>
      </c>
      <c r="F682" s="22">
        <v>1.871</v>
      </c>
      <c r="G682" s="22">
        <v>0.086</v>
      </c>
      <c r="H682" s="23">
        <v>2.522</v>
      </c>
      <c r="I682" s="18">
        <v>70.03</v>
      </c>
      <c r="J682" s="19">
        <v>19.2775</v>
      </c>
      <c r="K682" s="17">
        <v>0</v>
      </c>
      <c r="L682" s="20">
        <v>220.04</v>
      </c>
      <c r="M682" s="21">
        <f>=0</f>
        <v>0</v>
      </c>
      <c r="N682" s="16" t="s"/>
      <c r="O682" s="16" t="s"/>
    </row>
    <row r="683" spans="1:15">
      <c r="A683" s="16" t="s">
        <v>612</v>
      </c>
      <c r="B683" s="16" t="s">
        <v>622</v>
      </c>
      <c r="C683" s="16" t="s"/>
      <c r="D683" s="22">
        <v>8.293</v>
      </c>
      <c r="E683" s="22">
        <v>0.754</v>
      </c>
      <c r="F683" s="22">
        <v>2.366</v>
      </c>
      <c r="G683" s="22">
        <v>0.108</v>
      </c>
      <c r="H683" s="23">
        <v>0</v>
      </c>
      <c r="I683" s="18">
        <v>290.17</v>
      </c>
      <c r="J683" s="19">
        <v>169.4275</v>
      </c>
      <c r="K683" s="17">
        <v>0</v>
      </c>
      <c r="L683" s="20">
        <v>215.04</v>
      </c>
      <c r="M683" s="21">
        <f>=0</f>
        <v>0</v>
      </c>
      <c r="N683" s="16" t="s"/>
      <c r="O683" s="16" t="s"/>
    </row>
    <row r="684" spans="1:15">
      <c r="A684" s="16" t="s">
        <v>612</v>
      </c>
      <c r="B684" s="16" t="s">
        <v>623</v>
      </c>
      <c r="C684" s="16" t="s"/>
      <c r="D684" s="22">
        <v>19.885</v>
      </c>
      <c r="E684" s="22">
        <v>1.808</v>
      </c>
      <c r="F684" s="22">
        <v>2.604</v>
      </c>
      <c r="G684" s="22">
        <v>0.119</v>
      </c>
      <c r="H684" s="23">
        <v>0</v>
      </c>
      <c r="I684" s="18">
        <v>236.7</v>
      </c>
      <c r="J684" s="19">
        <v>0</v>
      </c>
      <c r="K684" s="17">
        <v>0</v>
      </c>
      <c r="L684" s="20">
        <v>736.71</v>
      </c>
      <c r="M684" s="21">
        <f>=0</f>
        <v>0</v>
      </c>
      <c r="N684" s="16" t="s"/>
      <c r="O684" s="16" t="s"/>
    </row>
    <row r="685" spans="1:15">
      <c r="A685" s="16" t="s">
        <v>612</v>
      </c>
      <c r="B685" s="16" t="s">
        <v>624</v>
      </c>
      <c r="C685" s="16" t="s"/>
      <c r="D685" s="22">
        <v>0.771</v>
      </c>
      <c r="E685" s="22">
        <v>0.071</v>
      </c>
      <c r="F685" s="22">
        <v>0.771</v>
      </c>
      <c r="G685" s="22">
        <v>0.036</v>
      </c>
      <c r="H685" s="23">
        <v>2.522</v>
      </c>
      <c r="I685" s="18">
        <v>70.03</v>
      </c>
      <c r="J685" s="19">
        <v>19.2775</v>
      </c>
      <c r="K685" s="17">
        <v>0</v>
      </c>
      <c r="L685" s="20">
        <v>35.02</v>
      </c>
      <c r="M685" s="21">
        <f>=0</f>
        <v>0</v>
      </c>
      <c r="N685" s="16" t="s"/>
      <c r="O685" s="16" t="s"/>
    </row>
    <row r="686" spans="1:15">
      <c r="A686" s="16" t="s">
        <v>612</v>
      </c>
      <c r="B686" s="16" t="s">
        <v>625</v>
      </c>
      <c r="C686" s="16" t="s">
        <v>75</v>
      </c>
      <c r="D686" s="22">
        <v>0</v>
      </c>
      <c r="E686" s="22">
        <v>0</v>
      </c>
      <c r="F686" s="22">
        <v>2.713</v>
      </c>
      <c r="G686" s="22">
        <v>0.124</v>
      </c>
      <c r="H686" s="23">
        <v>0</v>
      </c>
      <c r="I686" s="18">
        <v>0</v>
      </c>
      <c r="J686" s="19">
        <v>0</v>
      </c>
      <c r="K686" s="17">
        <v>0</v>
      </c>
      <c r="L686" s="20">
        <v>366.64</v>
      </c>
      <c r="M686" s="21">
        <f>=0</f>
        <v>0</v>
      </c>
      <c r="N686" s="16" t="s"/>
      <c r="O686" s="16" t="s"/>
    </row>
    <row r="687" spans="1:15">
      <c r="A687" s="16" t="s">
        <v>612</v>
      </c>
      <c r="B687" s="16" t="s">
        <v>625</v>
      </c>
      <c r="C687" s="16" t="s">
        <v>76</v>
      </c>
      <c r="D687" s="22">
        <v>0</v>
      </c>
      <c r="E687" s="22">
        <v>0</v>
      </c>
      <c r="F687" s="22">
        <v>3.428</v>
      </c>
      <c r="G687" s="22">
        <v>0.156</v>
      </c>
      <c r="H687" s="23">
        <v>0</v>
      </c>
      <c r="I687" s="18">
        <v>0</v>
      </c>
      <c r="J687" s="19">
        <v>0</v>
      </c>
      <c r="K687" s="17">
        <v>0</v>
      </c>
      <c r="L687" s="20">
        <v>416.64</v>
      </c>
      <c r="M687" s="21">
        <f>=0</f>
        <v>0</v>
      </c>
      <c r="N687" s="16" t="s"/>
      <c r="O687" s="16" t="s"/>
    </row>
    <row r="688" spans="1:15">
      <c r="A688" s="16" t="s">
        <v>612</v>
      </c>
      <c r="B688" s="16" t="s">
        <v>625</v>
      </c>
      <c r="C688" s="16" t="s">
        <v>626</v>
      </c>
      <c r="D688" s="22">
        <v>0</v>
      </c>
      <c r="E688" s="22">
        <v>0</v>
      </c>
      <c r="F688" s="22">
        <v>1.668</v>
      </c>
      <c r="G688" s="22">
        <v>0.076</v>
      </c>
      <c r="H688" s="23">
        <v>0</v>
      </c>
      <c r="I688" s="18">
        <v>0</v>
      </c>
      <c r="J688" s="19">
        <v>0</v>
      </c>
      <c r="K688" s="17">
        <v>0</v>
      </c>
      <c r="L688" s="20">
        <v>116.64</v>
      </c>
      <c r="M688" s="21">
        <f>=0</f>
        <v>0</v>
      </c>
      <c r="N688" s="16" t="s"/>
      <c r="O688" s="16" t="s"/>
    </row>
    <row r="689" spans="1:15">
      <c r="A689" s="16" t="s">
        <v>612</v>
      </c>
      <c r="B689" s="16" t="s">
        <v>627</v>
      </c>
      <c r="C689" s="16" t="s"/>
      <c r="D689" s="22">
        <v>2.916</v>
      </c>
      <c r="E689" s="22">
        <v>0.266</v>
      </c>
      <c r="F689" s="22">
        <v>2.49</v>
      </c>
      <c r="G689" s="22">
        <v>0.114</v>
      </c>
      <c r="H689" s="23">
        <v>0</v>
      </c>
      <c r="I689" s="18">
        <v>245.67</v>
      </c>
      <c r="J689" s="19">
        <v>83.5725</v>
      </c>
      <c r="K689" s="17">
        <v>0</v>
      </c>
      <c r="L689" s="20">
        <v>109.97</v>
      </c>
      <c r="M689" s="21">
        <f>=0</f>
        <v>0</v>
      </c>
      <c r="N689" s="16" t="s"/>
      <c r="O689" s="16" t="s"/>
    </row>
    <row r="690" spans="1:15">
      <c r="A690" s="16" t="s">
        <v>628</v>
      </c>
      <c r="B690" s="16" t="s">
        <v>629</v>
      </c>
      <c r="C690" s="16" t="s">
        <v>62</v>
      </c>
      <c r="D690" s="22">
        <v>0.341</v>
      </c>
      <c r="E690" s="22">
        <v>0.031</v>
      </c>
      <c r="F690" s="22">
        <v>0.424</v>
      </c>
      <c r="G690" s="22">
        <v>0.02</v>
      </c>
      <c r="H690" s="23">
        <v>1.387</v>
      </c>
      <c r="I690" s="18">
        <v>0</v>
      </c>
      <c r="J690" s="19">
        <v>10.615</v>
      </c>
      <c r="K690" s="17">
        <v>0</v>
      </c>
      <c r="L690" s="20">
        <v>38.51</v>
      </c>
      <c r="M690" s="21">
        <v>0</v>
      </c>
      <c r="N690" s="16" t="s"/>
      <c r="O690" s="16" t="s"/>
    </row>
    <row r="691" spans="1:15">
      <c r="A691" s="16" t="s">
        <v>628</v>
      </c>
      <c r="B691" s="16" t="s">
        <v>629</v>
      </c>
      <c r="C691" s="16" t="s">
        <v>63</v>
      </c>
      <c r="D691" s="22">
        <v>0.242</v>
      </c>
      <c r="E691" s="22">
        <v>0.022</v>
      </c>
      <c r="F691" s="22">
        <v>0.281</v>
      </c>
      <c r="G691" s="22">
        <v>0.013</v>
      </c>
      <c r="H691" s="23">
        <v>0.92</v>
      </c>
      <c r="I691" s="18">
        <v>0</v>
      </c>
      <c r="J691" s="19">
        <v>7.04</v>
      </c>
      <c r="K691" s="17">
        <v>0</v>
      </c>
      <c r="L691" s="20">
        <v>25.55</v>
      </c>
      <c r="M691" s="21">
        <v>0</v>
      </c>
      <c r="N691" s="16" t="s"/>
      <c r="O691" s="16" t="s"/>
    </row>
    <row r="692" spans="1:15">
      <c r="A692" s="16" t="s">
        <v>628</v>
      </c>
      <c r="B692" s="16" t="s">
        <v>629</v>
      </c>
      <c r="C692" s="16" t="s">
        <v>64</v>
      </c>
      <c r="D692" s="22">
        <v>0.769</v>
      </c>
      <c r="E692" s="22">
        <v>0.07</v>
      </c>
      <c r="F692" s="22">
        <v>0.818</v>
      </c>
      <c r="G692" s="22">
        <v>0.038</v>
      </c>
      <c r="H692" s="23">
        <v>2.675</v>
      </c>
      <c r="I692" s="18">
        <v>0</v>
      </c>
      <c r="J692" s="19">
        <v>20.46</v>
      </c>
      <c r="K692" s="17">
        <v>0</v>
      </c>
      <c r="L692" s="20">
        <v>74.31</v>
      </c>
      <c r="M692" s="21">
        <v>0</v>
      </c>
      <c r="N692" s="16" t="s"/>
      <c r="O692" s="16" t="s"/>
    </row>
    <row r="693" spans="1:15">
      <c r="A693" s="16" t="s">
        <v>628</v>
      </c>
      <c r="B693" s="16" t="s">
        <v>629</v>
      </c>
      <c r="C693" s="16" t="s">
        <v>65</v>
      </c>
      <c r="D693" s="22">
        <v>1.284</v>
      </c>
      <c r="E693" s="22">
        <v>0.117</v>
      </c>
      <c r="F693" s="22">
        <v>1.272</v>
      </c>
      <c r="G693" s="22">
        <v>0.058</v>
      </c>
      <c r="H693" s="23">
        <v>4.16</v>
      </c>
      <c r="I693" s="18">
        <v>86.61</v>
      </c>
      <c r="J693" s="19">
        <v>31.79</v>
      </c>
      <c r="K693" s="17">
        <v>0</v>
      </c>
      <c r="L693" s="20">
        <v>115.55</v>
      </c>
      <c r="M693" s="21">
        <v>0</v>
      </c>
      <c r="N693" s="16" t="s"/>
      <c r="O693" s="16" t="s"/>
    </row>
    <row r="694" spans="1:15">
      <c r="A694" s="16" t="s">
        <v>628</v>
      </c>
      <c r="B694" s="16" t="s">
        <v>630</v>
      </c>
      <c r="C694" s="16" t="s"/>
      <c r="D694" s="22">
        <v>0.478</v>
      </c>
      <c r="E694" s="22">
        <v>0.044</v>
      </c>
      <c r="F694" s="22">
        <v>0.372</v>
      </c>
      <c r="G694" s="22">
        <v>0.017</v>
      </c>
      <c r="H694" s="23">
        <v>1.215</v>
      </c>
      <c r="I694" s="18">
        <v>33.75</v>
      </c>
      <c r="J694" s="19">
        <v>9.295</v>
      </c>
      <c r="K694" s="17">
        <v>0</v>
      </c>
      <c r="L694" s="20">
        <v>33.75</v>
      </c>
      <c r="M694" s="21">
        <v>0</v>
      </c>
      <c r="N694" s="16" t="s"/>
      <c r="O694" s="16" t="s"/>
    </row>
    <row r="695" spans="1:15">
      <c r="A695" s="16" t="s">
        <v>628</v>
      </c>
      <c r="B695" s="16" t="s">
        <v>631</v>
      </c>
      <c r="C695" s="16" t="s"/>
      <c r="D695" s="22">
        <v>0.802</v>
      </c>
      <c r="E695" s="22">
        <v>0.073</v>
      </c>
      <c r="F695" s="22">
        <v>0.624</v>
      </c>
      <c r="G695" s="22">
        <v>0.029</v>
      </c>
      <c r="H695" s="23">
        <v>2.04</v>
      </c>
      <c r="I695" s="18">
        <v>56.65</v>
      </c>
      <c r="J695" s="19">
        <v>15.5925</v>
      </c>
      <c r="K695" s="17">
        <v>0</v>
      </c>
      <c r="L695" s="20">
        <v>56.66</v>
      </c>
      <c r="M695" s="21">
        <v>0</v>
      </c>
      <c r="N695" s="16" t="s"/>
      <c r="O695" s="16" t="s"/>
    </row>
    <row r="696" spans="1:15">
      <c r="A696" s="16" t="s">
        <v>628</v>
      </c>
      <c r="B696" s="16" t="s">
        <v>632</v>
      </c>
      <c r="C696" s="16" t="s"/>
      <c r="D696" s="22">
        <v>2.2</v>
      </c>
      <c r="E696" s="22">
        <v>0.2</v>
      </c>
      <c r="F696" s="22">
        <v>0</v>
      </c>
      <c r="G696" s="22">
        <v>0</v>
      </c>
      <c r="H696" s="23">
        <v>0</v>
      </c>
      <c r="I696" s="18">
        <v>126</v>
      </c>
      <c r="J696" s="19">
        <v>0</v>
      </c>
      <c r="K696" s="17">
        <v>0</v>
      </c>
      <c r="L696" s="20">
        <v>0</v>
      </c>
      <c r="M696" s="21">
        <v>0</v>
      </c>
      <c r="N696" s="16" t="s"/>
      <c r="O696" s="16" t="s"/>
    </row>
    <row r="697" spans="1:15">
      <c r="A697" s="16" t="s">
        <v>628</v>
      </c>
      <c r="B697" s="16" t="s">
        <v>633</v>
      </c>
      <c r="C697" s="16" t="s"/>
      <c r="D697" s="22">
        <v>0.569</v>
      </c>
      <c r="E697" s="22">
        <v>0.052</v>
      </c>
      <c r="F697" s="22">
        <v>0.569</v>
      </c>
      <c r="G697" s="22">
        <v>0.026</v>
      </c>
      <c r="H697" s="23">
        <v>0</v>
      </c>
      <c r="I697" s="18">
        <v>41.34</v>
      </c>
      <c r="J697" s="19">
        <v>14.2175</v>
      </c>
      <c r="K697" s="17">
        <v>0</v>
      </c>
      <c r="L697" s="20">
        <v>51.69</v>
      </c>
      <c r="M697" s="21">
        <v>0</v>
      </c>
      <c r="N697" s="16" t="s"/>
      <c r="O697" s="16" t="s"/>
    </row>
    <row r="698" spans="1:15">
      <c r="A698" s="16" t="s">
        <v>628</v>
      </c>
      <c r="B698" s="16" t="s">
        <v>634</v>
      </c>
      <c r="C698" s="16" t="s"/>
      <c r="D698" s="22">
        <v>5.926</v>
      </c>
      <c r="E698" s="22">
        <v>0.539</v>
      </c>
      <c r="F698" s="22">
        <v>4.848</v>
      </c>
      <c r="G698" s="22">
        <v>0.221</v>
      </c>
      <c r="H698" s="23">
        <v>0</v>
      </c>
      <c r="I698" s="18">
        <v>352.56</v>
      </c>
      <c r="J698" s="19">
        <v>175.12</v>
      </c>
      <c r="K698" s="17">
        <v>0</v>
      </c>
      <c r="L698" s="20">
        <v>146.71</v>
      </c>
      <c r="M698" s="21">
        <v>0</v>
      </c>
      <c r="N698" s="16" t="s"/>
      <c r="O698" s="16" t="s"/>
    </row>
    <row r="699" spans="1:15">
      <c r="A699" s="16" t="s">
        <v>628</v>
      </c>
      <c r="B699" s="16" t="s">
        <v>635</v>
      </c>
      <c r="C699" s="16" t="s"/>
      <c r="D699" s="22">
        <v>0.496</v>
      </c>
      <c r="E699" s="22">
        <v>0.046</v>
      </c>
      <c r="F699" s="22">
        <v>0.248</v>
      </c>
      <c r="G699" s="22">
        <v>0.012</v>
      </c>
      <c r="H699" s="23">
        <v>0.811</v>
      </c>
      <c r="I699" s="18">
        <v>0</v>
      </c>
      <c r="J699" s="19">
        <v>6.215</v>
      </c>
      <c r="K699" s="17">
        <v>0</v>
      </c>
      <c r="L699" s="20">
        <v>22.51</v>
      </c>
      <c r="M699" s="21">
        <v>0</v>
      </c>
      <c r="N699" s="16" t="s"/>
      <c r="O699" s="16" t="s"/>
    </row>
    <row r="700" spans="1:15">
      <c r="A700" s="16" t="s">
        <v>628</v>
      </c>
      <c r="B700" s="16" t="s">
        <v>636</v>
      </c>
      <c r="C700" s="16" t="s"/>
      <c r="D700" s="22">
        <v>2.364</v>
      </c>
      <c r="E700" s="22">
        <v>0.215</v>
      </c>
      <c r="F700" s="22">
        <v>2.073</v>
      </c>
      <c r="G700" s="22">
        <v>0.095</v>
      </c>
      <c r="H700" s="23">
        <v>3.182</v>
      </c>
      <c r="I700" s="18">
        <v>70.69</v>
      </c>
      <c r="J700" s="19">
        <v>24.31</v>
      </c>
      <c r="K700" s="17">
        <v>0</v>
      </c>
      <c r="L700" s="20">
        <v>238.37</v>
      </c>
      <c r="M700" s="21">
        <v>0</v>
      </c>
      <c r="N700" s="16" t="s"/>
      <c r="O700" s="16" t="s"/>
    </row>
    <row r="701" spans="1:15">
      <c r="A701" s="16" t="s">
        <v>628</v>
      </c>
      <c r="B701" s="16" t="s">
        <v>637</v>
      </c>
      <c r="C701" s="16" t="s"/>
      <c r="D701" s="22">
        <v>6.589</v>
      </c>
      <c r="E701" s="22">
        <v>0.599</v>
      </c>
      <c r="F701" s="22">
        <v>2.2</v>
      </c>
      <c r="G701" s="22">
        <v>0.1</v>
      </c>
      <c r="H701" s="23">
        <v>0</v>
      </c>
      <c r="I701" s="18">
        <v>319.57</v>
      </c>
      <c r="J701" s="19">
        <v>237.875</v>
      </c>
      <c r="K701" s="17">
        <v>0</v>
      </c>
      <c r="L701" s="20">
        <v>199.97</v>
      </c>
      <c r="M701" s="21">
        <v>0</v>
      </c>
      <c r="N701" s="16" t="s"/>
      <c r="O701" s="16" t="s"/>
    </row>
    <row r="702" spans="1:15">
      <c r="A702" s="16" t="s">
        <v>628</v>
      </c>
      <c r="B702" s="16" t="s">
        <v>638</v>
      </c>
      <c r="C702" s="16" t="s"/>
      <c r="D702" s="22">
        <v>16.868</v>
      </c>
      <c r="E702" s="22">
        <v>1.534</v>
      </c>
      <c r="F702" s="22">
        <v>2.494</v>
      </c>
      <c r="G702" s="22">
        <v>0.114</v>
      </c>
      <c r="H702" s="23">
        <v>0</v>
      </c>
      <c r="I702" s="18">
        <v>808.56</v>
      </c>
      <c r="J702" s="19">
        <v>0</v>
      </c>
      <c r="K702" s="17">
        <v>0</v>
      </c>
      <c r="L702" s="20">
        <v>726.71</v>
      </c>
      <c r="M702" s="21">
        <v>0</v>
      </c>
      <c r="N702" s="16" t="s"/>
      <c r="O702" s="16" t="s"/>
    </row>
    <row r="703" spans="1:15">
      <c r="A703" s="16" t="s">
        <v>628</v>
      </c>
      <c r="B703" s="16" t="s">
        <v>639</v>
      </c>
      <c r="C703" s="16" t="s"/>
      <c r="D703" s="22">
        <v>0.973</v>
      </c>
      <c r="E703" s="22">
        <v>0.089</v>
      </c>
      <c r="F703" s="22">
        <v>0.487</v>
      </c>
      <c r="G703" s="22">
        <v>0.023</v>
      </c>
      <c r="H703" s="23">
        <v>1.591</v>
      </c>
      <c r="I703" s="18">
        <v>35.34</v>
      </c>
      <c r="J703" s="19">
        <v>12.155</v>
      </c>
      <c r="K703" s="17">
        <v>0</v>
      </c>
      <c r="L703" s="20">
        <v>44.19</v>
      </c>
      <c r="M703" s="21">
        <v>0</v>
      </c>
      <c r="N703" s="16" t="s"/>
      <c r="O703" s="16" t="s"/>
    </row>
    <row r="704" spans="1:15">
      <c r="A704" s="16" t="s">
        <v>628</v>
      </c>
      <c r="B704" s="16" t="s">
        <v>640</v>
      </c>
      <c r="C704" s="16" t="s">
        <v>75</v>
      </c>
      <c r="D704" s="22">
        <v>0</v>
      </c>
      <c r="E704" s="22">
        <v>0</v>
      </c>
      <c r="F704" s="22">
        <v>2.713</v>
      </c>
      <c r="G704" s="22">
        <v>0.124</v>
      </c>
      <c r="H704" s="23">
        <v>0</v>
      </c>
      <c r="I704" s="18">
        <v>0</v>
      </c>
      <c r="J704" s="19">
        <v>0</v>
      </c>
      <c r="K704" s="17">
        <v>0</v>
      </c>
      <c r="L704" s="20">
        <v>366.64</v>
      </c>
      <c r="M704" s="21">
        <v>0</v>
      </c>
      <c r="N704" s="16" t="s"/>
      <c r="O704" s="16" t="s"/>
    </row>
    <row r="705" spans="1:15">
      <c r="A705" s="16" t="s">
        <v>628</v>
      </c>
      <c r="B705" s="16" t="s">
        <v>640</v>
      </c>
      <c r="C705" s="16" t="s">
        <v>76</v>
      </c>
      <c r="D705" s="22">
        <v>0</v>
      </c>
      <c r="E705" s="22">
        <v>0</v>
      </c>
      <c r="F705" s="22">
        <v>3.428</v>
      </c>
      <c r="G705" s="22">
        <v>0.156</v>
      </c>
      <c r="H705" s="23">
        <v>0</v>
      </c>
      <c r="I705" s="18">
        <v>0</v>
      </c>
      <c r="J705" s="19">
        <v>0</v>
      </c>
      <c r="K705" s="17">
        <v>0</v>
      </c>
      <c r="L705" s="20">
        <v>416.64</v>
      </c>
      <c r="M705" s="21">
        <v>0</v>
      </c>
      <c r="N705" s="16" t="s"/>
      <c r="O705" s="16" t="s"/>
    </row>
    <row r="706" spans="1:15">
      <c r="A706" s="16" t="s">
        <v>628</v>
      </c>
      <c r="B706" s="16" t="s">
        <v>640</v>
      </c>
      <c r="C706" s="16" t="s">
        <v>77</v>
      </c>
      <c r="D706" s="22">
        <v>0</v>
      </c>
      <c r="E706" s="22">
        <v>0</v>
      </c>
      <c r="F706" s="22">
        <v>1.668</v>
      </c>
      <c r="G706" s="22">
        <v>0.076</v>
      </c>
      <c r="H706" s="23">
        <v>0</v>
      </c>
      <c r="I706" s="18">
        <v>0</v>
      </c>
      <c r="J706" s="19">
        <v>0</v>
      </c>
      <c r="K706" s="17">
        <v>0</v>
      </c>
      <c r="L706" s="20">
        <v>116.64</v>
      </c>
      <c r="M706" s="21">
        <v>0</v>
      </c>
      <c r="N706" s="16" t="s"/>
      <c r="O706" s="16" t="s"/>
    </row>
    <row r="707" spans="1:15">
      <c r="A707" s="16" t="s">
        <v>628</v>
      </c>
      <c r="B707" s="16" t="s">
        <v>641</v>
      </c>
      <c r="C707" s="16" t="s"/>
      <c r="D707" s="22">
        <v>3.739</v>
      </c>
      <c r="E707" s="22">
        <v>0.34</v>
      </c>
      <c r="F707" s="22">
        <v>3.253</v>
      </c>
      <c r="G707" s="22">
        <v>0.148</v>
      </c>
      <c r="H707" s="23">
        <v>0</v>
      </c>
      <c r="I707" s="18">
        <v>236.56</v>
      </c>
      <c r="J707" s="19">
        <v>105.6</v>
      </c>
      <c r="K707" s="17">
        <v>0</v>
      </c>
      <c r="L707" s="20">
        <v>163.37</v>
      </c>
      <c r="M707" s="21">
        <v>0</v>
      </c>
      <c r="N707" s="16" t="s"/>
      <c r="O707" s="16" t="s"/>
    </row>
    <row r="708" spans="1:15">
      <c r="A708" s="16" t="s">
        <v>628</v>
      </c>
      <c r="B708" s="16" t="s">
        <v>642</v>
      </c>
      <c r="C708" s="16" t="s">
        <v>643</v>
      </c>
      <c r="D708" s="22">
        <v>0.55</v>
      </c>
      <c r="E708" s="22">
        <v>0</v>
      </c>
      <c r="F708" s="22">
        <v>0</v>
      </c>
      <c r="G708" s="22">
        <v>0</v>
      </c>
      <c r="H708" s="23">
        <v>0</v>
      </c>
      <c r="I708" s="18">
        <v>0</v>
      </c>
      <c r="J708" s="19">
        <v>0</v>
      </c>
      <c r="K708" s="17">
        <v>0</v>
      </c>
      <c r="L708" s="20">
        <v>0</v>
      </c>
      <c r="M708" s="21">
        <v>0</v>
      </c>
      <c r="N708" s="16" t="s"/>
      <c r="O708" s="16" t="s"/>
    </row>
    <row r="709" spans="1:15">
      <c r="A709" s="16" t="s">
        <v>644</v>
      </c>
      <c r="B709" s="16" t="s">
        <v>645</v>
      </c>
      <c r="C709" s="16" t="s">
        <v>62</v>
      </c>
      <c r="D709" s="22">
        <v>0.734</v>
      </c>
      <c r="E709" s="22">
        <v>0.067</v>
      </c>
      <c r="F709" s="22">
        <v>0.551</v>
      </c>
      <c r="G709" s="22">
        <v>0.026</v>
      </c>
      <c r="H709" s="23">
        <v>1.801</v>
      </c>
      <c r="I709" s="18">
        <v>0</v>
      </c>
      <c r="J709" s="19">
        <v>13.7775</v>
      </c>
      <c r="K709" s="17">
        <v>0</v>
      </c>
      <c r="L709" s="20">
        <v>50.01</v>
      </c>
      <c r="M709" s="21">
        <v>0</v>
      </c>
      <c r="N709" s="16" t="s"/>
      <c r="O709" s="16" t="s"/>
    </row>
    <row r="710" spans="1:15">
      <c r="A710" s="16" t="s">
        <v>644</v>
      </c>
      <c r="B710" s="16" t="s">
        <v>645</v>
      </c>
      <c r="C710" s="16" t="s">
        <v>63</v>
      </c>
      <c r="D710" s="22">
        <v>0.66</v>
      </c>
      <c r="E710" s="22">
        <v>0.06</v>
      </c>
      <c r="F710" s="22">
        <v>0.492</v>
      </c>
      <c r="G710" s="22">
        <v>0.023</v>
      </c>
      <c r="H710" s="23">
        <v>1.608</v>
      </c>
      <c r="I710" s="18">
        <v>44.63</v>
      </c>
      <c r="J710" s="19">
        <v>12.2925</v>
      </c>
      <c r="K710" s="17">
        <v>0</v>
      </c>
      <c r="L710" s="20">
        <v>44.64</v>
      </c>
      <c r="M710" s="21">
        <v>0</v>
      </c>
      <c r="N710" s="16" t="s"/>
      <c r="O710" s="16" t="s"/>
    </row>
    <row r="711" spans="1:15">
      <c r="A711" s="16" t="s">
        <v>644</v>
      </c>
      <c r="B711" s="16" t="s">
        <v>645</v>
      </c>
      <c r="C711" s="16" t="s">
        <v>64</v>
      </c>
      <c r="D711" s="22">
        <v>1.158</v>
      </c>
      <c r="E711" s="22">
        <v>0.106</v>
      </c>
      <c r="F711" s="22">
        <v>0.844</v>
      </c>
      <c r="G711" s="22">
        <v>0.039</v>
      </c>
      <c r="H711" s="23">
        <v>2.762</v>
      </c>
      <c r="I711" s="18">
        <v>76.72</v>
      </c>
      <c r="J711" s="19">
        <v>21.12</v>
      </c>
      <c r="K711" s="17">
        <v>0</v>
      </c>
      <c r="L711" s="20">
        <v>76.73</v>
      </c>
      <c r="M711" s="21">
        <v>0</v>
      </c>
      <c r="N711" s="16" t="s"/>
      <c r="O711" s="16" t="s"/>
    </row>
    <row r="712" spans="1:15">
      <c r="A712" s="16" t="s">
        <v>644</v>
      </c>
      <c r="B712" s="16" t="s">
        <v>645</v>
      </c>
      <c r="C712" s="16" t="s">
        <v>65</v>
      </c>
      <c r="D712" s="22">
        <v>1.856</v>
      </c>
      <c r="E712" s="22">
        <v>0.169</v>
      </c>
      <c r="F712" s="22">
        <v>1.546</v>
      </c>
      <c r="G712" s="22">
        <v>0.071</v>
      </c>
      <c r="H712" s="23">
        <v>4.468</v>
      </c>
      <c r="I712" s="18">
        <v>124.1</v>
      </c>
      <c r="J712" s="19">
        <v>34.155</v>
      </c>
      <c r="K712" s="17">
        <v>0</v>
      </c>
      <c r="L712" s="20">
        <v>140.53</v>
      </c>
      <c r="M712" s="21">
        <v>0</v>
      </c>
      <c r="N712" s="16" t="s"/>
      <c r="O712" s="16" t="s"/>
    </row>
    <row r="713" spans="1:15">
      <c r="A713" s="16" t="s">
        <v>644</v>
      </c>
      <c r="B713" s="16" t="s">
        <v>645</v>
      </c>
      <c r="C713" s="16" t="s">
        <v>646</v>
      </c>
      <c r="D713" s="22">
        <v>3.091</v>
      </c>
      <c r="E713" s="22">
        <v>0.281</v>
      </c>
      <c r="F713" s="22">
        <v>2.345</v>
      </c>
      <c r="G713" s="22">
        <v>0.107</v>
      </c>
      <c r="H713" s="23">
        <v>8.145</v>
      </c>
      <c r="I713" s="18">
        <v>226.23</v>
      </c>
      <c r="J713" s="19">
        <v>62.2325</v>
      </c>
      <c r="K713" s="17">
        <v>0</v>
      </c>
      <c r="L713" s="20">
        <v>213.11</v>
      </c>
      <c r="M713" s="21">
        <v>0</v>
      </c>
      <c r="N713" s="16" t="s"/>
      <c r="O713" s="16" t="s"/>
    </row>
    <row r="714" spans="1:15">
      <c r="A714" s="16" t="s">
        <v>644</v>
      </c>
      <c r="B714" s="16" t="s">
        <v>645</v>
      </c>
      <c r="C714" s="16" t="s">
        <v>647</v>
      </c>
      <c r="D714" s="22">
        <v>0.773</v>
      </c>
      <c r="E714" s="22">
        <v>0.071</v>
      </c>
      <c r="F714" s="22">
        <v>0.586</v>
      </c>
      <c r="G714" s="22">
        <v>0.027</v>
      </c>
      <c r="H714" s="23">
        <v>2.036</v>
      </c>
      <c r="I714" s="18">
        <v>56.6</v>
      </c>
      <c r="J714" s="19">
        <v>15.558</v>
      </c>
      <c r="K714" s="17">
        <v>0</v>
      </c>
      <c r="L714" s="20">
        <v>53.3</v>
      </c>
      <c r="M714" s="21">
        <v>0</v>
      </c>
      <c r="N714" s="16" t="s"/>
      <c r="O714" s="16" t="s"/>
    </row>
    <row r="715" spans="1:15">
      <c r="A715" s="16" t="s">
        <v>644</v>
      </c>
      <c r="B715" s="16" t="s">
        <v>648</v>
      </c>
      <c r="C715" s="16" t="s"/>
      <c r="D715" s="22">
        <v>0.697</v>
      </c>
      <c r="E715" s="22">
        <v>0.064</v>
      </c>
      <c r="F715" s="22">
        <v>0.523</v>
      </c>
      <c r="G715" s="22">
        <v>0.024</v>
      </c>
      <c r="H715" s="23">
        <v>1.71</v>
      </c>
      <c r="I715" s="18">
        <v>47.5</v>
      </c>
      <c r="J715" s="19">
        <v>13.0625</v>
      </c>
      <c r="K715" s="17">
        <v>0</v>
      </c>
      <c r="L715" s="20">
        <v>47.5</v>
      </c>
      <c r="M715" s="21">
        <v>0</v>
      </c>
      <c r="N715" s="16" t="s"/>
      <c r="O715" s="16" t="s"/>
    </row>
    <row r="716" spans="1:15">
      <c r="A716" s="16" t="s">
        <v>644</v>
      </c>
      <c r="B716" s="16" t="s">
        <v>649</v>
      </c>
      <c r="C716" s="16" t="s"/>
      <c r="D716" s="22">
        <v>0.569</v>
      </c>
      <c r="E716" s="22">
        <v>0.052</v>
      </c>
      <c r="F716" s="22">
        <v>0.569</v>
      </c>
      <c r="G716" s="22">
        <v>0.026</v>
      </c>
      <c r="H716" s="23">
        <v>0</v>
      </c>
      <c r="I716" s="18">
        <v>51.68</v>
      </c>
      <c r="J716" s="19">
        <v>14.2175</v>
      </c>
      <c r="K716" s="17">
        <v>0</v>
      </c>
      <c r="L716" s="20">
        <v>51.69</v>
      </c>
      <c r="M716" s="21">
        <v>0</v>
      </c>
      <c r="N716" s="16" t="s"/>
      <c r="O716" s="16" t="s"/>
    </row>
    <row r="717" spans="1:15">
      <c r="A717" s="16" t="s">
        <v>644</v>
      </c>
      <c r="B717" s="16" t="s">
        <v>650</v>
      </c>
      <c r="C717" s="16" t="s"/>
      <c r="D717" s="22">
        <v>12.108</v>
      </c>
      <c r="E717" s="22">
        <v>1.101</v>
      </c>
      <c r="F717" s="22">
        <v>8.1</v>
      </c>
      <c r="G717" s="22">
        <v>0.369</v>
      </c>
      <c r="H717" s="23">
        <v>0</v>
      </c>
      <c r="I717" s="18">
        <v>807.38</v>
      </c>
      <c r="J717" s="19">
        <v>280.665</v>
      </c>
      <c r="K717" s="17">
        <v>0</v>
      </c>
      <c r="L717" s="20">
        <v>310</v>
      </c>
      <c r="M717" s="21">
        <v>0</v>
      </c>
      <c r="N717" s="16" t="s"/>
      <c r="O717" s="16" t="s"/>
    </row>
    <row r="718" spans="1:15">
      <c r="A718" s="16" t="s">
        <v>644</v>
      </c>
      <c r="B718" s="16" t="s">
        <v>651</v>
      </c>
      <c r="C718" s="16" t="s"/>
      <c r="D718" s="22">
        <v>0.863</v>
      </c>
      <c r="E718" s="22">
        <v>0.079</v>
      </c>
      <c r="F718" s="22">
        <v>0.432</v>
      </c>
      <c r="G718" s="22">
        <v>0.02</v>
      </c>
      <c r="H718" s="23">
        <v>1.411</v>
      </c>
      <c r="I718" s="18">
        <v>39.18</v>
      </c>
      <c r="J718" s="19">
        <v>10.78</v>
      </c>
      <c r="K718" s="17">
        <v>0</v>
      </c>
      <c r="L718" s="20">
        <v>39.19</v>
      </c>
      <c r="M718" s="21">
        <v>0</v>
      </c>
      <c r="N718" s="16" t="s"/>
      <c r="O718" s="16" t="s"/>
    </row>
    <row r="719" spans="1:15">
      <c r="A719" s="16" t="s">
        <v>644</v>
      </c>
      <c r="B719" s="16" t="s">
        <v>652</v>
      </c>
      <c r="C719" s="16" t="s"/>
      <c r="D719" s="22">
        <v>3.388</v>
      </c>
      <c r="E719" s="22">
        <v>0.308</v>
      </c>
      <c r="F719" s="22">
        <v>2.86</v>
      </c>
      <c r="G719" s="22">
        <v>0.13</v>
      </c>
      <c r="H719" s="23">
        <v>5.759</v>
      </c>
      <c r="I719" s="18">
        <v>159.96</v>
      </c>
      <c r="J719" s="19">
        <v>44</v>
      </c>
      <c r="K719" s="17">
        <v>0</v>
      </c>
      <c r="L719" s="20">
        <v>309.97</v>
      </c>
      <c r="M719" s="21">
        <v>0</v>
      </c>
      <c r="N719" s="16" t="s"/>
      <c r="O719" s="16" t="s"/>
    </row>
    <row r="720" spans="1:15">
      <c r="A720" s="16" t="s">
        <v>644</v>
      </c>
      <c r="B720" s="16" t="s">
        <v>653</v>
      </c>
      <c r="C720" s="16" t="s"/>
      <c r="D720" s="22">
        <v>7.708</v>
      </c>
      <c r="E720" s="22">
        <v>0.701</v>
      </c>
      <c r="F720" s="22">
        <v>3.319</v>
      </c>
      <c r="G720" s="22">
        <v>0.151</v>
      </c>
      <c r="H720" s="23">
        <v>0</v>
      </c>
      <c r="I720" s="18">
        <v>501.16</v>
      </c>
      <c r="J720" s="19">
        <v>265.8425</v>
      </c>
      <c r="K720" s="17">
        <v>0</v>
      </c>
      <c r="L720" s="20">
        <v>301.67</v>
      </c>
      <c r="M720" s="21">
        <v>0</v>
      </c>
      <c r="N720" s="16" t="s"/>
      <c r="O720" s="16" t="s"/>
    </row>
    <row r="721" spans="1:15">
      <c r="A721" s="16" t="s">
        <v>644</v>
      </c>
      <c r="B721" s="16" t="s">
        <v>654</v>
      </c>
      <c r="C721" s="16" t="s">
        <v>96</v>
      </c>
      <c r="D721" s="22">
        <v>17.498</v>
      </c>
      <c r="E721" s="22">
        <v>1.591</v>
      </c>
      <c r="F721" s="22">
        <v>1.614</v>
      </c>
      <c r="G721" s="22">
        <v>0.074</v>
      </c>
      <c r="H721" s="23">
        <v>0</v>
      </c>
      <c r="I721" s="18">
        <v>146.66</v>
      </c>
      <c r="J721" s="19">
        <v>0</v>
      </c>
      <c r="K721" s="17">
        <v>0</v>
      </c>
      <c r="L721" s="20">
        <v>546.67</v>
      </c>
      <c r="M721" s="21">
        <v>0</v>
      </c>
      <c r="N721" s="16" t="s"/>
      <c r="O721" s="16" t="s"/>
    </row>
    <row r="722" spans="1:15">
      <c r="A722" s="16" t="s">
        <v>644</v>
      </c>
      <c r="B722" s="16" t="s">
        <v>654</v>
      </c>
      <c r="C722" s="16" t="s">
        <v>97</v>
      </c>
      <c r="D722" s="22">
        <v>4.375</v>
      </c>
      <c r="E722" s="22">
        <v>0.398</v>
      </c>
      <c r="F722" s="22">
        <v>0.403</v>
      </c>
      <c r="G722" s="22">
        <v>0.019</v>
      </c>
      <c r="H722" s="23">
        <v>0</v>
      </c>
      <c r="I722" s="18">
        <v>36.7</v>
      </c>
      <c r="J722" s="19">
        <v>0</v>
      </c>
      <c r="K722" s="17">
        <v>0</v>
      </c>
      <c r="L722" s="20">
        <v>136.7</v>
      </c>
      <c r="M722" s="21">
        <v>0</v>
      </c>
      <c r="N722" s="16" t="s"/>
      <c r="O722" s="16" t="s"/>
    </row>
    <row r="723" spans="1:15">
      <c r="A723" s="16" t="s">
        <v>644</v>
      </c>
      <c r="B723" s="16" t="s">
        <v>655</v>
      </c>
      <c r="C723" s="16" t="s"/>
      <c r="D723" s="22">
        <v>6.803</v>
      </c>
      <c r="E723" s="22">
        <v>0.619</v>
      </c>
      <c r="F723" s="22">
        <v>2.302</v>
      </c>
      <c r="G723" s="22">
        <v>0.105</v>
      </c>
      <c r="H723" s="23">
        <v>7.531</v>
      </c>
      <c r="I723" s="18">
        <v>209.18</v>
      </c>
      <c r="J723" s="19">
        <v>57.53</v>
      </c>
      <c r="K723" s="17">
        <v>0</v>
      </c>
      <c r="L723" s="20">
        <v>209.19</v>
      </c>
      <c r="M723" s="21">
        <v>0</v>
      </c>
      <c r="N723" s="16" t="s"/>
      <c r="O723" s="16" t="s"/>
    </row>
    <row r="724" spans="1:15">
      <c r="A724" s="16" t="s">
        <v>644</v>
      </c>
      <c r="B724" s="16" t="s">
        <v>656</v>
      </c>
      <c r="C724" s="16" t="s"/>
      <c r="D724" s="22">
        <v>1.76</v>
      </c>
      <c r="E724" s="22">
        <v>0.16</v>
      </c>
      <c r="F724" s="22">
        <v>0.88</v>
      </c>
      <c r="G724" s="22">
        <v>0.04</v>
      </c>
      <c r="H724" s="23">
        <v>2.88</v>
      </c>
      <c r="I724" s="18">
        <v>79.98</v>
      </c>
      <c r="J724" s="19">
        <v>22</v>
      </c>
      <c r="K724" s="17">
        <v>0</v>
      </c>
      <c r="L724" s="20">
        <v>79.99</v>
      </c>
      <c r="M724" s="21">
        <v>0</v>
      </c>
      <c r="N724" s="16" t="s"/>
      <c r="O724" s="16" t="s"/>
    </row>
    <row r="725" spans="1:15">
      <c r="A725" s="16" t="s">
        <v>644</v>
      </c>
      <c r="B725" s="16" t="s">
        <v>657</v>
      </c>
      <c r="C725" s="16" t="s">
        <v>75</v>
      </c>
      <c r="D725" s="22">
        <v>0</v>
      </c>
      <c r="E725" s="22">
        <v>0</v>
      </c>
      <c r="F725" s="22">
        <v>3.428</v>
      </c>
      <c r="G725" s="22">
        <v>0.156</v>
      </c>
      <c r="H725" s="23">
        <v>0</v>
      </c>
      <c r="I725" s="18">
        <v>0</v>
      </c>
      <c r="J725" s="19">
        <v>0</v>
      </c>
      <c r="K725" s="17">
        <v>0</v>
      </c>
      <c r="L725" s="20">
        <v>416.64</v>
      </c>
      <c r="M725" s="21">
        <v>0</v>
      </c>
      <c r="N725" s="16" t="s"/>
      <c r="O725" s="16" t="s"/>
    </row>
    <row r="726" spans="1:15">
      <c r="A726" s="16" t="s">
        <v>644</v>
      </c>
      <c r="B726" s="16" t="s">
        <v>657</v>
      </c>
      <c r="C726" s="16" t="s">
        <v>76</v>
      </c>
      <c r="D726" s="22">
        <v>0</v>
      </c>
      <c r="E726" s="22">
        <v>0</v>
      </c>
      <c r="F726" s="22">
        <v>3.428</v>
      </c>
      <c r="G726" s="22">
        <v>0.156</v>
      </c>
      <c r="H726" s="23">
        <v>0</v>
      </c>
      <c r="I726" s="18">
        <v>0</v>
      </c>
      <c r="J726" s="19">
        <v>0</v>
      </c>
      <c r="K726" s="17">
        <v>0</v>
      </c>
      <c r="L726" s="20">
        <v>416.64</v>
      </c>
      <c r="M726" s="21">
        <v>0</v>
      </c>
      <c r="N726" s="16" t="s"/>
      <c r="O726" s="16" t="s"/>
    </row>
    <row r="727" spans="1:15">
      <c r="A727" s="16" t="s">
        <v>644</v>
      </c>
      <c r="B727" s="16" t="s">
        <v>657</v>
      </c>
      <c r="C727" s="16" t="s">
        <v>77</v>
      </c>
      <c r="D727" s="22">
        <v>0</v>
      </c>
      <c r="E727" s="22">
        <v>0</v>
      </c>
      <c r="F727" s="22">
        <v>1.668</v>
      </c>
      <c r="G727" s="22">
        <v>0.076</v>
      </c>
      <c r="H727" s="23">
        <v>0</v>
      </c>
      <c r="I727" s="18">
        <v>0</v>
      </c>
      <c r="J727" s="19">
        <v>0</v>
      </c>
      <c r="K727" s="17">
        <v>0</v>
      </c>
      <c r="L727" s="20">
        <v>116.64</v>
      </c>
      <c r="M727" s="21">
        <v>0</v>
      </c>
      <c r="N727" s="16" t="s"/>
      <c r="O727" s="16" t="s"/>
    </row>
    <row r="728" spans="1:15">
      <c r="A728" s="16" t="s">
        <v>644</v>
      </c>
      <c r="B728" s="16" t="s">
        <v>658</v>
      </c>
      <c r="C728" s="16" t="s"/>
      <c r="D728" s="22">
        <v>3.661</v>
      </c>
      <c r="E728" s="22">
        <v>0.333</v>
      </c>
      <c r="F728" s="22">
        <v>3.181</v>
      </c>
      <c r="G728" s="22">
        <v>0.145</v>
      </c>
      <c r="H728" s="23">
        <v>0</v>
      </c>
      <c r="I728" s="18">
        <v>310.97</v>
      </c>
      <c r="J728" s="19">
        <v>103.51</v>
      </c>
      <c r="K728" s="17">
        <v>0</v>
      </c>
      <c r="L728" s="20">
        <v>158.34</v>
      </c>
      <c r="M728" s="21">
        <v>0</v>
      </c>
      <c r="N728" s="16" t="s"/>
      <c r="O728" s="16" t="s"/>
    </row>
    <row r="729" spans="1:15">
      <c r="A729" s="16" t="s">
        <v>659</v>
      </c>
      <c r="B729" s="16" t="s">
        <v>660</v>
      </c>
      <c r="C729" s="16" t="s">
        <v>62</v>
      </c>
      <c r="D729" s="22">
        <v>0.357</v>
      </c>
      <c r="E729" s="22">
        <v>0.033</v>
      </c>
      <c r="F729" s="22">
        <v>0.285</v>
      </c>
      <c r="G729" s="22">
        <v>0.013</v>
      </c>
      <c r="H729" s="23">
        <v>1.026</v>
      </c>
      <c r="I729" s="18">
        <v>28.48</v>
      </c>
      <c r="J729" s="19">
        <v>7.8375</v>
      </c>
      <c r="K729" s="17">
        <v>0</v>
      </c>
      <c r="L729" s="20">
        <v>28.49</v>
      </c>
      <c r="M729" s="21">
        <v>0</v>
      </c>
      <c r="N729" s="16" t="s"/>
      <c r="O729" s="16" t="s"/>
    </row>
    <row r="730" spans="1:15">
      <c r="A730" s="16" t="s">
        <v>659</v>
      </c>
      <c r="B730" s="16" t="s">
        <v>660</v>
      </c>
      <c r="C730" s="16" t="s">
        <v>63</v>
      </c>
      <c r="D730" s="22">
        <v>0.941</v>
      </c>
      <c r="E730" s="22">
        <v>0.086</v>
      </c>
      <c r="F730" s="22">
        <v>0.753</v>
      </c>
      <c r="G730" s="22">
        <v>0.035</v>
      </c>
      <c r="H730" s="23">
        <v>2.709</v>
      </c>
      <c r="I730" s="18">
        <v>75.22</v>
      </c>
      <c r="J730" s="19">
        <v>20.7075</v>
      </c>
      <c r="K730" s="17">
        <v>0</v>
      </c>
      <c r="L730" s="20">
        <v>75.23</v>
      </c>
      <c r="M730" s="21">
        <v>0</v>
      </c>
      <c r="N730" s="16" t="s"/>
      <c r="O730" s="16" t="s"/>
    </row>
    <row r="731" spans="1:15">
      <c r="A731" s="16" t="s">
        <v>659</v>
      </c>
      <c r="B731" s="16" t="s">
        <v>660</v>
      </c>
      <c r="C731" s="16" t="s">
        <v>64</v>
      </c>
      <c r="D731" s="22">
        <v>1.676</v>
      </c>
      <c r="E731" s="22">
        <v>0.153</v>
      </c>
      <c r="F731" s="22">
        <v>1.341</v>
      </c>
      <c r="G731" s="22">
        <v>0.061</v>
      </c>
      <c r="H731" s="23">
        <v>4.826</v>
      </c>
      <c r="I731" s="18">
        <v>134.05</v>
      </c>
      <c r="J731" s="19">
        <v>36.8775</v>
      </c>
      <c r="K731" s="17">
        <v>0</v>
      </c>
      <c r="L731" s="20">
        <v>134.06</v>
      </c>
      <c r="M731" s="21">
        <v>0</v>
      </c>
      <c r="N731" s="16" t="s"/>
      <c r="O731" s="16" t="s"/>
    </row>
    <row r="732" spans="1:15">
      <c r="A732" s="16" t="s">
        <v>659</v>
      </c>
      <c r="B732" s="16" t="s">
        <v>661</v>
      </c>
      <c r="C732" s="16" t="s"/>
      <c r="D732" s="22">
        <v>1.35</v>
      </c>
      <c r="E732" s="22">
        <v>0.123</v>
      </c>
      <c r="F732" s="22">
        <v>1.08</v>
      </c>
      <c r="G732" s="22">
        <v>0.05</v>
      </c>
      <c r="H732" s="23">
        <v>3.888</v>
      </c>
      <c r="I732" s="18">
        <v>107.97</v>
      </c>
      <c r="J732" s="19">
        <v>29.7</v>
      </c>
      <c r="K732" s="17">
        <v>0</v>
      </c>
      <c r="L732" s="20">
        <v>107.98</v>
      </c>
      <c r="M732" s="21">
        <v>0</v>
      </c>
      <c r="N732" s="16" t="s"/>
      <c r="O732" s="16" t="s"/>
    </row>
    <row r="733" spans="1:15">
      <c r="A733" s="16" t="s">
        <v>659</v>
      </c>
      <c r="B733" s="16" t="s">
        <v>662</v>
      </c>
      <c r="C733" s="16" t="s"/>
      <c r="D733" s="22">
        <v>0.251</v>
      </c>
      <c r="E733" s="22">
        <v>0.023</v>
      </c>
      <c r="F733" s="22">
        <v>0.501</v>
      </c>
      <c r="G733" s="22">
        <v>0.023</v>
      </c>
      <c r="H733" s="23">
        <v>0</v>
      </c>
      <c r="I733" s="18">
        <v>25</v>
      </c>
      <c r="J733" s="19">
        <v>13.7775</v>
      </c>
      <c r="K733" s="17">
        <v>0</v>
      </c>
      <c r="L733" s="20">
        <v>25.01</v>
      </c>
      <c r="M733" s="21">
        <v>0</v>
      </c>
      <c r="N733" s="16" t="s"/>
      <c r="O733" s="16" t="s"/>
    </row>
    <row r="734" spans="1:15">
      <c r="A734" s="16" t="s">
        <v>659</v>
      </c>
      <c r="B734" s="16" t="s">
        <v>663</v>
      </c>
      <c r="C734" s="16" t="s"/>
      <c r="D734" s="22">
        <v>0.463</v>
      </c>
      <c r="E734" s="22">
        <v>0.043</v>
      </c>
      <c r="F734" s="22">
        <v>0.29</v>
      </c>
      <c r="G734" s="22">
        <v>0.014</v>
      </c>
      <c r="H734" s="23">
        <v>0</v>
      </c>
      <c r="I734" s="18">
        <v>17.36</v>
      </c>
      <c r="J734" s="19">
        <v>0</v>
      </c>
      <c r="K734" s="17">
        <v>0</v>
      </c>
      <c r="L734" s="20">
        <v>0</v>
      </c>
      <c r="M734" s="21">
        <v>0</v>
      </c>
      <c r="N734" s="16" t="s"/>
      <c r="O734" s="16" t="s"/>
    </row>
    <row r="735" spans="1:15">
      <c r="A735" s="16" t="s">
        <v>659</v>
      </c>
      <c r="B735" s="16" t="s">
        <v>663</v>
      </c>
      <c r="C735" s="16" t="s">
        <v>356</v>
      </c>
      <c r="D735" s="22">
        <v>0.535</v>
      </c>
      <c r="E735" s="22">
        <v>0.049</v>
      </c>
      <c r="F735" s="22">
        <v>0.348</v>
      </c>
      <c r="G735" s="22">
        <v>0.016</v>
      </c>
      <c r="H735" s="23">
        <v>0</v>
      </c>
      <c r="I735" s="18">
        <v>17.36</v>
      </c>
      <c r="J735" s="19">
        <v>0</v>
      </c>
      <c r="K735" s="17">
        <v>0</v>
      </c>
      <c r="L735" s="20">
        <v>0</v>
      </c>
      <c r="M735" s="21">
        <v>0</v>
      </c>
      <c r="N735" s="16" t="s"/>
      <c r="O735" s="16" t="s"/>
    </row>
    <row r="736" spans="1:15">
      <c r="A736" s="16" t="s">
        <v>659</v>
      </c>
      <c r="B736" s="16" t="s">
        <v>664</v>
      </c>
      <c r="C736" s="16" t="s"/>
      <c r="D736" s="22">
        <v>3.477</v>
      </c>
      <c r="E736" s="22">
        <v>0.317</v>
      </c>
      <c r="F736" s="22">
        <v>2.117</v>
      </c>
      <c r="G736" s="22">
        <v>0.097</v>
      </c>
      <c r="H736" s="23">
        <v>0</v>
      </c>
      <c r="I736" s="18">
        <v>255.48</v>
      </c>
      <c r="J736" s="19">
        <v>142.6425</v>
      </c>
      <c r="K736" s="17">
        <v>0</v>
      </c>
      <c r="L736" s="20">
        <v>80.04</v>
      </c>
      <c r="M736" s="21">
        <v>0</v>
      </c>
      <c r="N736" s="16" t="s"/>
      <c r="O736" s="16" t="s"/>
    </row>
    <row r="737" spans="1:15">
      <c r="A737" s="16" t="s">
        <v>659</v>
      </c>
      <c r="B737" s="16" t="s">
        <v>665</v>
      </c>
      <c r="C737" s="16" t="s"/>
      <c r="D737" s="22">
        <v>0.483</v>
      </c>
      <c r="E737" s="22">
        <v>0.044</v>
      </c>
      <c r="F737" s="22">
        <v>0.242</v>
      </c>
      <c r="G737" s="22">
        <v>0.011</v>
      </c>
      <c r="H737" s="23">
        <v>0.87</v>
      </c>
      <c r="I737" s="18">
        <v>24.14</v>
      </c>
      <c r="J737" s="19">
        <v>6.655</v>
      </c>
      <c r="K737" s="17">
        <v>0</v>
      </c>
      <c r="L737" s="20">
        <v>24.15</v>
      </c>
      <c r="M737" s="21">
        <v>0</v>
      </c>
      <c r="N737" s="16" t="s"/>
      <c r="O737" s="16" t="s"/>
    </row>
    <row r="738" spans="1:15">
      <c r="A738" s="16" t="s">
        <v>659</v>
      </c>
      <c r="B738" s="16" t="s">
        <v>666</v>
      </c>
      <c r="C738" s="16" t="s"/>
      <c r="D738" s="22">
        <v>2.018</v>
      </c>
      <c r="E738" s="22">
        <v>0.184</v>
      </c>
      <c r="F738" s="22">
        <v>1.783</v>
      </c>
      <c r="G738" s="22">
        <v>0.082</v>
      </c>
      <c r="H738" s="23">
        <v>2.819</v>
      </c>
      <c r="I738" s="18">
        <v>78.29</v>
      </c>
      <c r="J738" s="19">
        <v>21.5325</v>
      </c>
      <c r="K738" s="17">
        <v>0</v>
      </c>
      <c r="L738" s="20">
        <v>228.3</v>
      </c>
      <c r="M738" s="21">
        <v>0</v>
      </c>
      <c r="N738" s="16" t="s"/>
      <c r="O738" s="16" t="s"/>
    </row>
    <row r="739" spans="1:15">
      <c r="A739" s="16" t="s">
        <v>659</v>
      </c>
      <c r="B739" s="16" t="s">
        <v>667</v>
      </c>
      <c r="C739" s="16" t="s"/>
      <c r="D739" s="22">
        <v>5.341</v>
      </c>
      <c r="E739" s="22">
        <v>0.486</v>
      </c>
      <c r="F739" s="22">
        <v>1.351</v>
      </c>
      <c r="G739" s="22">
        <v>0.062</v>
      </c>
      <c r="H739" s="23">
        <v>0</v>
      </c>
      <c r="I739" s="18">
        <v>334.53</v>
      </c>
      <c r="J739" s="19">
        <v>220.0275</v>
      </c>
      <c r="K739" s="17">
        <v>0</v>
      </c>
      <c r="L739" s="20">
        <v>135.04</v>
      </c>
      <c r="M739" s="21">
        <v>0</v>
      </c>
      <c r="N739" s="16" t="s"/>
      <c r="O739" s="16" t="s"/>
    </row>
    <row r="740" spans="1:15">
      <c r="A740" s="16" t="s">
        <v>659</v>
      </c>
      <c r="B740" s="16" t="s">
        <v>668</v>
      </c>
      <c r="C740" s="16" t="s"/>
      <c r="D740" s="22">
        <v>13.938</v>
      </c>
      <c r="E740" s="22">
        <v>1.268</v>
      </c>
      <c r="F740" s="22">
        <v>8.823</v>
      </c>
      <c r="G740" s="22">
        <v>0.402</v>
      </c>
      <c r="H740" s="23">
        <v>0</v>
      </c>
      <c r="I740" s="18">
        <v>114.96</v>
      </c>
      <c r="J740" s="19">
        <v>0</v>
      </c>
      <c r="K740" s="17">
        <v>0</v>
      </c>
      <c r="L740" s="20">
        <v>614.97</v>
      </c>
      <c r="M740" s="21">
        <v>0</v>
      </c>
      <c r="N740" s="16" t="s"/>
      <c r="O740" s="16" t="s"/>
    </row>
    <row r="741" spans="1:15">
      <c r="A741" s="16" t="s">
        <v>659</v>
      </c>
      <c r="B741" s="16" t="s">
        <v>669</v>
      </c>
      <c r="C741" s="16" t="s"/>
      <c r="D741" s="22">
        <v>0.783</v>
      </c>
      <c r="E741" s="22">
        <v>0.072</v>
      </c>
      <c r="F741" s="22">
        <v>0.783</v>
      </c>
      <c r="G741" s="22">
        <v>0.036</v>
      </c>
      <c r="H741" s="23">
        <v>2.819</v>
      </c>
      <c r="I741" s="18">
        <v>78.29</v>
      </c>
      <c r="J741" s="19">
        <v>21.5325</v>
      </c>
      <c r="K741" s="17">
        <v>0</v>
      </c>
      <c r="L741" s="20">
        <v>39.15</v>
      </c>
      <c r="M741" s="21">
        <v>0</v>
      </c>
      <c r="N741" s="16" t="s"/>
      <c r="O741" s="16" t="s"/>
    </row>
    <row r="742" spans="1:15">
      <c r="A742" s="16" t="s">
        <v>659</v>
      </c>
      <c r="B742" s="16" t="s">
        <v>670</v>
      </c>
      <c r="C742" s="16" t="s"/>
      <c r="D742" s="22">
        <v>3.071</v>
      </c>
      <c r="E742" s="22">
        <v>0.28</v>
      </c>
      <c r="F742" s="22">
        <v>2.653</v>
      </c>
      <c r="G742" s="22">
        <v>0.121</v>
      </c>
      <c r="H742" s="23">
        <v>0</v>
      </c>
      <c r="I742" s="18">
        <v>286.17</v>
      </c>
      <c r="J742" s="19">
        <v>95.9475</v>
      </c>
      <c r="K742" s="17">
        <v>0</v>
      </c>
      <c r="L742" s="20">
        <v>139.97</v>
      </c>
      <c r="M742" s="21">
        <v>0</v>
      </c>
      <c r="N742" s="16" t="s"/>
      <c r="O742" s="16" t="s"/>
    </row>
    <row r="743" spans="1:15">
      <c r="A743" s="16" t="s">
        <v>671</v>
      </c>
      <c r="B743" s="16" t="s">
        <v>672</v>
      </c>
      <c r="C743" s="16" t="s">
        <v>62</v>
      </c>
      <c r="D743" s="22">
        <v>0.345</v>
      </c>
      <c r="E743" s="22">
        <v>0.032</v>
      </c>
      <c r="F743" s="22">
        <v>0.173</v>
      </c>
      <c r="G743" s="22">
        <v>0.008</v>
      </c>
      <c r="H743" s="23">
        <v>0.987</v>
      </c>
      <c r="I743" s="18">
        <v>0</v>
      </c>
      <c r="J743" s="19">
        <v>7.5625</v>
      </c>
      <c r="K743" s="17">
        <v>0</v>
      </c>
      <c r="L743" s="20">
        <v>19.59</v>
      </c>
      <c r="M743" s="21">
        <v>0</v>
      </c>
      <c r="N743" s="16" t="s"/>
      <c r="O743" s="26" t="s">
        <v>673</v>
      </c>
    </row>
    <row r="744" spans="1:15">
      <c r="A744" s="16" t="s">
        <v>671</v>
      </c>
      <c r="B744" s="16" t="s">
        <v>672</v>
      </c>
      <c r="C744" s="16" t="s">
        <v>63</v>
      </c>
      <c r="D744" s="22">
        <v>0.569</v>
      </c>
      <c r="E744" s="22">
        <v>0.052</v>
      </c>
      <c r="F744" s="22">
        <v>0.285</v>
      </c>
      <c r="G744" s="22">
        <v>0.013</v>
      </c>
      <c r="H744" s="23">
        <v>2.002</v>
      </c>
      <c r="I744" s="18">
        <v>0</v>
      </c>
      <c r="J744" s="19">
        <v>15.3175</v>
      </c>
      <c r="K744" s="17">
        <v>0</v>
      </c>
      <c r="L744" s="20">
        <v>58.25</v>
      </c>
      <c r="M744" s="21">
        <v>0</v>
      </c>
      <c r="N744" s="16" t="s"/>
      <c r="O744" s="26" t="s">
        <v>673</v>
      </c>
    </row>
    <row r="745" spans="1:15">
      <c r="A745" s="16" t="s">
        <v>671</v>
      </c>
      <c r="B745" s="16" t="s">
        <v>672</v>
      </c>
      <c r="C745" s="16" t="s">
        <v>64</v>
      </c>
      <c r="D745" s="22">
        <v>1.109</v>
      </c>
      <c r="E745" s="22">
        <v>0.101</v>
      </c>
      <c r="F745" s="22">
        <v>0.608</v>
      </c>
      <c r="G745" s="22">
        <v>0.028</v>
      </c>
      <c r="H745" s="23">
        <v>3.281</v>
      </c>
      <c r="I745" s="18">
        <v>0</v>
      </c>
      <c r="J745" s="19">
        <v>25.08</v>
      </c>
      <c r="K745" s="17">
        <v>0</v>
      </c>
      <c r="L745" s="20">
        <v>96.31</v>
      </c>
      <c r="M745" s="21">
        <v>0</v>
      </c>
      <c r="N745" s="16" t="s"/>
      <c r="O745" s="26" t="s">
        <v>673</v>
      </c>
    </row>
    <row r="746" spans="1:15">
      <c r="A746" s="16" t="s">
        <v>671</v>
      </c>
      <c r="B746" s="16" t="s">
        <v>672</v>
      </c>
      <c r="C746" s="16" t="s">
        <v>65</v>
      </c>
      <c r="D746" s="22">
        <v>2.43</v>
      </c>
      <c r="E746" s="22">
        <v>0.221</v>
      </c>
      <c r="F746" s="22">
        <v>1.769</v>
      </c>
      <c r="G746" s="22">
        <v>0.081</v>
      </c>
      <c r="H746" s="23">
        <v>6.976</v>
      </c>
      <c r="I746" s="18">
        <v>174.41</v>
      </c>
      <c r="J746" s="19">
        <v>53.295</v>
      </c>
      <c r="K746" s="17">
        <v>0</v>
      </c>
      <c r="L746" s="20">
        <v>193.77</v>
      </c>
      <c r="M746" s="21">
        <v>0</v>
      </c>
      <c r="N746" s="16" t="s"/>
      <c r="O746" s="26" t="s">
        <v>673</v>
      </c>
    </row>
    <row r="747" spans="1:15">
      <c r="A747" s="16" t="s">
        <v>671</v>
      </c>
      <c r="B747" s="16" t="s">
        <v>674</v>
      </c>
      <c r="C747" s="16" t="s">
        <v>558</v>
      </c>
      <c r="D747" s="22">
        <v>0.476</v>
      </c>
      <c r="E747" s="22">
        <v>0.044</v>
      </c>
      <c r="F747" s="22">
        <v>0.238</v>
      </c>
      <c r="G747" s="22">
        <v>0.011</v>
      </c>
      <c r="H747" s="23">
        <v>1.362</v>
      </c>
      <c r="I747" s="18">
        <v>27</v>
      </c>
      <c r="J747" s="19">
        <v>10.4425</v>
      </c>
      <c r="K747" s="17">
        <v>0</v>
      </c>
      <c r="L747" s="20">
        <v>27.01</v>
      </c>
      <c r="M747" s="21">
        <v>0</v>
      </c>
      <c r="N747" s="16" t="s"/>
      <c r="O747" s="26" t="s">
        <v>673</v>
      </c>
    </row>
    <row r="748" spans="1:15">
      <c r="A748" s="16" t="s">
        <v>671</v>
      </c>
      <c r="B748" s="16" t="s">
        <v>674</v>
      </c>
      <c r="C748" s="16" t="s">
        <v>675</v>
      </c>
      <c r="D748" s="22">
        <v>2.339</v>
      </c>
      <c r="E748" s="22">
        <v>0.213</v>
      </c>
      <c r="F748" s="22">
        <v>1.488</v>
      </c>
      <c r="G748" s="22">
        <v>0.068</v>
      </c>
      <c r="H748" s="23">
        <v>6.957</v>
      </c>
      <c r="I748" s="18">
        <v>193.22</v>
      </c>
      <c r="J748" s="19">
        <v>53.1575</v>
      </c>
      <c r="K748" s="17">
        <v>0</v>
      </c>
      <c r="L748" s="20">
        <v>193.23</v>
      </c>
      <c r="M748" s="21">
        <v>0</v>
      </c>
      <c r="N748" s="16" t="s"/>
      <c r="O748" s="26" t="s">
        <v>673</v>
      </c>
    </row>
    <row r="749" spans="1:15">
      <c r="A749" s="16" t="s">
        <v>671</v>
      </c>
      <c r="B749" s="16" t="s">
        <v>674</v>
      </c>
      <c r="C749" s="16" t="s">
        <v>676</v>
      </c>
      <c r="D749" s="22">
        <v>1.312</v>
      </c>
      <c r="E749" s="22">
        <v>0.12</v>
      </c>
      <c r="F749" s="22">
        <v>0.656</v>
      </c>
      <c r="G749" s="22">
        <v>0.03</v>
      </c>
      <c r="H749" s="23">
        <v>4.489</v>
      </c>
      <c r="I749" s="18">
        <v>119.26</v>
      </c>
      <c r="J749" s="19">
        <v>34.2925</v>
      </c>
      <c r="K749" s="17">
        <v>0</v>
      </c>
      <c r="L749" s="20">
        <v>74.55</v>
      </c>
      <c r="M749" s="21">
        <v>0</v>
      </c>
      <c r="N749" s="16" t="s"/>
      <c r="O749" s="26" t="s">
        <v>673</v>
      </c>
    </row>
    <row r="750" spans="1:15">
      <c r="A750" s="16" t="s">
        <v>671</v>
      </c>
      <c r="B750" s="16" t="s">
        <v>677</v>
      </c>
      <c r="C750" s="16" t="s">
        <v>678</v>
      </c>
      <c r="D750" s="22">
        <v>0.479</v>
      </c>
      <c r="E750" s="22">
        <v>0.044</v>
      </c>
      <c r="F750" s="22">
        <v>0.359</v>
      </c>
      <c r="G750" s="22">
        <v>0.017</v>
      </c>
      <c r="H750" s="23">
        <v>0</v>
      </c>
      <c r="I750" s="18">
        <v>10.86</v>
      </c>
      <c r="J750" s="19">
        <v>0</v>
      </c>
      <c r="K750" s="17">
        <v>0</v>
      </c>
      <c r="L750" s="20">
        <v>0</v>
      </c>
      <c r="M750" s="21">
        <v>0</v>
      </c>
      <c r="N750" s="16" t="s"/>
      <c r="O750" s="26" t="s">
        <v>673</v>
      </c>
    </row>
    <row r="751" spans="1:15">
      <c r="A751" s="16" t="s">
        <v>671</v>
      </c>
      <c r="B751" s="16" t="s">
        <v>679</v>
      </c>
      <c r="C751" s="16" t="s"/>
      <c r="D751" s="22">
        <v>0.715</v>
      </c>
      <c r="E751" s="22">
        <v>0.065</v>
      </c>
      <c r="F751" s="22">
        <v>0.715</v>
      </c>
      <c r="G751" s="22">
        <v>0.033</v>
      </c>
      <c r="H751" s="23">
        <v>0</v>
      </c>
      <c r="I751" s="18">
        <v>65</v>
      </c>
      <c r="J751" s="19">
        <v>17.875</v>
      </c>
      <c r="K751" s="17">
        <v>0</v>
      </c>
      <c r="L751" s="20">
        <v>65</v>
      </c>
      <c r="M751" s="21">
        <v>0</v>
      </c>
      <c r="N751" s="16" t="s"/>
      <c r="O751" s="16" t="s"/>
    </row>
    <row r="752" spans="1:15">
      <c r="A752" s="16" t="s">
        <v>671</v>
      </c>
      <c r="B752" s="16" t="s">
        <v>680</v>
      </c>
      <c r="C752" s="16" t="s"/>
      <c r="D752" s="22">
        <v>6.344</v>
      </c>
      <c r="E752" s="22">
        <v>0.577</v>
      </c>
      <c r="F752" s="22">
        <v>4.327</v>
      </c>
      <c r="G752" s="22">
        <v>0.197</v>
      </c>
      <c r="H752" s="23">
        <v>0</v>
      </c>
      <c r="I752" s="18">
        <v>356.66</v>
      </c>
      <c r="J752" s="19">
        <v>210.8425</v>
      </c>
      <c r="K752" s="17">
        <v>0</v>
      </c>
      <c r="L752" s="20">
        <v>233.34</v>
      </c>
      <c r="M752" s="21">
        <v>0</v>
      </c>
      <c r="N752" s="16" t="s"/>
      <c r="O752" s="16" t="s"/>
    </row>
    <row r="753" spans="1:15">
      <c r="A753" s="16" t="s">
        <v>671</v>
      </c>
      <c r="B753" s="16" t="s">
        <v>681</v>
      </c>
      <c r="C753" s="16" t="s"/>
      <c r="D753" s="22">
        <v>0.514</v>
      </c>
      <c r="E753" s="22">
        <v>0.047</v>
      </c>
      <c r="F753" s="22">
        <v>0.257</v>
      </c>
      <c r="G753" s="22">
        <v>0.012</v>
      </c>
      <c r="H753" s="23">
        <v>0.841</v>
      </c>
      <c r="I753" s="18">
        <v>0</v>
      </c>
      <c r="J753" s="19">
        <v>6.435</v>
      </c>
      <c r="K753" s="17">
        <v>0</v>
      </c>
      <c r="L753" s="20">
        <v>23.36</v>
      </c>
      <c r="M753" s="21">
        <v>0</v>
      </c>
      <c r="N753" s="16" t="s"/>
      <c r="O753" s="26" t="s">
        <v>673</v>
      </c>
    </row>
    <row r="754" spans="1:15">
      <c r="A754" s="16" t="s">
        <v>671</v>
      </c>
      <c r="B754" s="16" t="s">
        <v>682</v>
      </c>
      <c r="C754" s="16" t="s"/>
      <c r="D754" s="22">
        <v>2.197</v>
      </c>
      <c r="E754" s="22">
        <v>0.2</v>
      </c>
      <c r="F754" s="22">
        <v>1.944</v>
      </c>
      <c r="G754" s="22">
        <v>0.089</v>
      </c>
      <c r="H754" s="23">
        <v>2.76</v>
      </c>
      <c r="I754" s="18">
        <v>76.66</v>
      </c>
      <c r="J754" s="19">
        <v>21.0925</v>
      </c>
      <c r="K754" s="17">
        <v>0</v>
      </c>
      <c r="L754" s="20">
        <v>226.67</v>
      </c>
      <c r="M754" s="21">
        <v>0</v>
      </c>
      <c r="N754" s="16" t="s"/>
      <c r="O754" s="26" t="s">
        <v>673</v>
      </c>
    </row>
    <row r="755" spans="1:15">
      <c r="A755" s="16" t="s">
        <v>671</v>
      </c>
      <c r="B755" s="16" t="s">
        <v>683</v>
      </c>
      <c r="C755" s="16" t="s"/>
      <c r="D755" s="22">
        <v>5.747</v>
      </c>
      <c r="E755" s="22">
        <v>0.523</v>
      </c>
      <c r="F755" s="22">
        <v>1.358</v>
      </c>
      <c r="G755" s="22">
        <v>0.062</v>
      </c>
      <c r="H755" s="23">
        <v>0</v>
      </c>
      <c r="I755" s="18">
        <v>322.86</v>
      </c>
      <c r="J755" s="19">
        <v>216.81</v>
      </c>
      <c r="K755" s="17">
        <v>0</v>
      </c>
      <c r="L755" s="20">
        <v>123.37</v>
      </c>
      <c r="M755" s="21">
        <v>0</v>
      </c>
      <c r="N755" s="16" t="s"/>
      <c r="O755" s="16" t="s"/>
    </row>
    <row r="756" spans="1:15">
      <c r="A756" s="16" t="s">
        <v>671</v>
      </c>
      <c r="B756" s="16" t="s">
        <v>684</v>
      </c>
      <c r="C756" s="16" t="s"/>
      <c r="D756" s="22">
        <v>14.805</v>
      </c>
      <c r="E756" s="22">
        <v>1.346</v>
      </c>
      <c r="F756" s="22">
        <v>9.22</v>
      </c>
      <c r="G756" s="22">
        <v>0.42</v>
      </c>
      <c r="H756" s="23">
        <v>0</v>
      </c>
      <c r="I756" s="18">
        <v>76.66</v>
      </c>
      <c r="J756" s="19">
        <v>0</v>
      </c>
      <c r="K756" s="17">
        <v>0</v>
      </c>
      <c r="L756" s="20">
        <v>576.67</v>
      </c>
      <c r="M756" s="21">
        <v>0</v>
      </c>
      <c r="N756" s="16" t="s"/>
      <c r="O756" s="16" t="s"/>
    </row>
    <row r="757" spans="1:15">
      <c r="A757" s="16" t="s">
        <v>671</v>
      </c>
      <c r="B757" s="16" t="s">
        <v>685</v>
      </c>
      <c r="C757" s="16" t="s"/>
      <c r="D757" s="22">
        <v>0.844</v>
      </c>
      <c r="E757" s="22">
        <v>0.077</v>
      </c>
      <c r="F757" s="22">
        <v>0.844</v>
      </c>
      <c r="G757" s="22">
        <v>0.039</v>
      </c>
      <c r="H757" s="23">
        <v>2.76</v>
      </c>
      <c r="I757" s="18">
        <v>76.66</v>
      </c>
      <c r="J757" s="19">
        <v>21.0925</v>
      </c>
      <c r="K757" s="17">
        <v>0</v>
      </c>
      <c r="L757" s="20">
        <v>38.34</v>
      </c>
      <c r="M757" s="21">
        <v>0</v>
      </c>
      <c r="N757" s="16" t="s"/>
      <c r="O757" s="26" t="s">
        <v>673</v>
      </c>
    </row>
    <row r="758" spans="1:15">
      <c r="A758" s="16" t="s">
        <v>671</v>
      </c>
      <c r="B758" s="16" t="s">
        <v>686</v>
      </c>
      <c r="C758" s="16" t="s">
        <v>75</v>
      </c>
      <c r="D758" s="22">
        <v>0</v>
      </c>
      <c r="E758" s="22">
        <v>0</v>
      </c>
      <c r="F758" s="22">
        <v>2.713</v>
      </c>
      <c r="G758" s="22">
        <v>0.124</v>
      </c>
      <c r="H758" s="23">
        <v>0</v>
      </c>
      <c r="I758" s="18">
        <v>0</v>
      </c>
      <c r="J758" s="19">
        <v>0</v>
      </c>
      <c r="K758" s="17">
        <v>0</v>
      </c>
      <c r="L758" s="20">
        <v>366.64</v>
      </c>
      <c r="M758" s="21">
        <v>0</v>
      </c>
      <c r="N758" s="16" t="s"/>
      <c r="O758" s="16" t="s"/>
    </row>
    <row r="759" spans="1:15">
      <c r="A759" s="16" t="s">
        <v>671</v>
      </c>
      <c r="B759" s="16" t="s">
        <v>686</v>
      </c>
      <c r="C759" s="16" t="s">
        <v>76</v>
      </c>
      <c r="D759" s="22">
        <v>0</v>
      </c>
      <c r="E759" s="22">
        <v>0</v>
      </c>
      <c r="F759" s="22">
        <v>3.428</v>
      </c>
      <c r="G759" s="22">
        <v>0.156</v>
      </c>
      <c r="H759" s="23">
        <v>0</v>
      </c>
      <c r="I759" s="18">
        <v>0</v>
      </c>
      <c r="J759" s="19">
        <v>0</v>
      </c>
      <c r="K759" s="17">
        <v>0</v>
      </c>
      <c r="L759" s="20">
        <v>416.64</v>
      </c>
      <c r="M759" s="21">
        <v>0</v>
      </c>
      <c r="N759" s="16" t="s"/>
      <c r="O759" s="16" t="s"/>
    </row>
    <row r="760" spans="1:15">
      <c r="A760" s="16" t="s">
        <v>671</v>
      </c>
      <c r="B760" s="16" t="s">
        <v>686</v>
      </c>
      <c r="C760" s="16" t="s">
        <v>77</v>
      </c>
      <c r="D760" s="22">
        <v>0</v>
      </c>
      <c r="E760" s="22">
        <v>0</v>
      </c>
      <c r="F760" s="22">
        <v>1.668</v>
      </c>
      <c r="G760" s="22">
        <v>0.076</v>
      </c>
      <c r="H760" s="23">
        <v>0</v>
      </c>
      <c r="I760" s="18">
        <v>0</v>
      </c>
      <c r="J760" s="19">
        <v>0</v>
      </c>
      <c r="K760" s="17">
        <v>0</v>
      </c>
      <c r="L760" s="20">
        <v>116.64</v>
      </c>
      <c r="M760" s="21">
        <v>0</v>
      </c>
      <c r="N760" s="16" t="s"/>
      <c r="O760" s="16" t="s"/>
    </row>
    <row r="761" spans="1:15">
      <c r="A761" s="16" t="s">
        <v>671</v>
      </c>
      <c r="B761" s="16" t="s">
        <v>687</v>
      </c>
      <c r="C761" s="16" t="s"/>
      <c r="D761" s="22">
        <v>4.329</v>
      </c>
      <c r="E761" s="22">
        <v>0.394</v>
      </c>
      <c r="F761" s="22">
        <v>3.274</v>
      </c>
      <c r="G761" s="22">
        <v>0.149</v>
      </c>
      <c r="H761" s="23">
        <v>0</v>
      </c>
      <c r="I761" s="18">
        <v>369.51</v>
      </c>
      <c r="J761" s="19">
        <v>121.4125</v>
      </c>
      <c r="K761" s="17">
        <v>0</v>
      </c>
      <c r="L761" s="20">
        <v>201.7</v>
      </c>
      <c r="M761" s="21">
        <v>0</v>
      </c>
      <c r="N761" s="16" t="s"/>
      <c r="O761" s="26" t="s">
        <v>673</v>
      </c>
    </row>
    <row r="762" spans="1:15">
      <c r="A762" s="16" t="s">
        <v>671</v>
      </c>
      <c r="B762" s="16" t="s">
        <v>688</v>
      </c>
      <c r="C762" s="16" t="s">
        <v>689</v>
      </c>
      <c r="D762" s="22">
        <v>0.226</v>
      </c>
      <c r="E762" s="22">
        <v>0.021</v>
      </c>
      <c r="F762" s="22">
        <v>0.17</v>
      </c>
      <c r="G762" s="22">
        <v>0.008</v>
      </c>
      <c r="H762" s="23">
        <v>0</v>
      </c>
      <c r="I762" s="18">
        <v>20.49</v>
      </c>
      <c r="J762" s="19">
        <v>0</v>
      </c>
      <c r="K762" s="17">
        <v>0</v>
      </c>
      <c r="L762" s="20">
        <v>0</v>
      </c>
      <c r="M762" s="21">
        <v>0</v>
      </c>
      <c r="N762" s="16" t="s"/>
      <c r="O762" s="26" t="s">
        <v>673</v>
      </c>
    </row>
    <row r="763" spans="1:15">
      <c r="A763" s="16" t="s">
        <v>671</v>
      </c>
      <c r="B763" s="16" t="s">
        <v>688</v>
      </c>
      <c r="C763" s="16" t="s">
        <v>676</v>
      </c>
      <c r="D763" s="22">
        <v>0.452</v>
      </c>
      <c r="E763" s="22">
        <v>0.042</v>
      </c>
      <c r="F763" s="22">
        <v>0.34</v>
      </c>
      <c r="G763" s="22">
        <v>0.016</v>
      </c>
      <c r="H763" s="23">
        <v>0</v>
      </c>
      <c r="I763" s="18">
        <v>40.98</v>
      </c>
      <c r="J763" s="19">
        <v>0</v>
      </c>
      <c r="K763" s="17">
        <v>0</v>
      </c>
      <c r="L763" s="20">
        <v>0</v>
      </c>
      <c r="M763" s="21">
        <v>0</v>
      </c>
      <c r="N763" s="16" t="s"/>
      <c r="O763" s="26" t="s">
        <v>673</v>
      </c>
    </row>
    <row r="764" spans="1:15">
      <c r="A764" s="16" t="s">
        <v>671</v>
      </c>
      <c r="B764" s="16" t="s">
        <v>690</v>
      </c>
      <c r="C764" s="16" t="s">
        <v>691</v>
      </c>
      <c r="D764" s="22">
        <v>2</v>
      </c>
      <c r="E764" s="22">
        <v>0</v>
      </c>
      <c r="F764" s="22">
        <v>1.2</v>
      </c>
      <c r="G764" s="22">
        <v>0</v>
      </c>
      <c r="H764" s="23">
        <v>0</v>
      </c>
      <c r="I764" s="18">
        <v>0</v>
      </c>
      <c r="J764" s="19">
        <v>0</v>
      </c>
      <c r="K764" s="17">
        <v>0</v>
      </c>
      <c r="L764" s="20">
        <v>0</v>
      </c>
      <c r="M764" s="21">
        <v>0</v>
      </c>
      <c r="N764" s="16" t="s"/>
      <c r="O764" s="26" t="s">
        <v>673</v>
      </c>
    </row>
    <row r="765" spans="1:15">
      <c r="A765" s="16" t="s">
        <v>692</v>
      </c>
      <c r="B765" s="16" t="s">
        <v>693</v>
      </c>
      <c r="C765" s="16" t="s">
        <v>62</v>
      </c>
      <c r="D765" s="22">
        <v>0.458</v>
      </c>
      <c r="E765" s="22">
        <v>0.042</v>
      </c>
      <c r="F765" s="22">
        <v>0.286</v>
      </c>
      <c r="G765" s="22">
        <v>0.013</v>
      </c>
      <c r="H765" s="23">
        <v>0</v>
      </c>
      <c r="I765" s="18">
        <v>25.96</v>
      </c>
      <c r="J765" s="19">
        <v>7.15</v>
      </c>
      <c r="K765" s="17">
        <v>0.52</v>
      </c>
      <c r="L765" s="20">
        <v>25.97</v>
      </c>
      <c r="M765" s="21">
        <v>0</v>
      </c>
      <c r="N765" s="21" t="s"/>
      <c r="O765" s="16" t="s"/>
    </row>
    <row r="766" spans="1:15">
      <c r="A766" s="16" t="s">
        <v>692</v>
      </c>
      <c r="B766" s="16" t="s">
        <v>693</v>
      </c>
      <c r="C766" s="16" t="s">
        <v>63</v>
      </c>
      <c r="D766" s="22">
        <v>0.655</v>
      </c>
      <c r="E766" s="22">
        <v>0.06</v>
      </c>
      <c r="F766" s="22">
        <v>0.689</v>
      </c>
      <c r="G766" s="22">
        <v>0.032</v>
      </c>
      <c r="H766" s="23">
        <v>0</v>
      </c>
      <c r="I766" s="18">
        <v>62.6</v>
      </c>
      <c r="J766" s="19">
        <v>17.2425</v>
      </c>
      <c r="K766" s="17">
        <v>1.253</v>
      </c>
      <c r="L766" s="20">
        <v>62.61</v>
      </c>
      <c r="M766" s="21">
        <v>0</v>
      </c>
      <c r="N766" s="21" t="s"/>
      <c r="O766" s="16" t="s"/>
    </row>
    <row r="767" spans="1:15">
      <c r="A767" s="16" t="s">
        <v>692</v>
      </c>
      <c r="B767" s="16" t="s">
        <v>693</v>
      </c>
      <c r="C767" s="16" t="s">
        <v>64</v>
      </c>
      <c r="D767" s="22">
        <v>0.871</v>
      </c>
      <c r="E767" s="22">
        <v>0.08</v>
      </c>
      <c r="F767" s="22">
        <v>0.858</v>
      </c>
      <c r="G767" s="22">
        <v>0.039</v>
      </c>
      <c r="H767" s="23">
        <v>0</v>
      </c>
      <c r="I767" s="18">
        <v>77.91</v>
      </c>
      <c r="J767" s="19">
        <v>21.45</v>
      </c>
      <c r="K767" s="17">
        <v>1.559</v>
      </c>
      <c r="L767" s="20">
        <v>77.92</v>
      </c>
      <c r="M767" s="21">
        <v>0</v>
      </c>
      <c r="N767" s="21" t="s"/>
      <c r="O767" s="16" t="s"/>
    </row>
    <row r="768" spans="1:15">
      <c r="A768" s="16" t="s">
        <v>692</v>
      </c>
      <c r="B768" s="16" t="s">
        <v>693</v>
      </c>
      <c r="C768" s="16" t="s">
        <v>65</v>
      </c>
      <c r="D768" s="22">
        <v>1.048</v>
      </c>
      <c r="E768" s="22">
        <v>0.096</v>
      </c>
      <c r="F768" s="22">
        <v>1.118</v>
      </c>
      <c r="G768" s="22">
        <v>0.051</v>
      </c>
      <c r="H768" s="23">
        <v>0</v>
      </c>
      <c r="I768" s="18">
        <v>101.59</v>
      </c>
      <c r="J768" s="19">
        <v>27.94</v>
      </c>
      <c r="K768" s="17">
        <v>2.032</v>
      </c>
      <c r="L768" s="20">
        <v>101.6</v>
      </c>
      <c r="M768" s="21">
        <v>0</v>
      </c>
      <c r="N768" s="21" t="s"/>
      <c r="O768" s="16" t="s"/>
    </row>
    <row r="769" spans="1:15">
      <c r="A769" s="16" t="s">
        <v>692</v>
      </c>
      <c r="B769" s="16" t="s">
        <v>694</v>
      </c>
      <c r="C769" s="16" t="s">
        <v>695</v>
      </c>
      <c r="D769" s="22">
        <v>2.347</v>
      </c>
      <c r="E769" s="22">
        <v>0.214</v>
      </c>
      <c r="F769" s="22">
        <v>2.934</v>
      </c>
      <c r="G769" s="22">
        <v>0.134</v>
      </c>
      <c r="H769" s="23">
        <v>0</v>
      </c>
      <c r="I769" s="18">
        <v>266.7</v>
      </c>
      <c r="J769" s="19">
        <v>73.37</v>
      </c>
      <c r="K769" s="17">
        <v>5.335</v>
      </c>
      <c r="L769" s="20">
        <v>266.71</v>
      </c>
      <c r="M769" s="21">
        <v>0</v>
      </c>
      <c r="N769" s="21" t="s"/>
      <c r="O769" s="16" t="s"/>
    </row>
    <row r="770" spans="1:15">
      <c r="A770" s="16" t="s">
        <v>692</v>
      </c>
      <c r="B770" s="16" t="s">
        <v>693</v>
      </c>
      <c r="C770" s="16" t="s">
        <v>81</v>
      </c>
      <c r="D770" s="22">
        <v>1.137</v>
      </c>
      <c r="E770" s="22">
        <v>0.104</v>
      </c>
      <c r="F770" s="22">
        <v>1.057</v>
      </c>
      <c r="G770" s="22">
        <v>0.049</v>
      </c>
      <c r="H770" s="23">
        <v>0</v>
      </c>
      <c r="I770" s="18">
        <v>96.06</v>
      </c>
      <c r="J770" s="19">
        <v>26.4275</v>
      </c>
      <c r="K770" s="17">
        <v>1.922</v>
      </c>
      <c r="L770" s="20">
        <v>96.07</v>
      </c>
      <c r="M770" s="21">
        <v>0</v>
      </c>
      <c r="N770" s="21" t="s"/>
      <c r="O770" s="16" t="s"/>
    </row>
    <row r="771" spans="1:15">
      <c r="A771" s="16" t="s">
        <v>692</v>
      </c>
      <c r="B771" s="16" t="s">
        <v>696</v>
      </c>
      <c r="C771" s="16" t="s"/>
      <c r="D771" s="22">
        <v>1.106</v>
      </c>
      <c r="E771" s="22">
        <v>0.101</v>
      </c>
      <c r="F771" s="22">
        <v>1.063</v>
      </c>
      <c r="G771" s="22">
        <v>0.049</v>
      </c>
      <c r="H771" s="23">
        <v>0</v>
      </c>
      <c r="I771" s="18">
        <v>96.63</v>
      </c>
      <c r="J771" s="19">
        <v>26.5925</v>
      </c>
      <c r="K771" s="17">
        <v>0</v>
      </c>
      <c r="L771" s="20">
        <v>96.64</v>
      </c>
      <c r="M771" s="21">
        <v>0</v>
      </c>
      <c r="N771" s="21" t="s"/>
      <c r="O771" s="16" t="s"/>
    </row>
    <row r="772" spans="1:15">
      <c r="A772" s="16" t="s">
        <v>692</v>
      </c>
      <c r="B772" s="16" t="s">
        <v>697</v>
      </c>
      <c r="C772" s="16" t="s"/>
      <c r="D772" s="22">
        <v>0.521</v>
      </c>
      <c r="E772" s="22">
        <v>0.048</v>
      </c>
      <c r="F772" s="22">
        <v>0.651</v>
      </c>
      <c r="G772" s="22">
        <v>0.03</v>
      </c>
      <c r="H772" s="23">
        <v>0</v>
      </c>
      <c r="I772" s="18">
        <v>59.16</v>
      </c>
      <c r="J772" s="19">
        <v>16.28</v>
      </c>
      <c r="K772" s="17">
        <v>0</v>
      </c>
      <c r="L772" s="20">
        <v>59.17</v>
      </c>
      <c r="M772" s="21">
        <v>0</v>
      </c>
      <c r="N772" s="21" t="s"/>
      <c r="O772" s="16" t="s"/>
    </row>
    <row r="773" spans="1:15">
      <c r="A773" s="16" t="s">
        <v>692</v>
      </c>
      <c r="B773" s="16" t="s">
        <v>698</v>
      </c>
      <c r="C773" s="16" t="s"/>
      <c r="D773" s="22">
        <v>3.003</v>
      </c>
      <c r="E773" s="22">
        <v>0.273</v>
      </c>
      <c r="F773" s="22">
        <v>1.729</v>
      </c>
      <c r="G773" s="22">
        <v>0.079</v>
      </c>
      <c r="H773" s="23">
        <v>0</v>
      </c>
      <c r="I773" s="18">
        <v>197.87</v>
      </c>
      <c r="J773" s="19">
        <v>54.4225</v>
      </c>
      <c r="K773" s="17">
        <v>0</v>
      </c>
      <c r="L773" s="20">
        <v>108.31</v>
      </c>
      <c r="M773" s="21">
        <v>0</v>
      </c>
      <c r="N773" s="21" t="s"/>
      <c r="O773" s="16" t="s"/>
    </row>
    <row r="774" spans="1:15">
      <c r="A774" s="16" t="s">
        <v>692</v>
      </c>
      <c r="B774" s="16" t="s">
        <v>699</v>
      </c>
      <c r="C774" s="16" t="s"/>
      <c r="D774" s="22">
        <v>0.499</v>
      </c>
      <c r="E774" s="22">
        <v>0.046</v>
      </c>
      <c r="F774" s="22">
        <v>0.312</v>
      </c>
      <c r="G774" s="22">
        <v>0.015</v>
      </c>
      <c r="H774" s="23">
        <v>0</v>
      </c>
      <c r="I774" s="18">
        <v>28.33</v>
      </c>
      <c r="J774" s="19">
        <v>7.81</v>
      </c>
      <c r="K774" s="17">
        <v>0.567</v>
      </c>
      <c r="L774" s="20">
        <v>28.34</v>
      </c>
      <c r="M774" s="21">
        <v>0</v>
      </c>
      <c r="N774" s="21" t="s"/>
      <c r="O774" s="16" t="s"/>
    </row>
    <row r="775" spans="1:15">
      <c r="A775" s="16" t="s">
        <v>692</v>
      </c>
      <c r="B775" s="16" t="s">
        <v>700</v>
      </c>
      <c r="C775" s="16" t="s"/>
      <c r="D775" s="22">
        <v>2.196</v>
      </c>
      <c r="E775" s="22">
        <v>0.2</v>
      </c>
      <c r="F775" s="22">
        <v>2.365</v>
      </c>
      <c r="G775" s="22">
        <v>0.108</v>
      </c>
      <c r="H775" s="23">
        <v>0</v>
      </c>
      <c r="I775" s="18">
        <v>114.96</v>
      </c>
      <c r="J775" s="19">
        <v>31.625</v>
      </c>
      <c r="K775" s="17">
        <v>2.3</v>
      </c>
      <c r="L775" s="20">
        <v>264.97</v>
      </c>
      <c r="M775" s="21">
        <v>0</v>
      </c>
      <c r="N775" s="21" t="s"/>
      <c r="O775" s="16" t="s"/>
    </row>
    <row r="776" spans="1:15">
      <c r="A776" s="16" t="s">
        <v>692</v>
      </c>
      <c r="B776" s="16" t="s">
        <v>701</v>
      </c>
      <c r="C776" s="16" t="s"/>
      <c r="D776" s="22">
        <v>5.331</v>
      </c>
      <c r="E776" s="22">
        <v>0.485</v>
      </c>
      <c r="F776" s="22">
        <v>2.274</v>
      </c>
      <c r="G776" s="22">
        <v>0.104</v>
      </c>
      <c r="H776" s="23">
        <v>0</v>
      </c>
      <c r="I776" s="18">
        <v>406.2</v>
      </c>
      <c r="J776" s="19">
        <v>239.745</v>
      </c>
      <c r="K776" s="17">
        <v>0</v>
      </c>
      <c r="L776" s="20">
        <v>206.71</v>
      </c>
      <c r="M776" s="21">
        <v>0</v>
      </c>
      <c r="N776" s="21" t="s"/>
      <c r="O776" s="16" t="s"/>
    </row>
    <row r="777" spans="1:15">
      <c r="A777" s="16" t="s">
        <v>692</v>
      </c>
      <c r="B777" s="16" t="s">
        <v>702</v>
      </c>
      <c r="C777" s="16" t="s"/>
      <c r="D777" s="22">
        <v>18.534</v>
      </c>
      <c r="E777" s="22">
        <v>1.685</v>
      </c>
      <c r="F777" s="22">
        <v>4.071</v>
      </c>
      <c r="G777" s="22">
        <v>0.186</v>
      </c>
      <c r="H777" s="23">
        <v>0</v>
      </c>
      <c r="I777" s="18">
        <v>370.03</v>
      </c>
      <c r="J777" s="19">
        <v>0</v>
      </c>
      <c r="K777" s="17">
        <v>0</v>
      </c>
      <c r="L777" s="20">
        <v>870.04</v>
      </c>
      <c r="M777" s="21">
        <v>0</v>
      </c>
      <c r="N777" s="21" t="s"/>
      <c r="O777" s="16" t="s"/>
    </row>
    <row r="778" spans="1:15">
      <c r="A778" s="16" t="s">
        <v>692</v>
      </c>
      <c r="B778" s="16" t="s">
        <v>703</v>
      </c>
      <c r="C778" s="16" t="s"/>
      <c r="D778" s="22">
        <v>1.012</v>
      </c>
      <c r="E778" s="22">
        <v>0.092</v>
      </c>
      <c r="F778" s="22">
        <v>0.633</v>
      </c>
      <c r="G778" s="22">
        <v>0.029</v>
      </c>
      <c r="H778" s="23">
        <v>0</v>
      </c>
      <c r="I778" s="18">
        <v>57.48</v>
      </c>
      <c r="J778" s="19">
        <v>15.8125</v>
      </c>
      <c r="K778" s="17">
        <v>1.15</v>
      </c>
      <c r="L778" s="20">
        <v>57.49</v>
      </c>
      <c r="M778" s="21">
        <v>0</v>
      </c>
      <c r="N778" s="21" t="s"/>
      <c r="O778" s="16" t="s"/>
    </row>
    <row r="779" spans="1:15">
      <c r="A779" s="16" t="s">
        <v>692</v>
      </c>
      <c r="B779" s="16" t="s">
        <v>704</v>
      </c>
      <c r="C779" s="16" t="s">
        <v>75</v>
      </c>
      <c r="D779" s="22">
        <v>0</v>
      </c>
      <c r="E779" s="22">
        <v>0</v>
      </c>
      <c r="F779" s="22">
        <v>2.713</v>
      </c>
      <c r="G779" s="22">
        <v>0.124</v>
      </c>
      <c r="H779" s="23">
        <v>0</v>
      </c>
      <c r="I779" s="18">
        <v>0</v>
      </c>
      <c r="J779" s="19">
        <v>0</v>
      </c>
      <c r="K779" s="17">
        <v>0</v>
      </c>
      <c r="L779" s="20">
        <v>366.64</v>
      </c>
      <c r="M779" s="21">
        <v>0</v>
      </c>
      <c r="N779" s="21" t="s"/>
      <c r="O779" s="16" t="s"/>
    </row>
    <row r="780" spans="1:15">
      <c r="A780" s="16" t="s">
        <v>692</v>
      </c>
      <c r="B780" s="16" t="s">
        <v>704</v>
      </c>
      <c r="C780" s="16" t="s">
        <v>76</v>
      </c>
      <c r="D780" s="22">
        <v>0</v>
      </c>
      <c r="E780" s="22">
        <v>0</v>
      </c>
      <c r="F780" s="22">
        <v>3.428</v>
      </c>
      <c r="G780" s="22">
        <v>0.156</v>
      </c>
      <c r="H780" s="23">
        <v>0</v>
      </c>
      <c r="I780" s="18">
        <v>0</v>
      </c>
      <c r="J780" s="19">
        <v>0</v>
      </c>
      <c r="K780" s="17">
        <v>0</v>
      </c>
      <c r="L780" s="20">
        <v>416.64</v>
      </c>
      <c r="M780" s="21">
        <v>0</v>
      </c>
      <c r="N780" s="21" t="s"/>
      <c r="O780" s="16" t="s"/>
    </row>
    <row r="781" spans="1:15">
      <c r="A781" s="16" t="s">
        <v>692</v>
      </c>
      <c r="B781" s="16" t="s">
        <v>704</v>
      </c>
      <c r="C781" s="16" t="s">
        <v>77</v>
      </c>
      <c r="D781" s="22">
        <v>0</v>
      </c>
      <c r="E781" s="22">
        <v>0</v>
      </c>
      <c r="F781" s="22">
        <v>1.668</v>
      </c>
      <c r="G781" s="22">
        <v>0.076</v>
      </c>
      <c r="H781" s="23">
        <v>0</v>
      </c>
      <c r="I781" s="18">
        <v>0</v>
      </c>
      <c r="J781" s="19">
        <v>0</v>
      </c>
      <c r="K781" s="17">
        <v>0</v>
      </c>
      <c r="L781" s="20">
        <v>116.64</v>
      </c>
      <c r="M781" s="21">
        <v>0</v>
      </c>
      <c r="N781" s="21" t="s"/>
      <c r="O781" s="16" t="s"/>
    </row>
    <row r="782" spans="1:15">
      <c r="A782" s="16" t="s">
        <v>692</v>
      </c>
      <c r="B782" s="16" t="s">
        <v>705</v>
      </c>
      <c r="C782" s="16" t="s"/>
      <c r="D782" s="22">
        <v>2.97</v>
      </c>
      <c r="E782" s="22">
        <v>0.27</v>
      </c>
      <c r="F782" s="22">
        <v>3.229</v>
      </c>
      <c r="G782" s="22">
        <v>0.147</v>
      </c>
      <c r="H782" s="23">
        <v>0</v>
      </c>
      <c r="I782" s="18">
        <v>315.51</v>
      </c>
      <c r="J782" s="19">
        <v>104.9125</v>
      </c>
      <c r="K782" s="17">
        <v>0</v>
      </c>
      <c r="L782" s="20">
        <v>161.71</v>
      </c>
      <c r="M782" s="21">
        <v>0</v>
      </c>
      <c r="N782" s="21" t="s"/>
      <c r="O782" s="16" t="s"/>
    </row>
    <row r="783" spans="1:15">
      <c r="A783" s="16" t="s">
        <v>692</v>
      </c>
      <c r="B783" s="16" t="s">
        <v>706</v>
      </c>
      <c r="C783" s="16" t="s"/>
      <c r="D783" s="22">
        <v>14.662</v>
      </c>
      <c r="E783" s="22">
        <v>1.333</v>
      </c>
      <c r="F783" s="22">
        <v>2.494</v>
      </c>
      <c r="G783" s="22">
        <v>0.114</v>
      </c>
      <c r="H783" s="23">
        <v>0</v>
      </c>
      <c r="I783" s="18">
        <v>226.7</v>
      </c>
      <c r="J783" s="19">
        <v>0</v>
      </c>
      <c r="K783" s="17">
        <v>0</v>
      </c>
      <c r="L783" s="20">
        <v>726.71</v>
      </c>
      <c r="M783" s="21">
        <v>0</v>
      </c>
      <c r="N783" s="21" t="s"/>
      <c r="O783" s="16" t="s"/>
    </row>
    <row r="784" spans="1:15">
      <c r="A784" s="16" t="s">
        <v>692</v>
      </c>
      <c r="B784" s="16" t="s">
        <v>707</v>
      </c>
      <c r="C784" s="16" t="s">
        <v>708</v>
      </c>
      <c r="D784" s="22">
        <v>3.052</v>
      </c>
      <c r="E784" s="22">
        <v>0.278</v>
      </c>
      <c r="F784" s="22">
        <v>2.934</v>
      </c>
      <c r="G784" s="22">
        <v>0.134</v>
      </c>
      <c r="H784" s="23">
        <v>0</v>
      </c>
      <c r="I784" s="18">
        <v>266.7</v>
      </c>
      <c r="J784" s="19">
        <v>73.37</v>
      </c>
      <c r="K784" s="17">
        <v>0</v>
      </c>
      <c r="L784" s="20">
        <v>266.71</v>
      </c>
      <c r="M784" s="21">
        <v>0</v>
      </c>
      <c r="N784" s="21" t="s"/>
      <c r="O784" s="16" t="s"/>
    </row>
    <row r="785" spans="1:15">
      <c r="A785" s="16" t="s">
        <v>692</v>
      </c>
      <c r="B785" s="16" t="s">
        <v>709</v>
      </c>
      <c r="C785" s="16" t="s">
        <v>710</v>
      </c>
      <c r="D785" s="22">
        <v>6.718</v>
      </c>
      <c r="E785" s="22">
        <v>0.611</v>
      </c>
      <c r="F785" s="22">
        <v>4.8</v>
      </c>
      <c r="G785" s="22">
        <v>0.219</v>
      </c>
      <c r="H785" s="23">
        <v>0</v>
      </c>
      <c r="I785" s="18">
        <v>503.33</v>
      </c>
      <c r="J785" s="19">
        <v>174.185</v>
      </c>
      <c r="K785" s="17">
        <v>0</v>
      </c>
      <c r="L785" s="20">
        <v>200</v>
      </c>
      <c r="M785" s="21">
        <v>0</v>
      </c>
      <c r="N785" s="21" t="s"/>
      <c r="O785" s="16" t="s"/>
    </row>
    <row r="786" spans="1:15">
      <c r="A786" s="16" t="s">
        <v>692</v>
      </c>
      <c r="B786" s="16" t="s">
        <v>698</v>
      </c>
      <c r="C786" s="16" t="s">
        <v>711</v>
      </c>
      <c r="D786" s="22">
        <v>3.706</v>
      </c>
      <c r="E786" s="22">
        <v>0.337</v>
      </c>
      <c r="F786" s="22">
        <v>2.944</v>
      </c>
      <c r="G786" s="22">
        <v>0.134</v>
      </c>
      <c r="H786" s="23">
        <v>0</v>
      </c>
      <c r="I786" s="18">
        <v>299.04</v>
      </c>
      <c r="J786" s="19">
        <v>99.0275</v>
      </c>
      <c r="K786" s="17">
        <v>0</v>
      </c>
      <c r="L786" s="20">
        <v>156.71</v>
      </c>
      <c r="M786" s="21">
        <v>0</v>
      </c>
      <c r="N786" s="21" t="s"/>
      <c r="O786" s="16" t="s"/>
    </row>
    <row r="787" spans="1:15">
      <c r="A787" s="16" t="s">
        <v>692</v>
      </c>
      <c r="B787" s="16" t="s">
        <v>698</v>
      </c>
      <c r="C787" s="16" t="s">
        <v>712</v>
      </c>
      <c r="D787" s="22">
        <v>1.496</v>
      </c>
      <c r="E787" s="22">
        <v>0.136</v>
      </c>
      <c r="F787" s="22">
        <v>0.758</v>
      </c>
      <c r="G787" s="22">
        <v>0.035</v>
      </c>
      <c r="H787" s="23">
        <v>0</v>
      </c>
      <c r="I787" s="18">
        <v>55.83</v>
      </c>
      <c r="J787" s="19">
        <v>30.14</v>
      </c>
      <c r="K787" s="17">
        <v>0</v>
      </c>
      <c r="L787" s="20">
        <v>20</v>
      </c>
      <c r="M787" s="21">
        <v>0</v>
      </c>
      <c r="N787" s="21" t="s"/>
      <c r="O787" s="16" t="s"/>
    </row>
    <row r="788" spans="1:15">
      <c r="A788" s="16" t="s">
        <v>692</v>
      </c>
      <c r="B788" s="16" t="s">
        <v>698</v>
      </c>
      <c r="C788" s="16" t="s">
        <v>713</v>
      </c>
      <c r="D788" s="22">
        <v>4.264</v>
      </c>
      <c r="E788" s="22">
        <v>0.388</v>
      </c>
      <c r="F788" s="22">
        <v>2.853</v>
      </c>
      <c r="G788" s="22">
        <v>0.13</v>
      </c>
      <c r="H788" s="23">
        <v>0</v>
      </c>
      <c r="I788" s="18">
        <v>305.45</v>
      </c>
      <c r="J788" s="19">
        <v>108.625</v>
      </c>
      <c r="K788" s="17">
        <v>0</v>
      </c>
      <c r="L788" s="20">
        <v>96.64</v>
      </c>
      <c r="M788" s="21">
        <v>0</v>
      </c>
      <c r="N788" s="21" t="s"/>
      <c r="O788" s="16" t="s"/>
    </row>
    <row r="789" spans="1:15">
      <c r="A789" s="16" t="s">
        <v>692</v>
      </c>
      <c r="B789" s="16" t="s">
        <v>714</v>
      </c>
      <c r="C789" s="16" t="s"/>
      <c r="D789" s="22">
        <v>2.343</v>
      </c>
      <c r="E789" s="22">
        <v>0.213</v>
      </c>
      <c r="F789" s="22">
        <v>1.421</v>
      </c>
      <c r="G789" s="22">
        <v>0.065</v>
      </c>
      <c r="H789" s="23">
        <v>0</v>
      </c>
      <c r="I789" s="18">
        <v>157.16</v>
      </c>
      <c r="J789" s="19">
        <v>58.2175</v>
      </c>
      <c r="K789" s="17">
        <v>0</v>
      </c>
      <c r="L789" s="20">
        <v>30.01</v>
      </c>
      <c r="M789" s="21">
        <v>0</v>
      </c>
      <c r="N789" s="21" t="s"/>
      <c r="O789" s="16" t="s"/>
    </row>
    <row r="790" spans="1:15">
      <c r="A790" s="16" t="s">
        <v>692</v>
      </c>
      <c r="B790" s="16" t="s">
        <v>715</v>
      </c>
      <c r="C790" s="16" t="s"/>
      <c r="D790" s="22">
        <v>12</v>
      </c>
      <c r="E790" s="22">
        <v>0</v>
      </c>
      <c r="F790" s="22">
        <v>3.741</v>
      </c>
      <c r="G790" s="22">
        <v>0</v>
      </c>
      <c r="H790" s="23">
        <v>0</v>
      </c>
      <c r="I790" s="18">
        <v>226.7</v>
      </c>
      <c r="J790" s="19">
        <v>62.37</v>
      </c>
      <c r="K790" s="17">
        <v>0</v>
      </c>
      <c r="L790" s="20">
        <v>226.71</v>
      </c>
      <c r="M790" s="21">
        <v>0</v>
      </c>
      <c r="N790" s="21" t="s"/>
      <c r="O790" s="16" t="s"/>
    </row>
    <row r="791" spans="1:15">
      <c r="A791" s="16" t="s">
        <v>716</v>
      </c>
      <c r="B791" s="16" t="s">
        <v>717</v>
      </c>
      <c r="C791" s="16" t="s">
        <v>62</v>
      </c>
      <c r="D791" s="22">
        <v>0.327</v>
      </c>
      <c r="E791" s="22">
        <v>0.03</v>
      </c>
      <c r="F791" s="22">
        <v>0.279</v>
      </c>
      <c r="G791" s="22">
        <v>0.013</v>
      </c>
      <c r="H791" s="23">
        <v>0.912</v>
      </c>
      <c r="I791" s="18">
        <v>25.32</v>
      </c>
      <c r="J791" s="19">
        <v>6.985</v>
      </c>
      <c r="K791" s="17">
        <v>0</v>
      </c>
      <c r="L791" s="20">
        <v>25.33</v>
      </c>
      <c r="M791" s="21">
        <v>0</v>
      </c>
      <c r="N791" s="21">
        <v>4.7029</v>
      </c>
      <c r="O791" s="16" t="s"/>
    </row>
    <row r="792" spans="1:15">
      <c r="A792" s="16" t="s">
        <v>716</v>
      </c>
      <c r="B792" s="16" t="s">
        <v>717</v>
      </c>
      <c r="C792" s="16" t="s">
        <v>63</v>
      </c>
      <c r="D792" s="22">
        <v>0.622</v>
      </c>
      <c r="E792" s="22">
        <v>0.057</v>
      </c>
      <c r="F792" s="22">
        <v>0.545</v>
      </c>
      <c r="G792" s="22">
        <v>0.025</v>
      </c>
      <c r="H792" s="23">
        <v>1.784</v>
      </c>
      <c r="I792" s="18">
        <v>49.54</v>
      </c>
      <c r="J792" s="19">
        <v>13.64</v>
      </c>
      <c r="K792" s="17">
        <v>0</v>
      </c>
      <c r="L792" s="20">
        <v>49.55</v>
      </c>
      <c r="M792" s="21">
        <v>0</v>
      </c>
      <c r="N792" s="21">
        <v>7.4633</v>
      </c>
      <c r="O792" s="16" t="s"/>
    </row>
    <row r="793" spans="1:15">
      <c r="A793" s="16" t="s">
        <v>716</v>
      </c>
      <c r="B793" s="16" t="s">
        <v>717</v>
      </c>
      <c r="C793" s="16" t="s">
        <v>64</v>
      </c>
      <c r="D793" s="22">
        <v>0.801</v>
      </c>
      <c r="E793" s="22">
        <v>0.073</v>
      </c>
      <c r="F793" s="22">
        <v>0.719</v>
      </c>
      <c r="G793" s="22">
        <v>0.033</v>
      </c>
      <c r="H793" s="23">
        <v>2.35</v>
      </c>
      <c r="I793" s="18">
        <v>65.27</v>
      </c>
      <c r="J793" s="19">
        <v>17.9575</v>
      </c>
      <c r="K793" s="17">
        <v>0</v>
      </c>
      <c r="L793" s="20">
        <v>65.28</v>
      </c>
      <c r="M793" s="21">
        <v>0</v>
      </c>
      <c r="N793" s="21">
        <v>8.0766</v>
      </c>
      <c r="O793" s="16" t="s"/>
    </row>
    <row r="794" spans="1:15">
      <c r="A794" s="16" t="s">
        <v>716</v>
      </c>
      <c r="B794" s="16" t="s">
        <v>717</v>
      </c>
      <c r="C794" s="16" t="s">
        <v>718</v>
      </c>
      <c r="D794" s="22">
        <v>0.399</v>
      </c>
      <c r="E794" s="22">
        <v>0.037</v>
      </c>
      <c r="F794" s="22">
        <v>0.621</v>
      </c>
      <c r="G794" s="22">
        <v>0.029</v>
      </c>
      <c r="H794" s="23">
        <v>2.031</v>
      </c>
      <c r="I794" s="18">
        <v>56.4</v>
      </c>
      <c r="J794" s="19">
        <v>15.5375</v>
      </c>
      <c r="K794" s="17">
        <v>0</v>
      </c>
      <c r="L794" s="20">
        <v>56.41</v>
      </c>
      <c r="M794" s="21">
        <v>0</v>
      </c>
      <c r="N794" s="21">
        <v>7.3327</v>
      </c>
      <c r="O794" s="16" t="s"/>
    </row>
    <row r="795" spans="1:15">
      <c r="A795" s="16" t="s">
        <v>716</v>
      </c>
      <c r="B795" s="16" t="s">
        <v>717</v>
      </c>
      <c r="C795" s="16" t="s">
        <v>65</v>
      </c>
      <c r="D795" s="22">
        <v>1.545</v>
      </c>
      <c r="E795" s="22">
        <v>0.141</v>
      </c>
      <c r="F795" s="22">
        <v>1.377</v>
      </c>
      <c r="G795" s="22">
        <v>0.063</v>
      </c>
      <c r="H795" s="23">
        <v>4.506</v>
      </c>
      <c r="I795" s="18">
        <v>125.16</v>
      </c>
      <c r="J795" s="19">
        <v>34.43</v>
      </c>
      <c r="K795" s="17">
        <v>0</v>
      </c>
      <c r="L795" s="20">
        <v>125.17</v>
      </c>
      <c r="M795" s="21">
        <v>0</v>
      </c>
      <c r="N795" s="21">
        <v>16.2717</v>
      </c>
      <c r="O795" s="16" t="s"/>
    </row>
    <row r="796" spans="1:15">
      <c r="A796" s="16" t="s">
        <v>716</v>
      </c>
      <c r="B796" s="16" t="s">
        <v>717</v>
      </c>
      <c r="C796" s="16" t="s">
        <v>81</v>
      </c>
      <c r="D796" s="22">
        <v>1.485</v>
      </c>
      <c r="E796" s="22">
        <v>0.135</v>
      </c>
      <c r="F796" s="22">
        <v>1.309</v>
      </c>
      <c r="G796" s="22">
        <v>0.06</v>
      </c>
      <c r="H796" s="23">
        <v>4.283</v>
      </c>
      <c r="I796" s="18">
        <v>118.95</v>
      </c>
      <c r="J796" s="19">
        <v>32.725</v>
      </c>
      <c r="K796" s="17">
        <v>0</v>
      </c>
      <c r="L796" s="20">
        <v>118.96</v>
      </c>
      <c r="M796" s="21">
        <v>0</v>
      </c>
      <c r="N796" s="21">
        <v>17.1818</v>
      </c>
      <c r="O796" s="16" t="s"/>
    </row>
    <row r="797" spans="1:15">
      <c r="A797" s="16" t="s">
        <v>716</v>
      </c>
      <c r="B797" s="16" t="s">
        <v>719</v>
      </c>
      <c r="C797" s="16" t="s">
        <v>720</v>
      </c>
      <c r="D797" s="22">
        <v>1.672</v>
      </c>
      <c r="E797" s="22">
        <v>0.152</v>
      </c>
      <c r="F797" s="22">
        <v>0</v>
      </c>
      <c r="G797" s="22">
        <v>0</v>
      </c>
      <c r="H797" s="23">
        <v>0</v>
      </c>
      <c r="I797" s="18">
        <v>0</v>
      </c>
      <c r="J797" s="19">
        <v>0</v>
      </c>
      <c r="K797" s="17">
        <v>0</v>
      </c>
      <c r="L797" s="20">
        <v>0</v>
      </c>
      <c r="M797" s="21">
        <v>0</v>
      </c>
      <c r="N797" s="21">
        <v>0</v>
      </c>
      <c r="O797" s="16" t="s"/>
    </row>
    <row r="798" spans="1:15">
      <c r="A798" s="16" t="s">
        <v>716</v>
      </c>
      <c r="B798" s="16" t="s">
        <v>721</v>
      </c>
      <c r="C798" s="16" t="s">
        <v>722</v>
      </c>
      <c r="D798" s="22">
        <v>1.881</v>
      </c>
      <c r="E798" s="22">
        <v>0.171</v>
      </c>
      <c r="F798" s="22">
        <v>0</v>
      </c>
      <c r="G798" s="22">
        <v>0</v>
      </c>
      <c r="H798" s="23">
        <v>0</v>
      </c>
      <c r="I798" s="18">
        <v>0</v>
      </c>
      <c r="J798" s="19">
        <v>0</v>
      </c>
      <c r="K798" s="17">
        <v>0</v>
      </c>
      <c r="L798" s="20">
        <v>0</v>
      </c>
      <c r="M798" s="21">
        <v>0</v>
      </c>
      <c r="N798" s="21">
        <v>0</v>
      </c>
      <c r="O798" s="16" t="s"/>
    </row>
    <row r="799" spans="1:15">
      <c r="A799" s="16" t="s">
        <v>716</v>
      </c>
      <c r="B799" s="16" t="s">
        <v>719</v>
      </c>
      <c r="C799" s="16" t="s"/>
      <c r="D799" s="22">
        <v>0.43</v>
      </c>
      <c r="E799" s="22">
        <v>0.04</v>
      </c>
      <c r="F799" s="22">
        <v>0.331</v>
      </c>
      <c r="G799" s="22">
        <v>0.016</v>
      </c>
      <c r="H799" s="23">
        <v>0</v>
      </c>
      <c r="I799" s="18">
        <v>30.03</v>
      </c>
      <c r="J799" s="19">
        <v>8.2775</v>
      </c>
      <c r="K799" s="17">
        <v>0</v>
      </c>
      <c r="L799" s="20">
        <v>30.04</v>
      </c>
      <c r="M799" s="21">
        <v>0</v>
      </c>
      <c r="N799" s="21">
        <v>0</v>
      </c>
      <c r="O799" s="16" t="s"/>
    </row>
    <row r="800" spans="1:15">
      <c r="A800" s="16" t="s">
        <v>716</v>
      </c>
      <c r="B800" s="16" t="s">
        <v>723</v>
      </c>
      <c r="C800" s="16" t="s"/>
      <c r="D800" s="22">
        <v>0.596</v>
      </c>
      <c r="E800" s="22">
        <v>0.055</v>
      </c>
      <c r="F800" s="22">
        <v>0.596</v>
      </c>
      <c r="G800" s="22">
        <v>0.028</v>
      </c>
      <c r="H800" s="23">
        <v>0</v>
      </c>
      <c r="I800" s="18">
        <v>54.16</v>
      </c>
      <c r="J800" s="19">
        <v>14.905</v>
      </c>
      <c r="K800" s="17">
        <v>0</v>
      </c>
      <c r="L800" s="20">
        <v>54.17</v>
      </c>
      <c r="M800" s="21">
        <v>0</v>
      </c>
      <c r="N800" s="21">
        <v>14.0834</v>
      </c>
      <c r="O800" s="16" t="s"/>
    </row>
    <row r="801" spans="1:15">
      <c r="A801" s="16" t="s">
        <v>716</v>
      </c>
      <c r="B801" s="16" t="s">
        <v>724</v>
      </c>
      <c r="C801" s="16" t="s"/>
      <c r="D801" s="22">
        <v>3.796</v>
      </c>
      <c r="E801" s="22">
        <v>0.346</v>
      </c>
      <c r="F801" s="22">
        <v>4.586</v>
      </c>
      <c r="G801" s="22">
        <v>0.209</v>
      </c>
      <c r="H801" s="23">
        <v>0</v>
      </c>
      <c r="I801" s="18">
        <v>464.96</v>
      </c>
      <c r="J801" s="19">
        <v>167.5575</v>
      </c>
      <c r="K801" s="17">
        <v>0</v>
      </c>
      <c r="L801" s="20">
        <v>128.37</v>
      </c>
      <c r="M801" s="21">
        <v>0</v>
      </c>
      <c r="N801" s="21">
        <v>100</v>
      </c>
      <c r="O801" s="16" t="s"/>
    </row>
    <row r="802" spans="1:15">
      <c r="A802" s="16" t="s">
        <v>716</v>
      </c>
      <c r="B802" s="16" t="s">
        <v>725</v>
      </c>
      <c r="C802" s="16" t="s"/>
      <c r="D802" s="22">
        <v>0.825</v>
      </c>
      <c r="E802" s="22">
        <v>0.075</v>
      </c>
      <c r="F802" s="22">
        <v>0.413</v>
      </c>
      <c r="G802" s="22">
        <v>0.019</v>
      </c>
      <c r="H802" s="23">
        <v>1.35</v>
      </c>
      <c r="I802" s="18">
        <v>37.48</v>
      </c>
      <c r="J802" s="19">
        <v>10.3125</v>
      </c>
      <c r="K802" s="17">
        <v>0</v>
      </c>
      <c r="L802" s="20">
        <v>37.49</v>
      </c>
      <c r="M802" s="21">
        <v>0</v>
      </c>
      <c r="N802" s="21">
        <v>4.8729</v>
      </c>
      <c r="O802" s="16" t="s"/>
    </row>
    <row r="803" spans="1:15">
      <c r="A803" s="16" t="s">
        <v>716</v>
      </c>
      <c r="B803" s="16" t="s">
        <v>726</v>
      </c>
      <c r="C803" s="16" t="s"/>
      <c r="D803" s="22">
        <v>2.506</v>
      </c>
      <c r="E803" s="22">
        <v>0.228</v>
      </c>
      <c r="F803" s="22">
        <v>2.182</v>
      </c>
      <c r="G803" s="22">
        <v>0.1</v>
      </c>
      <c r="H803" s="23">
        <v>3.539</v>
      </c>
      <c r="I803" s="18">
        <v>98.3</v>
      </c>
      <c r="J803" s="19">
        <v>27.06</v>
      </c>
      <c r="K803" s="17">
        <v>0</v>
      </c>
      <c r="L803" s="20">
        <v>248.31</v>
      </c>
      <c r="M803" s="21">
        <v>0</v>
      </c>
      <c r="N803" s="21">
        <v>50</v>
      </c>
      <c r="O803" s="16" t="s"/>
    </row>
    <row r="804" spans="1:15">
      <c r="A804" s="16" t="s">
        <v>716</v>
      </c>
      <c r="B804" s="16" t="s">
        <v>727</v>
      </c>
      <c r="C804" s="16" t="s"/>
      <c r="D804" s="22">
        <v>5.638</v>
      </c>
      <c r="E804" s="22">
        <v>0.513</v>
      </c>
      <c r="F804" s="22">
        <v>1.981</v>
      </c>
      <c r="G804" s="22">
        <v>0.091</v>
      </c>
      <c r="H804" s="23">
        <v>0</v>
      </c>
      <c r="I804" s="18">
        <v>379.5</v>
      </c>
      <c r="J804" s="19">
        <v>232.4025</v>
      </c>
      <c r="K804" s="17">
        <v>0</v>
      </c>
      <c r="L804" s="20">
        <v>180.01</v>
      </c>
      <c r="M804" s="21">
        <v>0</v>
      </c>
      <c r="N804" s="21">
        <v>23.4001</v>
      </c>
      <c r="O804" s="16" t="s"/>
    </row>
    <row r="805" spans="1:15">
      <c r="A805" s="16" t="s">
        <v>716</v>
      </c>
      <c r="B805" s="16" t="s">
        <v>728</v>
      </c>
      <c r="C805" s="16" t="s"/>
      <c r="D805" s="22">
        <v>17.349</v>
      </c>
      <c r="E805" s="22">
        <v>1.578</v>
      </c>
      <c r="F805" s="22">
        <v>2.769</v>
      </c>
      <c r="G805" s="22">
        <v>0.126</v>
      </c>
      <c r="H805" s="23">
        <v>0</v>
      </c>
      <c r="I805" s="18">
        <v>251.66</v>
      </c>
      <c r="J805" s="19">
        <v>0</v>
      </c>
      <c r="K805" s="17">
        <v>0</v>
      </c>
      <c r="L805" s="20">
        <v>751.67</v>
      </c>
      <c r="M805" s="21">
        <v>0</v>
      </c>
      <c r="N805" s="21">
        <v>0</v>
      </c>
      <c r="O805" s="16" t="s"/>
    </row>
    <row r="806" spans="1:15">
      <c r="A806" s="16" t="s">
        <v>716</v>
      </c>
      <c r="B806" s="16" t="s">
        <v>729</v>
      </c>
      <c r="C806" s="16" t="s"/>
      <c r="D806" s="22">
        <v>1.082</v>
      </c>
      <c r="E806" s="22">
        <v>0.099</v>
      </c>
      <c r="F806" s="22">
        <v>1.082</v>
      </c>
      <c r="G806" s="22">
        <v>0.05</v>
      </c>
      <c r="H806" s="23">
        <v>1.77</v>
      </c>
      <c r="I806" s="18">
        <v>98.3</v>
      </c>
      <c r="J806" s="19">
        <v>27.06</v>
      </c>
      <c r="K806" s="17">
        <v>0</v>
      </c>
      <c r="L806" s="20">
        <v>49.16</v>
      </c>
      <c r="M806" s="21">
        <v>0</v>
      </c>
      <c r="N806" s="21">
        <v>6.3896</v>
      </c>
      <c r="O806" s="16" t="s"/>
    </row>
    <row r="807" spans="1:15">
      <c r="A807" s="16" t="s">
        <v>716</v>
      </c>
      <c r="B807" s="16" t="s">
        <v>730</v>
      </c>
      <c r="C807" s="16" t="s">
        <v>75</v>
      </c>
      <c r="D807" s="22">
        <v>0</v>
      </c>
      <c r="E807" s="22">
        <v>0</v>
      </c>
      <c r="F807" s="22">
        <v>2.713</v>
      </c>
      <c r="G807" s="22">
        <v>0.124</v>
      </c>
      <c r="H807" s="23">
        <v>0</v>
      </c>
      <c r="I807" s="18">
        <v>0</v>
      </c>
      <c r="J807" s="19">
        <v>0</v>
      </c>
      <c r="K807" s="17">
        <v>0</v>
      </c>
      <c r="L807" s="20">
        <v>366.64</v>
      </c>
      <c r="M807" s="21">
        <v>0</v>
      </c>
      <c r="N807" s="21">
        <v>0</v>
      </c>
      <c r="O807" s="16" t="s"/>
    </row>
    <row r="808" spans="1:15">
      <c r="A808" s="16" t="s">
        <v>716</v>
      </c>
      <c r="B808" s="16" t="s">
        <v>730</v>
      </c>
      <c r="C808" s="16" t="s">
        <v>76</v>
      </c>
      <c r="D808" s="22">
        <v>0</v>
      </c>
      <c r="E808" s="22">
        <v>0</v>
      </c>
      <c r="F808" s="22">
        <v>3.428</v>
      </c>
      <c r="G808" s="22">
        <v>0.156</v>
      </c>
      <c r="H808" s="23">
        <v>0</v>
      </c>
      <c r="I808" s="18">
        <v>0</v>
      </c>
      <c r="J808" s="19">
        <v>0</v>
      </c>
      <c r="K808" s="17">
        <v>0</v>
      </c>
      <c r="L808" s="20">
        <v>416.64</v>
      </c>
      <c r="M808" s="21">
        <v>0</v>
      </c>
      <c r="N808" s="21">
        <v>0</v>
      </c>
      <c r="O808" s="16" t="s"/>
    </row>
    <row r="809" spans="1:15">
      <c r="A809" s="16" t="s">
        <v>716</v>
      </c>
      <c r="B809" s="16" t="s">
        <v>730</v>
      </c>
      <c r="C809" s="16" t="s">
        <v>77</v>
      </c>
      <c r="D809" s="22">
        <v>0</v>
      </c>
      <c r="E809" s="22">
        <v>0</v>
      </c>
      <c r="F809" s="22">
        <v>1.668</v>
      </c>
      <c r="G809" s="22">
        <v>0.076</v>
      </c>
      <c r="H809" s="23">
        <v>0</v>
      </c>
      <c r="I809" s="18">
        <v>0</v>
      </c>
      <c r="J809" s="19">
        <v>0</v>
      </c>
      <c r="K809" s="17">
        <v>0</v>
      </c>
      <c r="L809" s="20">
        <v>116.64</v>
      </c>
      <c r="M809" s="21">
        <v>0</v>
      </c>
      <c r="N809" s="21">
        <v>0</v>
      </c>
      <c r="O809" s="16" t="s"/>
    </row>
    <row r="810" spans="1:15">
      <c r="A810" s="16" t="s">
        <v>716</v>
      </c>
      <c r="B810" s="16" t="s">
        <v>731</v>
      </c>
      <c r="C810" s="16" t="s"/>
      <c r="D810" s="22">
        <v>4.071</v>
      </c>
      <c r="E810" s="22">
        <v>0.371</v>
      </c>
      <c r="F810" s="22">
        <v>3.562</v>
      </c>
      <c r="G810" s="22">
        <v>0.162</v>
      </c>
      <c r="H810" s="23">
        <v>0</v>
      </c>
      <c r="I810" s="18">
        <v>346.92</v>
      </c>
      <c r="J810" s="19">
        <v>114.51</v>
      </c>
      <c r="K810" s="17">
        <v>0</v>
      </c>
      <c r="L810" s="20">
        <v>184.97</v>
      </c>
      <c r="M810" s="21">
        <v>0</v>
      </c>
      <c r="N810" s="21">
        <v>24.0457</v>
      </c>
      <c r="O810" s="16" t="s"/>
    </row>
    <row r="811" spans="1:15">
      <c r="A811" s="16" t="s">
        <v>716</v>
      </c>
      <c r="B811" s="16" t="s">
        <v>717</v>
      </c>
      <c r="C811" s="16" t="s">
        <v>732</v>
      </c>
      <c r="D811" s="22">
        <v>1.001</v>
      </c>
      <c r="E811" s="22">
        <v>0.091</v>
      </c>
      <c r="F811" s="22">
        <v>0.77</v>
      </c>
      <c r="G811" s="22">
        <v>0.035</v>
      </c>
      <c r="H811" s="23">
        <v>2.52</v>
      </c>
      <c r="I811" s="18">
        <v>69.99</v>
      </c>
      <c r="J811" s="19">
        <v>19.25</v>
      </c>
      <c r="K811" s="17">
        <v>0</v>
      </c>
      <c r="L811" s="20">
        <v>70</v>
      </c>
      <c r="M811" s="21">
        <v>0</v>
      </c>
      <c r="N811" s="21">
        <v>8.0766</v>
      </c>
      <c r="O811" s="16" t="s"/>
    </row>
    <row r="812" spans="1:15">
      <c r="A812" s="16" t="s">
        <v>716</v>
      </c>
      <c r="B812" s="16" t="s">
        <v>733</v>
      </c>
      <c r="C812" s="16" t="s"/>
      <c r="D812" s="22">
        <v>2.494</v>
      </c>
      <c r="E812" s="22">
        <v>0.227</v>
      </c>
      <c r="F812" s="22">
        <v>0.954</v>
      </c>
      <c r="G812" s="22">
        <v>0.044</v>
      </c>
      <c r="H812" s="23">
        <v>0</v>
      </c>
      <c r="I812" s="18">
        <v>86.66</v>
      </c>
      <c r="J812" s="19">
        <v>23.8425</v>
      </c>
      <c r="K812" s="17">
        <v>0</v>
      </c>
      <c r="L812" s="20">
        <v>86.67</v>
      </c>
      <c r="M812" s="21">
        <v>0</v>
      </c>
      <c r="N812" s="21">
        <v>0</v>
      </c>
      <c r="O812" s="16" t="s"/>
    </row>
    <row r="813" spans="1:15">
      <c r="A813" s="16" t="s">
        <v>734</v>
      </c>
      <c r="B813" s="16" t="s">
        <v>735</v>
      </c>
      <c r="C813" s="16" t="s">
        <v>62</v>
      </c>
      <c r="D813" s="22">
        <v>0.425</v>
      </c>
      <c r="E813" s="22">
        <v>0.039</v>
      </c>
      <c r="F813" s="22">
        <v>0.485</v>
      </c>
      <c r="G813" s="22">
        <v>0.023</v>
      </c>
      <c r="H813" s="23">
        <v>1.587</v>
      </c>
      <c r="I813" s="18">
        <v>0</v>
      </c>
      <c r="J813" s="19">
        <v>12.1275</v>
      </c>
      <c r="K813" s="17">
        <v>0</v>
      </c>
      <c r="L813" s="20">
        <v>44.07</v>
      </c>
      <c r="M813" s="21">
        <v>0</v>
      </c>
      <c r="N813" s="21" t="s"/>
      <c r="O813" s="16" t="s"/>
    </row>
    <row r="814" spans="1:15">
      <c r="A814" s="16" t="s">
        <v>734</v>
      </c>
      <c r="B814" s="16" t="s">
        <v>735</v>
      </c>
      <c r="C814" s="16" t="s">
        <v>63</v>
      </c>
      <c r="D814" s="22">
        <v>0.452</v>
      </c>
      <c r="E814" s="22">
        <v>0.042</v>
      </c>
      <c r="F814" s="22">
        <v>0.391</v>
      </c>
      <c r="G814" s="22">
        <v>0.018</v>
      </c>
      <c r="H814" s="23">
        <v>1.279</v>
      </c>
      <c r="I814" s="18">
        <v>0</v>
      </c>
      <c r="J814" s="19">
        <v>9.79</v>
      </c>
      <c r="K814" s="17">
        <v>0</v>
      </c>
      <c r="L814" s="20">
        <v>35.52</v>
      </c>
      <c r="M814" s="21">
        <v>0</v>
      </c>
      <c r="N814" s="21" t="s"/>
      <c r="O814" s="16" t="s"/>
    </row>
    <row r="815" spans="1:15">
      <c r="A815" s="16" t="s">
        <v>734</v>
      </c>
      <c r="B815" s="16" t="s">
        <v>735</v>
      </c>
      <c r="C815" s="16" t="s">
        <v>64</v>
      </c>
      <c r="D815" s="22">
        <v>0.315</v>
      </c>
      <c r="E815" s="22">
        <v>0.029</v>
      </c>
      <c r="F815" s="22">
        <v>0.485</v>
      </c>
      <c r="G815" s="22">
        <v>0.023</v>
      </c>
      <c r="H815" s="23">
        <v>1.586</v>
      </c>
      <c r="I815" s="18">
        <v>44.04</v>
      </c>
      <c r="J815" s="19">
        <v>12.1275</v>
      </c>
      <c r="K815" s="17">
        <v>0</v>
      </c>
      <c r="L815" s="20">
        <v>44.05</v>
      </c>
      <c r="M815" s="21">
        <v>0</v>
      </c>
      <c r="N815" s="21" t="s"/>
      <c r="O815" s="16" t="s"/>
    </row>
    <row r="816" spans="1:15">
      <c r="A816" s="16" t="s">
        <v>734</v>
      </c>
      <c r="B816" s="16" t="s">
        <v>735</v>
      </c>
      <c r="C816" s="16" t="s">
        <v>65</v>
      </c>
      <c r="D816" s="22">
        <v>2.184</v>
      </c>
      <c r="E816" s="22">
        <v>0.199</v>
      </c>
      <c r="F816" s="22">
        <v>1.339</v>
      </c>
      <c r="G816" s="22">
        <v>0.061</v>
      </c>
      <c r="H816" s="23">
        <v>4.382</v>
      </c>
      <c r="I816" s="18">
        <v>121.71</v>
      </c>
      <c r="J816" s="19">
        <v>33.495</v>
      </c>
      <c r="K816" s="17">
        <v>0</v>
      </c>
      <c r="L816" s="20">
        <v>121.72</v>
      </c>
      <c r="M816" s="21">
        <v>0</v>
      </c>
      <c r="N816" s="21" t="s"/>
      <c r="O816" s="16" t="s"/>
    </row>
    <row r="817" spans="1:15">
      <c r="A817" s="16" t="s">
        <v>734</v>
      </c>
      <c r="B817" s="16" t="s">
        <v>736</v>
      </c>
      <c r="C817" s="16" t="s"/>
      <c r="D817" s="22">
        <v>0.924</v>
      </c>
      <c r="E817" s="22">
        <v>0.084</v>
      </c>
      <c r="F817" s="22">
        <v>0.693</v>
      </c>
      <c r="G817" s="22">
        <v>0.032</v>
      </c>
      <c r="H817" s="23">
        <v>0</v>
      </c>
      <c r="I817" s="18">
        <v>0</v>
      </c>
      <c r="J817" s="19">
        <v>0</v>
      </c>
      <c r="K817" s="17">
        <v>0</v>
      </c>
      <c r="L817" s="20">
        <v>0</v>
      </c>
      <c r="M817" s="21">
        <v>0</v>
      </c>
      <c r="N817" s="21" t="s"/>
      <c r="O817" s="16" t="s"/>
    </row>
    <row r="818" spans="1:15">
      <c r="A818" s="16" t="s">
        <v>734</v>
      </c>
      <c r="B818" s="16" t="s">
        <v>737</v>
      </c>
      <c r="C818" s="16" t="s"/>
      <c r="D818" s="22">
        <v>0.661</v>
      </c>
      <c r="E818" s="22">
        <v>0.061</v>
      </c>
      <c r="F818" s="22">
        <v>0.661</v>
      </c>
      <c r="G818" s="22">
        <v>0.031</v>
      </c>
      <c r="H818" s="23">
        <v>0</v>
      </c>
      <c r="I818" s="18">
        <v>60.01</v>
      </c>
      <c r="J818" s="19">
        <v>16.5275</v>
      </c>
      <c r="K818" s="17">
        <v>0</v>
      </c>
      <c r="L818" s="20">
        <v>60.02</v>
      </c>
      <c r="M818" s="21">
        <v>0</v>
      </c>
      <c r="N818" s="21" t="s"/>
      <c r="O818" s="16" t="s"/>
    </row>
    <row r="819" spans="1:15">
      <c r="A819" s="16" t="s">
        <v>734</v>
      </c>
      <c r="B819" s="16" t="s">
        <v>738</v>
      </c>
      <c r="C819" s="16" t="s"/>
      <c r="D819" s="22">
        <v>5.265</v>
      </c>
      <c r="E819" s="22">
        <v>0.479</v>
      </c>
      <c r="F819" s="22">
        <v>3.441</v>
      </c>
      <c r="G819" s="22">
        <v>0.157</v>
      </c>
      <c r="H819" s="23">
        <v>0</v>
      </c>
      <c r="I819" s="18">
        <v>512.12</v>
      </c>
      <c r="J819" s="19">
        <v>181.9675</v>
      </c>
      <c r="K819" s="17">
        <v>0</v>
      </c>
      <c r="L819" s="20">
        <v>163.31</v>
      </c>
      <c r="M819" s="21">
        <v>0</v>
      </c>
      <c r="N819" s="21" t="s"/>
      <c r="O819" s="16" t="s"/>
    </row>
    <row r="820" spans="1:15">
      <c r="A820" s="16" t="s">
        <v>734</v>
      </c>
      <c r="B820" s="16" t="s">
        <v>739</v>
      </c>
      <c r="C820" s="16" t="s"/>
      <c r="D820" s="22">
        <v>0.368</v>
      </c>
      <c r="E820" s="22">
        <v>0.034</v>
      </c>
      <c r="F820" s="22">
        <v>0.184</v>
      </c>
      <c r="G820" s="22">
        <v>0.009</v>
      </c>
      <c r="H820" s="23">
        <v>0.601</v>
      </c>
      <c r="I820" s="18">
        <v>0</v>
      </c>
      <c r="J820" s="19">
        <v>4.5925</v>
      </c>
      <c r="K820" s="17">
        <v>0</v>
      </c>
      <c r="L820" s="20">
        <v>16.69</v>
      </c>
      <c r="M820" s="21">
        <v>0</v>
      </c>
      <c r="N820" s="21" t="s"/>
      <c r="O820" s="16" t="s"/>
    </row>
    <row r="821" spans="1:15">
      <c r="A821" s="16" t="s">
        <v>734</v>
      </c>
      <c r="B821" s="16" t="s">
        <v>740</v>
      </c>
      <c r="C821" s="16" t="s"/>
      <c r="D821" s="22">
        <v>0.184</v>
      </c>
      <c r="E821" s="22">
        <v>0.017</v>
      </c>
      <c r="F821" s="22">
        <v>0.184</v>
      </c>
      <c r="G821" s="22">
        <v>0.009</v>
      </c>
      <c r="H821" s="23">
        <v>0.601</v>
      </c>
      <c r="I821" s="18">
        <v>0</v>
      </c>
      <c r="J821" s="19">
        <v>4.5925</v>
      </c>
      <c r="K821" s="17">
        <v>0</v>
      </c>
      <c r="L821" s="20">
        <v>0</v>
      </c>
      <c r="M821" s="21">
        <v>0</v>
      </c>
      <c r="N821" s="21" t="s"/>
      <c r="O821" s="16" t="s"/>
    </row>
    <row r="822" spans="1:15">
      <c r="A822" s="16" t="s">
        <v>734</v>
      </c>
      <c r="B822" s="16" t="s">
        <v>741</v>
      </c>
      <c r="C822" s="16" t="s"/>
      <c r="D822" s="22">
        <v>0.192</v>
      </c>
      <c r="E822" s="22">
        <v>0.018</v>
      </c>
      <c r="F822" s="22">
        <v>0.087</v>
      </c>
      <c r="G822" s="22">
        <v>0.004</v>
      </c>
      <c r="H822" s="23">
        <v>0</v>
      </c>
      <c r="I822" s="18">
        <v>0</v>
      </c>
      <c r="J822" s="19">
        <v>0</v>
      </c>
      <c r="K822" s="17">
        <v>0</v>
      </c>
      <c r="L822" s="20">
        <v>0</v>
      </c>
      <c r="M822" s="21">
        <v>0</v>
      </c>
      <c r="N822" s="21" t="s"/>
      <c r="O822" s="16" t="s"/>
    </row>
    <row r="823" spans="1:15">
      <c r="A823" s="16" t="s">
        <v>734</v>
      </c>
      <c r="B823" s="16" t="s">
        <v>742</v>
      </c>
      <c r="C823" s="16" t="s"/>
      <c r="D823" s="22">
        <v>2.078</v>
      </c>
      <c r="E823" s="22">
        <v>0.189</v>
      </c>
      <c r="F823" s="22">
        <v>1.853</v>
      </c>
      <c r="G823" s="22">
        <v>0.085</v>
      </c>
      <c r="H823" s="23">
        <v>2.462</v>
      </c>
      <c r="I823" s="18">
        <v>68.36</v>
      </c>
      <c r="J823" s="19">
        <v>18.81</v>
      </c>
      <c r="K823" s="17">
        <v>0</v>
      </c>
      <c r="L823" s="20">
        <v>218.37</v>
      </c>
      <c r="M823" s="21">
        <v>0</v>
      </c>
      <c r="N823" s="21" t="s"/>
      <c r="O823" s="16" t="s"/>
    </row>
    <row r="824" spans="1:15">
      <c r="A824" s="16" t="s">
        <v>734</v>
      </c>
      <c r="B824" s="16" t="s">
        <v>743</v>
      </c>
      <c r="C824" s="16" t="s"/>
      <c r="D824" s="22">
        <v>6.681</v>
      </c>
      <c r="E824" s="22">
        <v>0.608</v>
      </c>
      <c r="F824" s="22">
        <v>1.605</v>
      </c>
      <c r="G824" s="22">
        <v>0.073</v>
      </c>
      <c r="H824" s="23">
        <v>0</v>
      </c>
      <c r="I824" s="18">
        <v>308.08</v>
      </c>
      <c r="J824" s="19">
        <v>148.7475</v>
      </c>
      <c r="K824" s="17">
        <v>0</v>
      </c>
      <c r="L824" s="20">
        <v>208.34</v>
      </c>
      <c r="M824" s="21">
        <v>0</v>
      </c>
      <c r="N824" s="21" t="s"/>
      <c r="O824" s="16" t="s"/>
    </row>
    <row r="825" spans="1:15">
      <c r="A825" s="16" t="s">
        <v>734</v>
      </c>
      <c r="B825" s="16" t="s">
        <v>744</v>
      </c>
      <c r="C825" s="16" t="s"/>
      <c r="D825" s="22">
        <v>3.545</v>
      </c>
      <c r="E825" s="22">
        <v>0.323</v>
      </c>
      <c r="F825" s="22">
        <v>2.216</v>
      </c>
      <c r="G825" s="22">
        <v>0.101</v>
      </c>
      <c r="H825" s="23">
        <v>0</v>
      </c>
      <c r="I825" s="18">
        <v>60.41</v>
      </c>
      <c r="J825" s="19">
        <v>45.4025</v>
      </c>
      <c r="K825" s="17">
        <v>0</v>
      </c>
      <c r="L825" s="20">
        <v>0</v>
      </c>
      <c r="M825" s="21">
        <v>0</v>
      </c>
      <c r="N825" s="21" t="s"/>
      <c r="O825" s="16" t="s"/>
    </row>
    <row r="826" spans="1:15">
      <c r="A826" s="16" t="s">
        <v>734</v>
      </c>
      <c r="B826" s="16" t="s">
        <v>745</v>
      </c>
      <c r="C826" s="16" t="s"/>
      <c r="D826" s="22">
        <v>16.638</v>
      </c>
      <c r="E826" s="22">
        <v>1.513</v>
      </c>
      <c r="F826" s="22">
        <v>10.907</v>
      </c>
      <c r="G826" s="22">
        <v>0.496</v>
      </c>
      <c r="H826" s="23">
        <v>0</v>
      </c>
      <c r="I826" s="18">
        <v>210.03</v>
      </c>
      <c r="J826" s="19">
        <v>0</v>
      </c>
      <c r="K826" s="17">
        <v>0</v>
      </c>
      <c r="L826" s="20">
        <v>710.04</v>
      </c>
      <c r="M826" s="21">
        <v>0</v>
      </c>
      <c r="N826" s="21" t="s"/>
      <c r="O826" s="16" t="s"/>
    </row>
    <row r="827" spans="1:15">
      <c r="A827" s="16" t="s">
        <v>734</v>
      </c>
      <c r="B827" s="16" t="s">
        <v>746</v>
      </c>
      <c r="C827" s="16" t="s"/>
      <c r="D827" s="22">
        <v>0.753</v>
      </c>
      <c r="E827" s="22">
        <v>0.069</v>
      </c>
      <c r="F827" s="22">
        <v>0.377</v>
      </c>
      <c r="G827" s="22">
        <v>0.018</v>
      </c>
      <c r="H827" s="23">
        <v>1.231</v>
      </c>
      <c r="I827" s="18">
        <v>34.18</v>
      </c>
      <c r="J827" s="19">
        <v>9.405</v>
      </c>
      <c r="K827" s="17">
        <v>0</v>
      </c>
      <c r="L827" s="20">
        <v>34.19</v>
      </c>
      <c r="M827" s="21">
        <v>0</v>
      </c>
      <c r="N827" s="21" t="s"/>
      <c r="O827" s="16" t="s"/>
    </row>
    <row r="828" spans="1:15">
      <c r="A828" s="16" t="s">
        <v>734</v>
      </c>
      <c r="B828" s="16" t="s">
        <v>747</v>
      </c>
      <c r="C828" s="16" t="s">
        <v>75</v>
      </c>
      <c r="D828" s="22">
        <v>0</v>
      </c>
      <c r="E828" s="22">
        <v>0</v>
      </c>
      <c r="F828" s="22">
        <v>2.013</v>
      </c>
      <c r="G828" s="22">
        <v>0.092</v>
      </c>
      <c r="H828" s="23">
        <v>0</v>
      </c>
      <c r="I828" s="18">
        <v>0</v>
      </c>
      <c r="J828" s="19">
        <v>0</v>
      </c>
      <c r="K828" s="17">
        <v>0</v>
      </c>
      <c r="L828" s="20">
        <v>366.64</v>
      </c>
      <c r="M828" s="21">
        <v>0</v>
      </c>
      <c r="N828" s="21" t="s"/>
      <c r="O828" s="16" t="s"/>
    </row>
    <row r="829" spans="1:15">
      <c r="A829" s="16" t="s">
        <v>734</v>
      </c>
      <c r="B829" s="16" t="s">
        <v>747</v>
      </c>
      <c r="C829" s="16" t="s">
        <v>76</v>
      </c>
      <c r="D829" s="22">
        <v>0</v>
      </c>
      <c r="E829" s="22">
        <v>0</v>
      </c>
      <c r="F829" s="22">
        <v>2.728</v>
      </c>
      <c r="G829" s="22">
        <v>0.124</v>
      </c>
      <c r="H829" s="23">
        <v>0</v>
      </c>
      <c r="I829" s="18">
        <v>0</v>
      </c>
      <c r="J829" s="19">
        <v>0</v>
      </c>
      <c r="K829" s="17">
        <v>0</v>
      </c>
      <c r="L829" s="20">
        <v>416.64</v>
      </c>
      <c r="M829" s="21">
        <v>0</v>
      </c>
      <c r="N829" s="21" t="s"/>
      <c r="O829" s="16" t="s"/>
    </row>
    <row r="830" spans="1:15">
      <c r="A830" s="16" t="s">
        <v>734</v>
      </c>
      <c r="B830" s="16" t="s">
        <v>747</v>
      </c>
      <c r="C830" s="16" t="s">
        <v>77</v>
      </c>
      <c r="D830" s="22">
        <v>0</v>
      </c>
      <c r="E830" s="22">
        <v>0</v>
      </c>
      <c r="F830" s="22">
        <v>1.368</v>
      </c>
      <c r="G830" s="22">
        <v>0.063</v>
      </c>
      <c r="H830" s="23">
        <v>0</v>
      </c>
      <c r="I830" s="18">
        <v>0</v>
      </c>
      <c r="J830" s="19">
        <v>0</v>
      </c>
      <c r="K830" s="17">
        <v>0</v>
      </c>
      <c r="L830" s="20">
        <v>116.64</v>
      </c>
      <c r="M830" s="21">
        <v>0</v>
      </c>
      <c r="N830" s="21" t="s"/>
      <c r="O830" s="16" t="s"/>
    </row>
    <row r="831" spans="1:15">
      <c r="A831" s="16" t="s">
        <v>734</v>
      </c>
      <c r="B831" s="16" t="s">
        <v>748</v>
      </c>
      <c r="C831" s="16" t="s"/>
      <c r="D831" s="22">
        <v>4.072</v>
      </c>
      <c r="E831" s="22">
        <v>0.371</v>
      </c>
      <c r="F831" s="22">
        <v>2.563</v>
      </c>
      <c r="G831" s="22">
        <v>0.117</v>
      </c>
      <c r="H831" s="23">
        <v>0</v>
      </c>
      <c r="I831" s="18">
        <v>346.97</v>
      </c>
      <c r="J831" s="19">
        <v>114.51</v>
      </c>
      <c r="K831" s="17">
        <v>0</v>
      </c>
      <c r="L831" s="20">
        <v>185.01</v>
      </c>
      <c r="M831" s="21">
        <v>0</v>
      </c>
      <c r="N831" s="21" t="s"/>
      <c r="O831" s="16" t="s"/>
    </row>
    <row r="832" spans="1:15">
      <c r="A832" s="16" t="s">
        <v>749</v>
      </c>
      <c r="B832" s="16" t="s">
        <v>750</v>
      </c>
      <c r="C832" s="16" t="s">
        <v>62</v>
      </c>
      <c r="D832" s="22">
        <v>0.551</v>
      </c>
      <c r="E832" s="22">
        <v>0.051</v>
      </c>
      <c r="F832" s="22">
        <v>0.397</v>
      </c>
      <c r="G832" s="22">
        <v>0.019</v>
      </c>
      <c r="H832" s="23">
        <v>1.441</v>
      </c>
      <c r="I832" s="18">
        <v>29.76</v>
      </c>
      <c r="J832" s="19">
        <v>7.7275</v>
      </c>
      <c r="K832" s="17">
        <v>0</v>
      </c>
      <c r="L832" s="20">
        <v>40.03</v>
      </c>
      <c r="M832" s="21">
        <v>0</v>
      </c>
      <c r="N832" s="21">
        <v>9.8177</v>
      </c>
      <c r="O832" s="16" t="s"/>
    </row>
    <row r="833" spans="1:15">
      <c r="A833" s="16" t="s">
        <v>749</v>
      </c>
      <c r="B833" s="16" t="s">
        <v>750</v>
      </c>
      <c r="C833" s="16" t="s">
        <v>63</v>
      </c>
      <c r="D833" s="22">
        <v>0.88</v>
      </c>
      <c r="E833" s="22">
        <v>0.08</v>
      </c>
      <c r="F833" s="22">
        <v>0.698</v>
      </c>
      <c r="G833" s="22">
        <v>0.032</v>
      </c>
      <c r="H833" s="23">
        <v>2.538</v>
      </c>
      <c r="I833" s="18">
        <v>52.13</v>
      </c>
      <c r="J833" s="19">
        <v>13.585</v>
      </c>
      <c r="K833" s="17">
        <v>0</v>
      </c>
      <c r="L833" s="20">
        <v>70.48</v>
      </c>
      <c r="M833" s="21">
        <v>0</v>
      </c>
      <c r="N833" s="21">
        <v>15.6912</v>
      </c>
      <c r="O833" s="16" t="s"/>
    </row>
    <row r="834" spans="1:15">
      <c r="A834" s="16" t="s">
        <v>749</v>
      </c>
      <c r="B834" s="16" t="s">
        <v>750</v>
      </c>
      <c r="C834" s="16" t="s">
        <v>64</v>
      </c>
      <c r="D834" s="22">
        <v>0.661</v>
      </c>
      <c r="E834" s="22">
        <v>0.061</v>
      </c>
      <c r="F834" s="22">
        <v>0.599</v>
      </c>
      <c r="G834" s="22">
        <v>0.028</v>
      </c>
      <c r="H834" s="23">
        <v>2.179</v>
      </c>
      <c r="I834" s="18">
        <v>44.45</v>
      </c>
      <c r="J834" s="19">
        <v>11.66</v>
      </c>
      <c r="K834" s="17">
        <v>0</v>
      </c>
      <c r="L834" s="20">
        <v>60.51</v>
      </c>
      <c r="M834" s="21">
        <v>0</v>
      </c>
      <c r="N834" s="21">
        <v>11.7733</v>
      </c>
      <c r="O834" s="16" t="s"/>
    </row>
    <row r="835" spans="1:15">
      <c r="A835" s="16" t="s">
        <v>749</v>
      </c>
      <c r="B835" s="16" t="s">
        <v>750</v>
      </c>
      <c r="C835" s="16" t="s">
        <v>65</v>
      </c>
      <c r="D835" s="22">
        <v>1.119</v>
      </c>
      <c r="E835" s="22">
        <v>0.102</v>
      </c>
      <c r="F835" s="22">
        <v>1.051</v>
      </c>
      <c r="G835" s="22">
        <v>0.048</v>
      </c>
      <c r="H835" s="23">
        <v>3.82</v>
      </c>
      <c r="I835" s="18">
        <v>77.81</v>
      </c>
      <c r="J835" s="19">
        <v>20.4325</v>
      </c>
      <c r="K835" s="17">
        <v>0</v>
      </c>
      <c r="L835" s="20">
        <v>106.09</v>
      </c>
      <c r="M835" s="21">
        <v>0</v>
      </c>
      <c r="N835" s="21">
        <v>19.9492</v>
      </c>
      <c r="O835" s="16" t="s"/>
    </row>
    <row r="836" spans="1:15">
      <c r="A836" s="16" t="s">
        <v>749</v>
      </c>
      <c r="B836" s="16" t="s">
        <v>750</v>
      </c>
      <c r="C836" s="16" t="s">
        <v>81</v>
      </c>
      <c r="D836" s="22">
        <v>1.303</v>
      </c>
      <c r="E836" s="22">
        <v>0.119</v>
      </c>
      <c r="F836" s="22">
        <v>1.317</v>
      </c>
      <c r="G836" s="22">
        <v>0.06</v>
      </c>
      <c r="H836" s="23">
        <v>4.787</v>
      </c>
      <c r="I836" s="18">
        <v>97.2</v>
      </c>
      <c r="J836" s="19">
        <v>25.6025</v>
      </c>
      <c r="K836" s="17">
        <v>0</v>
      </c>
      <c r="L836" s="20">
        <v>132.95</v>
      </c>
      <c r="M836" s="21">
        <v>0</v>
      </c>
      <c r="N836" s="21">
        <v>23.2261</v>
      </c>
      <c r="O836" s="16" t="s"/>
    </row>
    <row r="837" spans="1:15">
      <c r="A837" s="16" t="s">
        <v>749</v>
      </c>
      <c r="B837" s="16" t="s">
        <v>750</v>
      </c>
      <c r="C837" s="16" t="s">
        <v>751</v>
      </c>
      <c r="D837" s="22">
        <v>2.183</v>
      </c>
      <c r="E837" s="22">
        <v>0.199</v>
      </c>
      <c r="F837" s="22">
        <v>2.109</v>
      </c>
      <c r="G837" s="22">
        <v>0.096</v>
      </c>
      <c r="H837" s="23">
        <v>7.667</v>
      </c>
      <c r="I837" s="18">
        <v>156</v>
      </c>
      <c r="J837" s="19">
        <v>41.0025</v>
      </c>
      <c r="K837" s="17">
        <v>0</v>
      </c>
      <c r="L837" s="20">
        <v>212.96</v>
      </c>
      <c r="M837" s="21">
        <v>0</v>
      </c>
      <c r="N837" s="21">
        <v>38.9238</v>
      </c>
      <c r="O837" s="16" t="s"/>
    </row>
    <row r="838" spans="1:15">
      <c r="A838" s="16" t="s">
        <v>749</v>
      </c>
      <c r="B838" s="16" t="s">
        <v>752</v>
      </c>
      <c r="C838" s="16" t="s"/>
      <c r="D838" s="22">
        <v>5.32</v>
      </c>
      <c r="E838" s="22">
        <v>0.484</v>
      </c>
      <c r="F838" s="22">
        <v>4.053</v>
      </c>
      <c r="G838" s="22">
        <v>0.185</v>
      </c>
      <c r="H838" s="23">
        <v>0</v>
      </c>
      <c r="I838" s="18">
        <v>364.46</v>
      </c>
      <c r="J838" s="19">
        <v>107.3875</v>
      </c>
      <c r="K838" s="17">
        <v>0</v>
      </c>
      <c r="L838" s="20">
        <v>186.67</v>
      </c>
      <c r="M838" s="21">
        <v>0</v>
      </c>
      <c r="N838" s="21">
        <v>106.4254</v>
      </c>
      <c r="O838" s="16" t="s"/>
    </row>
    <row r="839" spans="1:15">
      <c r="A839" s="16" t="s">
        <v>749</v>
      </c>
      <c r="B839" s="16" t="s">
        <v>753</v>
      </c>
      <c r="C839" s="16" t="s"/>
      <c r="D839" s="22">
        <v>0.624</v>
      </c>
      <c r="E839" s="22">
        <v>0.057</v>
      </c>
      <c r="F839" s="22">
        <v>0.561</v>
      </c>
      <c r="G839" s="22">
        <v>0.026</v>
      </c>
      <c r="H839" s="23">
        <v>0</v>
      </c>
      <c r="I839" s="18">
        <v>39.65</v>
      </c>
      <c r="J839" s="19">
        <v>21.835</v>
      </c>
      <c r="K839" s="17">
        <v>0</v>
      </c>
      <c r="L839" s="20">
        <v>56.66</v>
      </c>
      <c r="M839" s="21">
        <v>0</v>
      </c>
      <c r="N839" s="21">
        <v>9.558</v>
      </c>
      <c r="O839" s="16" t="s"/>
    </row>
    <row r="840" spans="1:15">
      <c r="A840" s="16" t="s">
        <v>749</v>
      </c>
      <c r="B840" s="16" t="s">
        <v>754</v>
      </c>
      <c r="C840" s="16" t="s"/>
      <c r="D840" s="22">
        <v>4.6</v>
      </c>
      <c r="E840" s="22">
        <v>0.419</v>
      </c>
      <c r="F840" s="22">
        <v>3.452</v>
      </c>
      <c r="G840" s="22">
        <v>0.157</v>
      </c>
      <c r="H840" s="23">
        <v>0</v>
      </c>
      <c r="I840" s="18">
        <v>317.06</v>
      </c>
      <c r="J840" s="19">
        <v>93.9125</v>
      </c>
      <c r="K840" s="17">
        <v>0</v>
      </c>
      <c r="L840" s="20">
        <v>139.97</v>
      </c>
      <c r="M840" s="21">
        <v>0</v>
      </c>
      <c r="N840" s="21">
        <v>100.3584</v>
      </c>
      <c r="O840" s="16" t="s"/>
    </row>
    <row r="841" spans="1:15">
      <c r="A841" s="16" t="s">
        <v>749</v>
      </c>
      <c r="B841" s="16" t="s">
        <v>755</v>
      </c>
      <c r="C841" s="16" t="s">
        <v>289</v>
      </c>
      <c r="D841" s="22">
        <v>1.889</v>
      </c>
      <c r="E841" s="22">
        <v>0.172</v>
      </c>
      <c r="F841" s="22">
        <v>0.553</v>
      </c>
      <c r="G841" s="22">
        <v>0.026</v>
      </c>
      <c r="H841" s="23">
        <v>0</v>
      </c>
      <c r="I841" s="18">
        <v>78.16</v>
      </c>
      <c r="J841" s="19">
        <v>21.505</v>
      </c>
      <c r="K841" s="17">
        <v>0</v>
      </c>
      <c r="L841" s="20">
        <v>111.67</v>
      </c>
      <c r="M841" s="21">
        <v>0</v>
      </c>
      <c r="N841" s="21">
        <v>0</v>
      </c>
      <c r="O841" s="16" t="s"/>
    </row>
    <row r="842" spans="1:15">
      <c r="A842" s="16" t="s">
        <v>749</v>
      </c>
      <c r="B842" s="16" t="s">
        <v>755</v>
      </c>
      <c r="C842" s="16" t="s">
        <v>290</v>
      </c>
      <c r="D842" s="22">
        <v>3.044</v>
      </c>
      <c r="E842" s="22">
        <v>0.277</v>
      </c>
      <c r="F842" s="22">
        <v>0.776</v>
      </c>
      <c r="G842" s="22">
        <v>0.036</v>
      </c>
      <c r="H842" s="23">
        <v>0</v>
      </c>
      <c r="I842" s="18">
        <v>109.66</v>
      </c>
      <c r="J842" s="19">
        <v>30.1675</v>
      </c>
      <c r="K842" s="17">
        <v>0</v>
      </c>
      <c r="L842" s="20">
        <v>156.67</v>
      </c>
      <c r="M842" s="21">
        <v>0</v>
      </c>
      <c r="N842" s="21">
        <v>0</v>
      </c>
      <c r="O842" s="16" t="s"/>
    </row>
    <row r="843" spans="1:15">
      <c r="A843" s="16" t="s">
        <v>749</v>
      </c>
      <c r="B843" s="16" t="s">
        <v>755</v>
      </c>
      <c r="C843" s="16" t="s">
        <v>291</v>
      </c>
      <c r="D843" s="22">
        <v>9.657</v>
      </c>
      <c r="E843" s="22">
        <v>0.878</v>
      </c>
      <c r="F843" s="22">
        <v>1.972</v>
      </c>
      <c r="G843" s="22">
        <v>0.09</v>
      </c>
      <c r="H843" s="23">
        <v>0</v>
      </c>
      <c r="I843" s="18">
        <v>467.83</v>
      </c>
      <c r="J843" s="19">
        <v>76.6975</v>
      </c>
      <c r="K843" s="17">
        <v>0</v>
      </c>
      <c r="L843" s="20">
        <v>398.34</v>
      </c>
      <c r="M843" s="21">
        <v>0</v>
      </c>
      <c r="N843" s="21">
        <v>0</v>
      </c>
      <c r="O843" s="16" t="s"/>
    </row>
    <row r="844" spans="1:15">
      <c r="A844" s="16" t="s">
        <v>749</v>
      </c>
      <c r="B844" s="16" t="s">
        <v>756</v>
      </c>
      <c r="C844" s="16" t="s"/>
      <c r="D844" s="22">
        <v>0.753</v>
      </c>
      <c r="E844" s="22">
        <v>0.069</v>
      </c>
      <c r="F844" s="22">
        <v>0.339</v>
      </c>
      <c r="G844" s="22">
        <v>0.016</v>
      </c>
      <c r="H844" s="23">
        <v>1.231</v>
      </c>
      <c r="I844" s="18">
        <v>23.92</v>
      </c>
      <c r="J844" s="19">
        <v>6.6</v>
      </c>
      <c r="K844" s="17">
        <v>0</v>
      </c>
      <c r="L844" s="20">
        <v>34.19</v>
      </c>
      <c r="M844" s="21">
        <v>0</v>
      </c>
      <c r="N844" s="21">
        <v>5.7675</v>
      </c>
      <c r="O844" s="16" t="s"/>
    </row>
    <row r="845" spans="1:15">
      <c r="A845" s="16" t="s">
        <v>749</v>
      </c>
      <c r="B845" s="16" t="s">
        <v>757</v>
      </c>
      <c r="C845" s="16" t="s"/>
      <c r="D845" s="22">
        <v>2.84</v>
      </c>
      <c r="E845" s="22">
        <v>0.259</v>
      </c>
      <c r="F845" s="22">
        <v>2.195</v>
      </c>
      <c r="G845" s="22">
        <v>0.1</v>
      </c>
      <c r="H845" s="23">
        <v>4.38</v>
      </c>
      <c r="I845" s="18">
        <v>85.16</v>
      </c>
      <c r="J845" s="19">
        <v>23.43</v>
      </c>
      <c r="K845" s="17">
        <v>0</v>
      </c>
      <c r="L845" s="20">
        <v>271.67</v>
      </c>
      <c r="M845" s="21">
        <v>0</v>
      </c>
      <c r="N845" s="21">
        <v>23.8736</v>
      </c>
      <c r="O845" s="16" t="s"/>
    </row>
    <row r="846" spans="1:15">
      <c r="A846" s="16" t="s">
        <v>749</v>
      </c>
      <c r="B846" s="16" t="s">
        <v>758</v>
      </c>
      <c r="C846" s="16" t="s"/>
      <c r="D846" s="22">
        <v>6.663</v>
      </c>
      <c r="E846" s="22">
        <v>0.606</v>
      </c>
      <c r="F846" s="22">
        <v>2.047</v>
      </c>
      <c r="G846" s="22">
        <v>0.094</v>
      </c>
      <c r="H846" s="23">
        <v>0</v>
      </c>
      <c r="I846" s="18">
        <v>284.34</v>
      </c>
      <c r="J846" s="19">
        <v>167.805</v>
      </c>
      <c r="K846" s="17">
        <v>0</v>
      </c>
      <c r="L846" s="20">
        <v>206.71</v>
      </c>
      <c r="M846" s="21">
        <v>0</v>
      </c>
      <c r="N846" s="21">
        <v>40.559</v>
      </c>
      <c r="O846" s="16" t="s"/>
    </row>
    <row r="847" spans="1:15">
      <c r="A847" s="16" t="s">
        <v>749</v>
      </c>
      <c r="B847" s="16" t="s">
        <v>759</v>
      </c>
      <c r="C847" s="16" t="s"/>
      <c r="D847" s="22">
        <v>22.62</v>
      </c>
      <c r="E847" s="22">
        <v>2.057</v>
      </c>
      <c r="F847" s="22">
        <v>2.426</v>
      </c>
      <c r="G847" s="22">
        <v>0.111</v>
      </c>
      <c r="H847" s="23">
        <v>0</v>
      </c>
      <c r="I847" s="18">
        <v>722.25</v>
      </c>
      <c r="J847" s="19">
        <v>0</v>
      </c>
      <c r="K847" s="17">
        <v>0</v>
      </c>
      <c r="L847" s="20">
        <v>745.04</v>
      </c>
      <c r="M847" s="21">
        <v>0</v>
      </c>
      <c r="N847" s="21">
        <v>0</v>
      </c>
      <c r="O847" s="16" t="s"/>
    </row>
    <row r="848" spans="1:15">
      <c r="A848" s="16" t="s">
        <v>749</v>
      </c>
      <c r="B848" s="16" t="s">
        <v>760</v>
      </c>
      <c r="C848" s="16" t="s"/>
      <c r="D848" s="22">
        <v>1.633</v>
      </c>
      <c r="E848" s="22">
        <v>0.149</v>
      </c>
      <c r="F848" s="22">
        <v>1.469</v>
      </c>
      <c r="G848" s="22">
        <v>0.067</v>
      </c>
      <c r="H848" s="23">
        <v>2.671</v>
      </c>
      <c r="I848" s="18">
        <v>103.85</v>
      </c>
      <c r="J848" s="19">
        <v>28.5725</v>
      </c>
      <c r="K848" s="17">
        <v>0</v>
      </c>
      <c r="L848" s="20">
        <v>74.19</v>
      </c>
      <c r="M848" s="21">
        <v>0</v>
      </c>
      <c r="N848" s="21">
        <v>12.5163</v>
      </c>
      <c r="O848" s="16" t="s"/>
    </row>
    <row r="849" spans="1:15">
      <c r="A849" s="16" t="s">
        <v>749</v>
      </c>
      <c r="B849" s="16" t="s">
        <v>761</v>
      </c>
      <c r="C849" s="16" t="s">
        <v>75</v>
      </c>
      <c r="D849" s="22">
        <v>0</v>
      </c>
      <c r="E849" s="22">
        <v>0</v>
      </c>
      <c r="F849" s="22">
        <v>2.442</v>
      </c>
      <c r="G849" s="22">
        <v>0.111</v>
      </c>
      <c r="H849" s="23">
        <v>0</v>
      </c>
      <c r="I849" s="18">
        <v>0</v>
      </c>
      <c r="J849" s="19">
        <v>0</v>
      </c>
      <c r="K849" s="17">
        <v>0</v>
      </c>
      <c r="L849" s="20">
        <v>366.64</v>
      </c>
      <c r="M849" s="21">
        <v>0</v>
      </c>
      <c r="N849" s="21">
        <v>0</v>
      </c>
      <c r="O849" s="16" t="s"/>
    </row>
    <row r="850" spans="1:15">
      <c r="A850" s="16" t="s">
        <v>749</v>
      </c>
      <c r="B850" s="16" t="s">
        <v>761</v>
      </c>
      <c r="C850" s="16" t="s">
        <v>76</v>
      </c>
      <c r="D850" s="22">
        <v>0</v>
      </c>
      <c r="E850" s="22">
        <v>0</v>
      </c>
      <c r="F850" s="22">
        <v>3.086</v>
      </c>
      <c r="G850" s="22">
        <v>0.141</v>
      </c>
      <c r="H850" s="23">
        <v>0</v>
      </c>
      <c r="I850" s="18">
        <v>0</v>
      </c>
      <c r="J850" s="19">
        <v>0</v>
      </c>
      <c r="K850" s="17">
        <v>0</v>
      </c>
      <c r="L850" s="20">
        <v>416.64</v>
      </c>
      <c r="M850" s="21">
        <v>0</v>
      </c>
      <c r="N850" s="21">
        <v>0</v>
      </c>
      <c r="O850" s="16" t="s"/>
    </row>
    <row r="851" spans="1:15">
      <c r="A851" s="16" t="s">
        <v>749</v>
      </c>
      <c r="B851" s="16" t="s">
        <v>761</v>
      </c>
      <c r="C851" s="16" t="s">
        <v>77</v>
      </c>
      <c r="D851" s="22">
        <v>0</v>
      </c>
      <c r="E851" s="22">
        <v>0</v>
      </c>
      <c r="F851" s="22">
        <v>1.502</v>
      </c>
      <c r="G851" s="22">
        <v>0.069</v>
      </c>
      <c r="H851" s="23">
        <v>0</v>
      </c>
      <c r="I851" s="18">
        <v>0</v>
      </c>
      <c r="J851" s="19">
        <v>0</v>
      </c>
      <c r="K851" s="17">
        <v>0</v>
      </c>
      <c r="L851" s="20">
        <v>116.64</v>
      </c>
      <c r="M851" s="21">
        <v>0</v>
      </c>
      <c r="N851" s="21">
        <v>0</v>
      </c>
      <c r="O851" s="16" t="s"/>
    </row>
    <row r="852" spans="1:15">
      <c r="A852" s="16" t="s">
        <v>749</v>
      </c>
      <c r="B852" s="16" t="s">
        <v>762</v>
      </c>
      <c r="C852" s="16" t="s"/>
      <c r="D852" s="22">
        <v>3.327</v>
      </c>
      <c r="E852" s="22">
        <v>0.303</v>
      </c>
      <c r="F852" s="22">
        <v>2.584</v>
      </c>
      <c r="G852" s="22">
        <v>0.118</v>
      </c>
      <c r="H852" s="23">
        <v>0</v>
      </c>
      <c r="I852" s="18">
        <v>197.17</v>
      </c>
      <c r="J852" s="19">
        <v>66.1925</v>
      </c>
      <c r="K852" s="17">
        <v>0</v>
      </c>
      <c r="L852" s="20">
        <v>136.64</v>
      </c>
      <c r="M852" s="21">
        <v>0</v>
      </c>
      <c r="N852" s="21">
        <v>81.3164</v>
      </c>
      <c r="O852" s="16" t="s"/>
    </row>
    <row r="853" spans="1:15">
      <c r="A853" s="16" t="s">
        <v>763</v>
      </c>
      <c r="B853" s="16" t="s">
        <v>764</v>
      </c>
      <c r="C853" s="16" t="s">
        <v>62</v>
      </c>
      <c r="D853" s="22">
        <v>0.377</v>
      </c>
      <c r="E853" s="22">
        <v>0.035</v>
      </c>
      <c r="F853" s="22">
        <v>0.44</v>
      </c>
      <c r="G853" s="22">
        <v>0.02</v>
      </c>
      <c r="H853" s="23">
        <v>1.44</v>
      </c>
      <c r="I853" s="18">
        <v>16.18</v>
      </c>
      <c r="J853" s="19">
        <v>11</v>
      </c>
      <c r="K853" s="17">
        <v>0</v>
      </c>
      <c r="L853" s="20">
        <v>39.98</v>
      </c>
      <c r="M853" s="21">
        <v>0</v>
      </c>
      <c r="N853" s="21" t="s"/>
      <c r="O853" s="16" t="s"/>
    </row>
    <row r="854" spans="1:15">
      <c r="A854" s="16" t="s">
        <v>763</v>
      </c>
      <c r="B854" s="16" t="s">
        <v>764</v>
      </c>
      <c r="C854" s="16" t="s">
        <v>63</v>
      </c>
      <c r="D854" s="22">
        <v>0.577</v>
      </c>
      <c r="E854" s="22">
        <v>0.053</v>
      </c>
      <c r="F854" s="22">
        <v>0.631</v>
      </c>
      <c r="G854" s="22">
        <v>0.029</v>
      </c>
      <c r="H854" s="23">
        <v>2.064</v>
      </c>
      <c r="I854" s="18">
        <v>26.82</v>
      </c>
      <c r="J854" s="19">
        <v>15.785</v>
      </c>
      <c r="K854" s="17">
        <v>0</v>
      </c>
      <c r="L854" s="20">
        <v>57.34</v>
      </c>
      <c r="M854" s="21">
        <v>0</v>
      </c>
      <c r="N854" s="21" t="s"/>
      <c r="O854" s="16" t="s"/>
    </row>
    <row r="855" spans="1:15">
      <c r="A855" s="16" t="s">
        <v>763</v>
      </c>
      <c r="B855" s="16" t="s">
        <v>764</v>
      </c>
      <c r="C855" s="16" t="s">
        <v>64</v>
      </c>
      <c r="D855" s="22">
        <v>0.66</v>
      </c>
      <c r="E855" s="22">
        <v>0.06</v>
      </c>
      <c r="F855" s="22">
        <v>0.66</v>
      </c>
      <c r="G855" s="22">
        <v>0.03</v>
      </c>
      <c r="H855" s="23">
        <v>2.157</v>
      </c>
      <c r="I855" s="18">
        <v>31.64</v>
      </c>
      <c r="J855" s="19">
        <v>16.5</v>
      </c>
      <c r="K855" s="17">
        <v>0</v>
      </c>
      <c r="L855" s="20">
        <v>59.92</v>
      </c>
      <c r="M855" s="21">
        <v>0</v>
      </c>
      <c r="N855" s="21" t="s"/>
      <c r="O855" s="16" t="s"/>
    </row>
    <row r="856" spans="1:15">
      <c r="A856" s="16" t="s">
        <v>763</v>
      </c>
      <c r="B856" s="16" t="s">
        <v>764</v>
      </c>
      <c r="C856" s="16" t="s">
        <v>65</v>
      </c>
      <c r="D856" s="22">
        <v>0.981</v>
      </c>
      <c r="E856" s="22">
        <v>0.09</v>
      </c>
      <c r="F856" s="22">
        <v>1.127</v>
      </c>
      <c r="G856" s="22">
        <v>0.052</v>
      </c>
      <c r="H856" s="23">
        <v>3.686</v>
      </c>
      <c r="I856" s="18">
        <v>62.96</v>
      </c>
      <c r="J856" s="19">
        <v>28.16</v>
      </c>
      <c r="K856" s="17">
        <v>0</v>
      </c>
      <c r="L856" s="20">
        <v>102.39</v>
      </c>
      <c r="M856" s="21">
        <v>0</v>
      </c>
      <c r="N856" s="21" t="s"/>
      <c r="O856" s="16" t="s"/>
    </row>
    <row r="857" spans="1:15">
      <c r="A857" s="16" t="s">
        <v>763</v>
      </c>
      <c r="B857" s="16" t="s">
        <v>764</v>
      </c>
      <c r="C857" s="16" t="s">
        <v>81</v>
      </c>
      <c r="D857" s="22">
        <v>1.641</v>
      </c>
      <c r="E857" s="22">
        <v>0.15</v>
      </c>
      <c r="F857" s="22">
        <v>1.636</v>
      </c>
      <c r="G857" s="22">
        <v>0.075</v>
      </c>
      <c r="H857" s="23">
        <v>5.352</v>
      </c>
      <c r="I857" s="18">
        <v>88.39</v>
      </c>
      <c r="J857" s="19">
        <v>40.8925</v>
      </c>
      <c r="K857" s="17">
        <v>0</v>
      </c>
      <c r="L857" s="20">
        <v>148.67</v>
      </c>
      <c r="M857" s="21">
        <v>0</v>
      </c>
      <c r="N857" s="21" t="s"/>
      <c r="O857" s="16" t="s"/>
    </row>
    <row r="858" spans="1:15">
      <c r="A858" s="16" t="s">
        <v>763</v>
      </c>
      <c r="B858" s="16" t="s">
        <v>765</v>
      </c>
      <c r="C858" s="16" t="s"/>
      <c r="D858" s="22">
        <v>0.505</v>
      </c>
      <c r="E858" s="22">
        <v>0.046</v>
      </c>
      <c r="F858" s="22">
        <v>0.505</v>
      </c>
      <c r="G858" s="22">
        <v>0.023</v>
      </c>
      <c r="H858" s="23">
        <v>0</v>
      </c>
      <c r="I858" s="18">
        <v>45.83</v>
      </c>
      <c r="J858" s="19">
        <v>12.6225</v>
      </c>
      <c r="K858" s="17">
        <v>0</v>
      </c>
      <c r="L858" s="20">
        <v>45.84</v>
      </c>
      <c r="M858" s="21">
        <v>0</v>
      </c>
      <c r="N858" s="21" t="s"/>
      <c r="O858" s="16" t="s"/>
    </row>
    <row r="859" spans="1:15">
      <c r="A859" s="16" t="s">
        <v>763</v>
      </c>
      <c r="B859" s="16" t="s">
        <v>766</v>
      </c>
      <c r="C859" s="16" t="s"/>
      <c r="D859" s="22">
        <v>4.21</v>
      </c>
      <c r="E859" s="22">
        <v>0.383</v>
      </c>
      <c r="F859" s="22">
        <v>4.21</v>
      </c>
      <c r="G859" s="22">
        <v>0.192</v>
      </c>
      <c r="H859" s="23">
        <v>0</v>
      </c>
      <c r="I859" s="18">
        <v>482.08</v>
      </c>
      <c r="J859" s="19">
        <v>188.8425</v>
      </c>
      <c r="K859" s="17">
        <v>0</v>
      </c>
      <c r="L859" s="20">
        <v>180</v>
      </c>
      <c r="M859" s="21">
        <v>0</v>
      </c>
      <c r="N859" s="21" t="s"/>
      <c r="O859" s="16" t="s"/>
    </row>
    <row r="860" spans="1:15">
      <c r="A860" s="16" t="s">
        <v>763</v>
      </c>
      <c r="B860" s="16" t="s">
        <v>767</v>
      </c>
      <c r="C860" s="16" t="s"/>
      <c r="D860" s="22">
        <v>2.414</v>
      </c>
      <c r="E860" s="22">
        <v>0.22</v>
      </c>
      <c r="F860" s="22">
        <v>2.67</v>
      </c>
      <c r="G860" s="22">
        <v>0.122</v>
      </c>
      <c r="H860" s="23">
        <v>0</v>
      </c>
      <c r="I860" s="18">
        <v>324.62</v>
      </c>
      <c r="J860" s="19">
        <v>140.745</v>
      </c>
      <c r="K860" s="17">
        <v>0</v>
      </c>
      <c r="L860" s="20">
        <v>63.37</v>
      </c>
      <c r="M860" s="21">
        <v>0</v>
      </c>
      <c r="N860" s="21" t="s"/>
      <c r="O860" s="16" t="s"/>
    </row>
    <row r="861" spans="1:15">
      <c r="A861" s="16" t="s">
        <v>763</v>
      </c>
      <c r="B861" s="16" t="s">
        <v>768</v>
      </c>
      <c r="C861" s="16" t="s"/>
      <c r="D861" s="22">
        <v>0.698</v>
      </c>
      <c r="E861" s="22">
        <v>0.064</v>
      </c>
      <c r="F861" s="22">
        <v>0.349</v>
      </c>
      <c r="G861" s="22">
        <v>0.016</v>
      </c>
      <c r="H861" s="23">
        <v>1.141</v>
      </c>
      <c r="I861" s="18">
        <v>31.68</v>
      </c>
      <c r="J861" s="19">
        <v>8.7175</v>
      </c>
      <c r="K861" s="17">
        <v>0</v>
      </c>
      <c r="L861" s="20">
        <v>31.69</v>
      </c>
      <c r="M861" s="21">
        <v>0</v>
      </c>
      <c r="N861" s="21" t="s"/>
      <c r="O861" s="16" t="s"/>
    </row>
    <row r="862" spans="1:15">
      <c r="A862" s="16" t="s">
        <v>763</v>
      </c>
      <c r="B862" s="16" t="s">
        <v>769</v>
      </c>
      <c r="C862" s="16" t="s"/>
      <c r="D862" s="22">
        <v>2.769</v>
      </c>
      <c r="E862" s="22">
        <v>0.252</v>
      </c>
      <c r="F862" s="22">
        <v>2.384</v>
      </c>
      <c r="G862" s="22">
        <v>0.109</v>
      </c>
      <c r="H862" s="23">
        <v>4.202</v>
      </c>
      <c r="I862" s="18">
        <v>116.69</v>
      </c>
      <c r="J862" s="19">
        <v>32.0925</v>
      </c>
      <c r="K862" s="17">
        <v>0</v>
      </c>
      <c r="L862" s="20">
        <v>266.7</v>
      </c>
      <c r="M862" s="21">
        <v>0</v>
      </c>
      <c r="N862" s="21" t="s"/>
      <c r="O862" s="16" t="s"/>
    </row>
    <row r="863" spans="1:15">
      <c r="A863" s="16" t="s">
        <v>763</v>
      </c>
      <c r="B863" s="16" t="s">
        <v>770</v>
      </c>
      <c r="C863" s="16" t="s"/>
      <c r="D863" s="22">
        <v>5.987</v>
      </c>
      <c r="E863" s="22">
        <v>0.545</v>
      </c>
      <c r="F863" s="22">
        <v>2.329</v>
      </c>
      <c r="G863" s="22">
        <v>0.106</v>
      </c>
      <c r="H863" s="23">
        <v>0</v>
      </c>
      <c r="I863" s="18">
        <v>344.69</v>
      </c>
      <c r="J863" s="19">
        <v>241.0925</v>
      </c>
      <c r="K863" s="17">
        <v>0</v>
      </c>
      <c r="L863" s="20">
        <v>211.7</v>
      </c>
      <c r="M863" s="21">
        <v>0</v>
      </c>
      <c r="N863" s="21" t="s"/>
      <c r="O863" s="16" t="s"/>
    </row>
    <row r="864" spans="1:15">
      <c r="A864" s="16" t="s">
        <v>763</v>
      </c>
      <c r="B864" s="16" t="s">
        <v>771</v>
      </c>
      <c r="C864" s="16" t="s"/>
      <c r="D864" s="22">
        <v>14.432</v>
      </c>
      <c r="E864" s="22">
        <v>1.312</v>
      </c>
      <c r="F864" s="22">
        <v>2.86</v>
      </c>
      <c r="G864" s="22">
        <v>0.13</v>
      </c>
      <c r="H864" s="23">
        <v>0</v>
      </c>
      <c r="I864" s="18">
        <v>259.96</v>
      </c>
      <c r="J864" s="19">
        <v>0</v>
      </c>
      <c r="K864" s="17">
        <v>0</v>
      </c>
      <c r="L864" s="20">
        <v>759.97</v>
      </c>
      <c r="M864" s="21">
        <v>0</v>
      </c>
      <c r="N864" s="21" t="s"/>
      <c r="O864" s="16" t="s"/>
    </row>
    <row r="865" spans="1:15">
      <c r="A865" s="16" t="s">
        <v>763</v>
      </c>
      <c r="B865" s="16" t="s">
        <v>772</v>
      </c>
      <c r="C865" s="16" t="s"/>
      <c r="D865" s="22">
        <v>1.229</v>
      </c>
      <c r="E865" s="22">
        <v>0.112</v>
      </c>
      <c r="F865" s="22">
        <v>0.615</v>
      </c>
      <c r="G865" s="22">
        <v>0.028</v>
      </c>
      <c r="H865" s="23">
        <v>2.011</v>
      </c>
      <c r="I865" s="18">
        <v>55.84</v>
      </c>
      <c r="J865" s="19">
        <v>15.3725</v>
      </c>
      <c r="K865" s="17">
        <v>0</v>
      </c>
      <c r="L865" s="20">
        <v>55.85</v>
      </c>
      <c r="M865" s="21">
        <v>0</v>
      </c>
      <c r="N865" s="21" t="s"/>
      <c r="O865" s="16" t="s"/>
    </row>
    <row r="866" spans="1:15">
      <c r="A866" s="16" t="s">
        <v>763</v>
      </c>
      <c r="B866" s="16" t="s">
        <v>773</v>
      </c>
      <c r="C866" s="16" t="s">
        <v>75</v>
      </c>
      <c r="D866" s="22">
        <v>0</v>
      </c>
      <c r="E866" s="22">
        <v>0</v>
      </c>
      <c r="F866" s="22">
        <v>2.952</v>
      </c>
      <c r="G866" s="22">
        <v>0.135</v>
      </c>
      <c r="H866" s="23">
        <v>0</v>
      </c>
      <c r="I866" s="18">
        <v>0</v>
      </c>
      <c r="J866" s="19">
        <v>0</v>
      </c>
      <c r="K866" s="17">
        <v>0</v>
      </c>
      <c r="L866" s="20">
        <v>383.34</v>
      </c>
      <c r="M866" s="21">
        <v>0</v>
      </c>
      <c r="N866" s="21" t="s"/>
      <c r="O866" s="16" t="s"/>
    </row>
    <row r="867" spans="1:15">
      <c r="A867" s="16" t="s">
        <v>763</v>
      </c>
      <c r="B867" s="16" t="s">
        <v>773</v>
      </c>
      <c r="C867" s="16" t="s">
        <v>76</v>
      </c>
      <c r="D867" s="22">
        <v>0</v>
      </c>
      <c r="E867" s="22">
        <v>0</v>
      </c>
      <c r="F867" s="22">
        <v>3.428</v>
      </c>
      <c r="G867" s="22">
        <v>0.156</v>
      </c>
      <c r="H867" s="23">
        <v>0</v>
      </c>
      <c r="I867" s="18">
        <v>0</v>
      </c>
      <c r="J867" s="19">
        <v>0</v>
      </c>
      <c r="K867" s="17">
        <v>0</v>
      </c>
      <c r="L867" s="20">
        <v>416.64</v>
      </c>
      <c r="M867" s="21">
        <v>0</v>
      </c>
      <c r="N867" s="21" t="s"/>
      <c r="O867" s="16" t="s"/>
    </row>
    <row r="868" spans="1:15">
      <c r="A868" s="16" t="s">
        <v>763</v>
      </c>
      <c r="B868" s="16" t="s">
        <v>773</v>
      </c>
      <c r="C868" s="16" t="s">
        <v>77</v>
      </c>
      <c r="D868" s="22">
        <v>0</v>
      </c>
      <c r="E868" s="22">
        <v>0</v>
      </c>
      <c r="F868" s="22">
        <v>1.668</v>
      </c>
      <c r="G868" s="22">
        <v>0.076</v>
      </c>
      <c r="H868" s="23">
        <v>0</v>
      </c>
      <c r="I868" s="18">
        <v>0</v>
      </c>
      <c r="J868" s="19">
        <v>0</v>
      </c>
      <c r="K868" s="17">
        <v>0</v>
      </c>
      <c r="L868" s="20">
        <v>116.64</v>
      </c>
      <c r="M868" s="21">
        <v>0</v>
      </c>
      <c r="N868" s="21" t="s"/>
      <c r="O868" s="16" t="s"/>
    </row>
    <row r="869" spans="1:15">
      <c r="A869" s="16" t="s">
        <v>763</v>
      </c>
      <c r="B869" s="16" t="s">
        <v>774</v>
      </c>
      <c r="C869" s="16" t="s"/>
      <c r="D869" s="22">
        <v>2.943</v>
      </c>
      <c r="E869" s="22">
        <v>0.268</v>
      </c>
      <c r="F869" s="22">
        <v>2.514</v>
      </c>
      <c r="G869" s="22">
        <v>0.115</v>
      </c>
      <c r="H869" s="23">
        <v>0</v>
      </c>
      <c r="I869" s="18">
        <v>248.01</v>
      </c>
      <c r="J869" s="19">
        <v>84.2875</v>
      </c>
      <c r="K869" s="17">
        <v>0</v>
      </c>
      <c r="L869" s="20">
        <v>111.7</v>
      </c>
      <c r="M869" s="21">
        <v>0</v>
      </c>
      <c r="N869" s="21" t="s"/>
      <c r="O869" s="16" t="s"/>
    </row>
    <row r="870" spans="1:15">
      <c r="A870" s="16" t="s">
        <v>763</v>
      </c>
      <c r="B870" s="16" t="s">
        <v>775</v>
      </c>
      <c r="C870" s="16" t="s"/>
      <c r="D870" s="22">
        <v>1.32</v>
      </c>
      <c r="E870" s="22">
        <v>0.12</v>
      </c>
      <c r="F870" s="22">
        <v>0.88</v>
      </c>
      <c r="G870" s="22">
        <v>0.04</v>
      </c>
      <c r="H870" s="23">
        <v>0</v>
      </c>
      <c r="I870" s="18">
        <v>0</v>
      </c>
      <c r="J870" s="19">
        <v>0</v>
      </c>
      <c r="K870" s="17">
        <v>0</v>
      </c>
      <c r="L870" s="20">
        <v>0</v>
      </c>
      <c r="M870" s="21">
        <v>0</v>
      </c>
      <c r="N870" s="21" t="s"/>
      <c r="O870" s="16" t="s"/>
    </row>
    <row r="871" spans="1:15">
      <c r="A871" s="16" t="s">
        <v>763</v>
      </c>
      <c r="B871" s="16" t="s">
        <v>776</v>
      </c>
      <c r="C871" s="16" t="s">
        <v>777</v>
      </c>
      <c r="D871" s="22">
        <v>0</v>
      </c>
      <c r="E871" s="22">
        <v>0</v>
      </c>
      <c r="F871" s="22">
        <v>1.668</v>
      </c>
      <c r="G871" s="22">
        <v>0.076</v>
      </c>
      <c r="H871" s="23">
        <v>0</v>
      </c>
      <c r="I871" s="18">
        <v>0</v>
      </c>
      <c r="J871" s="19">
        <v>0</v>
      </c>
      <c r="K871" s="17">
        <v>0</v>
      </c>
      <c r="L871" s="20">
        <v>116.64</v>
      </c>
      <c r="M871" s="21">
        <v>0</v>
      </c>
      <c r="N871" s="21" t="s"/>
      <c r="O871" s="16" t="s"/>
    </row>
    <row r="872" spans="1:15">
      <c r="A872" s="16" t="s">
        <v>763</v>
      </c>
      <c r="B872" s="16" t="s">
        <v>778</v>
      </c>
      <c r="C872" s="16" t="s"/>
      <c r="D872" s="22">
        <v>0.275</v>
      </c>
      <c r="E872" s="22">
        <v>0.025</v>
      </c>
      <c r="F872" s="22">
        <v>0</v>
      </c>
      <c r="G872" s="22">
        <v>0</v>
      </c>
      <c r="H872" s="23">
        <v>0</v>
      </c>
      <c r="I872" s="18">
        <v>17.66</v>
      </c>
      <c r="J872" s="19">
        <v>0</v>
      </c>
      <c r="K872" s="17">
        <v>0</v>
      </c>
      <c r="L872" s="20">
        <v>0</v>
      </c>
      <c r="M872" s="21">
        <v>0</v>
      </c>
      <c r="N872" s="21" t="s"/>
      <c r="O872" s="16" t="s"/>
    </row>
    <row r="873" spans="1:15">
      <c r="A873" s="16" t="s">
        <v>763</v>
      </c>
      <c r="B873" s="16" t="s">
        <v>779</v>
      </c>
      <c r="C873" s="16" t="s"/>
      <c r="D873" s="22">
        <v>3.08</v>
      </c>
      <c r="E873" s="22">
        <v>0.28</v>
      </c>
      <c r="F873" s="22">
        <v>0</v>
      </c>
      <c r="G873" s="22">
        <v>0</v>
      </c>
      <c r="H873" s="23">
        <v>0</v>
      </c>
      <c r="I873" s="18">
        <v>120</v>
      </c>
      <c r="J873" s="19">
        <v>0</v>
      </c>
      <c r="K873" s="17">
        <v>0</v>
      </c>
      <c r="L873" s="20">
        <v>0</v>
      </c>
      <c r="M873" s="21">
        <v>0</v>
      </c>
      <c r="N873" s="21" t="s"/>
      <c r="O873" s="16" t="s"/>
    </row>
    <row r="874" spans="1:15">
      <c r="A874" s="16" t="s">
        <v>763</v>
      </c>
      <c r="B874" s="16" t="s">
        <v>780</v>
      </c>
      <c r="C874" s="16" t="s">
        <v>781</v>
      </c>
      <c r="D874" s="22">
        <v>1.1</v>
      </c>
      <c r="E874" s="22">
        <v>0.1</v>
      </c>
      <c r="F874" s="22">
        <v>0</v>
      </c>
      <c r="G874" s="22">
        <v>0</v>
      </c>
      <c r="H874" s="23">
        <v>0</v>
      </c>
      <c r="I874" s="18">
        <v>0</v>
      </c>
      <c r="J874" s="19">
        <v>0</v>
      </c>
      <c r="K874" s="17">
        <v>0</v>
      </c>
      <c r="L874" s="20">
        <v>0</v>
      </c>
      <c r="M874" s="21">
        <v>0</v>
      </c>
      <c r="N874" s="21" t="s"/>
      <c r="O874" s="16" t="s"/>
    </row>
    <row r="875" spans="1:15">
      <c r="A875" s="16" t="s">
        <v>763</v>
      </c>
      <c r="B875" s="16" t="s">
        <v>780</v>
      </c>
      <c r="C875" s="16" t="s">
        <v>782</v>
      </c>
      <c r="D875" s="22">
        <v>1.1</v>
      </c>
      <c r="E875" s="22">
        <v>0.1</v>
      </c>
      <c r="F875" s="22">
        <v>0</v>
      </c>
      <c r="G875" s="22">
        <v>0</v>
      </c>
      <c r="H875" s="23">
        <v>0</v>
      </c>
      <c r="I875" s="18">
        <v>0</v>
      </c>
      <c r="J875" s="19">
        <v>0</v>
      </c>
      <c r="K875" s="17">
        <v>0</v>
      </c>
      <c r="L875" s="20">
        <v>0</v>
      </c>
      <c r="M875" s="21">
        <v>0</v>
      </c>
      <c r="N875" s="21" t="s"/>
      <c r="O875" s="16" t="s"/>
    </row>
    <row r="876" spans="1:15">
      <c r="A876" s="16" t="s">
        <v>763</v>
      </c>
      <c r="B876" s="16" t="s">
        <v>783</v>
      </c>
      <c r="C876" s="16" t="s"/>
      <c r="D876" s="22">
        <v>4.636</v>
      </c>
      <c r="E876" s="22">
        <v>0.422</v>
      </c>
      <c r="F876" s="22">
        <v>4.087</v>
      </c>
      <c r="G876" s="22">
        <v>0.186</v>
      </c>
      <c r="H876" s="23">
        <v>0</v>
      </c>
      <c r="I876" s="18">
        <v>396.42</v>
      </c>
      <c r="J876" s="19">
        <v>129.635</v>
      </c>
      <c r="K876" s="17">
        <v>0</v>
      </c>
      <c r="L876" s="20">
        <v>221.64</v>
      </c>
      <c r="M876" s="21">
        <v>0</v>
      </c>
      <c r="N876" s="21" t="s"/>
      <c r="O876" s="16" t="s"/>
    </row>
    <row r="877" spans="1:15">
      <c r="A877" s="16" t="s">
        <v>784</v>
      </c>
      <c r="B877" s="16" t="s">
        <v>785</v>
      </c>
      <c r="C877" s="16" t="s">
        <v>62</v>
      </c>
      <c r="D877" s="22">
        <v>0.497</v>
      </c>
      <c r="E877" s="22">
        <v>0.046</v>
      </c>
      <c r="F877" s="22">
        <v>0.249</v>
      </c>
      <c r="G877" s="22">
        <v>0.012</v>
      </c>
      <c r="H877" s="23">
        <v>0.894</v>
      </c>
      <c r="I877" s="18">
        <v>24.8</v>
      </c>
      <c r="J877" s="19">
        <v>6.8475</v>
      </c>
      <c r="K877" s="17">
        <v>0</v>
      </c>
      <c r="L877" s="20">
        <v>24.81</v>
      </c>
      <c r="M877" s="21">
        <v>0</v>
      </c>
      <c r="N877" s="21" t="s"/>
      <c r="O877" s="16" t="s"/>
    </row>
    <row r="878" spans="1:15">
      <c r="A878" s="16" t="s">
        <v>784</v>
      </c>
      <c r="B878" s="16" t="s">
        <v>785</v>
      </c>
      <c r="C878" s="16" t="s">
        <v>63</v>
      </c>
      <c r="D878" s="22">
        <v>0.498</v>
      </c>
      <c r="E878" s="22">
        <v>0.046</v>
      </c>
      <c r="F878" s="22">
        <v>0.475</v>
      </c>
      <c r="G878" s="22">
        <v>0.022</v>
      </c>
      <c r="H878" s="23">
        <v>1.708</v>
      </c>
      <c r="I878" s="18">
        <v>47.44</v>
      </c>
      <c r="J878" s="19">
        <v>13.0625</v>
      </c>
      <c r="K878" s="17">
        <v>0</v>
      </c>
      <c r="L878" s="20">
        <v>47.45</v>
      </c>
      <c r="M878" s="21">
        <v>0</v>
      </c>
      <c r="N878" s="21" t="s"/>
      <c r="O878" s="16" t="s"/>
    </row>
    <row r="879" spans="1:15">
      <c r="A879" s="16" t="s">
        <v>784</v>
      </c>
      <c r="B879" s="16" t="s">
        <v>785</v>
      </c>
      <c r="C879" s="16" t="s">
        <v>64</v>
      </c>
      <c r="D879" s="22">
        <v>1.094</v>
      </c>
      <c r="E879" s="22">
        <v>0.1</v>
      </c>
      <c r="F879" s="22">
        <v>0.843</v>
      </c>
      <c r="G879" s="22">
        <v>0.039</v>
      </c>
      <c r="H879" s="23">
        <v>3.035</v>
      </c>
      <c r="I879" s="18">
        <v>84.29</v>
      </c>
      <c r="J879" s="19">
        <v>23.1825</v>
      </c>
      <c r="K879" s="17">
        <v>0</v>
      </c>
      <c r="L879" s="20">
        <v>84.3</v>
      </c>
      <c r="M879" s="21">
        <v>0</v>
      </c>
      <c r="N879" s="21" t="s"/>
      <c r="O879" s="16" t="s"/>
    </row>
    <row r="880" spans="1:15">
      <c r="A880" s="16" t="s">
        <v>784</v>
      </c>
      <c r="B880" s="16" t="s">
        <v>785</v>
      </c>
      <c r="C880" s="16" t="s">
        <v>65</v>
      </c>
      <c r="D880" s="22">
        <v>2.113</v>
      </c>
      <c r="E880" s="22">
        <v>0.193</v>
      </c>
      <c r="F880" s="22">
        <v>1.665</v>
      </c>
      <c r="G880" s="22">
        <v>0.076</v>
      </c>
      <c r="H880" s="23">
        <v>5.994</v>
      </c>
      <c r="I880" s="18">
        <v>166.48</v>
      </c>
      <c r="J880" s="19">
        <v>45.7875</v>
      </c>
      <c r="K880" s="17">
        <v>0</v>
      </c>
      <c r="L880" s="20">
        <v>166.49</v>
      </c>
      <c r="M880" s="21">
        <v>0</v>
      </c>
      <c r="N880" s="21" t="s"/>
      <c r="O880" s="16" t="s"/>
    </row>
    <row r="881" spans="1:15">
      <c r="A881" s="16" t="s">
        <v>784</v>
      </c>
      <c r="B881" s="16" t="s">
        <v>786</v>
      </c>
      <c r="C881" s="16" t="s"/>
      <c r="D881" s="22">
        <v>0.625</v>
      </c>
      <c r="E881" s="22">
        <v>0.057</v>
      </c>
      <c r="F881" s="22">
        <v>0.625</v>
      </c>
      <c r="G881" s="22">
        <v>0.029</v>
      </c>
      <c r="H881" s="23">
        <v>0</v>
      </c>
      <c r="I881" s="18">
        <v>62.48</v>
      </c>
      <c r="J881" s="19">
        <v>17.1875</v>
      </c>
      <c r="K881" s="17">
        <v>0</v>
      </c>
      <c r="L881" s="20">
        <v>62.49</v>
      </c>
      <c r="M881" s="21">
        <v>0</v>
      </c>
      <c r="N881" s="21" t="s"/>
      <c r="O881" s="16" t="s"/>
    </row>
    <row r="882" spans="1:15">
      <c r="A882" s="16" t="s">
        <v>784</v>
      </c>
      <c r="B882" s="16" t="s">
        <v>787</v>
      </c>
      <c r="C882" s="16" t="s"/>
      <c r="D882" s="22">
        <v>3.841</v>
      </c>
      <c r="E882" s="22">
        <v>0.35</v>
      </c>
      <c r="F882" s="22">
        <v>2.573</v>
      </c>
      <c r="G882" s="22">
        <v>0.117</v>
      </c>
      <c r="H882" s="23">
        <v>0</v>
      </c>
      <c r="I882" s="18">
        <v>283.12</v>
      </c>
      <c r="J882" s="19">
        <v>99.2475</v>
      </c>
      <c r="K882" s="17">
        <v>0</v>
      </c>
      <c r="L882" s="20">
        <v>101.7</v>
      </c>
      <c r="M882" s="21">
        <v>0</v>
      </c>
      <c r="N882" s="21" t="s"/>
      <c r="O882" s="16" t="s"/>
    </row>
    <row r="883" spans="1:15">
      <c r="A883" s="16" t="s">
        <v>784</v>
      </c>
      <c r="B883" s="16" t="s">
        <v>788</v>
      </c>
      <c r="C883" s="16" t="s">
        <v>62</v>
      </c>
      <c r="D883" s="22">
        <v>0.973</v>
      </c>
      <c r="E883" s="22">
        <v>0.089</v>
      </c>
      <c r="F883" s="22">
        <v>0.417</v>
      </c>
      <c r="G883" s="22">
        <v>0.019</v>
      </c>
      <c r="H883" s="23">
        <v>0</v>
      </c>
      <c r="I883" s="18">
        <v>48.61</v>
      </c>
      <c r="J883" s="19">
        <v>19.1125</v>
      </c>
      <c r="K883" s="17">
        <v>0</v>
      </c>
      <c r="L883" s="20">
        <v>0</v>
      </c>
      <c r="M883" s="21">
        <v>0</v>
      </c>
      <c r="N883" s="21" t="s"/>
      <c r="O883" s="16" t="s"/>
    </row>
    <row r="884" spans="1:15">
      <c r="A884" s="16" t="s">
        <v>784</v>
      </c>
      <c r="B884" s="16" t="s">
        <v>788</v>
      </c>
      <c r="C884" s="16" t="s">
        <v>63</v>
      </c>
      <c r="D884" s="22">
        <v>0.973</v>
      </c>
      <c r="E884" s="22">
        <v>0.089</v>
      </c>
      <c r="F884" s="22">
        <v>0.417</v>
      </c>
      <c r="G884" s="22">
        <v>0.019</v>
      </c>
      <c r="H884" s="23">
        <v>0</v>
      </c>
      <c r="I884" s="18">
        <v>48.61</v>
      </c>
      <c r="J884" s="19">
        <v>19.1125</v>
      </c>
      <c r="K884" s="17">
        <v>0</v>
      </c>
      <c r="L884" s="20">
        <v>0</v>
      </c>
      <c r="M884" s="21">
        <v>0</v>
      </c>
      <c r="N884" s="21" t="s"/>
      <c r="O884" s="16" t="s"/>
    </row>
    <row r="885" spans="1:15">
      <c r="A885" s="16" t="s">
        <v>784</v>
      </c>
      <c r="B885" s="16" t="s">
        <v>788</v>
      </c>
      <c r="C885" s="16" t="s">
        <v>64</v>
      </c>
      <c r="D885" s="22">
        <v>0.973</v>
      </c>
      <c r="E885" s="22">
        <v>0.089</v>
      </c>
      <c r="F885" s="22">
        <v>0.417</v>
      </c>
      <c r="G885" s="22">
        <v>0.019</v>
      </c>
      <c r="H885" s="23">
        <v>0</v>
      </c>
      <c r="I885" s="18">
        <v>48.61</v>
      </c>
      <c r="J885" s="19">
        <v>19.1125</v>
      </c>
      <c r="K885" s="17">
        <v>0</v>
      </c>
      <c r="L885" s="20">
        <v>0</v>
      </c>
      <c r="M885" s="21">
        <v>0</v>
      </c>
      <c r="N885" s="21" t="s"/>
      <c r="O885" s="16" t="s"/>
    </row>
    <row r="886" spans="1:15">
      <c r="A886" s="16" t="s">
        <v>784</v>
      </c>
      <c r="B886" s="16" t="s">
        <v>789</v>
      </c>
      <c r="C886" s="16" t="s"/>
      <c r="D886" s="22">
        <v>0.834</v>
      </c>
      <c r="E886" s="22">
        <v>0.076</v>
      </c>
      <c r="F886" s="22">
        <v>0.417</v>
      </c>
      <c r="G886" s="22">
        <v>0.019</v>
      </c>
      <c r="H886" s="23">
        <v>1.501</v>
      </c>
      <c r="I886" s="18">
        <v>41.66</v>
      </c>
      <c r="J886" s="19">
        <v>11.4675</v>
      </c>
      <c r="K886" s="17">
        <v>0</v>
      </c>
      <c r="L886" s="20">
        <v>41.67</v>
      </c>
      <c r="M886" s="21">
        <v>0</v>
      </c>
      <c r="N886" s="21" t="s"/>
      <c r="O886" s="16" t="s"/>
    </row>
    <row r="887" spans="1:15">
      <c r="A887" s="16" t="s">
        <v>784</v>
      </c>
      <c r="B887" s="16" t="s">
        <v>790</v>
      </c>
      <c r="C887" s="16" t="s"/>
      <c r="D887" s="22">
        <v>2.192</v>
      </c>
      <c r="E887" s="22">
        <v>0.2</v>
      </c>
      <c r="F887" s="22">
        <v>1.917</v>
      </c>
      <c r="G887" s="22">
        <v>0.088</v>
      </c>
      <c r="H887" s="23">
        <v>3.3</v>
      </c>
      <c r="I887" s="18">
        <v>91.66</v>
      </c>
      <c r="J887" s="19">
        <v>25.2175</v>
      </c>
      <c r="K887" s="17">
        <v>0</v>
      </c>
      <c r="L887" s="20">
        <v>241.67</v>
      </c>
      <c r="M887" s="21">
        <v>0</v>
      </c>
      <c r="N887" s="21" t="s"/>
      <c r="O887" s="16" t="s"/>
    </row>
    <row r="888" spans="1:15">
      <c r="A888" s="16" t="s">
        <v>784</v>
      </c>
      <c r="B888" s="16" t="s">
        <v>791</v>
      </c>
      <c r="C888" s="16" t="s"/>
      <c r="D888" s="22">
        <v>6.323</v>
      </c>
      <c r="E888" s="22">
        <v>0.575</v>
      </c>
      <c r="F888" s="22">
        <v>2.333</v>
      </c>
      <c r="G888" s="22">
        <v>0.107</v>
      </c>
      <c r="H888" s="23">
        <v>0</v>
      </c>
      <c r="I888" s="18">
        <v>432.79</v>
      </c>
      <c r="J888" s="19">
        <v>247.0325</v>
      </c>
      <c r="K888" s="17">
        <v>0</v>
      </c>
      <c r="L888" s="20">
        <v>233.3</v>
      </c>
      <c r="M888" s="21">
        <v>0</v>
      </c>
      <c r="N888" s="21" t="s"/>
      <c r="O888" s="16" t="s"/>
    </row>
    <row r="889" spans="1:15">
      <c r="A889" s="16" t="s">
        <v>784</v>
      </c>
      <c r="B889" s="16" t="s">
        <v>792</v>
      </c>
      <c r="C889" s="16" t="s"/>
      <c r="D889" s="22">
        <v>16.279</v>
      </c>
      <c r="E889" s="22">
        <v>1.48</v>
      </c>
      <c r="F889" s="22">
        <v>0.984</v>
      </c>
      <c r="G889" s="22">
        <v>0.045</v>
      </c>
      <c r="H889" s="23">
        <v>0</v>
      </c>
      <c r="I889" s="18">
        <v>98.33</v>
      </c>
      <c r="J889" s="19">
        <v>0</v>
      </c>
      <c r="K889" s="17">
        <v>0</v>
      </c>
      <c r="L889" s="20">
        <v>598.34</v>
      </c>
      <c r="M889" s="21">
        <v>0</v>
      </c>
      <c r="N889" s="21" t="s"/>
      <c r="O889" s="16" t="s"/>
    </row>
    <row r="890" spans="1:15">
      <c r="A890" s="16" t="s">
        <v>784</v>
      </c>
      <c r="B890" s="16" t="s">
        <v>793</v>
      </c>
      <c r="C890" s="16" t="s"/>
      <c r="D890" s="22">
        <v>0.917</v>
      </c>
      <c r="E890" s="22">
        <v>0.084</v>
      </c>
      <c r="F890" s="22">
        <v>0.459</v>
      </c>
      <c r="G890" s="22">
        <v>0.021</v>
      </c>
      <c r="H890" s="23">
        <v>1.65</v>
      </c>
      <c r="I890" s="18">
        <v>45.83</v>
      </c>
      <c r="J890" s="19">
        <v>12.6225</v>
      </c>
      <c r="K890" s="17">
        <v>0</v>
      </c>
      <c r="L890" s="20">
        <v>45.84</v>
      </c>
      <c r="M890" s="21">
        <v>0</v>
      </c>
      <c r="N890" s="21" t="s"/>
      <c r="O890" s="16" t="s"/>
    </row>
    <row r="891" spans="1:15">
      <c r="A891" s="16" t="s">
        <v>784</v>
      </c>
      <c r="B891" s="16" t="s">
        <v>794</v>
      </c>
      <c r="C891" s="16" t="s">
        <v>75</v>
      </c>
      <c r="D891" s="22">
        <v>0</v>
      </c>
      <c r="E891" s="22">
        <v>0</v>
      </c>
      <c r="F891" s="22">
        <v>2.251</v>
      </c>
      <c r="G891" s="22">
        <v>0.103</v>
      </c>
      <c r="H891" s="23">
        <v>0</v>
      </c>
      <c r="I891" s="18">
        <v>0</v>
      </c>
      <c r="J891" s="19">
        <v>0</v>
      </c>
      <c r="K891" s="17">
        <v>0</v>
      </c>
      <c r="L891" s="20">
        <v>350.04</v>
      </c>
      <c r="M891" s="21">
        <v>0</v>
      </c>
      <c r="N891" s="21" t="s"/>
      <c r="O891" s="16" t="s"/>
    </row>
    <row r="892" spans="1:15">
      <c r="A892" s="16" t="s">
        <v>784</v>
      </c>
      <c r="B892" s="16" t="s">
        <v>794</v>
      </c>
      <c r="C892" s="16" t="s">
        <v>76</v>
      </c>
      <c r="D892" s="22">
        <v>0</v>
      </c>
      <c r="E892" s="22">
        <v>0</v>
      </c>
      <c r="F892" s="22">
        <v>2.684</v>
      </c>
      <c r="G892" s="22">
        <v>0.122</v>
      </c>
      <c r="H892" s="23">
        <v>0</v>
      </c>
      <c r="I892" s="18">
        <v>0</v>
      </c>
      <c r="J892" s="19">
        <v>0</v>
      </c>
      <c r="K892" s="17">
        <v>0</v>
      </c>
      <c r="L892" s="20">
        <v>383.34</v>
      </c>
      <c r="M892" s="21">
        <v>0</v>
      </c>
      <c r="N892" s="21" t="s"/>
      <c r="O892" s="16" t="s"/>
    </row>
    <row r="893" spans="1:15">
      <c r="A893" s="16" t="s">
        <v>784</v>
      </c>
      <c r="B893" s="16" t="s">
        <v>794</v>
      </c>
      <c r="C893" s="16" t="s">
        <v>77</v>
      </c>
      <c r="D893" s="22">
        <v>0</v>
      </c>
      <c r="E893" s="22">
        <v>0</v>
      </c>
      <c r="F893" s="22">
        <v>1.084</v>
      </c>
      <c r="G893" s="22">
        <v>0.05</v>
      </c>
      <c r="H893" s="23">
        <v>0</v>
      </c>
      <c r="I893" s="18">
        <v>0</v>
      </c>
      <c r="J893" s="19">
        <v>0</v>
      </c>
      <c r="K893" s="17">
        <v>0</v>
      </c>
      <c r="L893" s="20">
        <v>83.34</v>
      </c>
      <c r="M893" s="21">
        <v>0</v>
      </c>
      <c r="N893" s="21" t="s"/>
      <c r="O893" s="16" t="s"/>
    </row>
    <row r="894" spans="1:15">
      <c r="A894" s="16" t="s">
        <v>784</v>
      </c>
      <c r="B894" s="16" t="s">
        <v>795</v>
      </c>
      <c r="C894" s="16" t="s"/>
      <c r="D894" s="22">
        <v>3.374</v>
      </c>
      <c r="E894" s="22">
        <v>0.307</v>
      </c>
      <c r="F894" s="22">
        <v>2.935</v>
      </c>
      <c r="G894" s="22">
        <v>0.134</v>
      </c>
      <c r="H894" s="23">
        <v>0</v>
      </c>
      <c r="I894" s="18">
        <v>315.42</v>
      </c>
      <c r="J894" s="19">
        <v>104.885</v>
      </c>
      <c r="K894" s="17">
        <v>0</v>
      </c>
      <c r="L894" s="20">
        <v>161.64</v>
      </c>
      <c r="M894" s="21">
        <v>0</v>
      </c>
      <c r="N894" s="21" t="s"/>
      <c r="O894" s="16" t="s"/>
    </row>
    <row r="895" spans="1:15" ht="20" customHeight="1">
      <c r="A895" s="16" t="s">
        <v>796</v>
      </c>
      <c r="B895" s="16" t="s">
        <v>797</v>
      </c>
      <c r="C895" s="16" t="s">
        <v>62</v>
      </c>
      <c r="D895" s="22">
        <v>0.794</v>
      </c>
      <c r="E895" s="22">
        <v>0.073</v>
      </c>
      <c r="F895" s="22">
        <v>0.265</v>
      </c>
      <c r="G895" s="22">
        <v>0.013</v>
      </c>
      <c r="H895" s="23">
        <v>1.734</v>
      </c>
      <c r="I895" s="18">
        <v>0</v>
      </c>
      <c r="J895" s="19">
        <v>10.615</v>
      </c>
      <c r="K895" s="17">
        <v>0</v>
      </c>
      <c r="L895" s="20">
        <v>48.17</v>
      </c>
      <c r="M895" s="21">
        <v>0</v>
      </c>
      <c r="N895" s="21">
        <v>0.1397</v>
      </c>
      <c r="O895" s="16" t="s"/>
    </row>
    <row r="896" spans="1:15" ht="20" customHeight="1">
      <c r="A896" s="16" t="s">
        <v>796</v>
      </c>
      <c r="B896" s="16" t="s">
        <v>797</v>
      </c>
      <c r="C896" s="16" t="s">
        <v>63</v>
      </c>
      <c r="D896" s="22">
        <v>2.441</v>
      </c>
      <c r="E896" s="22">
        <v>0.222</v>
      </c>
      <c r="F896" s="22">
        <v>0.775</v>
      </c>
      <c r="G896" s="22">
        <v>0.036</v>
      </c>
      <c r="H896" s="23">
        <v>5.07</v>
      </c>
      <c r="I896" s="18">
        <v>0</v>
      </c>
      <c r="J896" s="19">
        <v>30.9925</v>
      </c>
      <c r="K896" s="17">
        <v>0</v>
      </c>
      <c r="L896" s="20">
        <v>140.84</v>
      </c>
      <c r="M896" s="21">
        <v>0</v>
      </c>
      <c r="N896" s="21">
        <v>0.3374</v>
      </c>
      <c r="O896" s="16" t="s"/>
    </row>
    <row r="897" spans="1:15" ht="20" customHeight="1">
      <c r="A897" s="16" t="s">
        <v>796</v>
      </c>
      <c r="B897" s="16" t="s">
        <v>797</v>
      </c>
      <c r="C897" s="16" t="s">
        <v>64</v>
      </c>
      <c r="D897" s="22">
        <v>1.246</v>
      </c>
      <c r="E897" s="22">
        <v>0.114</v>
      </c>
      <c r="F897" s="22">
        <v>0.354</v>
      </c>
      <c r="G897" s="22">
        <v>0.017</v>
      </c>
      <c r="H897" s="23">
        <v>2.315</v>
      </c>
      <c r="I897" s="18">
        <v>0</v>
      </c>
      <c r="J897" s="19">
        <v>14.1625</v>
      </c>
      <c r="K897" s="17">
        <v>0</v>
      </c>
      <c r="L897" s="20">
        <v>64.31</v>
      </c>
      <c r="M897" s="21">
        <v>0</v>
      </c>
      <c r="N897" s="21">
        <v>0.1246</v>
      </c>
      <c r="O897" s="16" t="s"/>
    </row>
    <row r="898" spans="1:15" ht="20" customHeight="1">
      <c r="A898" s="16" t="s">
        <v>796</v>
      </c>
      <c r="B898" s="16" t="s">
        <v>798</v>
      </c>
      <c r="C898" s="16" t="s">
        <v>799</v>
      </c>
      <c r="D898" s="22">
        <v>1.167</v>
      </c>
      <c r="E898" s="22">
        <v>0.107</v>
      </c>
      <c r="F898" s="22">
        <v>0.367</v>
      </c>
      <c r="G898" s="22">
        <v>0.017</v>
      </c>
      <c r="H898" s="23">
        <v>0</v>
      </c>
      <c r="I898" s="18">
        <v>0</v>
      </c>
      <c r="J898" s="19">
        <v>9.185</v>
      </c>
      <c r="K898" s="17">
        <v>0</v>
      </c>
      <c r="L898" s="20">
        <v>41.66</v>
      </c>
      <c r="M898" s="21">
        <v>0</v>
      </c>
      <c r="N898" s="21">
        <v>0.0917</v>
      </c>
      <c r="O898" s="16" t="s"/>
    </row>
    <row r="899" spans="1:15" ht="20" customHeight="1">
      <c r="A899" s="16" t="s">
        <v>796</v>
      </c>
      <c r="B899" s="16" t="s">
        <v>797</v>
      </c>
      <c r="C899" s="16" t="s">
        <v>65</v>
      </c>
      <c r="D899" s="22">
        <v>3.68</v>
      </c>
      <c r="E899" s="22">
        <v>0.335</v>
      </c>
      <c r="F899" s="22">
        <v>1.073</v>
      </c>
      <c r="G899" s="22">
        <v>0.049</v>
      </c>
      <c r="H899" s="23">
        <v>7.019</v>
      </c>
      <c r="I899" s="18">
        <v>0</v>
      </c>
      <c r="J899" s="19">
        <v>42.9</v>
      </c>
      <c r="K899" s="17">
        <v>0</v>
      </c>
      <c r="L899" s="20">
        <v>194.97</v>
      </c>
      <c r="M899" s="21">
        <v>0</v>
      </c>
      <c r="N899" s="21">
        <v>0.3996</v>
      </c>
      <c r="O899" s="16" t="s"/>
    </row>
    <row r="900" spans="1:15" ht="20" customHeight="1">
      <c r="A900" s="16" t="s">
        <v>796</v>
      </c>
      <c r="B900" s="16" t="s">
        <v>800</v>
      </c>
      <c r="C900" s="16" t="s">
        <v>62</v>
      </c>
      <c r="D900" s="22">
        <v>1.126</v>
      </c>
      <c r="E900" s="22">
        <v>0.103</v>
      </c>
      <c r="F900" s="22">
        <v>0.358</v>
      </c>
      <c r="G900" s="22">
        <v>0.017</v>
      </c>
      <c r="H900" s="23">
        <v>0</v>
      </c>
      <c r="I900" s="18">
        <v>65</v>
      </c>
      <c r="J900" s="19">
        <v>14.3</v>
      </c>
      <c r="K900" s="17">
        <v>0</v>
      </c>
      <c r="L900" s="20">
        <v>65</v>
      </c>
      <c r="M900" s="21">
        <v>0</v>
      </c>
      <c r="N900" s="21" t="s"/>
      <c r="O900" s="16" t="s"/>
    </row>
    <row r="901" spans="1:15" ht="20" customHeight="1">
      <c r="A901" s="16" t="s">
        <v>796</v>
      </c>
      <c r="B901" s="16" t="s">
        <v>800</v>
      </c>
      <c r="C901" s="16" t="s">
        <v>63</v>
      </c>
      <c r="D901" s="22">
        <v>1.559</v>
      </c>
      <c r="E901" s="22">
        <v>0.142</v>
      </c>
      <c r="F901" s="22">
        <v>0.495</v>
      </c>
      <c r="G901" s="22">
        <v>0.023</v>
      </c>
      <c r="H901" s="23">
        <v>0</v>
      </c>
      <c r="I901" s="18">
        <v>90</v>
      </c>
      <c r="J901" s="19">
        <v>19.8</v>
      </c>
      <c r="K901" s="17">
        <v>0</v>
      </c>
      <c r="L901" s="20">
        <v>90</v>
      </c>
      <c r="M901" s="21">
        <v>0</v>
      </c>
      <c r="N901" s="21" t="s"/>
      <c r="O901" s="16" t="s"/>
    </row>
    <row r="902" spans="1:15" ht="20" customHeight="1">
      <c r="A902" s="16" t="s">
        <v>796</v>
      </c>
      <c r="B902" s="16" t="s">
        <v>800</v>
      </c>
      <c r="C902" s="16" t="s">
        <v>64</v>
      </c>
      <c r="D902" s="22">
        <v>2.166</v>
      </c>
      <c r="E902" s="22">
        <v>0.197</v>
      </c>
      <c r="F902" s="22">
        <v>0.688</v>
      </c>
      <c r="G902" s="22">
        <v>0.032</v>
      </c>
      <c r="H902" s="23">
        <v>0</v>
      </c>
      <c r="I902" s="18">
        <v>125</v>
      </c>
      <c r="J902" s="19">
        <v>27.5275</v>
      </c>
      <c r="K902" s="17">
        <v>0</v>
      </c>
      <c r="L902" s="20">
        <v>125.01</v>
      </c>
      <c r="M902" s="21">
        <v>0</v>
      </c>
      <c r="N902" s="21" t="s"/>
      <c r="O902" s="16" t="s"/>
    </row>
    <row r="903" spans="1:15" ht="20" customHeight="1">
      <c r="A903" s="16" t="s">
        <v>796</v>
      </c>
      <c r="B903" s="16" t="s">
        <v>801</v>
      </c>
      <c r="C903" s="16" t="s"/>
      <c r="D903" s="22">
        <v>6.048</v>
      </c>
      <c r="E903" s="22">
        <v>0.55</v>
      </c>
      <c r="F903" s="22">
        <v>0.77</v>
      </c>
      <c r="G903" s="22">
        <v>0.035</v>
      </c>
      <c r="H903" s="23">
        <v>0</v>
      </c>
      <c r="I903" s="18">
        <v>140</v>
      </c>
      <c r="J903" s="19">
        <v>30.8</v>
      </c>
      <c r="K903" s="17">
        <v>0</v>
      </c>
      <c r="L903" s="20">
        <v>140</v>
      </c>
      <c r="M903" s="21">
        <v>0</v>
      </c>
      <c r="N903" s="21" t="s"/>
      <c r="O903" s="16" t="s"/>
    </row>
    <row r="904" spans="1:15" ht="20" customHeight="1">
      <c r="A904" s="16" t="s">
        <v>796</v>
      </c>
      <c r="B904" s="16" t="s">
        <v>802</v>
      </c>
      <c r="C904" s="16" t="s">
        <v>62</v>
      </c>
      <c r="D904" s="22">
        <v>1.207</v>
      </c>
      <c r="E904" s="22">
        <v>0.11</v>
      </c>
      <c r="F904" s="22">
        <v>0.34</v>
      </c>
      <c r="G904" s="22">
        <v>0.016</v>
      </c>
      <c r="H904" s="23">
        <v>0</v>
      </c>
      <c r="I904" s="18">
        <v>61.66</v>
      </c>
      <c r="J904" s="19">
        <v>13.585</v>
      </c>
      <c r="K904" s="17">
        <v>0</v>
      </c>
      <c r="L904" s="20">
        <v>61.67</v>
      </c>
      <c r="M904" s="21">
        <v>0</v>
      </c>
      <c r="N904" s="21" t="s"/>
      <c r="O904" s="16" t="s"/>
    </row>
    <row r="905" spans="1:15" ht="20" customHeight="1">
      <c r="A905" s="16" t="s">
        <v>796</v>
      </c>
      <c r="B905" s="16" t="s">
        <v>802</v>
      </c>
      <c r="C905" s="16" t="s">
        <v>63</v>
      </c>
      <c r="D905" s="22">
        <v>1.565</v>
      </c>
      <c r="E905" s="22">
        <v>0.143</v>
      </c>
      <c r="F905" s="22">
        <v>0.44</v>
      </c>
      <c r="G905" s="22">
        <v>0.02</v>
      </c>
      <c r="H905" s="23">
        <v>0</v>
      </c>
      <c r="I905" s="18">
        <v>80</v>
      </c>
      <c r="J905" s="19">
        <v>17.6</v>
      </c>
      <c r="K905" s="17">
        <v>0</v>
      </c>
      <c r="L905" s="20">
        <v>80</v>
      </c>
      <c r="M905" s="21">
        <v>0</v>
      </c>
      <c r="N905" s="21" t="s"/>
      <c r="O905" s="16" t="s"/>
    </row>
    <row r="906" spans="1:15" ht="20" customHeight="1">
      <c r="A906" s="16" t="s">
        <v>796</v>
      </c>
      <c r="B906" s="16" t="s">
        <v>803</v>
      </c>
      <c r="C906" s="16" t="s">
        <v>804</v>
      </c>
      <c r="D906" s="22">
        <v>1.599</v>
      </c>
      <c r="E906" s="22">
        <v>0.146</v>
      </c>
      <c r="F906" s="22">
        <v>0.45</v>
      </c>
      <c r="G906" s="22">
        <v>0.021</v>
      </c>
      <c r="H906" s="23">
        <v>0</v>
      </c>
      <c r="I906" s="18">
        <v>81.69</v>
      </c>
      <c r="J906" s="19">
        <v>17.985</v>
      </c>
      <c r="K906" s="17">
        <v>0</v>
      </c>
      <c r="L906" s="20">
        <v>81.7</v>
      </c>
      <c r="M906" s="21">
        <v>0</v>
      </c>
      <c r="N906" s="21" t="s"/>
      <c r="O906" s="16" t="s"/>
    </row>
    <row r="907" spans="1:15" ht="20" customHeight="1">
      <c r="A907" s="16" t="s">
        <v>796</v>
      </c>
      <c r="B907" s="16" t="s">
        <v>803</v>
      </c>
      <c r="C907" s="16" t="s">
        <v>805</v>
      </c>
      <c r="D907" s="22">
        <v>8.912</v>
      </c>
      <c r="E907" s="22">
        <v>0.811</v>
      </c>
      <c r="F907" s="22">
        <v>0.578</v>
      </c>
      <c r="G907" s="22">
        <v>0.027</v>
      </c>
      <c r="H907" s="23">
        <v>0</v>
      </c>
      <c r="I907" s="18">
        <v>105.03</v>
      </c>
      <c r="J907" s="19">
        <v>23.1275</v>
      </c>
      <c r="K907" s="17">
        <v>0</v>
      </c>
      <c r="L907" s="20">
        <v>150</v>
      </c>
      <c r="M907" s="21">
        <v>0</v>
      </c>
      <c r="N907" s="21" t="s"/>
      <c r="O907" s="16" t="s"/>
    </row>
    <row r="908" spans="1:15" ht="20" customHeight="1">
      <c r="A908" s="16" t="s">
        <v>796</v>
      </c>
      <c r="B908" s="16" t="s">
        <v>806</v>
      </c>
      <c r="C908" s="16" t="s"/>
      <c r="D908" s="22">
        <v>0.989</v>
      </c>
      <c r="E908" s="22">
        <v>0.09</v>
      </c>
      <c r="F908" s="22">
        <v>0.243</v>
      </c>
      <c r="G908" s="22">
        <v>0.012</v>
      </c>
      <c r="H908" s="23">
        <v>0</v>
      </c>
      <c r="I908" s="18">
        <v>0</v>
      </c>
      <c r="J908" s="19">
        <v>9.735</v>
      </c>
      <c r="K908" s="17">
        <v>0</v>
      </c>
      <c r="L908" s="20">
        <v>44.15</v>
      </c>
      <c r="M908" s="21">
        <v>0</v>
      </c>
      <c r="N908" s="21">
        <v>0</v>
      </c>
      <c r="O908" s="16" t="s"/>
    </row>
    <row r="909" spans="1:15" ht="20" customHeight="1">
      <c r="A909" s="16" t="s">
        <v>796</v>
      </c>
      <c r="B909" s="16" t="s">
        <v>806</v>
      </c>
      <c r="C909" s="16" t="s">
        <v>807</v>
      </c>
      <c r="D909" s="22">
        <v>3.159</v>
      </c>
      <c r="E909" s="22">
        <v>0.288</v>
      </c>
      <c r="F909" s="22">
        <v>1.321</v>
      </c>
      <c r="G909" s="22">
        <v>0.061</v>
      </c>
      <c r="H909" s="23">
        <v>0</v>
      </c>
      <c r="I909" s="18">
        <v>0</v>
      </c>
      <c r="J909" s="19">
        <v>30.8275</v>
      </c>
      <c r="K909" s="17">
        <v>0</v>
      </c>
      <c r="L909" s="20">
        <v>290.01</v>
      </c>
      <c r="M909" s="21">
        <v>0</v>
      </c>
      <c r="N909" s="21">
        <v>0.6081</v>
      </c>
      <c r="O909" s="16" t="s"/>
    </row>
    <row r="910" spans="1:15" ht="20" customHeight="1">
      <c r="A910" s="16" t="s">
        <v>796</v>
      </c>
      <c r="B910" s="16" t="s">
        <v>808</v>
      </c>
      <c r="C910" s="16" t="s"/>
      <c r="D910" s="22">
        <v>11.784</v>
      </c>
      <c r="E910" s="22">
        <v>1.072</v>
      </c>
      <c r="F910" s="22">
        <v>3.401</v>
      </c>
      <c r="G910" s="22">
        <v>0.155</v>
      </c>
      <c r="H910" s="23">
        <v>0</v>
      </c>
      <c r="I910" s="18">
        <v>0</v>
      </c>
      <c r="J910" s="19">
        <v>185.185</v>
      </c>
      <c r="K910" s="17">
        <v>0</v>
      </c>
      <c r="L910" s="20">
        <v>283.34</v>
      </c>
      <c r="M910" s="21">
        <v>0</v>
      </c>
      <c r="N910" s="21">
        <v>0</v>
      </c>
      <c r="O910" s="16" t="s"/>
    </row>
    <row r="911" spans="1:15" ht="20" customHeight="1">
      <c r="A911" s="16" t="s">
        <v>796</v>
      </c>
      <c r="B911" s="16" t="s">
        <v>809</v>
      </c>
      <c r="C911" s="16" t="s"/>
      <c r="D911" s="22">
        <v>0.91</v>
      </c>
      <c r="E911" s="22">
        <v>0.083</v>
      </c>
      <c r="F911" s="22">
        <v>0.358</v>
      </c>
      <c r="G911" s="22">
        <v>0.017</v>
      </c>
      <c r="H911" s="23">
        <v>0</v>
      </c>
      <c r="I911" s="18">
        <v>32.5</v>
      </c>
      <c r="J911" s="19">
        <v>7.15</v>
      </c>
      <c r="K911" s="17">
        <v>0</v>
      </c>
      <c r="L911" s="20">
        <v>32.5</v>
      </c>
      <c r="M911" s="21">
        <v>0</v>
      </c>
      <c r="N911" s="21" t="s"/>
      <c r="O911" s="16" t="s"/>
    </row>
    <row r="912" spans="1:15" ht="20" customHeight="1">
      <c r="A912" s="16" t="s">
        <v>796</v>
      </c>
      <c r="B912" s="16" t="s">
        <v>810</v>
      </c>
      <c r="C912" s="16" t="s">
        <v>811</v>
      </c>
      <c r="D912" s="22">
        <v>10.58</v>
      </c>
      <c r="E912" s="22">
        <v>0.962</v>
      </c>
      <c r="F912" s="22">
        <v>1.082</v>
      </c>
      <c r="G912" s="22">
        <v>0.05</v>
      </c>
      <c r="H912" s="23">
        <v>0</v>
      </c>
      <c r="I912" s="18">
        <v>196.66</v>
      </c>
      <c r="J912" s="19">
        <v>43.285</v>
      </c>
      <c r="K912" s="17">
        <v>0</v>
      </c>
      <c r="L912" s="20">
        <v>196.67</v>
      </c>
      <c r="M912" s="21">
        <v>0</v>
      </c>
      <c r="N912" s="21" t="s"/>
      <c r="O912" s="16" t="s"/>
    </row>
    <row r="913" spans="1:15" ht="20" customHeight="1">
      <c r="A913" s="16" t="s">
        <v>796</v>
      </c>
      <c r="B913" s="16" t="s">
        <v>812</v>
      </c>
      <c r="C913" s="16" t="s"/>
      <c r="D913" s="22">
        <v>11.611</v>
      </c>
      <c r="E913" s="22">
        <v>1.056</v>
      </c>
      <c r="F913" s="22">
        <v>1.394</v>
      </c>
      <c r="G913" s="22">
        <v>0.064</v>
      </c>
      <c r="H913" s="23">
        <v>0</v>
      </c>
      <c r="I913" s="18">
        <v>253.33</v>
      </c>
      <c r="J913" s="19">
        <v>55.7425</v>
      </c>
      <c r="K913" s="17">
        <v>0</v>
      </c>
      <c r="L913" s="20">
        <v>253.34</v>
      </c>
      <c r="M913" s="21">
        <v>0</v>
      </c>
      <c r="N913" s="21" t="s"/>
      <c r="O913" s="16" t="s"/>
    </row>
    <row r="914" spans="1:15" ht="20" customHeight="1">
      <c r="A914" s="16" t="s">
        <v>796</v>
      </c>
      <c r="B914" s="16" t="s">
        <v>813</v>
      </c>
      <c r="C914" s="16" t="s"/>
      <c r="D914" s="22">
        <v>1.05</v>
      </c>
      <c r="E914" s="22">
        <v>0.096</v>
      </c>
      <c r="F914" s="22">
        <v>0.207</v>
      </c>
      <c r="G914" s="22">
        <v>0.01</v>
      </c>
      <c r="H914" s="23">
        <v>1.35</v>
      </c>
      <c r="I914" s="18">
        <v>0</v>
      </c>
      <c r="J914" s="19">
        <v>8.25</v>
      </c>
      <c r="K914" s="17">
        <v>0</v>
      </c>
      <c r="L914" s="20">
        <v>37.5</v>
      </c>
      <c r="M914" s="21">
        <v>0</v>
      </c>
      <c r="N914" s="21">
        <v>0.0825</v>
      </c>
      <c r="O914" s="16" t="s"/>
    </row>
    <row r="915" spans="1:15" ht="20" customHeight="1">
      <c r="A915" s="16" t="s">
        <v>796</v>
      </c>
      <c r="B915" s="16" t="s">
        <v>814</v>
      </c>
      <c r="C915" s="16" t="s"/>
      <c r="D915" s="22">
        <v>0.71</v>
      </c>
      <c r="E915" s="22">
        <v>0.065</v>
      </c>
      <c r="F915" s="22">
        <v>0.175</v>
      </c>
      <c r="G915" s="22">
        <v>0.008</v>
      </c>
      <c r="H915" s="23">
        <v>0</v>
      </c>
      <c r="I915" s="18">
        <v>31.66</v>
      </c>
      <c r="J915" s="19">
        <v>6.985</v>
      </c>
      <c r="K915" s="17">
        <v>0</v>
      </c>
      <c r="L915" s="20">
        <v>31.67</v>
      </c>
      <c r="M915" s="21">
        <v>0</v>
      </c>
      <c r="N915" s="21" t="s"/>
      <c r="O915" s="16" t="s"/>
    </row>
    <row r="916" spans="1:15" ht="20" customHeight="1">
      <c r="A916" s="16" t="s">
        <v>796</v>
      </c>
      <c r="B916" s="16" t="s">
        <v>815</v>
      </c>
      <c r="C916" s="16" t="s"/>
      <c r="D916" s="22">
        <v>3.463</v>
      </c>
      <c r="E916" s="22">
        <v>0.315</v>
      </c>
      <c r="F916" s="22">
        <v>1.174</v>
      </c>
      <c r="G916" s="22">
        <v>0.054</v>
      </c>
      <c r="H916" s="23">
        <v>4.08</v>
      </c>
      <c r="I916" s="18">
        <v>0</v>
      </c>
      <c r="J916" s="19">
        <v>24.9425</v>
      </c>
      <c r="K916" s="17">
        <v>0</v>
      </c>
      <c r="L916" s="20">
        <v>263.34</v>
      </c>
      <c r="M916" s="21">
        <v>0</v>
      </c>
      <c r="N916" s="21">
        <v>0.2494</v>
      </c>
      <c r="O916" s="16" t="s"/>
    </row>
    <row r="917" spans="1:15" ht="20" customHeight="1">
      <c r="A917" s="16" t="s">
        <v>796</v>
      </c>
      <c r="B917" s="16" t="s">
        <v>816</v>
      </c>
      <c r="C917" s="16" t="s"/>
      <c r="D917" s="22">
        <v>8.716</v>
      </c>
      <c r="E917" s="22">
        <v>0.793</v>
      </c>
      <c r="F917" s="22">
        <v>1.815</v>
      </c>
      <c r="G917" s="22">
        <v>0.083</v>
      </c>
      <c r="H917" s="23">
        <v>0</v>
      </c>
      <c r="I917" s="18">
        <v>0</v>
      </c>
      <c r="J917" s="19">
        <v>218.9</v>
      </c>
      <c r="K917" s="17">
        <v>0</v>
      </c>
      <c r="L917" s="20">
        <v>329.97</v>
      </c>
      <c r="M917" s="21">
        <v>0</v>
      </c>
      <c r="N917" s="21">
        <v>0.2541</v>
      </c>
      <c r="O917" s="16" t="s"/>
    </row>
    <row r="918" spans="1:15" ht="20" customHeight="1">
      <c r="A918" s="16" t="s">
        <v>796</v>
      </c>
      <c r="B918" s="16" t="s">
        <v>817</v>
      </c>
      <c r="C918" s="16" t="s"/>
      <c r="D918" s="22">
        <v>19.25</v>
      </c>
      <c r="E918" s="22">
        <v>1.75</v>
      </c>
      <c r="F918" s="22">
        <v>0.55</v>
      </c>
      <c r="G918" s="22">
        <v>0.025</v>
      </c>
      <c r="H918" s="23">
        <v>0</v>
      </c>
      <c r="I918" s="18">
        <v>100</v>
      </c>
      <c r="J918" s="19">
        <v>0</v>
      </c>
      <c r="K918" s="17">
        <v>0</v>
      </c>
      <c r="L918" s="20">
        <v>600</v>
      </c>
      <c r="M918" s="21">
        <v>0</v>
      </c>
      <c r="N918" s="21" t="s"/>
      <c r="O918" s="16" t="s"/>
    </row>
    <row r="919" spans="1:15" ht="20" customHeight="1">
      <c r="A919" s="16" t="s">
        <v>796</v>
      </c>
      <c r="B919" s="16" t="s">
        <v>818</v>
      </c>
      <c r="C919" s="16" t="s"/>
      <c r="D919" s="22">
        <v>9.086</v>
      </c>
      <c r="E919" s="22">
        <v>0.826</v>
      </c>
      <c r="F919" s="22">
        <v>1.375</v>
      </c>
      <c r="G919" s="22">
        <v>0.063</v>
      </c>
      <c r="H919" s="23">
        <v>0</v>
      </c>
      <c r="I919" s="18">
        <v>449.5</v>
      </c>
      <c r="J919" s="19">
        <v>201.3</v>
      </c>
      <c r="K919" s="17">
        <v>0</v>
      </c>
      <c r="L919" s="20">
        <v>250</v>
      </c>
      <c r="M919" s="21">
        <v>0</v>
      </c>
      <c r="N919" s="21" t="s"/>
      <c r="O919" s="16" t="s"/>
    </row>
    <row r="920" spans="1:15" ht="20" customHeight="1">
      <c r="A920" s="16" t="s">
        <v>796</v>
      </c>
      <c r="B920" s="16" t="s">
        <v>819</v>
      </c>
      <c r="C920" s="16" t="s"/>
      <c r="D920" s="22">
        <v>30.843</v>
      </c>
      <c r="E920" s="22">
        <v>2.804</v>
      </c>
      <c r="F920" s="22">
        <v>1.513</v>
      </c>
      <c r="G920" s="22">
        <v>0.069</v>
      </c>
      <c r="H920" s="23">
        <v>0</v>
      </c>
      <c r="I920" s="18">
        <v>275</v>
      </c>
      <c r="J920" s="19">
        <v>0</v>
      </c>
      <c r="K920" s="17">
        <v>0</v>
      </c>
      <c r="L920" s="20">
        <v>275</v>
      </c>
      <c r="M920" s="21">
        <v>0</v>
      </c>
      <c r="N920" s="21" t="s"/>
      <c r="O920" s="16" t="s"/>
    </row>
    <row r="921" spans="1:15" ht="20" customHeight="1">
      <c r="A921" s="16" t="s">
        <v>796</v>
      </c>
      <c r="B921" s="16" t="s">
        <v>820</v>
      </c>
      <c r="C921" s="16" t="s"/>
      <c r="D921" s="22">
        <v>4.004</v>
      </c>
      <c r="E921" s="22">
        <v>0.364</v>
      </c>
      <c r="F921" s="22">
        <v>1.21</v>
      </c>
      <c r="G921" s="22">
        <v>0.055</v>
      </c>
      <c r="H921" s="23">
        <v>0</v>
      </c>
      <c r="I921" s="18">
        <v>220</v>
      </c>
      <c r="J921" s="19">
        <v>48.4</v>
      </c>
      <c r="K921" s="17">
        <v>0</v>
      </c>
      <c r="L921" s="20">
        <v>220</v>
      </c>
      <c r="M921" s="21">
        <v>0</v>
      </c>
      <c r="N921" s="21" t="s"/>
      <c r="O921" s="16" t="s"/>
    </row>
    <row r="922" spans="1:15" ht="20" customHeight="1">
      <c r="A922" s="16" t="s">
        <v>796</v>
      </c>
      <c r="B922" s="16" t="s">
        <v>821</v>
      </c>
      <c r="C922" s="16" t="s"/>
      <c r="D922" s="22">
        <v>0.805</v>
      </c>
      <c r="E922" s="22">
        <v>0.074</v>
      </c>
      <c r="F922" s="22">
        <v>0.317</v>
      </c>
      <c r="G922" s="22">
        <v>0.015</v>
      </c>
      <c r="H922" s="23">
        <v>2.07</v>
      </c>
      <c r="I922" s="18">
        <v>0</v>
      </c>
      <c r="J922" s="19">
        <v>12.65</v>
      </c>
      <c r="K922" s="17">
        <v>0</v>
      </c>
      <c r="L922" s="20">
        <v>57.5</v>
      </c>
      <c r="M922" s="21">
        <v>0</v>
      </c>
      <c r="N922" s="21">
        <v>0</v>
      </c>
      <c r="O922" s="16" t="s"/>
    </row>
    <row r="923" spans="1:15" ht="20" customHeight="1">
      <c r="A923" s="16" t="s">
        <v>796</v>
      </c>
      <c r="B923" s="16" t="s">
        <v>822</v>
      </c>
      <c r="C923" s="16" t="s">
        <v>75</v>
      </c>
      <c r="D923" s="22">
        <v>0</v>
      </c>
      <c r="E923" s="22">
        <v>0</v>
      </c>
      <c r="F923" s="22">
        <v>1.953</v>
      </c>
      <c r="G923" s="22">
        <v>0.089</v>
      </c>
      <c r="H923" s="23">
        <v>0</v>
      </c>
      <c r="I923" s="18">
        <v>0</v>
      </c>
      <c r="J923" s="19">
        <v>0</v>
      </c>
      <c r="K923" s="17">
        <v>0</v>
      </c>
      <c r="L923" s="20">
        <v>450.04</v>
      </c>
      <c r="M923" s="21">
        <v>0</v>
      </c>
      <c r="N923" s="21" t="s"/>
      <c r="O923" s="16" t="s"/>
    </row>
    <row r="924" spans="1:15" ht="20" customHeight="1">
      <c r="A924" s="16" t="s">
        <v>796</v>
      </c>
      <c r="B924" s="16" t="s">
        <v>822</v>
      </c>
      <c r="C924" s="16" t="s">
        <v>76</v>
      </c>
      <c r="D924" s="22">
        <v>0</v>
      </c>
      <c r="E924" s="22">
        <v>0</v>
      </c>
      <c r="F924" s="22">
        <v>2.072</v>
      </c>
      <c r="G924" s="22">
        <v>0.095</v>
      </c>
      <c r="H924" s="23">
        <v>0</v>
      </c>
      <c r="I924" s="18">
        <v>0</v>
      </c>
      <c r="J924" s="19">
        <v>0</v>
      </c>
      <c r="K924" s="17">
        <v>0</v>
      </c>
      <c r="L924" s="20">
        <v>466.64</v>
      </c>
      <c r="M924" s="21">
        <v>0</v>
      </c>
      <c r="N924" s="21" t="s"/>
      <c r="O924" s="16" t="s"/>
    </row>
    <row r="925" spans="1:15" ht="20" customHeight="1">
      <c r="A925" s="16" t="s">
        <v>796</v>
      </c>
      <c r="B925" s="16" t="s">
        <v>822</v>
      </c>
      <c r="C925" s="16" t="s">
        <v>77</v>
      </c>
      <c r="D925" s="22">
        <v>0</v>
      </c>
      <c r="E925" s="22">
        <v>0</v>
      </c>
      <c r="F925" s="22">
        <v>1.192</v>
      </c>
      <c r="G925" s="22">
        <v>0.055</v>
      </c>
      <c r="H925" s="23">
        <v>0</v>
      </c>
      <c r="I925" s="18">
        <v>0</v>
      </c>
      <c r="J925" s="19">
        <v>0</v>
      </c>
      <c r="K925" s="17">
        <v>0</v>
      </c>
      <c r="L925" s="20">
        <v>166.64</v>
      </c>
      <c r="M925" s="21">
        <v>0</v>
      </c>
      <c r="N925" s="21" t="s"/>
      <c r="O925" s="16" t="s"/>
    </row>
    <row r="926" spans="1:15" ht="20" customHeight="1">
      <c r="A926" s="16" t="s">
        <v>796</v>
      </c>
      <c r="B926" s="16" t="s">
        <v>823</v>
      </c>
      <c r="C926" s="16" t="s"/>
      <c r="D926" s="22">
        <v>4.137</v>
      </c>
      <c r="E926" s="22">
        <v>0.377</v>
      </c>
      <c r="F926" s="22">
        <v>1.4</v>
      </c>
      <c r="G926" s="22">
        <v>0.064</v>
      </c>
      <c r="H926" s="23">
        <v>0</v>
      </c>
      <c r="I926" s="18">
        <v>0</v>
      </c>
      <c r="J926" s="19">
        <v>74.03</v>
      </c>
      <c r="K926" s="17">
        <v>0</v>
      </c>
      <c r="L926" s="20">
        <v>131.67</v>
      </c>
      <c r="M926" s="21">
        <v>0</v>
      </c>
      <c r="N926" s="21">
        <v>0</v>
      </c>
      <c r="O926" s="16" t="s"/>
    </row>
    <row r="927" spans="1:15" ht="20" customHeight="1">
      <c r="A927" s="16" t="s">
        <v>796</v>
      </c>
      <c r="B927" s="16" t="s">
        <v>824</v>
      </c>
      <c r="C927" s="16" t="s"/>
      <c r="D927" s="22">
        <v>4.3</v>
      </c>
      <c r="E927" s="22">
        <v>0.391</v>
      </c>
      <c r="F927" s="22">
        <v>1.46</v>
      </c>
      <c r="G927" s="22">
        <v>0.067</v>
      </c>
      <c r="H927" s="23">
        <v>0</v>
      </c>
      <c r="I927" s="18">
        <v>286.22</v>
      </c>
      <c r="J927" s="19">
        <v>76.78</v>
      </c>
      <c r="K927" s="17">
        <v>0</v>
      </c>
      <c r="L927" s="20">
        <v>140</v>
      </c>
      <c r="M927" s="21">
        <v>0</v>
      </c>
      <c r="N927" s="21" t="s"/>
      <c r="O927" s="16" t="s"/>
    </row>
    <row r="928" spans="1:15" ht="20" customHeight="1">
      <c r="A928" s="16" t="s">
        <v>796</v>
      </c>
      <c r="B928" s="16" t="s">
        <v>825</v>
      </c>
      <c r="C928" s="16" t="s"/>
      <c r="D928" s="22">
        <v>0.673</v>
      </c>
      <c r="E928" s="22">
        <v>0.062</v>
      </c>
      <c r="F928" s="22">
        <v>0.331</v>
      </c>
      <c r="G928" s="22">
        <v>0.016</v>
      </c>
      <c r="H928" s="23">
        <v>0</v>
      </c>
      <c r="I928" s="18">
        <v>60</v>
      </c>
      <c r="J928" s="19">
        <v>13.2275</v>
      </c>
      <c r="K928" s="17">
        <v>0</v>
      </c>
      <c r="L928" s="20">
        <v>60.01</v>
      </c>
      <c r="M928" s="21">
        <v>0</v>
      </c>
      <c r="N928" s="21">
        <v>0</v>
      </c>
      <c r="O928" s="16" t="s"/>
    </row>
    <row r="929" spans="1:15" ht="20" customHeight="1">
      <c r="A929" s="16" t="s">
        <v>826</v>
      </c>
      <c r="B929" s="16" t="s">
        <v>827</v>
      </c>
      <c r="C929" s="16" t="s">
        <v>62</v>
      </c>
      <c r="D929" s="22">
        <v>0.287</v>
      </c>
      <c r="E929" s="22">
        <v>0.027</v>
      </c>
      <c r="F929" s="22">
        <v>0.269</v>
      </c>
      <c r="G929" s="22">
        <v>0.013</v>
      </c>
      <c r="H929" s="23">
        <v>0</v>
      </c>
      <c r="I929" s="18">
        <v>0</v>
      </c>
      <c r="J929" s="19">
        <v>7.3975</v>
      </c>
      <c r="K929" s="17">
        <v>0.806</v>
      </c>
      <c r="L929" s="20">
        <v>26.87</v>
      </c>
      <c r="M929" s="21">
        <v>0</v>
      </c>
      <c r="N929" s="21" t="s"/>
      <c r="O929" s="16" t="s"/>
    </row>
    <row r="930" spans="1:15" ht="20" customHeight="1">
      <c r="A930" s="16" t="s">
        <v>826</v>
      </c>
      <c r="B930" s="16" t="s">
        <v>827</v>
      </c>
      <c r="C930" s="16" t="s">
        <v>828</v>
      </c>
      <c r="D930" s="22">
        <v>0.382</v>
      </c>
      <c r="E930" s="22">
        <v>0.035</v>
      </c>
      <c r="F930" s="22">
        <v>0.362</v>
      </c>
      <c r="G930" s="22">
        <v>0.017</v>
      </c>
      <c r="H930" s="23">
        <v>0</v>
      </c>
      <c r="I930" s="18">
        <v>0</v>
      </c>
      <c r="J930" s="19">
        <v>9.955</v>
      </c>
      <c r="K930" s="17">
        <v>1.086</v>
      </c>
      <c r="L930" s="20">
        <v>36.18</v>
      </c>
      <c r="M930" s="21">
        <v>0</v>
      </c>
      <c r="N930" s="21" t="s"/>
      <c r="O930" s="16" t="s"/>
    </row>
    <row r="931" spans="1:15" ht="20" customHeight="1">
      <c r="A931" s="16" t="s">
        <v>826</v>
      </c>
      <c r="B931" s="16" t="s">
        <v>827</v>
      </c>
      <c r="C931" s="16" t="s">
        <v>829</v>
      </c>
      <c r="D931" s="22">
        <v>0.445</v>
      </c>
      <c r="E931" s="22">
        <v>0.041</v>
      </c>
      <c r="F931" s="22">
        <v>0.431</v>
      </c>
      <c r="G931" s="22">
        <v>0.02</v>
      </c>
      <c r="H931" s="23">
        <v>0</v>
      </c>
      <c r="I931" s="18">
        <v>0</v>
      </c>
      <c r="J931" s="19">
        <v>11.8525</v>
      </c>
      <c r="K931" s="17">
        <v>1.291</v>
      </c>
      <c r="L931" s="20">
        <v>43.02</v>
      </c>
      <c r="M931" s="21">
        <v>0</v>
      </c>
      <c r="N931" s="21" t="s"/>
      <c r="O931" s="16" t="s"/>
    </row>
    <row r="932" spans="1:15">
      <c r="A932" s="16" t="s">
        <v>826</v>
      </c>
      <c r="B932" s="16" t="s">
        <v>827</v>
      </c>
      <c r="C932" s="16" t="s">
        <v>830</v>
      </c>
      <c r="D932" s="22">
        <v>0.6</v>
      </c>
      <c r="E932" s="22">
        <v>0.055</v>
      </c>
      <c r="F932" s="22">
        <v>0.59</v>
      </c>
      <c r="G932" s="22">
        <v>0.027</v>
      </c>
      <c r="H932" s="23">
        <v>0</v>
      </c>
      <c r="I932" s="18">
        <v>0</v>
      </c>
      <c r="J932" s="19">
        <v>16.225</v>
      </c>
      <c r="K932" s="17">
        <v>1.768</v>
      </c>
      <c r="L932" s="20">
        <v>58.91</v>
      </c>
      <c r="M932" s="21">
        <v>0</v>
      </c>
      <c r="N932" s="21" t="s"/>
      <c r="O932" s="16" t="s"/>
    </row>
    <row r="933" spans="1:15">
      <c r="A933" s="16" t="s">
        <v>826</v>
      </c>
      <c r="B933" s="16" t="s">
        <v>827</v>
      </c>
      <c r="C933" s="16" t="s">
        <v>831</v>
      </c>
      <c r="D933" s="22">
        <v>0.746</v>
      </c>
      <c r="E933" s="22">
        <v>0.068</v>
      </c>
      <c r="F933" s="22">
        <v>0.743</v>
      </c>
      <c r="G933" s="22">
        <v>0.034</v>
      </c>
      <c r="H933" s="23">
        <v>0</v>
      </c>
      <c r="I933" s="18">
        <v>0</v>
      </c>
      <c r="J933" s="19">
        <v>20.4325</v>
      </c>
      <c r="K933" s="17">
        <v>2.227</v>
      </c>
      <c r="L933" s="20">
        <v>74.24</v>
      </c>
      <c r="M933" s="21">
        <v>0</v>
      </c>
      <c r="N933" s="21" t="s"/>
      <c r="O933" s="16" t="s"/>
    </row>
    <row r="934" spans="1:15" ht="20" customHeight="1">
      <c r="A934" s="16" t="s">
        <v>826</v>
      </c>
      <c r="B934" s="16" t="s">
        <v>827</v>
      </c>
      <c r="C934" s="26" t="s">
        <v>832</v>
      </c>
      <c r="D934" s="22">
        <v>0.287</v>
      </c>
      <c r="E934" s="22">
        <v>0.027</v>
      </c>
      <c r="F934" s="22">
        <v>0.269</v>
      </c>
      <c r="G934" s="22">
        <v>0.013</v>
      </c>
      <c r="H934" s="23">
        <v>0</v>
      </c>
      <c r="I934" s="18">
        <v>0</v>
      </c>
      <c r="J934" s="19">
        <v>7.3975</v>
      </c>
      <c r="K934" s="17">
        <v>0.806</v>
      </c>
      <c r="L934" s="20">
        <v>26.87</v>
      </c>
      <c r="M934" s="21">
        <v>0</v>
      </c>
      <c r="N934" s="21" t="s"/>
      <c r="O934" s="16" t="s"/>
    </row>
    <row r="935" spans="1:15" ht="20" customHeight="1">
      <c r="A935" s="16" t="s">
        <v>826</v>
      </c>
      <c r="B935" s="16" t="s">
        <v>827</v>
      </c>
      <c r="C935" s="26" t="s">
        <v>833</v>
      </c>
      <c r="D935" s="22">
        <v>0.382</v>
      </c>
      <c r="E935" s="22">
        <v>0.035</v>
      </c>
      <c r="F935" s="22">
        <v>0.362</v>
      </c>
      <c r="G935" s="22">
        <v>0.017</v>
      </c>
      <c r="H935" s="23">
        <v>0</v>
      </c>
      <c r="I935" s="18">
        <v>0</v>
      </c>
      <c r="J935" s="19">
        <v>9.955</v>
      </c>
      <c r="K935" s="17">
        <v>1.086</v>
      </c>
      <c r="L935" s="20">
        <v>36.18</v>
      </c>
      <c r="M935" s="21">
        <v>0</v>
      </c>
      <c r="N935" s="21" t="s"/>
      <c r="O935" s="16" t="s"/>
    </row>
    <row r="936" spans="1:15" ht="20" customHeight="1">
      <c r="A936" s="16" t="s">
        <v>826</v>
      </c>
      <c r="B936" s="16" t="s">
        <v>827</v>
      </c>
      <c r="C936" s="26" t="s">
        <v>834</v>
      </c>
      <c r="D936" s="22">
        <v>0.6</v>
      </c>
      <c r="E936" s="22">
        <v>0.055</v>
      </c>
      <c r="F936" s="22">
        <v>0.59</v>
      </c>
      <c r="G936" s="22">
        <v>0.027</v>
      </c>
      <c r="H936" s="23">
        <v>0</v>
      </c>
      <c r="I936" s="18">
        <v>0</v>
      </c>
      <c r="J936" s="19">
        <v>16.225</v>
      </c>
      <c r="K936" s="17">
        <v>1.768</v>
      </c>
      <c r="L936" s="20">
        <v>58.91</v>
      </c>
      <c r="M936" s="21">
        <v>0</v>
      </c>
      <c r="N936" s="21" t="s"/>
      <c r="O936" s="16" t="s"/>
    </row>
    <row r="937" spans="1:15">
      <c r="A937" s="16" t="s">
        <v>826</v>
      </c>
      <c r="B937" s="16" t="s">
        <v>827</v>
      </c>
      <c r="C937" s="26" t="s">
        <v>835</v>
      </c>
      <c r="D937" s="22">
        <v>0.344</v>
      </c>
      <c r="E937" s="22">
        <v>0.032</v>
      </c>
      <c r="F937" s="22">
        <v>0.305</v>
      </c>
      <c r="G937" s="22">
        <v>0.014</v>
      </c>
      <c r="H937" s="23">
        <v>0</v>
      </c>
      <c r="I937" s="18">
        <v>35.81</v>
      </c>
      <c r="J937" s="19">
        <v>8.3875</v>
      </c>
      <c r="K937" s="17">
        <v>0.914</v>
      </c>
      <c r="L937" s="20">
        <v>30.45</v>
      </c>
      <c r="M937" s="21">
        <v>0</v>
      </c>
      <c r="N937" s="21" t="s"/>
      <c r="O937" s="16" t="s"/>
    </row>
    <row r="938" spans="1:15">
      <c r="A938" s="16" t="s">
        <v>826</v>
      </c>
      <c r="B938" s="16" t="s">
        <v>827</v>
      </c>
      <c r="C938" s="26" t="s">
        <v>836</v>
      </c>
      <c r="D938" s="22">
        <v>0.573</v>
      </c>
      <c r="E938" s="22">
        <v>0.053</v>
      </c>
      <c r="F938" s="22">
        <v>0.551</v>
      </c>
      <c r="G938" s="22">
        <v>0.026</v>
      </c>
      <c r="H938" s="23">
        <v>0</v>
      </c>
      <c r="I938" s="18">
        <v>55.01</v>
      </c>
      <c r="J938" s="19">
        <v>15.1525</v>
      </c>
      <c r="K938" s="17">
        <v>1.651</v>
      </c>
      <c r="L938" s="20">
        <v>55.02</v>
      </c>
      <c r="M938" s="21">
        <v>0</v>
      </c>
      <c r="N938" s="21" t="s"/>
      <c r="O938" s="16" t="s"/>
    </row>
    <row r="939" spans="1:15">
      <c r="A939" s="16" t="s">
        <v>826</v>
      </c>
      <c r="B939" s="16" t="s">
        <v>827</v>
      </c>
      <c r="C939" s="26" t="s">
        <v>837</v>
      </c>
      <c r="D939" s="22">
        <v>0.833</v>
      </c>
      <c r="E939" s="22">
        <v>0.076</v>
      </c>
      <c r="F939" s="22">
        <v>0.826</v>
      </c>
      <c r="G939" s="22">
        <v>0.038</v>
      </c>
      <c r="H939" s="23">
        <v>0</v>
      </c>
      <c r="I939" s="18">
        <v>71.65</v>
      </c>
      <c r="J939" s="19">
        <v>22.715</v>
      </c>
      <c r="K939" s="17">
        <v>2.477</v>
      </c>
      <c r="L939" s="20">
        <v>82.57</v>
      </c>
      <c r="M939" s="21">
        <v>0</v>
      </c>
      <c r="N939" s="21" t="s"/>
      <c r="O939" s="16" t="s"/>
    </row>
    <row r="940" spans="1:15">
      <c r="A940" s="16" t="s">
        <v>826</v>
      </c>
      <c r="B940" s="26" t="s">
        <v>838</v>
      </c>
      <c r="C940" s="16" t="s">
        <v>62</v>
      </c>
      <c r="D940" s="22">
        <v>0.531</v>
      </c>
      <c r="E940" s="22">
        <v>0.049</v>
      </c>
      <c r="F940" s="22">
        <v>0.388</v>
      </c>
      <c r="G940" s="22">
        <v>0.018</v>
      </c>
      <c r="H940" s="23">
        <v>0</v>
      </c>
      <c r="I940" s="18">
        <v>38.75</v>
      </c>
      <c r="J940" s="19">
        <v>10.67</v>
      </c>
      <c r="K940" s="17">
        <v>1.163</v>
      </c>
      <c r="L940" s="20">
        <v>38.76</v>
      </c>
      <c r="M940" s="21">
        <v>0</v>
      </c>
      <c r="N940" s="21" t="s"/>
      <c r="O940" s="16" t="s"/>
    </row>
    <row r="941" spans="1:15">
      <c r="A941" s="16" t="s">
        <v>826</v>
      </c>
      <c r="B941" s="26" t="s">
        <v>838</v>
      </c>
      <c r="C941" s="16" t="s">
        <v>63</v>
      </c>
      <c r="D941" s="22">
        <v>1.112</v>
      </c>
      <c r="E941" s="22">
        <v>0.102</v>
      </c>
      <c r="F941" s="22">
        <v>0.874</v>
      </c>
      <c r="G941" s="22">
        <v>0.04</v>
      </c>
      <c r="H941" s="23">
        <v>0</v>
      </c>
      <c r="I941" s="18">
        <v>87.36</v>
      </c>
      <c r="J941" s="19">
        <v>24.035</v>
      </c>
      <c r="K941" s="17">
        <v>2.621</v>
      </c>
      <c r="L941" s="20">
        <v>87.37</v>
      </c>
      <c r="M941" s="21">
        <v>0</v>
      </c>
      <c r="N941" s="21" t="s"/>
      <c r="O941" s="16" t="s"/>
    </row>
    <row r="942" spans="1:15">
      <c r="A942" s="16" t="s">
        <v>826</v>
      </c>
      <c r="B942" s="26" t="s">
        <v>838</v>
      </c>
      <c r="C942" s="16" t="s">
        <v>64</v>
      </c>
      <c r="D942" s="22">
        <v>1.545</v>
      </c>
      <c r="E942" s="22">
        <v>0.141</v>
      </c>
      <c r="F942" s="22">
        <v>1.416</v>
      </c>
      <c r="G942" s="22">
        <v>0.065</v>
      </c>
      <c r="H942" s="23">
        <v>0</v>
      </c>
      <c r="I942" s="18">
        <v>141.53</v>
      </c>
      <c r="J942" s="19">
        <v>38.94</v>
      </c>
      <c r="K942" s="17">
        <v>4.247</v>
      </c>
      <c r="L942" s="20">
        <v>141.54</v>
      </c>
      <c r="M942" s="21">
        <v>0</v>
      </c>
      <c r="N942" s="21" t="s"/>
      <c r="O942" s="16" t="s"/>
    </row>
    <row r="943" spans="1:15">
      <c r="A943" s="16" t="s">
        <v>826</v>
      </c>
      <c r="B943" s="26" t="s">
        <v>838</v>
      </c>
      <c r="C943" s="16" t="s">
        <v>65</v>
      </c>
      <c r="D943" s="22">
        <v>2.378</v>
      </c>
      <c r="E943" s="22">
        <v>0.217</v>
      </c>
      <c r="F943" s="22">
        <v>2.175</v>
      </c>
      <c r="G943" s="22">
        <v>0.099</v>
      </c>
      <c r="H943" s="23">
        <v>0</v>
      </c>
      <c r="I943" s="18">
        <v>217.42</v>
      </c>
      <c r="J943" s="19">
        <v>59.8125</v>
      </c>
      <c r="K943" s="17">
        <v>6.523</v>
      </c>
      <c r="L943" s="20">
        <v>217.43</v>
      </c>
      <c r="M943" s="21">
        <v>0</v>
      </c>
      <c r="N943" s="21" t="s"/>
      <c r="O943" s="16" t="s"/>
    </row>
    <row r="944" spans="1:15">
      <c r="A944" s="16" t="s">
        <v>826</v>
      </c>
      <c r="B944" s="26" t="s">
        <v>839</v>
      </c>
      <c r="C944" s="16" t="s"/>
      <c r="D944" s="22">
        <v>0.507</v>
      </c>
      <c r="E944" s="22">
        <v>0.047</v>
      </c>
      <c r="F944" s="22">
        <v>0.476</v>
      </c>
      <c r="G944" s="22">
        <v>0.022</v>
      </c>
      <c r="H944" s="23">
        <v>0</v>
      </c>
      <c r="I944" s="18">
        <v>47.52</v>
      </c>
      <c r="J944" s="19">
        <v>13.09</v>
      </c>
      <c r="K944" s="17">
        <v>0</v>
      </c>
      <c r="L944" s="20">
        <v>47.53</v>
      </c>
      <c r="M944" s="21">
        <v>0</v>
      </c>
      <c r="N944" s="21" t="s"/>
      <c r="O944" s="16" t="s"/>
    </row>
    <row r="945" spans="1:15">
      <c r="A945" s="16" t="s">
        <v>826</v>
      </c>
      <c r="B945" s="26" t="s">
        <v>839</v>
      </c>
      <c r="C945" s="26" t="s">
        <v>840</v>
      </c>
      <c r="D945" s="22">
        <v>1.307</v>
      </c>
      <c r="E945" s="22">
        <v>0.119</v>
      </c>
      <c r="F945" s="22">
        <v>1.226</v>
      </c>
      <c r="G945" s="22">
        <v>0.056</v>
      </c>
      <c r="H945" s="23">
        <v>0</v>
      </c>
      <c r="I945" s="18">
        <v>122.52</v>
      </c>
      <c r="J945" s="19">
        <v>33.715</v>
      </c>
      <c r="K945" s="17">
        <v>0</v>
      </c>
      <c r="L945" s="20">
        <v>122.53</v>
      </c>
      <c r="M945" s="21">
        <v>0</v>
      </c>
      <c r="N945" s="21" t="s"/>
      <c r="O945" s="16" t="s"/>
    </row>
    <row r="946" spans="1:15">
      <c r="A946" s="16" t="s">
        <v>826</v>
      </c>
      <c r="B946" s="26" t="s">
        <v>841</v>
      </c>
      <c r="C946" s="16" t="s"/>
      <c r="D946" s="22">
        <v>6.526</v>
      </c>
      <c r="E946" s="22">
        <v>0.594</v>
      </c>
      <c r="F946" s="22">
        <v>6.622</v>
      </c>
      <c r="G946" s="22">
        <v>0.301</v>
      </c>
      <c r="H946" s="23">
        <v>0</v>
      </c>
      <c r="I946" s="18">
        <v>738.91</v>
      </c>
      <c r="J946" s="19">
        <v>266.53</v>
      </c>
      <c r="K946" s="17">
        <v>0</v>
      </c>
      <c r="L946" s="20">
        <v>201.67</v>
      </c>
      <c r="M946" s="21">
        <v>0</v>
      </c>
      <c r="N946" s="21" t="s"/>
      <c r="O946" s="16" t="s"/>
    </row>
    <row r="947" spans="1:15">
      <c r="A947" s="16" t="s">
        <v>826</v>
      </c>
      <c r="B947" s="26" t="s">
        <v>842</v>
      </c>
      <c r="C947" s="16" t="s"/>
      <c r="D947" s="22">
        <v>0.587</v>
      </c>
      <c r="E947" s="22">
        <v>0.054</v>
      </c>
      <c r="F947" s="22">
        <v>0.367</v>
      </c>
      <c r="G947" s="22">
        <v>0.017</v>
      </c>
      <c r="H947" s="23">
        <v>0</v>
      </c>
      <c r="I947" s="18">
        <v>0</v>
      </c>
      <c r="J947" s="19">
        <v>10.0925</v>
      </c>
      <c r="K947" s="17">
        <v>1.1</v>
      </c>
      <c r="L947" s="20">
        <v>36.67</v>
      </c>
      <c r="M947" s="21">
        <v>0</v>
      </c>
      <c r="N947" s="21" t="s"/>
      <c r="O947" s="16" t="s"/>
    </row>
    <row r="948" spans="1:15">
      <c r="A948" s="16" t="s">
        <v>826</v>
      </c>
      <c r="B948" s="26" t="s">
        <v>843</v>
      </c>
      <c r="C948" s="16" t="s"/>
      <c r="D948" s="22">
        <v>1.98</v>
      </c>
      <c r="E948" s="22">
        <v>0.18</v>
      </c>
      <c r="F948" s="22">
        <v>2.134</v>
      </c>
      <c r="G948" s="22">
        <v>0.097</v>
      </c>
      <c r="H948" s="23">
        <v>0</v>
      </c>
      <c r="I948" s="18">
        <v>113.36</v>
      </c>
      <c r="J948" s="19">
        <v>31.185</v>
      </c>
      <c r="K948" s="17">
        <v>3.402</v>
      </c>
      <c r="L948" s="20">
        <v>263.37</v>
      </c>
      <c r="M948" s="21">
        <v>0</v>
      </c>
      <c r="N948" s="21" t="s"/>
      <c r="O948" s="16" t="s"/>
    </row>
    <row r="949" spans="1:15">
      <c r="A949" s="16" t="s">
        <v>826</v>
      </c>
      <c r="B949" s="26" t="s">
        <v>844</v>
      </c>
      <c r="C949" s="16" t="s"/>
      <c r="D949" s="22">
        <v>4.833</v>
      </c>
      <c r="E949" s="22">
        <v>0.44</v>
      </c>
      <c r="F949" s="22">
        <v>2.051</v>
      </c>
      <c r="G949" s="22">
        <v>0.094</v>
      </c>
      <c r="H949" s="23">
        <v>0</v>
      </c>
      <c r="I949" s="18">
        <v>404.5</v>
      </c>
      <c r="J949" s="19">
        <v>239.2775</v>
      </c>
      <c r="K949" s="17">
        <v>0</v>
      </c>
      <c r="L949" s="20">
        <v>205.01</v>
      </c>
      <c r="M949" s="21">
        <v>0</v>
      </c>
      <c r="N949" s="21" t="s"/>
      <c r="O949" s="16" t="s"/>
    </row>
    <row r="950" spans="1:15">
      <c r="A950" s="16" t="s">
        <v>826</v>
      </c>
      <c r="B950" s="26" t="s">
        <v>845</v>
      </c>
      <c r="C950" s="16" t="s"/>
      <c r="D950" s="22">
        <v>15.623</v>
      </c>
      <c r="E950" s="22">
        <v>1.421</v>
      </c>
      <c r="F950" s="22">
        <v>3.484</v>
      </c>
      <c r="G950" s="22">
        <v>0.159</v>
      </c>
      <c r="H950" s="23">
        <v>0</v>
      </c>
      <c r="I950" s="18">
        <v>348.33</v>
      </c>
      <c r="J950" s="19">
        <v>0</v>
      </c>
      <c r="K950" s="17">
        <v>0</v>
      </c>
      <c r="L950" s="20">
        <v>848.34</v>
      </c>
      <c r="M950" s="21">
        <v>0</v>
      </c>
      <c r="N950" s="21" t="s"/>
      <c r="O950" s="16" t="s"/>
    </row>
    <row r="951" spans="1:15">
      <c r="A951" s="16" t="s">
        <v>826</v>
      </c>
      <c r="B951" s="26" t="s">
        <v>846</v>
      </c>
      <c r="C951" s="16" t="s"/>
      <c r="D951" s="22">
        <v>0.907</v>
      </c>
      <c r="E951" s="22">
        <v>0.083</v>
      </c>
      <c r="F951" s="22">
        <v>0.567</v>
      </c>
      <c r="G951" s="22">
        <v>0.026</v>
      </c>
      <c r="H951" s="23">
        <v>0</v>
      </c>
      <c r="I951" s="18">
        <v>56.68</v>
      </c>
      <c r="J951" s="19">
        <v>15.5925</v>
      </c>
      <c r="K951" s="17">
        <v>1.701</v>
      </c>
      <c r="L951" s="20">
        <v>56.69</v>
      </c>
      <c r="M951" s="21">
        <v>0</v>
      </c>
      <c r="N951" s="21" t="s"/>
      <c r="O951" s="16" t="s"/>
    </row>
    <row r="952" spans="1:15">
      <c r="A952" s="16" t="s">
        <v>826</v>
      </c>
      <c r="B952" s="26" t="s">
        <v>847</v>
      </c>
      <c r="C952" s="16" t="s">
        <v>75</v>
      </c>
      <c r="D952" s="22">
        <v>0</v>
      </c>
      <c r="E952" s="22">
        <v>0</v>
      </c>
      <c r="F952" s="22">
        <v>2.467</v>
      </c>
      <c r="G952" s="22">
        <v>0.113</v>
      </c>
      <c r="H952" s="23">
        <v>0</v>
      </c>
      <c r="I952" s="18">
        <v>0</v>
      </c>
      <c r="J952" s="19">
        <v>0</v>
      </c>
      <c r="K952" s="17">
        <v>0</v>
      </c>
      <c r="L952" s="20">
        <v>366.64</v>
      </c>
      <c r="M952" s="21">
        <v>0</v>
      </c>
      <c r="N952" s="21" t="s"/>
      <c r="O952" s="16" t="s"/>
    </row>
    <row r="953" spans="1:15">
      <c r="A953" s="16" t="s">
        <v>826</v>
      </c>
      <c r="B953" s="26" t="s">
        <v>847</v>
      </c>
      <c r="C953" s="16" t="s">
        <v>76</v>
      </c>
      <c r="D953" s="22">
        <v>0</v>
      </c>
      <c r="E953" s="22">
        <v>0</v>
      </c>
      <c r="F953" s="22">
        <v>3.117</v>
      </c>
      <c r="G953" s="22">
        <v>0.142</v>
      </c>
      <c r="H953" s="23">
        <v>0</v>
      </c>
      <c r="I953" s="18">
        <v>0</v>
      </c>
      <c r="J953" s="19">
        <v>0</v>
      </c>
      <c r="K953" s="17">
        <v>0</v>
      </c>
      <c r="L953" s="20">
        <v>416.64</v>
      </c>
      <c r="M953" s="21">
        <v>0</v>
      </c>
      <c r="N953" s="21" t="s"/>
      <c r="O953" s="16" t="s"/>
    </row>
    <row r="954" spans="1:15">
      <c r="A954" s="16" t="s">
        <v>826</v>
      </c>
      <c r="B954" s="26" t="s">
        <v>847</v>
      </c>
      <c r="C954" s="16" t="s">
        <v>77</v>
      </c>
      <c r="D954" s="22">
        <v>0</v>
      </c>
      <c r="E954" s="22">
        <v>0</v>
      </c>
      <c r="F954" s="22">
        <v>1.517</v>
      </c>
      <c r="G954" s="22">
        <v>0.069</v>
      </c>
      <c r="H954" s="23">
        <v>0</v>
      </c>
      <c r="I954" s="18">
        <v>0</v>
      </c>
      <c r="J954" s="19">
        <v>0</v>
      </c>
      <c r="K954" s="17">
        <v>0</v>
      </c>
      <c r="L954" s="20">
        <v>116.64</v>
      </c>
      <c r="M954" s="21">
        <v>0</v>
      </c>
      <c r="N954" s="21" t="s"/>
      <c r="O954" s="16" t="s"/>
    </row>
    <row r="955" spans="1:15">
      <c r="A955" s="16" t="s">
        <v>826</v>
      </c>
      <c r="B955" s="26" t="s">
        <v>848</v>
      </c>
      <c r="C955" s="16" t="s">
        <v>96</v>
      </c>
      <c r="D955" s="22">
        <v>1.667</v>
      </c>
      <c r="E955" s="22">
        <v>0.152</v>
      </c>
      <c r="F955" s="22">
        <v>2.709</v>
      </c>
      <c r="G955" s="22">
        <v>0.124</v>
      </c>
      <c r="H955" s="23">
        <v>0</v>
      </c>
      <c r="I955" s="18">
        <v>208.33</v>
      </c>
      <c r="J955" s="19">
        <v>57.31</v>
      </c>
      <c r="K955" s="17">
        <v>4.688</v>
      </c>
      <c r="L955" s="20">
        <v>208.34</v>
      </c>
      <c r="M955" s="21">
        <v>0</v>
      </c>
      <c r="N955" s="21" t="s"/>
      <c r="O955" s="16" t="s"/>
    </row>
    <row r="956" spans="1:15">
      <c r="A956" s="16" t="s">
        <v>826</v>
      </c>
      <c r="B956" s="26" t="s">
        <v>848</v>
      </c>
      <c r="C956" s="16" t="s">
        <v>97</v>
      </c>
      <c r="D956" s="22">
        <v>4.034</v>
      </c>
      <c r="E956" s="22">
        <v>0.367</v>
      </c>
      <c r="F956" s="22">
        <v>2.1</v>
      </c>
      <c r="G956" s="22">
        <v>0.096</v>
      </c>
      <c r="H956" s="23">
        <v>0</v>
      </c>
      <c r="I956" s="18">
        <v>210</v>
      </c>
      <c r="J956" s="19">
        <v>57.75</v>
      </c>
      <c r="K956" s="17">
        <v>7.863</v>
      </c>
      <c r="L956" s="20">
        <v>210</v>
      </c>
      <c r="M956" s="21">
        <v>0</v>
      </c>
      <c r="N956" s="21" t="s"/>
      <c r="O956" s="16" t="s"/>
    </row>
    <row r="957" spans="1:15">
      <c r="A957" s="16" t="s">
        <v>826</v>
      </c>
      <c r="B957" s="26" t="s">
        <v>847</v>
      </c>
      <c r="C957" s="16" t="s"/>
      <c r="D957" s="22">
        <v>0.4</v>
      </c>
      <c r="E957" s="22">
        <v>0.037</v>
      </c>
      <c r="F957" s="22">
        <v>0</v>
      </c>
      <c r="G957" s="22">
        <v>0</v>
      </c>
      <c r="H957" s="23">
        <v>0</v>
      </c>
      <c r="I957" s="18">
        <v>0</v>
      </c>
      <c r="J957" s="19">
        <v>0</v>
      </c>
      <c r="K957" s="17">
        <v>0</v>
      </c>
      <c r="L957" s="20">
        <v>0</v>
      </c>
      <c r="M957" s="21">
        <v>0</v>
      </c>
      <c r="N957" s="21" t="s"/>
      <c r="O957" s="16" t="s"/>
    </row>
    <row r="958" spans="1:15">
      <c r="A958" s="16" t="s">
        <v>849</v>
      </c>
      <c r="B958" s="16" t="s">
        <v>850</v>
      </c>
      <c r="C958" s="16" t="s">
        <v>62</v>
      </c>
      <c r="D958" s="22">
        <v>0.409</v>
      </c>
      <c r="E958" s="22">
        <v>0.038</v>
      </c>
      <c r="F958" s="22">
        <v>0.661</v>
      </c>
      <c r="G958" s="22">
        <v>0.031</v>
      </c>
      <c r="H958" s="23">
        <v>2.161</v>
      </c>
      <c r="I958" s="18">
        <v>31.44</v>
      </c>
      <c r="J958" s="19">
        <v>16.5275</v>
      </c>
      <c r="K958" s="17">
        <v>0</v>
      </c>
      <c r="L958" s="20">
        <v>60.03</v>
      </c>
      <c r="M958" s="21">
        <v>0</v>
      </c>
      <c r="N958" s="21" t="s"/>
      <c r="O958" s="16" t="s"/>
    </row>
    <row r="959" spans="1:15">
      <c r="A959" s="16" t="s">
        <v>849</v>
      </c>
      <c r="B959" s="16" t="s">
        <v>850</v>
      </c>
      <c r="C959" s="16" t="s">
        <v>63</v>
      </c>
      <c r="D959" s="22">
        <v>0.278</v>
      </c>
      <c r="E959" s="22">
        <v>0.026</v>
      </c>
      <c r="F959" s="22">
        <v>0.367</v>
      </c>
      <c r="G959" s="22">
        <v>0.017</v>
      </c>
      <c r="H959" s="23">
        <v>1.202</v>
      </c>
      <c r="I959" s="18">
        <v>20.25</v>
      </c>
      <c r="J959" s="19">
        <v>9.185</v>
      </c>
      <c r="K959" s="17">
        <v>0</v>
      </c>
      <c r="L959" s="20">
        <v>33.37</v>
      </c>
      <c r="M959" s="21">
        <v>0</v>
      </c>
      <c r="N959" s="21" t="s"/>
      <c r="O959" s="16" t="s"/>
    </row>
    <row r="960" spans="1:15">
      <c r="A960" s="16" t="s">
        <v>849</v>
      </c>
      <c r="B960" s="16" t="s">
        <v>850</v>
      </c>
      <c r="C960" s="16" t="s">
        <v>64</v>
      </c>
      <c r="D960" s="22">
        <v>0.835</v>
      </c>
      <c r="E960" s="22">
        <v>0.076</v>
      </c>
      <c r="F960" s="22">
        <v>1.077</v>
      </c>
      <c r="G960" s="22">
        <v>0.049</v>
      </c>
      <c r="H960" s="23">
        <v>3.525</v>
      </c>
      <c r="I960" s="18">
        <v>59.21</v>
      </c>
      <c r="J960" s="19">
        <v>26.9225</v>
      </c>
      <c r="K960" s="17">
        <v>0</v>
      </c>
      <c r="L960" s="20">
        <v>97.9</v>
      </c>
      <c r="M960" s="21">
        <v>0</v>
      </c>
      <c r="N960" s="21" t="s"/>
      <c r="O960" s="16" t="s"/>
    </row>
    <row r="961" spans="1:15">
      <c r="A961" s="16" t="s">
        <v>849</v>
      </c>
      <c r="B961" s="16" t="s">
        <v>850</v>
      </c>
      <c r="C961" s="16" t="s">
        <v>65</v>
      </c>
      <c r="D961" s="22">
        <v>0.801</v>
      </c>
      <c r="E961" s="22">
        <v>0.073</v>
      </c>
      <c r="F961" s="22">
        <v>1.119</v>
      </c>
      <c r="G961" s="22">
        <v>0.051</v>
      </c>
      <c r="H961" s="23">
        <v>3.107</v>
      </c>
      <c r="I961" s="18">
        <v>56.5</v>
      </c>
      <c r="J961" s="19">
        <v>23.7325</v>
      </c>
      <c r="K961" s="17">
        <v>0</v>
      </c>
      <c r="L961" s="20">
        <v>101.71</v>
      </c>
      <c r="M961" s="21">
        <v>0</v>
      </c>
      <c r="N961" s="21" t="s"/>
      <c r="O961" s="16" t="s"/>
    </row>
    <row r="962" spans="1:15">
      <c r="A962" s="16" t="s">
        <v>849</v>
      </c>
      <c r="B962" s="16" t="s">
        <v>850</v>
      </c>
      <c r="C962" s="16" t="s">
        <v>851</v>
      </c>
      <c r="D962" s="22">
        <v>1.729</v>
      </c>
      <c r="E962" s="22">
        <v>0.158</v>
      </c>
      <c r="F962" s="22">
        <v>2.076</v>
      </c>
      <c r="G962" s="22">
        <v>0.095</v>
      </c>
      <c r="H962" s="23">
        <v>7.35</v>
      </c>
      <c r="I962" s="18">
        <v>142.24</v>
      </c>
      <c r="J962" s="19">
        <v>56.155</v>
      </c>
      <c r="K962" s="17">
        <v>0</v>
      </c>
      <c r="L962" s="20">
        <v>188.73</v>
      </c>
      <c r="M962" s="21">
        <v>0</v>
      </c>
      <c r="N962" s="21" t="s"/>
      <c r="O962" s="16" t="s"/>
    </row>
    <row r="963" spans="1:15">
      <c r="A963" s="16" t="s">
        <v>849</v>
      </c>
      <c r="B963" s="16" t="s">
        <v>850</v>
      </c>
      <c r="C963" s="16" t="s">
        <v>852</v>
      </c>
      <c r="D963" s="22">
        <v>4.125</v>
      </c>
      <c r="E963" s="22">
        <v>0.375</v>
      </c>
      <c r="F963" s="22">
        <v>2.076</v>
      </c>
      <c r="G963" s="22">
        <v>0.095</v>
      </c>
      <c r="H963" s="23">
        <v>7.35</v>
      </c>
      <c r="I963" s="18">
        <v>142.24</v>
      </c>
      <c r="J963" s="19">
        <v>56.155</v>
      </c>
      <c r="K963" s="17">
        <v>0</v>
      </c>
      <c r="L963" s="20">
        <v>188.73</v>
      </c>
      <c r="M963" s="21">
        <v>0</v>
      </c>
      <c r="N963" s="21" t="s"/>
      <c r="O963" s="16" t="s"/>
    </row>
    <row r="964" spans="1:15">
      <c r="A964" s="16" t="s">
        <v>849</v>
      </c>
      <c r="B964" s="16" t="s">
        <v>850</v>
      </c>
      <c r="C964" s="16" t="s">
        <v>258</v>
      </c>
      <c r="D964" s="22">
        <v>5.5</v>
      </c>
      <c r="E964" s="22">
        <v>0.5</v>
      </c>
      <c r="F964" s="22">
        <v>0</v>
      </c>
      <c r="G964" s="22">
        <v>0</v>
      </c>
      <c r="H964" s="23">
        <v>0</v>
      </c>
      <c r="I964" s="18">
        <v>200</v>
      </c>
      <c r="J964" s="19">
        <v>0</v>
      </c>
      <c r="K964" s="17">
        <v>0</v>
      </c>
      <c r="L964" s="20">
        <v>0</v>
      </c>
      <c r="M964" s="21">
        <v>0</v>
      </c>
      <c r="N964" s="21" t="s"/>
      <c r="O964" s="16" t="s"/>
    </row>
    <row r="965" spans="1:15">
      <c r="A965" s="16" t="s">
        <v>849</v>
      </c>
      <c r="B965" s="16" t="s">
        <v>853</v>
      </c>
      <c r="C965" s="16" t="s">
        <v>851</v>
      </c>
      <c r="D965" s="22">
        <v>0.459</v>
      </c>
      <c r="E965" s="22">
        <v>0.042</v>
      </c>
      <c r="F965" s="22">
        <v>0.459</v>
      </c>
      <c r="G965" s="22">
        <v>0.021</v>
      </c>
      <c r="H965" s="23">
        <v>0</v>
      </c>
      <c r="I965" s="18">
        <v>41.65</v>
      </c>
      <c r="J965" s="19">
        <v>11.4675</v>
      </c>
      <c r="K965" s="17">
        <v>0</v>
      </c>
      <c r="L965" s="20">
        <v>41.66</v>
      </c>
      <c r="M965" s="21">
        <v>0</v>
      </c>
      <c r="N965" s="21" t="s"/>
      <c r="O965" s="16" t="s"/>
    </row>
    <row r="966" spans="1:15">
      <c r="A966" s="16" t="s">
        <v>849</v>
      </c>
      <c r="B966" s="16" t="s">
        <v>853</v>
      </c>
      <c r="C966" s="16" t="s">
        <v>852</v>
      </c>
      <c r="D966" s="22">
        <v>1.834</v>
      </c>
      <c r="E966" s="22">
        <v>0.167</v>
      </c>
      <c r="F966" s="22">
        <v>0.459</v>
      </c>
      <c r="G966" s="22">
        <v>0.021</v>
      </c>
      <c r="H966" s="23">
        <v>0</v>
      </c>
      <c r="I966" s="18">
        <v>41.65</v>
      </c>
      <c r="J966" s="19">
        <v>11.4675</v>
      </c>
      <c r="K966" s="17">
        <v>0</v>
      </c>
      <c r="L966" s="20">
        <v>41.66</v>
      </c>
      <c r="M966" s="21">
        <v>0</v>
      </c>
      <c r="N966" s="21" t="s"/>
      <c r="O966" s="16" t="s"/>
    </row>
    <row r="967" spans="1:15">
      <c r="A967" s="16" t="s">
        <v>849</v>
      </c>
      <c r="B967" s="16" t="s">
        <v>853</v>
      </c>
      <c r="C967" s="16" t="s">
        <v>258</v>
      </c>
      <c r="D967" s="22">
        <v>5.5</v>
      </c>
      <c r="E967" s="22">
        <v>0.5</v>
      </c>
      <c r="F967" s="22">
        <v>0</v>
      </c>
      <c r="G967" s="22">
        <v>0</v>
      </c>
      <c r="H967" s="23">
        <v>0</v>
      </c>
      <c r="I967" s="18">
        <v>200</v>
      </c>
      <c r="J967" s="19">
        <v>0</v>
      </c>
      <c r="K967" s="17">
        <v>0</v>
      </c>
      <c r="L967" s="20">
        <v>0</v>
      </c>
      <c r="M967" s="21">
        <v>0</v>
      </c>
      <c r="N967" s="21" t="s"/>
      <c r="O967" s="16" t="s"/>
    </row>
    <row r="968" spans="1:15">
      <c r="A968" s="16" t="s">
        <v>849</v>
      </c>
      <c r="B968" s="16" t="s">
        <v>854</v>
      </c>
      <c r="C968" s="16" t="s"/>
      <c r="D968" s="22">
        <v>6.381</v>
      </c>
      <c r="E968" s="22">
        <v>0.581</v>
      </c>
      <c r="F968" s="22">
        <v>4.419</v>
      </c>
      <c r="G968" s="22">
        <v>0.201</v>
      </c>
      <c r="H968" s="23">
        <v>0</v>
      </c>
      <c r="I968" s="18">
        <v>449.21</v>
      </c>
      <c r="J968" s="19">
        <v>162.745</v>
      </c>
      <c r="K968" s="17">
        <v>0</v>
      </c>
      <c r="L968" s="20">
        <v>116.71</v>
      </c>
      <c r="M968" s="21">
        <v>0</v>
      </c>
      <c r="N968" s="21" t="s"/>
      <c r="O968" s="16" t="s"/>
    </row>
    <row r="969" spans="1:15">
      <c r="A969" s="16" t="s">
        <v>849</v>
      </c>
      <c r="B969" s="16" t="s">
        <v>855</v>
      </c>
      <c r="C969" s="16" t="s"/>
      <c r="D969" s="22">
        <v>0.863</v>
      </c>
      <c r="E969" s="22">
        <v>0.079</v>
      </c>
      <c r="F969" s="22">
        <v>0.432</v>
      </c>
      <c r="G969" s="22">
        <v>0.02</v>
      </c>
      <c r="H969" s="23">
        <v>1.411</v>
      </c>
      <c r="I969" s="18">
        <v>39.18</v>
      </c>
      <c r="J969" s="19">
        <v>10.78</v>
      </c>
      <c r="K969" s="17">
        <v>0</v>
      </c>
      <c r="L969" s="20">
        <v>39.19</v>
      </c>
      <c r="M969" s="21">
        <v>0</v>
      </c>
      <c r="N969" s="21" t="s"/>
      <c r="O969" s="16" t="s"/>
    </row>
    <row r="970" spans="1:15">
      <c r="A970" s="16" t="s">
        <v>849</v>
      </c>
      <c r="B970" s="16" t="s">
        <v>856</v>
      </c>
      <c r="C970" s="16" t="s">
        <v>851</v>
      </c>
      <c r="D970" s="22">
        <v>2.483</v>
      </c>
      <c r="E970" s="22">
        <v>0.226</v>
      </c>
      <c r="F970" s="22">
        <v>2.164</v>
      </c>
      <c r="G970" s="22">
        <v>0.099</v>
      </c>
      <c r="H970" s="23">
        <v>3.482</v>
      </c>
      <c r="I970" s="18">
        <v>96.7</v>
      </c>
      <c r="J970" s="19">
        <v>26.62</v>
      </c>
      <c r="K970" s="17">
        <v>0</v>
      </c>
      <c r="L970" s="20">
        <v>246.71</v>
      </c>
      <c r="M970" s="21">
        <v>0</v>
      </c>
      <c r="N970" s="21" t="s"/>
      <c r="O970" s="16" t="s"/>
    </row>
    <row r="971" spans="1:15">
      <c r="A971" s="16" t="s">
        <v>849</v>
      </c>
      <c r="B971" s="16" t="s">
        <v>856</v>
      </c>
      <c r="C971" s="16" t="s">
        <v>852</v>
      </c>
      <c r="D971" s="22">
        <v>3.858</v>
      </c>
      <c r="E971" s="22">
        <v>0.351</v>
      </c>
      <c r="F971" s="22">
        <v>2.164</v>
      </c>
      <c r="G971" s="22">
        <v>0.099</v>
      </c>
      <c r="H971" s="23">
        <v>3.482</v>
      </c>
      <c r="I971" s="18">
        <v>96.7</v>
      </c>
      <c r="J971" s="19">
        <v>26.62</v>
      </c>
      <c r="K971" s="17">
        <v>0</v>
      </c>
      <c r="L971" s="20">
        <v>246.71</v>
      </c>
      <c r="M971" s="21">
        <v>0</v>
      </c>
      <c r="N971" s="21" t="s"/>
      <c r="O971" s="16" t="s"/>
    </row>
    <row r="972" spans="1:15">
      <c r="A972" s="16" t="s">
        <v>849</v>
      </c>
      <c r="B972" s="16" t="s">
        <v>857</v>
      </c>
      <c r="C972" s="16" t="s">
        <v>258</v>
      </c>
      <c r="D972" s="22">
        <v>5.5</v>
      </c>
      <c r="E972" s="22">
        <v>0.5</v>
      </c>
      <c r="F972" s="22">
        <v>0</v>
      </c>
      <c r="G972" s="22">
        <v>0</v>
      </c>
      <c r="H972" s="23">
        <v>0</v>
      </c>
      <c r="I972" s="18">
        <v>200</v>
      </c>
      <c r="J972" s="19">
        <v>0</v>
      </c>
      <c r="K972" s="17">
        <v>0</v>
      </c>
      <c r="L972" s="20">
        <v>0</v>
      </c>
      <c r="M972" s="21">
        <v>0</v>
      </c>
      <c r="N972" s="21" t="s"/>
      <c r="O972" s="16" t="s"/>
    </row>
    <row r="973" spans="1:15">
      <c r="A973" s="16" t="s">
        <v>849</v>
      </c>
      <c r="B973" s="16" t="s">
        <v>858</v>
      </c>
      <c r="C973" s="16" t="s"/>
      <c r="D973" s="22">
        <v>6.167</v>
      </c>
      <c r="E973" s="22">
        <v>0.561</v>
      </c>
      <c r="F973" s="22">
        <v>1.778</v>
      </c>
      <c r="G973" s="22">
        <v>0.081</v>
      </c>
      <c r="H973" s="23">
        <v>0</v>
      </c>
      <c r="I973" s="18">
        <v>361.13</v>
      </c>
      <c r="J973" s="19">
        <v>227.3425</v>
      </c>
      <c r="K973" s="17">
        <v>0</v>
      </c>
      <c r="L973" s="20">
        <v>161.64</v>
      </c>
      <c r="M973" s="21">
        <v>0</v>
      </c>
      <c r="N973" s="21" t="s"/>
      <c r="O973" s="16" t="s"/>
    </row>
    <row r="974" spans="1:15">
      <c r="A974" s="16" t="s">
        <v>849</v>
      </c>
      <c r="B974" s="16" t="s">
        <v>859</v>
      </c>
      <c r="C974" s="16" t="s">
        <v>860</v>
      </c>
      <c r="D974" s="22">
        <v>19.027</v>
      </c>
      <c r="E974" s="22">
        <v>1.73</v>
      </c>
      <c r="F974" s="22">
        <v>1.944</v>
      </c>
      <c r="G974" s="22">
        <v>0.089</v>
      </c>
      <c r="H974" s="23">
        <v>0</v>
      </c>
      <c r="I974" s="18">
        <v>176.7</v>
      </c>
      <c r="J974" s="19">
        <v>0</v>
      </c>
      <c r="K974" s="17">
        <v>0</v>
      </c>
      <c r="L974" s="20">
        <v>676.71</v>
      </c>
      <c r="M974" s="21">
        <v>0</v>
      </c>
      <c r="N974" s="21" t="s"/>
      <c r="O974" s="16" t="s"/>
    </row>
    <row r="975" spans="1:15">
      <c r="A975" s="16" t="s">
        <v>849</v>
      </c>
      <c r="B975" s="16" t="s">
        <v>857</v>
      </c>
      <c r="C975" s="16" t="s">
        <v>851</v>
      </c>
      <c r="D975" s="22">
        <v>1.064</v>
      </c>
      <c r="E975" s="22">
        <v>0.097</v>
      </c>
      <c r="F975" s="22">
        <v>0.532</v>
      </c>
      <c r="G975" s="22">
        <v>0.025</v>
      </c>
      <c r="H975" s="23">
        <v>1.741</v>
      </c>
      <c r="I975" s="18">
        <v>48.35</v>
      </c>
      <c r="J975" s="19">
        <v>13.31</v>
      </c>
      <c r="K975" s="17">
        <v>0</v>
      </c>
      <c r="L975" s="20">
        <v>48.36</v>
      </c>
      <c r="M975" s="21">
        <v>0</v>
      </c>
      <c r="N975" s="21" t="s"/>
      <c r="O975" s="16" t="s"/>
    </row>
    <row r="976" spans="1:15">
      <c r="A976" s="16" t="s">
        <v>849</v>
      </c>
      <c r="B976" s="16" t="s">
        <v>861</v>
      </c>
      <c r="C976" s="16" t="s">
        <v>75</v>
      </c>
      <c r="D976" s="22">
        <v>0</v>
      </c>
      <c r="E976" s="22">
        <v>0</v>
      </c>
      <c r="F976" s="22">
        <v>2.713</v>
      </c>
      <c r="G976" s="22">
        <v>0.124</v>
      </c>
      <c r="H976" s="23">
        <v>0</v>
      </c>
      <c r="I976" s="18">
        <v>0</v>
      </c>
      <c r="J976" s="19">
        <v>0</v>
      </c>
      <c r="K976" s="17">
        <v>0</v>
      </c>
      <c r="L976" s="20">
        <v>366.64</v>
      </c>
      <c r="M976" s="21">
        <v>0</v>
      </c>
      <c r="N976" s="21" t="s"/>
      <c r="O976" s="16" t="s"/>
    </row>
    <row r="977" spans="1:15">
      <c r="A977" s="16" t="s">
        <v>849</v>
      </c>
      <c r="B977" s="16" t="s">
        <v>861</v>
      </c>
      <c r="C977" s="16" t="s">
        <v>76</v>
      </c>
      <c r="D977" s="22">
        <v>0</v>
      </c>
      <c r="E977" s="22">
        <v>0</v>
      </c>
      <c r="F977" s="22">
        <v>3.428</v>
      </c>
      <c r="G977" s="22">
        <v>0.156</v>
      </c>
      <c r="H977" s="23">
        <v>0</v>
      </c>
      <c r="I977" s="18">
        <v>0</v>
      </c>
      <c r="J977" s="19">
        <v>0</v>
      </c>
      <c r="K977" s="17">
        <v>0</v>
      </c>
      <c r="L977" s="20">
        <v>416.64</v>
      </c>
      <c r="M977" s="21">
        <v>0</v>
      </c>
      <c r="N977" s="21" t="s"/>
      <c r="O977" s="16" t="s"/>
    </row>
    <row r="978" spans="1:15">
      <c r="A978" s="16" t="s">
        <v>849</v>
      </c>
      <c r="B978" s="16" t="s">
        <v>861</v>
      </c>
      <c r="C978" s="16" t="s">
        <v>77</v>
      </c>
      <c r="D978" s="22">
        <v>0</v>
      </c>
      <c r="E978" s="22">
        <v>0</v>
      </c>
      <c r="F978" s="22">
        <v>1.668</v>
      </c>
      <c r="G978" s="22">
        <v>0.076</v>
      </c>
      <c r="H978" s="23">
        <v>0</v>
      </c>
      <c r="I978" s="18">
        <v>0</v>
      </c>
      <c r="J978" s="19">
        <v>0</v>
      </c>
      <c r="K978" s="17">
        <v>0</v>
      </c>
      <c r="L978" s="20">
        <v>116.64</v>
      </c>
      <c r="M978" s="21">
        <v>0</v>
      </c>
      <c r="N978" s="21" t="s"/>
      <c r="O978" s="16" t="s"/>
    </row>
    <row r="979" spans="1:15">
      <c r="A979" s="16" t="s">
        <v>849</v>
      </c>
      <c r="B979" s="16" t="s">
        <v>862</v>
      </c>
      <c r="C979" s="16" t="s"/>
      <c r="D979" s="22">
        <v>3.277</v>
      </c>
      <c r="E979" s="22">
        <v>0.298</v>
      </c>
      <c r="F979" s="22">
        <v>2.824</v>
      </c>
      <c r="G979" s="22">
        <v>0.129</v>
      </c>
      <c r="H979" s="23">
        <v>0</v>
      </c>
      <c r="I979" s="18">
        <v>277.26</v>
      </c>
      <c r="J979" s="19">
        <v>93.225</v>
      </c>
      <c r="K979" s="17">
        <v>0</v>
      </c>
      <c r="L979" s="20">
        <v>133.37</v>
      </c>
      <c r="M979" s="21">
        <v>0</v>
      </c>
      <c r="N979" s="21" t="s"/>
      <c r="O979" s="16" t="s"/>
    </row>
    <row r="980" spans="1:15">
      <c r="A980" s="16" t="s">
        <v>849</v>
      </c>
      <c r="B980" s="16" t="s">
        <v>857</v>
      </c>
      <c r="C980" s="16" t="s">
        <v>852</v>
      </c>
      <c r="D980" s="22">
        <v>2.439</v>
      </c>
      <c r="E980" s="22">
        <v>0.222</v>
      </c>
      <c r="F980" s="22">
        <v>0.532</v>
      </c>
      <c r="G980" s="22">
        <v>0.025</v>
      </c>
      <c r="H980" s="23">
        <v>1.741</v>
      </c>
      <c r="I980" s="18">
        <v>48.35</v>
      </c>
      <c r="J980" s="19">
        <v>13.31</v>
      </c>
      <c r="K980" s="17">
        <v>0</v>
      </c>
      <c r="L980" s="20">
        <v>48.36</v>
      </c>
      <c r="M980" s="21">
        <v>0</v>
      </c>
      <c r="N980" s="21" t="s"/>
      <c r="O980" s="16" t="s"/>
    </row>
    <row r="981" spans="1:15" ht="20" customHeight="1">
      <c r="A981" s="16" t="s">
        <v>849</v>
      </c>
      <c r="B981" s="16" t="s">
        <v>859</v>
      </c>
      <c r="C981" s="16" t="s">
        <v>863</v>
      </c>
      <c r="D981" s="22">
        <v>0.93</v>
      </c>
      <c r="E981" s="22">
        <v>0.085</v>
      </c>
      <c r="F981" s="22">
        <v>0.715</v>
      </c>
      <c r="G981" s="22">
        <v>0.033</v>
      </c>
      <c r="H981" s="23">
        <v>0</v>
      </c>
      <c r="I981" s="18">
        <v>48.75</v>
      </c>
      <c r="J981" s="19">
        <v>0</v>
      </c>
      <c r="K981" s="17">
        <v>0</v>
      </c>
      <c r="L981" s="20">
        <v>65</v>
      </c>
      <c r="M981" s="21">
        <v>0</v>
      </c>
      <c r="N981" s="21" t="s"/>
      <c r="O981" s="16" t="s"/>
    </row>
    <row r="982" spans="1:15">
      <c r="A982" s="16" t="s">
        <v>864</v>
      </c>
      <c r="B982" s="16" t="s">
        <v>865</v>
      </c>
      <c r="C982" s="16" t="s">
        <v>62</v>
      </c>
      <c r="D982" s="22">
        <v>0.465</v>
      </c>
      <c r="E982" s="22">
        <v>0.043</v>
      </c>
      <c r="F982" s="22">
        <v>0.294</v>
      </c>
      <c r="G982" s="22">
        <v>0.014</v>
      </c>
      <c r="H982" s="23">
        <v>0.667</v>
      </c>
      <c r="I982" s="18">
        <v>0</v>
      </c>
      <c r="J982" s="19">
        <v>7.3425</v>
      </c>
      <c r="K982" s="17">
        <v>0</v>
      </c>
      <c r="L982" s="20">
        <v>26.67</v>
      </c>
      <c r="M982" s="21">
        <v>0</v>
      </c>
      <c r="N982" s="21">
        <v>2.9334</v>
      </c>
      <c r="O982" s="16" t="s"/>
    </row>
    <row r="983" spans="1:15">
      <c r="A983" s="16" t="s">
        <v>864</v>
      </c>
      <c r="B983" s="16" t="s">
        <v>865</v>
      </c>
      <c r="C983" s="16" t="s">
        <v>63</v>
      </c>
      <c r="D983" s="22">
        <v>1.241</v>
      </c>
      <c r="E983" s="22">
        <v>0.113</v>
      </c>
      <c r="F983" s="22">
        <v>0.829</v>
      </c>
      <c r="G983" s="22">
        <v>0.038</v>
      </c>
      <c r="H983" s="23">
        <v>1.884</v>
      </c>
      <c r="I983" s="18">
        <v>0</v>
      </c>
      <c r="J983" s="19">
        <v>20.735</v>
      </c>
      <c r="K983" s="17">
        <v>0</v>
      </c>
      <c r="L983" s="20">
        <v>75.34</v>
      </c>
      <c r="M983" s="21">
        <v>0</v>
      </c>
      <c r="N983" s="21">
        <v>8.2867</v>
      </c>
      <c r="O983" s="16" t="s"/>
    </row>
    <row r="984" spans="1:15">
      <c r="A984" s="16" t="s">
        <v>864</v>
      </c>
      <c r="B984" s="16" t="s">
        <v>865</v>
      </c>
      <c r="C984" s="16" t="s">
        <v>64</v>
      </c>
      <c r="D984" s="22">
        <v>0.718</v>
      </c>
      <c r="E984" s="22">
        <v>0.066</v>
      </c>
      <c r="F984" s="22">
        <v>0.446</v>
      </c>
      <c r="G984" s="22">
        <v>0.021</v>
      </c>
      <c r="H984" s="23">
        <v>1.014</v>
      </c>
      <c r="I984" s="18">
        <v>40.53</v>
      </c>
      <c r="J984" s="19">
        <v>11.165</v>
      </c>
      <c r="K984" s="17">
        <v>0</v>
      </c>
      <c r="L984" s="20">
        <v>40.54</v>
      </c>
      <c r="M984" s="21">
        <v>0</v>
      </c>
      <c r="N984" s="21">
        <v>4.4585</v>
      </c>
      <c r="O984" s="16" t="s"/>
    </row>
    <row r="985" spans="1:15">
      <c r="A985" s="16" t="s">
        <v>864</v>
      </c>
      <c r="B985" s="16" t="s">
        <v>865</v>
      </c>
      <c r="C985" s="16" t="s">
        <v>65</v>
      </c>
      <c r="D985" s="22">
        <v>3.586</v>
      </c>
      <c r="E985" s="22">
        <v>0.326</v>
      </c>
      <c r="F985" s="22">
        <v>2.265</v>
      </c>
      <c r="G985" s="22">
        <v>0.103</v>
      </c>
      <c r="H985" s="23">
        <v>5.146</v>
      </c>
      <c r="I985" s="18">
        <v>205.83</v>
      </c>
      <c r="J985" s="19">
        <v>56.6225</v>
      </c>
      <c r="K985" s="17">
        <v>0</v>
      </c>
      <c r="L985" s="20">
        <v>205.84</v>
      </c>
      <c r="M985" s="21">
        <v>0</v>
      </c>
      <c r="N985" s="21">
        <v>22.6419</v>
      </c>
      <c r="O985" s="16" t="s"/>
    </row>
    <row r="986" spans="1:15">
      <c r="A986" s="16" t="s">
        <v>864</v>
      </c>
      <c r="B986" s="16" t="s">
        <v>866</v>
      </c>
      <c r="C986" s="16" t="s"/>
      <c r="D986" s="22">
        <v>0.477</v>
      </c>
      <c r="E986" s="22">
        <v>0.044</v>
      </c>
      <c r="F986" s="22">
        <v>0.477</v>
      </c>
      <c r="G986" s="22">
        <v>0.022</v>
      </c>
      <c r="H986" s="23">
        <v>0</v>
      </c>
      <c r="I986" s="18">
        <v>43.34</v>
      </c>
      <c r="J986" s="19">
        <v>11.935</v>
      </c>
      <c r="K986" s="17">
        <v>0</v>
      </c>
      <c r="L986" s="20">
        <v>43.35</v>
      </c>
      <c r="M986" s="21">
        <v>0</v>
      </c>
      <c r="N986" s="21">
        <v>4.7685</v>
      </c>
      <c r="O986" s="16" t="s"/>
    </row>
    <row r="987" spans="1:15">
      <c r="A987" s="16" t="s">
        <v>864</v>
      </c>
      <c r="B987" s="16" t="s">
        <v>867</v>
      </c>
      <c r="C987" s="16" t="s"/>
      <c r="D987" s="22">
        <v>1.666</v>
      </c>
      <c r="E987" s="22">
        <v>0.152</v>
      </c>
      <c r="F987" s="22">
        <v>1.448</v>
      </c>
      <c r="G987" s="22">
        <v>0.066</v>
      </c>
      <c r="H987" s="23">
        <v>3.291</v>
      </c>
      <c r="I987" s="18">
        <v>131.63</v>
      </c>
      <c r="J987" s="19">
        <v>36.2175</v>
      </c>
      <c r="K987" s="17">
        <v>0</v>
      </c>
      <c r="L987" s="20">
        <v>131.64</v>
      </c>
      <c r="M987" s="21">
        <v>0</v>
      </c>
      <c r="N987" s="21">
        <v>0</v>
      </c>
      <c r="O987" s="16" t="s"/>
    </row>
    <row r="988" spans="1:15">
      <c r="A988" s="16" t="s">
        <v>864</v>
      </c>
      <c r="B988" s="16" t="s">
        <v>868</v>
      </c>
      <c r="C988" s="16" t="s"/>
      <c r="D988" s="22">
        <v>5.283</v>
      </c>
      <c r="E988" s="22">
        <v>0.481</v>
      </c>
      <c r="F988" s="22">
        <v>0.679</v>
      </c>
      <c r="G988" s="22">
        <v>0.031</v>
      </c>
      <c r="H988" s="23">
        <v>1.543</v>
      </c>
      <c r="I988" s="18">
        <v>61.69</v>
      </c>
      <c r="J988" s="19">
        <v>16.9675</v>
      </c>
      <c r="K988" s="17">
        <v>0</v>
      </c>
      <c r="L988" s="20">
        <v>61.7</v>
      </c>
      <c r="M988" s="21">
        <v>0</v>
      </c>
      <c r="N988" s="21">
        <v>0</v>
      </c>
      <c r="O988" s="16" t="s"/>
    </row>
    <row r="989" spans="1:15">
      <c r="A989" s="16" t="s">
        <v>864</v>
      </c>
      <c r="B989" s="16" t="s">
        <v>869</v>
      </c>
      <c r="C989" s="16" t="s"/>
      <c r="D989" s="22">
        <v>9.894</v>
      </c>
      <c r="E989" s="22">
        <v>0.9</v>
      </c>
      <c r="F989" s="22">
        <v>1.688</v>
      </c>
      <c r="G989" s="22">
        <v>0.077</v>
      </c>
      <c r="H989" s="23">
        <v>3.835</v>
      </c>
      <c r="I989" s="18">
        <v>153.36</v>
      </c>
      <c r="J989" s="19">
        <v>42.185</v>
      </c>
      <c r="K989" s="17">
        <v>0</v>
      </c>
      <c r="L989" s="20">
        <v>153.37</v>
      </c>
      <c r="M989" s="21">
        <v>0</v>
      </c>
      <c r="N989" s="21">
        <v>0</v>
      </c>
      <c r="O989" s="16" t="s"/>
    </row>
    <row r="990" spans="1:15">
      <c r="A990" s="16" t="s">
        <v>864</v>
      </c>
      <c r="B990" s="16" t="s">
        <v>870</v>
      </c>
      <c r="C990" s="16" t="s"/>
      <c r="D990" s="22">
        <v>6.834</v>
      </c>
      <c r="E990" s="22">
        <v>0.622</v>
      </c>
      <c r="F990" s="22">
        <v>5.868</v>
      </c>
      <c r="G990" s="22">
        <v>0.267</v>
      </c>
      <c r="H990" s="23">
        <v>0</v>
      </c>
      <c r="I990" s="18">
        <v>577.35</v>
      </c>
      <c r="J990" s="19">
        <v>195.0025</v>
      </c>
      <c r="K990" s="17">
        <v>0</v>
      </c>
      <c r="L990" s="20">
        <v>269.97</v>
      </c>
      <c r="M990" s="21">
        <v>0</v>
      </c>
      <c r="N990" s="21">
        <v>29.6964</v>
      </c>
      <c r="O990" s="16" t="s"/>
    </row>
    <row r="991" spans="1:15">
      <c r="A991" s="16" t="s">
        <v>864</v>
      </c>
      <c r="B991" s="16" t="s">
        <v>871</v>
      </c>
      <c r="C991" s="16" t="s"/>
      <c r="D991" s="22">
        <v>0.642</v>
      </c>
      <c r="E991" s="22">
        <v>0.059</v>
      </c>
      <c r="F991" s="22">
        <v>0.321</v>
      </c>
      <c r="G991" s="22">
        <v>0.015</v>
      </c>
      <c r="H991" s="23">
        <v>0.73</v>
      </c>
      <c r="I991" s="18">
        <v>0</v>
      </c>
      <c r="J991" s="19">
        <v>8.03</v>
      </c>
      <c r="K991" s="17">
        <v>0</v>
      </c>
      <c r="L991" s="20">
        <v>29.17</v>
      </c>
      <c r="M991" s="21">
        <v>0</v>
      </c>
      <c r="N991" s="21">
        <v>3.2084</v>
      </c>
      <c r="O991" s="16" t="s"/>
    </row>
    <row r="992" spans="1:15">
      <c r="A992" s="16" t="s">
        <v>864</v>
      </c>
      <c r="B992" s="16" t="s">
        <v>872</v>
      </c>
      <c r="C992" s="16" t="s"/>
      <c r="D992" s="22">
        <v>3.201</v>
      </c>
      <c r="E992" s="22">
        <v>0.291</v>
      </c>
      <c r="F992" s="22">
        <v>2.549</v>
      </c>
      <c r="G992" s="22">
        <v>0.116</v>
      </c>
      <c r="H992" s="23">
        <v>3.293</v>
      </c>
      <c r="I992" s="18">
        <v>131.69</v>
      </c>
      <c r="J992" s="19">
        <v>36.2175</v>
      </c>
      <c r="K992" s="17">
        <v>0</v>
      </c>
      <c r="L992" s="20">
        <v>281.7</v>
      </c>
      <c r="M992" s="21">
        <v>0</v>
      </c>
      <c r="N992" s="21">
        <v>24.487</v>
      </c>
      <c r="O992" s="16" t="s"/>
    </row>
    <row r="993" spans="1:15">
      <c r="A993" s="16" t="s">
        <v>864</v>
      </c>
      <c r="B993" s="16" t="s">
        <v>873</v>
      </c>
      <c r="C993" s="16" t="s"/>
      <c r="D993" s="22">
        <v>7.342</v>
      </c>
      <c r="E993" s="22">
        <v>0.668</v>
      </c>
      <c r="F993" s="22">
        <v>2.953</v>
      </c>
      <c r="G993" s="22">
        <v>0.135</v>
      </c>
      <c r="H993" s="23">
        <v>0</v>
      </c>
      <c r="I993" s="18">
        <v>467.86</v>
      </c>
      <c r="J993" s="19">
        <v>256.685</v>
      </c>
      <c r="K993" s="17">
        <v>0</v>
      </c>
      <c r="L993" s="20">
        <v>268.37</v>
      </c>
      <c r="M993" s="21">
        <v>0</v>
      </c>
      <c r="N993" s="21">
        <v>29.5204</v>
      </c>
      <c r="O993" s="16" t="s"/>
    </row>
    <row r="994" spans="1:15">
      <c r="A994" s="16" t="s">
        <v>864</v>
      </c>
      <c r="B994" s="16" t="s">
        <v>874</v>
      </c>
      <c r="C994" s="16" t="s"/>
      <c r="D994" s="22">
        <v>32.497</v>
      </c>
      <c r="E994" s="22">
        <v>2.955</v>
      </c>
      <c r="F994" s="22">
        <v>5.959</v>
      </c>
      <c r="G994" s="22">
        <v>0.271</v>
      </c>
      <c r="H994" s="23">
        <v>0</v>
      </c>
      <c r="I994" s="18">
        <v>541.7</v>
      </c>
      <c r="J994" s="19">
        <v>0</v>
      </c>
      <c r="K994" s="17">
        <v>0</v>
      </c>
      <c r="L994" s="20">
        <v>1041.71</v>
      </c>
      <c r="M994" s="21">
        <v>0</v>
      </c>
      <c r="N994" s="21">
        <v>0</v>
      </c>
      <c r="O994" s="16" t="s"/>
    </row>
    <row r="995" spans="1:15">
      <c r="A995" s="16" t="s">
        <v>864</v>
      </c>
      <c r="B995" s="16" t="s">
        <v>875</v>
      </c>
      <c r="C995" s="16" t="s"/>
      <c r="D995" s="22">
        <v>1.54</v>
      </c>
      <c r="E995" s="22">
        <v>0.14</v>
      </c>
      <c r="F995" s="22">
        <v>0.77</v>
      </c>
      <c r="G995" s="22">
        <v>0.035</v>
      </c>
      <c r="H995" s="23">
        <v>1.75</v>
      </c>
      <c r="I995" s="18">
        <v>70</v>
      </c>
      <c r="J995" s="19">
        <v>19.25</v>
      </c>
      <c r="K995" s="17">
        <v>0</v>
      </c>
      <c r="L995" s="20">
        <v>70</v>
      </c>
      <c r="M995" s="21">
        <v>0</v>
      </c>
      <c r="N995" s="21">
        <v>7.7</v>
      </c>
      <c r="O995" s="16" t="s"/>
    </row>
    <row r="996" spans="1:15" ht="18" customHeight="1">
      <c r="A996" s="16" t="s">
        <v>864</v>
      </c>
      <c r="B996" s="16" t="s">
        <v>876</v>
      </c>
      <c r="C996" s="16" t="s">
        <v>75</v>
      </c>
      <c r="D996" s="22">
        <v>0</v>
      </c>
      <c r="E996" s="22">
        <v>0</v>
      </c>
      <c r="F996" s="22">
        <v>2.713</v>
      </c>
      <c r="G996" s="22">
        <v>0.124</v>
      </c>
      <c r="H996" s="23">
        <v>0</v>
      </c>
      <c r="I996" s="18">
        <v>0</v>
      </c>
      <c r="J996" s="19">
        <v>0</v>
      </c>
      <c r="K996" s="17">
        <v>0</v>
      </c>
      <c r="L996" s="20">
        <v>366.64</v>
      </c>
      <c r="M996" s="21">
        <v>0</v>
      </c>
      <c r="N996" s="21">
        <v>0</v>
      </c>
      <c r="O996" s="16" t="s"/>
    </row>
    <row r="997" spans="1:15" ht="20" customHeight="1">
      <c r="A997" s="16" t="s">
        <v>864</v>
      </c>
      <c r="B997" s="16" t="s">
        <v>876</v>
      </c>
      <c r="C997" s="16" t="s">
        <v>76</v>
      </c>
      <c r="D997" s="22">
        <v>0</v>
      </c>
      <c r="E997" s="22">
        <v>0</v>
      </c>
      <c r="F997" s="22">
        <v>3.428</v>
      </c>
      <c r="G997" s="22">
        <v>0.156</v>
      </c>
      <c r="H997" s="23">
        <v>0</v>
      </c>
      <c r="I997" s="18">
        <v>0</v>
      </c>
      <c r="J997" s="19">
        <v>0</v>
      </c>
      <c r="K997" s="17">
        <v>0</v>
      </c>
      <c r="L997" s="20">
        <v>416.64</v>
      </c>
      <c r="M997" s="21">
        <v>0</v>
      </c>
      <c r="N997" s="21">
        <v>0</v>
      </c>
      <c r="O997" s="16" t="s"/>
    </row>
    <row r="998" spans="1:15" ht="20" customHeight="1">
      <c r="A998" s="16" t="s">
        <v>864</v>
      </c>
      <c r="B998" s="16" t="s">
        <v>876</v>
      </c>
      <c r="C998" s="16" t="s">
        <v>77</v>
      </c>
      <c r="D998" s="22">
        <v>0</v>
      </c>
      <c r="E998" s="22">
        <v>0</v>
      </c>
      <c r="F998" s="22">
        <v>1.668</v>
      </c>
      <c r="G998" s="22">
        <v>0.076</v>
      </c>
      <c r="H998" s="23">
        <v>0</v>
      </c>
      <c r="I998" s="18">
        <v>0</v>
      </c>
      <c r="J998" s="19">
        <v>0</v>
      </c>
      <c r="K998" s="17">
        <v>0</v>
      </c>
      <c r="L998" s="20">
        <v>116.64</v>
      </c>
      <c r="M998" s="21">
        <v>0</v>
      </c>
      <c r="N998" s="21">
        <v>0</v>
      </c>
      <c r="O998" s="16" t="s"/>
    </row>
    <row r="999" spans="1:15" ht="20" customHeight="1">
      <c r="A999" s="16" t="s">
        <v>864</v>
      </c>
      <c r="B999" s="16" t="s">
        <v>877</v>
      </c>
      <c r="C999" s="16" t="s"/>
      <c r="D999" s="22">
        <v>4.56</v>
      </c>
      <c r="E999" s="22">
        <v>0.415</v>
      </c>
      <c r="F999" s="22">
        <v>4.016</v>
      </c>
      <c r="G999" s="22">
        <v>0.183</v>
      </c>
      <c r="H999" s="23">
        <v>0</v>
      </c>
      <c r="I999" s="18">
        <v>389.76</v>
      </c>
      <c r="J999" s="19">
        <v>127.6</v>
      </c>
      <c r="K999" s="17">
        <v>0</v>
      </c>
      <c r="L999" s="20">
        <v>216.71</v>
      </c>
      <c r="M999" s="21">
        <v>0</v>
      </c>
      <c r="N999" s="21">
        <v>23.8371</v>
      </c>
      <c r="O999" s="16" t="s"/>
    </row>
    <row r="1000" spans="1:15" ht="20" customHeight="1">
      <c r="A1000" s="16" t="s">
        <v>864</v>
      </c>
      <c r="B1000" s="16" t="s">
        <v>878</v>
      </c>
      <c r="C1000" s="16" t="s"/>
      <c r="D1000" s="22">
        <v>0.184</v>
      </c>
      <c r="E1000" s="22">
        <v>0.017</v>
      </c>
      <c r="F1000" s="22">
        <v>0.092</v>
      </c>
      <c r="G1000" s="22">
        <v>0.005</v>
      </c>
      <c r="H1000" s="23">
        <v>0</v>
      </c>
      <c r="I1000" s="18">
        <v>8.33</v>
      </c>
      <c r="J1000" s="19">
        <v>2.31</v>
      </c>
      <c r="K1000" s="17">
        <v>0</v>
      </c>
      <c r="L1000" s="20">
        <v>8.34</v>
      </c>
      <c r="M1000" s="21">
        <v>0</v>
      </c>
      <c r="N1000" s="21">
        <v>0</v>
      </c>
      <c r="O1000" s="16" t="s"/>
    </row>
    <row r="1001" spans="1:15" ht="20" customHeight="1">
      <c r="A1001" s="16" t="s">
        <v>879</v>
      </c>
      <c r="B1001" s="16" t="s">
        <v>880</v>
      </c>
      <c r="C1001" s="16" t="s">
        <v>62</v>
      </c>
      <c r="D1001" s="22">
        <v>0.396</v>
      </c>
      <c r="E1001" s="22">
        <v>0.036</v>
      </c>
      <c r="F1001" s="22">
        <v>0.371</v>
      </c>
      <c r="G1001" s="22">
        <v>0.017</v>
      </c>
      <c r="H1001" s="23">
        <v>0</v>
      </c>
      <c r="I1001" s="18">
        <v>33.72</v>
      </c>
      <c r="J1001" s="19">
        <v>9.295</v>
      </c>
      <c r="K1001" s="17">
        <v>1.35</v>
      </c>
      <c r="L1001" s="20">
        <v>33.73</v>
      </c>
      <c r="M1001" s="21">
        <v>0</v>
      </c>
      <c r="N1001" s="21" t="s"/>
      <c r="O1001" s="16" t="s"/>
    </row>
    <row r="1002" spans="1:15" ht="20" customHeight="1">
      <c r="A1002" s="16" t="s">
        <v>879</v>
      </c>
      <c r="B1002" s="16" t="s">
        <v>880</v>
      </c>
      <c r="C1002" s="16" t="s">
        <v>63</v>
      </c>
      <c r="D1002" s="22">
        <v>0.498</v>
      </c>
      <c r="E1002" s="22">
        <v>0.046</v>
      </c>
      <c r="F1002" s="22">
        <v>0.455</v>
      </c>
      <c r="G1002" s="22">
        <v>0.021</v>
      </c>
      <c r="H1002" s="23">
        <v>0</v>
      </c>
      <c r="I1002" s="18">
        <v>41.3</v>
      </c>
      <c r="J1002" s="19">
        <v>11.385</v>
      </c>
      <c r="K1002" s="17">
        <v>1.653</v>
      </c>
      <c r="L1002" s="20">
        <v>41.31</v>
      </c>
      <c r="M1002" s="21">
        <v>0</v>
      </c>
      <c r="N1002" s="21" t="s"/>
      <c r="O1002" s="16" t="s"/>
    </row>
    <row r="1003" spans="1:15" ht="20" customHeight="1">
      <c r="A1003" s="16" t="s">
        <v>879</v>
      </c>
      <c r="B1003" s="16" t="s">
        <v>880</v>
      </c>
      <c r="C1003" s="16" t="s">
        <v>64</v>
      </c>
      <c r="D1003" s="22">
        <v>1.013</v>
      </c>
      <c r="E1003" s="22">
        <v>0.093</v>
      </c>
      <c r="F1003" s="22">
        <v>0.986</v>
      </c>
      <c r="G1003" s="22">
        <v>0.045</v>
      </c>
      <c r="H1003" s="23">
        <v>0</v>
      </c>
      <c r="I1003" s="18">
        <v>89.57</v>
      </c>
      <c r="J1003" s="19">
        <v>24.64</v>
      </c>
      <c r="K1003" s="17">
        <v>3.584</v>
      </c>
      <c r="L1003" s="20">
        <v>89.58</v>
      </c>
      <c r="M1003" s="21">
        <v>0</v>
      </c>
      <c r="N1003" s="21" t="s"/>
      <c r="O1003" s="16" t="s"/>
    </row>
    <row r="1004" spans="1:15" ht="20" customHeight="1">
      <c r="A1004" s="16" t="s">
        <v>879</v>
      </c>
      <c r="B1004" s="16" t="s">
        <v>880</v>
      </c>
      <c r="C1004" s="16" t="s">
        <v>65</v>
      </c>
      <c r="D1004" s="22">
        <v>1.163</v>
      </c>
      <c r="E1004" s="22">
        <v>0.106</v>
      </c>
      <c r="F1004" s="22">
        <v>1.14</v>
      </c>
      <c r="G1004" s="22">
        <v>0.052</v>
      </c>
      <c r="H1004" s="23">
        <v>0</v>
      </c>
      <c r="I1004" s="18">
        <v>103.62</v>
      </c>
      <c r="J1004" s="19">
        <v>28.5175</v>
      </c>
      <c r="K1004" s="17">
        <v>4.146</v>
      </c>
      <c r="L1004" s="20">
        <v>103.63</v>
      </c>
      <c r="M1004" s="21">
        <v>0</v>
      </c>
      <c r="N1004" s="21" t="s"/>
      <c r="O1004" s="16" t="s"/>
    </row>
    <row r="1005" spans="1:15" ht="20" customHeight="1">
      <c r="A1005" s="16" t="s">
        <v>879</v>
      </c>
      <c r="B1005" s="16" t="s">
        <v>881</v>
      </c>
      <c r="C1005" s="16" t="s">
        <v>62</v>
      </c>
      <c r="D1005" s="22">
        <v>0.528</v>
      </c>
      <c r="E1005" s="22">
        <v>0.048</v>
      </c>
      <c r="F1005" s="22">
        <v>0.495</v>
      </c>
      <c r="G1005" s="22">
        <v>0.023</v>
      </c>
      <c r="H1005" s="23">
        <v>0</v>
      </c>
      <c r="I1005" s="18">
        <v>45</v>
      </c>
      <c r="J1005" s="19">
        <v>12.375</v>
      </c>
      <c r="K1005" s="17">
        <v>1.8</v>
      </c>
      <c r="L1005" s="20">
        <v>45</v>
      </c>
      <c r="M1005" s="21">
        <v>0</v>
      </c>
      <c r="N1005" s="21" t="s"/>
      <c r="O1005" s="16" t="s"/>
    </row>
    <row r="1006" spans="1:15" ht="20" customHeight="1">
      <c r="A1006" s="16" t="s">
        <v>879</v>
      </c>
      <c r="B1006" s="16" t="s">
        <v>881</v>
      </c>
      <c r="C1006" s="16" t="s">
        <v>63</v>
      </c>
      <c r="D1006" s="22">
        <v>0.704</v>
      </c>
      <c r="E1006" s="22">
        <v>0.064</v>
      </c>
      <c r="F1006" s="22">
        <v>0.643</v>
      </c>
      <c r="G1006" s="22">
        <v>0.03</v>
      </c>
      <c r="H1006" s="23">
        <v>0</v>
      </c>
      <c r="I1006" s="18">
        <v>58.44</v>
      </c>
      <c r="J1006" s="19">
        <v>16.0875</v>
      </c>
      <c r="K1006" s="17">
        <v>2.338</v>
      </c>
      <c r="L1006" s="20">
        <v>58.45</v>
      </c>
      <c r="M1006" s="21">
        <v>0</v>
      </c>
      <c r="N1006" s="21" t="s"/>
      <c r="O1006" s="16" t="s"/>
    </row>
    <row r="1007" spans="1:15" ht="20" customHeight="1">
      <c r="A1007" s="16" t="s">
        <v>879</v>
      </c>
      <c r="B1007" s="16" t="s">
        <v>881</v>
      </c>
      <c r="C1007" s="16" t="s">
        <v>64</v>
      </c>
      <c r="D1007" s="22">
        <v>1.355</v>
      </c>
      <c r="E1007" s="22">
        <v>0.124</v>
      </c>
      <c r="F1007" s="22">
        <v>1.319</v>
      </c>
      <c r="G1007" s="22">
        <v>0.06</v>
      </c>
      <c r="H1007" s="23">
        <v>0</v>
      </c>
      <c r="I1007" s="18">
        <v>119.86</v>
      </c>
      <c r="J1007" s="19">
        <v>32.9725</v>
      </c>
      <c r="K1007" s="17">
        <v>4.795</v>
      </c>
      <c r="L1007" s="20">
        <v>119.87</v>
      </c>
      <c r="M1007" s="21">
        <v>0</v>
      </c>
      <c r="N1007" s="21" t="s"/>
      <c r="O1007" s="16" t="s"/>
    </row>
    <row r="1008" spans="1:15" ht="20" customHeight="1">
      <c r="A1008" s="16" t="s">
        <v>879</v>
      </c>
      <c r="B1008" s="16" t="s">
        <v>881</v>
      </c>
      <c r="C1008" s="16" t="s">
        <v>65</v>
      </c>
      <c r="D1008" s="22">
        <v>0.924</v>
      </c>
      <c r="E1008" s="22">
        <v>0.084</v>
      </c>
      <c r="F1008" s="22">
        <v>0.918</v>
      </c>
      <c r="G1008" s="22">
        <v>0.042</v>
      </c>
      <c r="H1008" s="23">
        <v>0</v>
      </c>
      <c r="I1008" s="18">
        <v>83.45</v>
      </c>
      <c r="J1008" s="19">
        <v>22.9625</v>
      </c>
      <c r="K1008" s="17">
        <v>3.339</v>
      </c>
      <c r="L1008" s="20">
        <v>83.46</v>
      </c>
      <c r="M1008" s="21">
        <v>0</v>
      </c>
      <c r="N1008" s="21" t="s"/>
      <c r="O1008" s="16" t="s"/>
    </row>
    <row r="1009" spans="1:15" ht="20" customHeight="1">
      <c r="A1009" s="16" t="s">
        <v>879</v>
      </c>
      <c r="B1009" s="16" t="s">
        <v>882</v>
      </c>
      <c r="C1009" s="16" t="s"/>
      <c r="D1009" s="22">
        <v>8.698</v>
      </c>
      <c r="E1009" s="22">
        <v>0.791</v>
      </c>
      <c r="F1009" s="22">
        <v>2.018</v>
      </c>
      <c r="G1009" s="22">
        <v>0.092</v>
      </c>
      <c r="H1009" s="23">
        <v>0</v>
      </c>
      <c r="I1009" s="18">
        <v>183.36</v>
      </c>
      <c r="J1009" s="19">
        <v>50.435</v>
      </c>
      <c r="K1009" s="17">
        <v>0</v>
      </c>
      <c r="L1009" s="20">
        <v>183.37</v>
      </c>
      <c r="M1009" s="21">
        <v>0</v>
      </c>
      <c r="N1009" s="21" t="s"/>
      <c r="O1009" s="16" t="s"/>
    </row>
    <row r="1010" spans="1:15" ht="20" customHeight="1">
      <c r="A1010" s="16" t="s">
        <v>879</v>
      </c>
      <c r="B1010" s="16" t="s">
        <v>883</v>
      </c>
      <c r="C1010" s="16" t="s"/>
      <c r="D1010" s="22">
        <v>3.783</v>
      </c>
      <c r="E1010" s="22">
        <v>0.344</v>
      </c>
      <c r="F1010" s="22">
        <v>1.522</v>
      </c>
      <c r="G1010" s="22">
        <v>0.07</v>
      </c>
      <c r="H1010" s="23">
        <v>0</v>
      </c>
      <c r="I1010" s="18">
        <v>138.29</v>
      </c>
      <c r="J1010" s="19">
        <v>38.0325</v>
      </c>
      <c r="K1010" s="17">
        <v>0</v>
      </c>
      <c r="L1010" s="20">
        <v>138.3</v>
      </c>
      <c r="M1010" s="21">
        <v>0</v>
      </c>
      <c r="N1010" s="21" t="s"/>
      <c r="O1010" s="16" t="s"/>
    </row>
    <row r="1011" spans="1:15" ht="20" customHeight="1">
      <c r="A1011" s="16" t="s">
        <v>879</v>
      </c>
      <c r="B1011" s="16" t="s">
        <v>884</v>
      </c>
      <c r="C1011" s="16" t="s"/>
      <c r="D1011" s="22">
        <v>0</v>
      </c>
      <c r="E1011" s="22">
        <v>0</v>
      </c>
      <c r="F1011" s="22">
        <v>0.953</v>
      </c>
      <c r="G1011" s="22">
        <v>0.044</v>
      </c>
      <c r="H1011" s="23">
        <v>0</v>
      </c>
      <c r="I1011" s="18">
        <v>0</v>
      </c>
      <c r="J1011" s="19">
        <v>0</v>
      </c>
      <c r="K1011" s="17">
        <v>0</v>
      </c>
      <c r="L1011" s="20">
        <v>66.64</v>
      </c>
      <c r="M1011" s="21">
        <v>0</v>
      </c>
      <c r="N1011" s="21" t="s"/>
      <c r="O1011" s="16" t="s"/>
    </row>
    <row r="1012" spans="1:15" ht="20" customHeight="1">
      <c r="A1012" s="16" t="s">
        <v>879</v>
      </c>
      <c r="B1012" s="16" t="s">
        <v>885</v>
      </c>
      <c r="C1012" s="16" t="s"/>
      <c r="D1012" s="22">
        <v>1.713</v>
      </c>
      <c r="E1012" s="22">
        <v>0.156</v>
      </c>
      <c r="F1012" s="22">
        <v>1.571</v>
      </c>
      <c r="G1012" s="22">
        <v>0.072</v>
      </c>
      <c r="H1012" s="23">
        <v>0</v>
      </c>
      <c r="I1012" s="18">
        <v>155.75</v>
      </c>
      <c r="J1012" s="19">
        <v>53.5425</v>
      </c>
      <c r="K1012" s="17">
        <v>0</v>
      </c>
      <c r="L1012" s="20">
        <v>65.04</v>
      </c>
      <c r="M1012" s="21">
        <v>0</v>
      </c>
      <c r="N1012" s="21" t="s"/>
      <c r="O1012" s="16" t="s"/>
    </row>
    <row r="1013" spans="1:15" ht="20" customHeight="1">
      <c r="A1013" s="16" t="s">
        <v>879</v>
      </c>
      <c r="B1013" s="16" t="s">
        <v>886</v>
      </c>
      <c r="C1013" s="16" t="s"/>
      <c r="D1013" s="22">
        <v>2.548</v>
      </c>
      <c r="E1013" s="22">
        <v>0.232</v>
      </c>
      <c r="F1013" s="22">
        <v>2.476</v>
      </c>
      <c r="G1013" s="22">
        <v>0.113</v>
      </c>
      <c r="H1013" s="23">
        <v>0</v>
      </c>
      <c r="I1013" s="18">
        <v>241.16</v>
      </c>
      <c r="J1013" s="19">
        <v>79.64</v>
      </c>
      <c r="K1013" s="17">
        <v>0</v>
      </c>
      <c r="L1013" s="20">
        <v>128.3</v>
      </c>
      <c r="M1013" s="21">
        <v>0</v>
      </c>
      <c r="N1013" s="21" t="s"/>
      <c r="O1013" s="16" t="s"/>
    </row>
    <row r="1014" spans="1:15" ht="20" customHeight="1">
      <c r="A1014" s="16" t="s">
        <v>879</v>
      </c>
      <c r="B1014" s="16" t="s">
        <v>887</v>
      </c>
      <c r="C1014" s="16" t="s"/>
      <c r="D1014" s="22">
        <v>1.537</v>
      </c>
      <c r="E1014" s="22">
        <v>0.14</v>
      </c>
      <c r="F1014" s="22">
        <v>1.381</v>
      </c>
      <c r="G1014" s="22">
        <v>0.063</v>
      </c>
      <c r="H1014" s="23">
        <v>0</v>
      </c>
      <c r="I1014" s="18">
        <v>137.75</v>
      </c>
      <c r="J1014" s="19">
        <v>48.0425</v>
      </c>
      <c r="K1014" s="17">
        <v>0</v>
      </c>
      <c r="L1014" s="20">
        <v>51.71</v>
      </c>
      <c r="M1014" s="21">
        <v>0</v>
      </c>
      <c r="N1014" s="21" t="s"/>
      <c r="O1014" s="16" t="s"/>
    </row>
    <row r="1015" spans="1:15" ht="20" customHeight="1">
      <c r="A1015" s="16" t="s">
        <v>879</v>
      </c>
      <c r="B1015" s="16" t="s">
        <v>888</v>
      </c>
      <c r="C1015" s="16" t="s"/>
      <c r="D1015" s="22">
        <v>1.624</v>
      </c>
      <c r="E1015" s="22">
        <v>0.148</v>
      </c>
      <c r="F1015" s="22">
        <v>1.475</v>
      </c>
      <c r="G1015" s="22">
        <v>0.068</v>
      </c>
      <c r="H1015" s="23">
        <v>0</v>
      </c>
      <c r="I1015" s="18">
        <v>146.66</v>
      </c>
      <c r="J1015" s="19">
        <v>50.765</v>
      </c>
      <c r="K1015" s="17">
        <v>0</v>
      </c>
      <c r="L1015" s="20">
        <v>58.31</v>
      </c>
      <c r="M1015" s="21">
        <v>0</v>
      </c>
      <c r="N1015" s="21" t="s"/>
      <c r="O1015" s="16" t="s"/>
    </row>
    <row r="1016" spans="1:15" ht="20" customHeight="1">
      <c r="A1016" s="16" t="s">
        <v>879</v>
      </c>
      <c r="B1016" s="16" t="s">
        <v>889</v>
      </c>
      <c r="C1016" s="16" t="s"/>
      <c r="D1016" s="22">
        <v>3.001</v>
      </c>
      <c r="E1016" s="22">
        <v>0.273</v>
      </c>
      <c r="F1016" s="22">
        <v>2.021</v>
      </c>
      <c r="G1016" s="22">
        <v>0.092</v>
      </c>
      <c r="H1016" s="23">
        <v>0</v>
      </c>
      <c r="I1016" s="18">
        <v>205.71</v>
      </c>
      <c r="J1016" s="19">
        <v>74.745</v>
      </c>
      <c r="K1016" s="17">
        <v>0</v>
      </c>
      <c r="L1016" s="20">
        <v>51.71</v>
      </c>
      <c r="M1016" s="21">
        <v>0</v>
      </c>
      <c r="N1016" s="21" t="s"/>
      <c r="O1016" s="16" t="s"/>
    </row>
    <row r="1017" spans="1:15" ht="20" customHeight="1">
      <c r="A1017" s="16" t="s">
        <v>879</v>
      </c>
      <c r="B1017" s="16" t="s">
        <v>890</v>
      </c>
      <c r="C1017" s="16" t="s"/>
      <c r="D1017" s="22">
        <v>3.25</v>
      </c>
      <c r="E1017" s="22">
        <v>0.296</v>
      </c>
      <c r="F1017" s="22">
        <v>2.212</v>
      </c>
      <c r="G1017" s="22">
        <v>0.101</v>
      </c>
      <c r="H1017" s="23">
        <v>0</v>
      </c>
      <c r="I1017" s="18">
        <v>223.71</v>
      </c>
      <c r="J1017" s="19">
        <v>80.245</v>
      </c>
      <c r="K1017" s="17">
        <v>0</v>
      </c>
      <c r="L1017" s="20">
        <v>65.04</v>
      </c>
      <c r="M1017" s="21">
        <v>0</v>
      </c>
      <c r="N1017" s="21" t="s"/>
      <c r="O1017" s="16" t="s"/>
    </row>
    <row r="1018" spans="1:15" ht="20" customHeight="1">
      <c r="A1018" s="16" t="s">
        <v>879</v>
      </c>
      <c r="B1018" s="16" t="s">
        <v>891</v>
      </c>
      <c r="C1018" s="16" t="s"/>
      <c r="D1018" s="22">
        <v>0.397</v>
      </c>
      <c r="E1018" s="22">
        <v>0.037</v>
      </c>
      <c r="F1018" s="22">
        <v>0.248</v>
      </c>
      <c r="G1018" s="22">
        <v>0.012</v>
      </c>
      <c r="H1018" s="23">
        <v>0</v>
      </c>
      <c r="I1018" s="18">
        <v>22.51</v>
      </c>
      <c r="J1018" s="19">
        <v>6.215</v>
      </c>
      <c r="K1018" s="17">
        <v>0.901</v>
      </c>
      <c r="L1018" s="20">
        <v>22.52</v>
      </c>
      <c r="M1018" s="21">
        <v>0</v>
      </c>
      <c r="N1018" s="21" t="s"/>
      <c r="O1018" s="16" t="s"/>
    </row>
    <row r="1019" spans="1:15" ht="20" customHeight="1">
      <c r="A1019" s="16" t="s">
        <v>879</v>
      </c>
      <c r="B1019" s="16" t="s">
        <v>892</v>
      </c>
      <c r="C1019" s="16" t="s"/>
      <c r="D1019" s="22">
        <v>1.949</v>
      </c>
      <c r="E1019" s="22">
        <v>0.178</v>
      </c>
      <c r="F1019" s="22">
        <v>2.128</v>
      </c>
      <c r="G1019" s="22">
        <v>0.097</v>
      </c>
      <c r="H1019" s="23">
        <v>0</v>
      </c>
      <c r="I1019" s="18">
        <v>93.36</v>
      </c>
      <c r="J1019" s="19">
        <v>25.685</v>
      </c>
      <c r="K1019" s="17">
        <v>3.735</v>
      </c>
      <c r="L1019" s="20">
        <v>243.37</v>
      </c>
      <c r="M1019" s="21">
        <v>0</v>
      </c>
      <c r="N1019" s="21" t="s"/>
      <c r="O1019" s="16" t="s"/>
    </row>
    <row r="1020" spans="1:15" ht="20" customHeight="1">
      <c r="A1020" s="16" t="s">
        <v>879</v>
      </c>
      <c r="B1020" s="16" t="s">
        <v>893</v>
      </c>
      <c r="C1020" s="16" t="s"/>
      <c r="D1020" s="22">
        <v>5.609</v>
      </c>
      <c r="E1020" s="22">
        <v>0.51</v>
      </c>
      <c r="F1020" s="22">
        <v>2.623</v>
      </c>
      <c r="G1020" s="22">
        <v>0.12</v>
      </c>
      <c r="H1020" s="23">
        <v>0</v>
      </c>
      <c r="I1020" s="18">
        <v>437.86</v>
      </c>
      <c r="J1020" s="19">
        <v>248.435</v>
      </c>
      <c r="K1020" s="17">
        <v>0</v>
      </c>
      <c r="L1020" s="20">
        <v>238.37</v>
      </c>
      <c r="M1020" s="21">
        <v>0</v>
      </c>
      <c r="N1020" s="21" t="s"/>
      <c r="O1020" s="16" t="s"/>
    </row>
    <row r="1021" spans="1:15" ht="20" customHeight="1">
      <c r="A1021" s="16" t="s">
        <v>879</v>
      </c>
      <c r="B1021" s="16" t="s">
        <v>894</v>
      </c>
      <c r="C1021" s="16" t="s"/>
      <c r="D1021" s="22">
        <v>15.984</v>
      </c>
      <c r="E1021" s="22">
        <v>1.454</v>
      </c>
      <c r="F1021" s="22">
        <v>2.677</v>
      </c>
      <c r="G1021" s="22">
        <v>0.122</v>
      </c>
      <c r="H1021" s="23">
        <v>0</v>
      </c>
      <c r="I1021" s="18">
        <v>243.29</v>
      </c>
      <c r="J1021" s="19">
        <v>0</v>
      </c>
      <c r="K1021" s="17">
        <v>0</v>
      </c>
      <c r="L1021" s="20">
        <v>743.3</v>
      </c>
      <c r="M1021" s="21">
        <v>0</v>
      </c>
      <c r="N1021" s="21" t="s"/>
      <c r="O1021" s="16" t="s"/>
    </row>
    <row r="1022" spans="1:15" ht="20" customHeight="1">
      <c r="A1022" s="16" t="s">
        <v>879</v>
      </c>
      <c r="B1022" s="16" t="s">
        <v>895</v>
      </c>
      <c r="C1022" s="16" t="s"/>
      <c r="D1022" s="22">
        <v>0.734</v>
      </c>
      <c r="E1022" s="22">
        <v>0.067</v>
      </c>
      <c r="F1022" s="22">
        <v>0.459</v>
      </c>
      <c r="G1022" s="22">
        <v>0.021</v>
      </c>
      <c r="H1022" s="23">
        <v>0</v>
      </c>
      <c r="I1022" s="18">
        <v>41.68</v>
      </c>
      <c r="J1022" s="19">
        <v>11.4675</v>
      </c>
      <c r="K1022" s="17">
        <v>1.668</v>
      </c>
      <c r="L1022" s="20">
        <v>41.69</v>
      </c>
      <c r="M1022" s="21">
        <v>0</v>
      </c>
      <c r="N1022" s="21" t="s"/>
      <c r="O1022" s="16" t="s"/>
    </row>
    <row r="1023" spans="1:15" ht="20" customHeight="1">
      <c r="A1023" s="16" t="s">
        <v>879</v>
      </c>
      <c r="B1023" s="16" t="s">
        <v>896</v>
      </c>
      <c r="C1023" s="16" t="s">
        <v>75</v>
      </c>
      <c r="D1023" s="22">
        <v>0</v>
      </c>
      <c r="E1023" s="22">
        <v>0</v>
      </c>
      <c r="F1023" s="22">
        <v>2.713</v>
      </c>
      <c r="G1023" s="22">
        <v>0.124</v>
      </c>
      <c r="H1023" s="23">
        <v>0</v>
      </c>
      <c r="I1023" s="18">
        <v>0</v>
      </c>
      <c r="J1023" s="19">
        <v>0</v>
      </c>
      <c r="K1023" s="17">
        <v>0</v>
      </c>
      <c r="L1023" s="20">
        <v>366.64</v>
      </c>
      <c r="M1023" s="21">
        <v>0</v>
      </c>
      <c r="N1023" s="21" t="s"/>
      <c r="O1023" s="16" t="s"/>
    </row>
    <row r="1024" spans="1:15" ht="20" customHeight="1">
      <c r="A1024" s="16" t="s">
        <v>879</v>
      </c>
      <c r="B1024" s="16" t="s">
        <v>896</v>
      </c>
      <c r="C1024" s="16" t="s">
        <v>76</v>
      </c>
      <c r="D1024" s="22">
        <v>0</v>
      </c>
      <c r="E1024" s="22">
        <v>0</v>
      </c>
      <c r="F1024" s="22">
        <v>3.428</v>
      </c>
      <c r="G1024" s="22">
        <v>0.156</v>
      </c>
      <c r="H1024" s="23">
        <v>0</v>
      </c>
      <c r="I1024" s="18">
        <v>0</v>
      </c>
      <c r="J1024" s="19">
        <v>0</v>
      </c>
      <c r="K1024" s="17">
        <v>0</v>
      </c>
      <c r="L1024" s="20">
        <v>416.64</v>
      </c>
      <c r="M1024" s="21">
        <v>0</v>
      </c>
      <c r="N1024" s="21" t="s"/>
      <c r="O1024" s="16" t="s"/>
    </row>
    <row r="1025" spans="1:15" ht="20" customHeight="1">
      <c r="A1025" s="16" t="s">
        <v>879</v>
      </c>
      <c r="B1025" s="16" t="s">
        <v>896</v>
      </c>
      <c r="C1025" s="16" t="s">
        <v>77</v>
      </c>
      <c r="D1025" s="22">
        <v>0</v>
      </c>
      <c r="E1025" s="22">
        <v>0</v>
      </c>
      <c r="F1025" s="22">
        <v>1.668</v>
      </c>
      <c r="G1025" s="22">
        <v>0.076</v>
      </c>
      <c r="H1025" s="23">
        <v>0</v>
      </c>
      <c r="I1025" s="18">
        <v>0</v>
      </c>
      <c r="J1025" s="19">
        <v>0</v>
      </c>
      <c r="K1025" s="17">
        <v>0</v>
      </c>
      <c r="L1025" s="20">
        <v>116.64</v>
      </c>
      <c r="M1025" s="21">
        <v>0</v>
      </c>
      <c r="N1025" s="21" t="s"/>
      <c r="O1025" s="16" t="s"/>
    </row>
    <row r="1026" spans="1:15" ht="20" customHeight="1">
      <c r="A1026" s="16" t="s">
        <v>879</v>
      </c>
      <c r="B1026" s="16" t="s">
        <v>897</v>
      </c>
      <c r="C1026" s="16" t="s"/>
      <c r="D1026" s="22">
        <v>2.416</v>
      </c>
      <c r="E1026" s="22">
        <v>0.22</v>
      </c>
      <c r="F1026" s="22">
        <v>2.586</v>
      </c>
      <c r="G1026" s="22">
        <v>0.118</v>
      </c>
      <c r="H1026" s="23">
        <v>0</v>
      </c>
      <c r="I1026" s="18">
        <v>254.76</v>
      </c>
      <c r="J1026" s="19">
        <v>86.35</v>
      </c>
      <c r="K1026" s="17">
        <v>0</v>
      </c>
      <c r="L1026" s="20">
        <v>116.7</v>
      </c>
      <c r="M1026" s="21">
        <v>0</v>
      </c>
      <c r="N1026" s="21" t="s"/>
      <c r="O1026" s="16" t="s"/>
    </row>
    <row r="1027" spans="1:15" ht="20" customHeight="1">
      <c r="A1027" s="16" t="s">
        <v>879</v>
      </c>
      <c r="B1027" s="16" t="s">
        <v>898</v>
      </c>
      <c r="C1027" s="16" t="s"/>
      <c r="D1027" s="22">
        <v>1.106</v>
      </c>
      <c r="E1027" s="22">
        <v>0.101</v>
      </c>
      <c r="F1027" s="22">
        <v>1.063</v>
      </c>
      <c r="G1027" s="22">
        <v>0.049</v>
      </c>
      <c r="H1027" s="23">
        <v>0</v>
      </c>
      <c r="I1027" s="18">
        <v>96.63</v>
      </c>
      <c r="J1027" s="19">
        <v>26.5925</v>
      </c>
      <c r="K1027" s="17">
        <v>0</v>
      </c>
      <c r="L1027" s="20">
        <v>96.64</v>
      </c>
      <c r="M1027" s="21">
        <v>0</v>
      </c>
      <c r="N1027" s="21" t="s"/>
      <c r="O1027" s="16" t="s"/>
    </row>
    <row r="1028" spans="1:15" ht="20" customHeight="1">
      <c r="A1028" s="16" t="s">
        <v>879</v>
      </c>
      <c r="B1028" s="16" t="s">
        <v>899</v>
      </c>
      <c r="C1028" s="16" t="s"/>
      <c r="D1028" s="22">
        <v>2.216</v>
      </c>
      <c r="E1028" s="22">
        <v>0.202</v>
      </c>
      <c r="F1028" s="22">
        <v>2.384</v>
      </c>
      <c r="G1028" s="22">
        <v>0.109</v>
      </c>
      <c r="H1028" s="23">
        <v>0</v>
      </c>
      <c r="I1028" s="18">
        <v>116.69</v>
      </c>
      <c r="J1028" s="19">
        <v>32.0925</v>
      </c>
      <c r="K1028" s="17">
        <v>4.668</v>
      </c>
      <c r="L1028" s="20">
        <v>266.7</v>
      </c>
      <c r="M1028" s="21">
        <v>0</v>
      </c>
      <c r="N1028" s="21" t="s"/>
      <c r="O1028" s="16" t="s"/>
    </row>
    <row r="1029" spans="1:15" ht="20" customHeight="1">
      <c r="A1029" s="16" t="s">
        <v>900</v>
      </c>
      <c r="B1029" s="16" t="s">
        <v>901</v>
      </c>
      <c r="C1029" s="16" t="s">
        <v>62</v>
      </c>
      <c r="D1029" s="22">
        <v>0.256</v>
      </c>
      <c r="E1029" s="22">
        <v>0.024</v>
      </c>
      <c r="F1029" s="22">
        <v>0.194</v>
      </c>
      <c r="G1029" s="22">
        <v>0.009</v>
      </c>
      <c r="H1029" s="23">
        <v>0.408</v>
      </c>
      <c r="I1029" s="18">
        <v>22.63</v>
      </c>
      <c r="J1029" s="19">
        <v>6.2425</v>
      </c>
      <c r="K1029" s="17">
        <v>0</v>
      </c>
      <c r="L1029" s="20">
        <v>22.64</v>
      </c>
      <c r="M1029" s="21">
        <v>0</v>
      </c>
      <c r="N1029" s="21" t="s"/>
      <c r="O1029" s="16" t="s"/>
    </row>
    <row r="1030" spans="1:15" ht="20" customHeight="1">
      <c r="A1030" s="16" t="s">
        <v>900</v>
      </c>
      <c r="B1030" s="16" t="s">
        <v>901</v>
      </c>
      <c r="C1030" s="16" t="s">
        <v>63</v>
      </c>
      <c r="D1030" s="22">
        <v>0.513</v>
      </c>
      <c r="E1030" s="22">
        <v>0.047</v>
      </c>
      <c r="F1030" s="22">
        <v>0.435</v>
      </c>
      <c r="G1030" s="22">
        <v>0.02</v>
      </c>
      <c r="H1030" s="23">
        <v>0.893</v>
      </c>
      <c r="I1030" s="18">
        <v>49.58</v>
      </c>
      <c r="J1030" s="19">
        <v>13.64</v>
      </c>
      <c r="K1030" s="17">
        <v>0</v>
      </c>
      <c r="L1030" s="20">
        <v>49.59</v>
      </c>
      <c r="M1030" s="21">
        <v>0</v>
      </c>
      <c r="N1030" s="21" t="s"/>
      <c r="O1030" s="16" t="s"/>
    </row>
    <row r="1031" spans="1:15" ht="20" customHeight="1">
      <c r="A1031" s="16" t="s">
        <v>900</v>
      </c>
      <c r="B1031" s="16" t="s">
        <v>901</v>
      </c>
      <c r="C1031" s="16" t="s">
        <v>64</v>
      </c>
      <c r="D1031" s="22">
        <v>0.648</v>
      </c>
      <c r="E1031" s="22">
        <v>0.059</v>
      </c>
      <c r="F1031" s="22">
        <v>0.616</v>
      </c>
      <c r="G1031" s="22">
        <v>0.028</v>
      </c>
      <c r="H1031" s="23">
        <v>1.237</v>
      </c>
      <c r="I1031" s="18">
        <v>68.71</v>
      </c>
      <c r="J1031" s="19">
        <v>18.92</v>
      </c>
      <c r="K1031" s="17">
        <v>0</v>
      </c>
      <c r="L1031" s="20">
        <v>68.72</v>
      </c>
      <c r="M1031" s="21">
        <v>0</v>
      </c>
      <c r="N1031" s="21" t="s"/>
      <c r="O1031" s="16" t="s"/>
    </row>
    <row r="1032" spans="1:15" ht="20" customHeight="1">
      <c r="A1032" s="16" t="s">
        <v>900</v>
      </c>
      <c r="B1032" s="16" t="s">
        <v>901</v>
      </c>
      <c r="C1032" s="16" t="s">
        <v>65</v>
      </c>
      <c r="D1032" s="22">
        <v>0.995</v>
      </c>
      <c r="E1032" s="22">
        <v>0.091</v>
      </c>
      <c r="F1032" s="22">
        <v>0.995</v>
      </c>
      <c r="G1032" s="22">
        <v>0.046</v>
      </c>
      <c r="H1032" s="23">
        <v>2.263</v>
      </c>
      <c r="I1032" s="18">
        <v>125.69</v>
      </c>
      <c r="J1032" s="19">
        <v>30.2775</v>
      </c>
      <c r="K1032" s="17">
        <v>0</v>
      </c>
      <c r="L1032" s="20">
        <v>125.7</v>
      </c>
      <c r="M1032" s="21">
        <v>0</v>
      </c>
      <c r="N1032" s="21" t="s"/>
      <c r="O1032" s="16" t="s"/>
    </row>
    <row r="1033" spans="1:15" ht="20" customHeight="1">
      <c r="A1033" s="16" t="s">
        <v>900</v>
      </c>
      <c r="B1033" s="16" t="s">
        <v>902</v>
      </c>
      <c r="C1033" s="16" t="s">
        <v>62</v>
      </c>
      <c r="D1033" s="22">
        <v>0.895</v>
      </c>
      <c r="E1033" s="22">
        <v>0.082</v>
      </c>
      <c r="F1033" s="22">
        <v>0.714</v>
      </c>
      <c r="G1033" s="22">
        <v>0.033</v>
      </c>
      <c r="H1033" s="23">
        <v>1.98</v>
      </c>
      <c r="I1033" s="18">
        <v>55</v>
      </c>
      <c r="J1033" s="19">
        <v>15.125</v>
      </c>
      <c r="K1033" s="17">
        <v>0</v>
      </c>
      <c r="L1033" s="20">
        <v>55</v>
      </c>
      <c r="M1033" s="21">
        <v>0</v>
      </c>
      <c r="N1033" s="21" t="s"/>
      <c r="O1033" s="16" t="s"/>
    </row>
    <row r="1034" spans="1:15" ht="20" customHeight="1">
      <c r="A1034" s="16" t="s">
        <v>900</v>
      </c>
      <c r="B1034" s="16" t="s">
        <v>902</v>
      </c>
      <c r="C1034" s="16" t="s">
        <v>63</v>
      </c>
      <c r="D1034" s="22">
        <v>1.139</v>
      </c>
      <c r="E1034" s="22">
        <v>0.104</v>
      </c>
      <c r="F1034" s="22">
        <v>0.908</v>
      </c>
      <c r="G1034" s="22">
        <v>0.042</v>
      </c>
      <c r="H1034" s="23">
        <v>2.52</v>
      </c>
      <c r="I1034" s="18">
        <v>70</v>
      </c>
      <c r="J1034" s="19">
        <v>19.25</v>
      </c>
      <c r="K1034" s="17">
        <v>0</v>
      </c>
      <c r="L1034" s="20">
        <v>70</v>
      </c>
      <c r="M1034" s="21">
        <v>0</v>
      </c>
      <c r="N1034" s="21" t="s"/>
      <c r="O1034" s="16" t="s"/>
    </row>
    <row r="1035" spans="1:15" ht="20" customHeight="1">
      <c r="A1035" s="16" t="s">
        <v>900</v>
      </c>
      <c r="B1035" s="16" t="s">
        <v>902</v>
      </c>
      <c r="C1035" s="16" t="s">
        <v>64</v>
      </c>
      <c r="D1035" s="22">
        <v>1.031</v>
      </c>
      <c r="E1035" s="22">
        <v>0.094</v>
      </c>
      <c r="F1035" s="22">
        <v>0.822</v>
      </c>
      <c r="G1035" s="22">
        <v>0.038</v>
      </c>
      <c r="H1035" s="23">
        <v>2.28</v>
      </c>
      <c r="I1035" s="18">
        <v>63.33</v>
      </c>
      <c r="J1035" s="19">
        <v>17.435</v>
      </c>
      <c r="K1035" s="17">
        <v>0</v>
      </c>
      <c r="L1035" s="20">
        <v>63.34</v>
      </c>
      <c r="M1035" s="21">
        <v>0</v>
      </c>
      <c r="N1035" s="21" t="s"/>
      <c r="O1035" s="16" t="s"/>
    </row>
    <row r="1036" spans="1:15" ht="20" customHeight="1">
      <c r="A1036" s="16" t="s">
        <v>900</v>
      </c>
      <c r="B1036" s="16" t="s">
        <v>902</v>
      </c>
      <c r="C1036" s="16" t="s">
        <v>65</v>
      </c>
      <c r="D1036" s="22">
        <v>1.003</v>
      </c>
      <c r="E1036" s="22">
        <v>0.092</v>
      </c>
      <c r="F1036" s="22">
        <v>0.8</v>
      </c>
      <c r="G1036" s="22">
        <v>0.037</v>
      </c>
      <c r="H1036" s="23">
        <v>2.22</v>
      </c>
      <c r="I1036" s="18">
        <v>61.66</v>
      </c>
      <c r="J1036" s="19">
        <v>16.9675</v>
      </c>
      <c r="K1036" s="17">
        <v>0</v>
      </c>
      <c r="L1036" s="20">
        <v>61.67</v>
      </c>
      <c r="M1036" s="21">
        <v>0</v>
      </c>
      <c r="N1036" s="21" t="s"/>
      <c r="O1036" s="16" t="s"/>
    </row>
    <row r="1037" spans="1:15" ht="20" customHeight="1">
      <c r="A1037" s="16" t="s">
        <v>900</v>
      </c>
      <c r="B1037" s="16" t="s">
        <v>903</v>
      </c>
      <c r="C1037" s="16" t="s"/>
      <c r="D1037" s="22">
        <v>5.497</v>
      </c>
      <c r="E1037" s="22">
        <v>0.5</v>
      </c>
      <c r="F1037" s="22">
        <v>3.365</v>
      </c>
      <c r="G1037" s="22">
        <v>0.153</v>
      </c>
      <c r="H1037" s="23">
        <v>2.881</v>
      </c>
      <c r="I1037" s="18">
        <v>160.03</v>
      </c>
      <c r="J1037" s="19">
        <v>44.0275</v>
      </c>
      <c r="K1037" s="17">
        <v>0</v>
      </c>
      <c r="L1037" s="20">
        <v>160.04</v>
      </c>
      <c r="M1037" s="21">
        <v>0</v>
      </c>
      <c r="N1037" s="21" t="s"/>
      <c r="O1037" s="16" t="s"/>
    </row>
    <row r="1038" spans="1:15" ht="20" customHeight="1">
      <c r="A1038" s="16" t="s">
        <v>900</v>
      </c>
      <c r="B1038" s="16" t="s">
        <v>904</v>
      </c>
      <c r="C1038" s="16" t="s"/>
      <c r="D1038" s="22">
        <v>0.542</v>
      </c>
      <c r="E1038" s="22">
        <v>0.05</v>
      </c>
      <c r="F1038" s="22">
        <v>0.542</v>
      </c>
      <c r="G1038" s="22">
        <v>0.025</v>
      </c>
      <c r="H1038" s="23">
        <v>0</v>
      </c>
      <c r="I1038" s="18">
        <v>49.18</v>
      </c>
      <c r="J1038" s="19">
        <v>13.53</v>
      </c>
      <c r="K1038" s="17">
        <v>0</v>
      </c>
      <c r="L1038" s="20">
        <v>49.19</v>
      </c>
      <c r="M1038" s="21">
        <v>0</v>
      </c>
      <c r="N1038" s="21" t="s"/>
      <c r="O1038" s="16" t="s"/>
    </row>
    <row r="1039" spans="1:15" ht="20" customHeight="1">
      <c r="A1039" s="16" t="s">
        <v>900</v>
      </c>
      <c r="B1039" s="16" t="s">
        <v>905</v>
      </c>
      <c r="C1039" s="16" t="s"/>
      <c r="D1039" s="22">
        <v>4.04</v>
      </c>
      <c r="E1039" s="22">
        <v>0.368</v>
      </c>
      <c r="F1039" s="22">
        <v>2.36</v>
      </c>
      <c r="G1039" s="22">
        <v>0.108</v>
      </c>
      <c r="H1039" s="23">
        <v>0</v>
      </c>
      <c r="I1039" s="18">
        <v>180.51</v>
      </c>
      <c r="J1039" s="19">
        <v>63.6625</v>
      </c>
      <c r="K1039" s="17">
        <v>0</v>
      </c>
      <c r="L1039" s="20">
        <v>61.7</v>
      </c>
      <c r="M1039" s="21">
        <v>0</v>
      </c>
      <c r="N1039" s="21" t="s"/>
      <c r="O1039" s="16" t="s"/>
    </row>
    <row r="1040" spans="1:15" ht="20" customHeight="1">
      <c r="A1040" s="16" t="s">
        <v>900</v>
      </c>
      <c r="B1040" s="16" t="s">
        <v>906</v>
      </c>
      <c r="C1040" s="16" t="s"/>
      <c r="D1040" s="22">
        <v>5.249</v>
      </c>
      <c r="E1040" s="22">
        <v>0.478</v>
      </c>
      <c r="F1040" s="22">
        <v>3.102</v>
      </c>
      <c r="G1040" s="22">
        <v>0.141</v>
      </c>
      <c r="H1040" s="23">
        <v>0</v>
      </c>
      <c r="I1040" s="18">
        <v>238.52</v>
      </c>
      <c r="J1040" s="19">
        <v>83.5175</v>
      </c>
      <c r="K1040" s="17">
        <v>0</v>
      </c>
      <c r="L1040" s="20">
        <v>86.67</v>
      </c>
      <c r="M1040" s="21">
        <v>0</v>
      </c>
      <c r="N1040" s="21" t="s"/>
      <c r="O1040" s="16" t="s"/>
    </row>
    <row r="1041" spans="1:15" ht="20" customHeight="1">
      <c r="A1041" s="16" t="s">
        <v>900</v>
      </c>
      <c r="B1041" s="16" t="s">
        <v>907</v>
      </c>
      <c r="C1041" s="16" t="s"/>
      <c r="D1041" s="22">
        <v>7.017</v>
      </c>
      <c r="E1041" s="22">
        <v>0.638</v>
      </c>
      <c r="F1041" s="22">
        <v>4.269</v>
      </c>
      <c r="G1041" s="22">
        <v>0.195</v>
      </c>
      <c r="H1041" s="23">
        <v>0</v>
      </c>
      <c r="I1041" s="18">
        <v>332.58</v>
      </c>
      <c r="J1041" s="19">
        <v>114.3725</v>
      </c>
      <c r="K1041" s="17">
        <v>0</v>
      </c>
      <c r="L1041" s="20">
        <v>138.34</v>
      </c>
      <c r="M1041" s="21">
        <v>0</v>
      </c>
      <c r="N1041" s="21" t="s"/>
      <c r="O1041" s="16" t="s"/>
    </row>
    <row r="1042" spans="1:15" ht="20" customHeight="1">
      <c r="A1042" s="16" t="s">
        <v>900</v>
      </c>
      <c r="B1042" s="16" t="s">
        <v>908</v>
      </c>
      <c r="C1042" s="16" t="s"/>
      <c r="D1042" s="22">
        <v>0.605</v>
      </c>
      <c r="E1042" s="22">
        <v>0.055</v>
      </c>
      <c r="F1042" s="22">
        <v>0.303</v>
      </c>
      <c r="G1042" s="22">
        <v>0.014</v>
      </c>
      <c r="H1042" s="23">
        <v>0.99</v>
      </c>
      <c r="I1042" s="18">
        <v>27.5</v>
      </c>
      <c r="J1042" s="19">
        <v>7.5625</v>
      </c>
      <c r="K1042" s="17">
        <v>0</v>
      </c>
      <c r="L1042" s="20">
        <v>55</v>
      </c>
      <c r="M1042" s="21">
        <v>0</v>
      </c>
      <c r="N1042" s="21" t="s"/>
      <c r="O1042" s="16" t="s"/>
    </row>
    <row r="1043" spans="1:15" ht="20" customHeight="1">
      <c r="A1043" s="16" t="s">
        <v>900</v>
      </c>
      <c r="B1043" s="16" t="s">
        <v>909</v>
      </c>
      <c r="C1043" s="16" t="s"/>
      <c r="D1043" s="22">
        <v>2.673</v>
      </c>
      <c r="E1043" s="22">
        <v>0.243</v>
      </c>
      <c r="F1043" s="22">
        <v>2.31</v>
      </c>
      <c r="G1043" s="22">
        <v>0.105</v>
      </c>
      <c r="H1043" s="23">
        <v>3.959</v>
      </c>
      <c r="I1043" s="18">
        <v>109.96</v>
      </c>
      <c r="J1043" s="19">
        <v>30.25</v>
      </c>
      <c r="K1043" s="17">
        <v>0</v>
      </c>
      <c r="L1043" s="20">
        <v>259.97</v>
      </c>
      <c r="M1043" s="21">
        <v>0</v>
      </c>
      <c r="N1043" s="21" t="s"/>
      <c r="O1043" s="16" t="s"/>
    </row>
    <row r="1044" spans="1:15" ht="20" customHeight="1">
      <c r="A1044" s="16" t="s">
        <v>900</v>
      </c>
      <c r="B1044" s="16" t="s">
        <v>910</v>
      </c>
      <c r="C1044" s="16" t="s"/>
      <c r="D1044" s="22">
        <v>6.204</v>
      </c>
      <c r="E1044" s="22">
        <v>0.564</v>
      </c>
      <c r="F1044" s="22">
        <v>1.815</v>
      </c>
      <c r="G1044" s="22">
        <v>0.083</v>
      </c>
      <c r="H1044" s="23">
        <v>0</v>
      </c>
      <c r="I1044" s="18">
        <v>404.5</v>
      </c>
      <c r="J1044" s="19">
        <v>228.25</v>
      </c>
      <c r="K1044" s="17">
        <v>0</v>
      </c>
      <c r="L1044" s="20">
        <v>164.97</v>
      </c>
      <c r="M1044" s="21">
        <v>0</v>
      </c>
      <c r="N1044" s="21" t="s"/>
      <c r="O1044" s="16" t="s"/>
    </row>
    <row r="1045" spans="1:15" ht="20" customHeight="1">
      <c r="A1045" s="16" t="s">
        <v>900</v>
      </c>
      <c r="B1045" s="16" t="s">
        <v>911</v>
      </c>
      <c r="C1045" s="16" t="s"/>
      <c r="D1045" s="22">
        <v>16.225</v>
      </c>
      <c r="E1045" s="22">
        <v>1.475</v>
      </c>
      <c r="F1045" s="22">
        <v>7.678</v>
      </c>
      <c r="G1045" s="22">
        <v>0.349</v>
      </c>
      <c r="H1045" s="23">
        <v>0</v>
      </c>
      <c r="I1045" s="18">
        <v>180</v>
      </c>
      <c r="J1045" s="19">
        <v>0</v>
      </c>
      <c r="K1045" s="17">
        <v>0</v>
      </c>
      <c r="L1045" s="20">
        <v>680</v>
      </c>
      <c r="M1045" s="21">
        <v>0</v>
      </c>
      <c r="N1045" s="21" t="s"/>
      <c r="O1045" s="16" t="s"/>
    </row>
    <row r="1046" spans="1:15" ht="20" customHeight="1">
      <c r="A1046" s="16" t="s">
        <v>900</v>
      </c>
      <c r="B1046" s="16" t="s">
        <v>912</v>
      </c>
      <c r="C1046" s="16" t="s"/>
      <c r="D1046" s="22">
        <v>1.21</v>
      </c>
      <c r="E1046" s="22">
        <v>0.11</v>
      </c>
      <c r="F1046" s="22">
        <v>0.605</v>
      </c>
      <c r="G1046" s="22">
        <v>0.028</v>
      </c>
      <c r="H1046" s="23">
        <v>1.98</v>
      </c>
      <c r="I1046" s="18">
        <v>54.98</v>
      </c>
      <c r="J1046" s="19">
        <v>15.125</v>
      </c>
      <c r="K1046" s="17">
        <v>0</v>
      </c>
      <c r="L1046" s="20">
        <v>109.97</v>
      </c>
      <c r="M1046" s="21">
        <v>0</v>
      </c>
      <c r="N1046" s="21" t="s"/>
      <c r="O1046" s="16" t="s"/>
    </row>
    <row r="1047" spans="1:15" ht="20" customHeight="1">
      <c r="A1047" s="16" t="s">
        <v>900</v>
      </c>
      <c r="B1047" s="16" t="s">
        <v>913</v>
      </c>
      <c r="C1047" s="16" t="s">
        <v>75</v>
      </c>
      <c r="D1047" s="22">
        <v>0</v>
      </c>
      <c r="E1047" s="22">
        <v>0</v>
      </c>
      <c r="F1047" s="22">
        <v>2.713</v>
      </c>
      <c r="G1047" s="22">
        <v>0.124</v>
      </c>
      <c r="H1047" s="23">
        <v>0</v>
      </c>
      <c r="I1047" s="18">
        <v>0</v>
      </c>
      <c r="J1047" s="19">
        <v>0</v>
      </c>
      <c r="K1047" s="17">
        <v>0</v>
      </c>
      <c r="L1047" s="20">
        <v>366.64</v>
      </c>
      <c r="M1047" s="21">
        <v>0</v>
      </c>
      <c r="N1047" s="21" t="s"/>
      <c r="O1047" s="16" t="s"/>
    </row>
    <row r="1048" spans="1:15" ht="20" customHeight="1">
      <c r="A1048" s="16" t="s">
        <v>900</v>
      </c>
      <c r="B1048" s="16" t="s">
        <v>913</v>
      </c>
      <c r="C1048" s="16" t="s">
        <v>76</v>
      </c>
      <c r="D1048" s="22">
        <v>0</v>
      </c>
      <c r="E1048" s="22">
        <v>0</v>
      </c>
      <c r="F1048" s="22">
        <v>3.428</v>
      </c>
      <c r="G1048" s="22">
        <v>0.156</v>
      </c>
      <c r="H1048" s="23">
        <v>0</v>
      </c>
      <c r="I1048" s="18">
        <v>0</v>
      </c>
      <c r="J1048" s="19">
        <v>0</v>
      </c>
      <c r="K1048" s="17">
        <v>0</v>
      </c>
      <c r="L1048" s="20">
        <v>416.64</v>
      </c>
      <c r="M1048" s="21">
        <v>0</v>
      </c>
      <c r="N1048" s="21" t="s"/>
      <c r="O1048" s="16" t="s"/>
    </row>
    <row r="1049" spans="1:15" ht="20" customHeight="1">
      <c r="A1049" s="16" t="s">
        <v>900</v>
      </c>
      <c r="B1049" s="16" t="s">
        <v>913</v>
      </c>
      <c r="C1049" s="16" t="s">
        <v>77</v>
      </c>
      <c r="D1049" s="22">
        <v>0</v>
      </c>
      <c r="E1049" s="22">
        <v>0</v>
      </c>
      <c r="F1049" s="22">
        <v>1.668</v>
      </c>
      <c r="G1049" s="22">
        <v>0.076</v>
      </c>
      <c r="H1049" s="23">
        <v>0</v>
      </c>
      <c r="I1049" s="18">
        <v>0</v>
      </c>
      <c r="J1049" s="19">
        <v>0</v>
      </c>
      <c r="K1049" s="17">
        <v>0</v>
      </c>
      <c r="L1049" s="20">
        <v>116.64</v>
      </c>
      <c r="M1049" s="21">
        <v>0</v>
      </c>
      <c r="N1049" s="21" t="s"/>
      <c r="O1049" s="16" t="s"/>
    </row>
    <row r="1050" spans="1:15" ht="20" customHeight="1">
      <c r="A1050" s="16" t="s">
        <v>900</v>
      </c>
      <c r="B1050" s="16" t="s">
        <v>914</v>
      </c>
      <c r="C1050" s="16" t="s"/>
      <c r="D1050" s="22">
        <v>3.764</v>
      </c>
      <c r="E1050" s="22">
        <v>0.343</v>
      </c>
      <c r="F1050" s="22">
        <v>3.277</v>
      </c>
      <c r="G1050" s="22">
        <v>0.149</v>
      </c>
      <c r="H1050" s="23">
        <v>0</v>
      </c>
      <c r="I1050" s="18">
        <v>319.97</v>
      </c>
      <c r="J1050" s="19">
        <v>106.26</v>
      </c>
      <c r="K1050" s="17">
        <v>0</v>
      </c>
      <c r="L1050" s="20">
        <v>165</v>
      </c>
      <c r="M1050" s="21">
        <v>0</v>
      </c>
      <c r="N1050" s="21" t="s"/>
      <c r="O1050" s="16" t="s"/>
    </row>
    <row r="1051" spans="1:15" ht="20" customHeight="1">
      <c r="A1051" s="16" t="s">
        <v>915</v>
      </c>
      <c r="B1051" s="16" t="s">
        <v>916</v>
      </c>
      <c r="C1051" s="16" t="s">
        <v>62</v>
      </c>
      <c r="D1051" s="22">
        <v>0.434</v>
      </c>
      <c r="E1051" s="22">
        <v>0.04</v>
      </c>
      <c r="F1051" s="22">
        <v>0.248</v>
      </c>
      <c r="G1051" s="22">
        <v>0.012</v>
      </c>
      <c r="H1051" s="23">
        <v>0.451</v>
      </c>
      <c r="I1051" s="18">
        <v>12.5</v>
      </c>
      <c r="J1051" s="19">
        <v>6.9025</v>
      </c>
      <c r="K1051" s="17">
        <v>0</v>
      </c>
      <c r="L1051" s="20">
        <v>25.01</v>
      </c>
      <c r="M1051" s="21">
        <v>0</v>
      </c>
      <c r="N1051" s="21" t="s"/>
      <c r="O1051" s="16" t="s"/>
    </row>
    <row r="1052" spans="1:15" ht="20" customHeight="1">
      <c r="A1052" s="16" t="s">
        <v>915</v>
      </c>
      <c r="B1052" s="16" t="s">
        <v>916</v>
      </c>
      <c r="C1052" s="16" t="s">
        <v>63</v>
      </c>
      <c r="D1052" s="22">
        <v>1.759</v>
      </c>
      <c r="E1052" s="22">
        <v>0.16</v>
      </c>
      <c r="F1052" s="22">
        <v>1.091</v>
      </c>
      <c r="G1052" s="22">
        <v>0.05</v>
      </c>
      <c r="H1052" s="23">
        <v>1.896</v>
      </c>
      <c r="I1052" s="18">
        <v>52.65</v>
      </c>
      <c r="J1052" s="19">
        <v>28.985</v>
      </c>
      <c r="K1052" s="17">
        <v>0</v>
      </c>
      <c r="L1052" s="20">
        <v>105.31</v>
      </c>
      <c r="M1052" s="21">
        <v>0</v>
      </c>
      <c r="N1052" s="21" t="s"/>
      <c r="O1052" s="16" t="s"/>
    </row>
    <row r="1053" spans="1:15" ht="20" customHeight="1">
      <c r="A1053" s="16" t="s">
        <v>915</v>
      </c>
      <c r="B1053" s="16" t="s">
        <v>916</v>
      </c>
      <c r="C1053" s="16" t="s">
        <v>64</v>
      </c>
      <c r="D1053" s="22">
        <v>1.812</v>
      </c>
      <c r="E1053" s="22">
        <v>0.165</v>
      </c>
      <c r="F1053" s="22">
        <v>1.236</v>
      </c>
      <c r="G1053" s="22">
        <v>0.057</v>
      </c>
      <c r="H1053" s="23">
        <v>2.043</v>
      </c>
      <c r="I1053" s="18">
        <v>56.74</v>
      </c>
      <c r="J1053" s="19">
        <v>31.2125</v>
      </c>
      <c r="K1053" s="17">
        <v>0</v>
      </c>
      <c r="L1053" s="20">
        <v>113.5</v>
      </c>
      <c r="M1053" s="21">
        <v>0</v>
      </c>
      <c r="N1053" s="21" t="s"/>
      <c r="O1053" s="16" t="s"/>
    </row>
    <row r="1054" spans="1:15" ht="20" customHeight="1">
      <c r="A1054" s="16" t="s">
        <v>915</v>
      </c>
      <c r="B1054" s="16" t="s">
        <v>916</v>
      </c>
      <c r="C1054" s="16" t="s">
        <v>65</v>
      </c>
      <c r="D1054" s="22">
        <v>4.053</v>
      </c>
      <c r="E1054" s="22">
        <v>0.369</v>
      </c>
      <c r="F1054" s="22">
        <v>2.517</v>
      </c>
      <c r="G1054" s="22">
        <v>0.115</v>
      </c>
      <c r="H1054" s="23">
        <v>4.192</v>
      </c>
      <c r="I1054" s="18">
        <v>116.43</v>
      </c>
      <c r="J1054" s="19">
        <v>64.0475</v>
      </c>
      <c r="K1054" s="17">
        <v>0</v>
      </c>
      <c r="L1054" s="20">
        <v>232.87</v>
      </c>
      <c r="M1054" s="21">
        <v>0</v>
      </c>
      <c r="N1054" s="21" t="s"/>
      <c r="O1054" s="16" t="s"/>
    </row>
    <row r="1055" spans="1:15" ht="20" customHeight="1">
      <c r="A1055" s="16" t="s">
        <v>915</v>
      </c>
      <c r="B1055" s="16" t="s">
        <v>917</v>
      </c>
      <c r="C1055" s="16" t="s"/>
      <c r="D1055" s="22">
        <v>2.08</v>
      </c>
      <c r="E1055" s="22">
        <v>0.19</v>
      </c>
      <c r="F1055" s="22">
        <v>0</v>
      </c>
      <c r="G1055" s="22">
        <v>0</v>
      </c>
      <c r="H1055" s="23">
        <v>0</v>
      </c>
      <c r="I1055" s="18">
        <v>0</v>
      </c>
      <c r="J1055" s="19">
        <v>0</v>
      </c>
      <c r="K1055" s="17">
        <v>0</v>
      </c>
      <c r="L1055" s="20">
        <v>0</v>
      </c>
      <c r="M1055" s="21">
        <v>0</v>
      </c>
      <c r="N1055" s="21" t="s"/>
      <c r="O1055" s="16" t="s"/>
    </row>
    <row r="1056" spans="1:15" ht="20" customHeight="1">
      <c r="A1056" s="16" t="s">
        <v>915</v>
      </c>
      <c r="B1056" s="16" t="s">
        <v>918</v>
      </c>
      <c r="C1056" s="16" t="s"/>
      <c r="D1056" s="22">
        <v>0.564</v>
      </c>
      <c r="E1056" s="22">
        <v>0.052</v>
      </c>
      <c r="F1056" s="22">
        <v>0.564</v>
      </c>
      <c r="G1056" s="22">
        <v>0.026</v>
      </c>
      <c r="H1056" s="23">
        <v>0</v>
      </c>
      <c r="I1056" s="18">
        <v>21.67</v>
      </c>
      <c r="J1056" s="19">
        <v>11.935</v>
      </c>
      <c r="K1056" s="17">
        <v>0</v>
      </c>
      <c r="L1056" s="20">
        <v>43.36</v>
      </c>
      <c r="M1056" s="21">
        <v>0</v>
      </c>
      <c r="N1056" s="21" t="s"/>
      <c r="O1056" s="16" t="s"/>
    </row>
    <row r="1057" spans="1:15" ht="20" customHeight="1">
      <c r="A1057" s="16" t="s">
        <v>915</v>
      </c>
      <c r="B1057" s="16" t="s">
        <v>919</v>
      </c>
      <c r="C1057" s="16" t="s">
        <v>920</v>
      </c>
      <c r="D1057" s="22">
        <v>7.941</v>
      </c>
      <c r="E1057" s="22">
        <v>0.722</v>
      </c>
      <c r="F1057" s="22">
        <v>4.946</v>
      </c>
      <c r="G1057" s="22">
        <v>0.225</v>
      </c>
      <c r="H1057" s="23">
        <v>0</v>
      </c>
      <c r="I1057" s="18">
        <v>171.02</v>
      </c>
      <c r="J1057" s="19">
        <v>88.0275</v>
      </c>
      <c r="K1057" s="17">
        <v>0</v>
      </c>
      <c r="L1057" s="20">
        <v>73.34</v>
      </c>
      <c r="M1057" s="21">
        <v>0</v>
      </c>
      <c r="N1057" s="21" t="s"/>
      <c r="O1057" s="16" t="s"/>
    </row>
    <row r="1058" spans="1:15" ht="20" customHeight="1">
      <c r="A1058" s="16" t="s">
        <v>915</v>
      </c>
      <c r="B1058" s="16" t="s">
        <v>919</v>
      </c>
      <c r="C1058" s="16" t="s">
        <v>921</v>
      </c>
      <c r="D1058" s="22">
        <v>1.192</v>
      </c>
      <c r="E1058" s="22">
        <v>0.109</v>
      </c>
      <c r="F1058" s="22">
        <v>1.192</v>
      </c>
      <c r="G1058" s="22">
        <v>0.055</v>
      </c>
      <c r="H1058" s="23">
        <v>0</v>
      </c>
      <c r="I1058" s="18">
        <v>45.81</v>
      </c>
      <c r="J1058" s="19">
        <v>25.2175</v>
      </c>
      <c r="K1058" s="17">
        <v>0</v>
      </c>
      <c r="L1058" s="20">
        <v>91.64</v>
      </c>
      <c r="M1058" s="21">
        <v>0</v>
      </c>
      <c r="N1058" s="21" t="s"/>
      <c r="O1058" s="16" t="s"/>
    </row>
    <row r="1059" spans="1:15" ht="20" customHeight="1">
      <c r="A1059" s="16" t="s">
        <v>915</v>
      </c>
      <c r="B1059" s="16" t="s">
        <v>919</v>
      </c>
      <c r="C1059" s="16" t="s">
        <v>922</v>
      </c>
      <c r="D1059" s="22">
        <v>7.941</v>
      </c>
      <c r="E1059" s="22">
        <v>0.722</v>
      </c>
      <c r="F1059" s="22">
        <v>4.946</v>
      </c>
      <c r="G1059" s="22">
        <v>0.225</v>
      </c>
      <c r="H1059" s="23">
        <v>0</v>
      </c>
      <c r="I1059" s="18">
        <v>171.02</v>
      </c>
      <c r="J1059" s="19">
        <v>88.0275</v>
      </c>
      <c r="K1059" s="17">
        <v>0</v>
      </c>
      <c r="L1059" s="20">
        <v>73.34</v>
      </c>
      <c r="M1059" s="21">
        <v>0</v>
      </c>
      <c r="N1059" s="21" t="s"/>
      <c r="O1059" s="16" t="s"/>
    </row>
    <row r="1060" spans="1:15" ht="20" customHeight="1">
      <c r="A1060" s="16" t="s">
        <v>915</v>
      </c>
      <c r="B1060" s="16" t="s">
        <v>923</v>
      </c>
      <c r="C1060" s="16" t="s"/>
      <c r="D1060" s="22">
        <v>8.281</v>
      </c>
      <c r="E1060" s="22">
        <v>0.753</v>
      </c>
      <c r="F1060" s="22">
        <v>6.023</v>
      </c>
      <c r="G1060" s="22">
        <v>0.274</v>
      </c>
      <c r="H1060" s="23">
        <v>0</v>
      </c>
      <c r="I1060" s="18">
        <v>217.16</v>
      </c>
      <c r="J1060" s="19">
        <v>100.3475</v>
      </c>
      <c r="K1060" s="17">
        <v>0</v>
      </c>
      <c r="L1060" s="20">
        <v>231.71</v>
      </c>
      <c r="M1060" s="21">
        <v>0</v>
      </c>
      <c r="N1060" s="21" t="s"/>
      <c r="O1060" s="16" t="s"/>
    </row>
    <row r="1061" spans="1:15" ht="20" customHeight="1">
      <c r="A1061" s="16" t="s">
        <v>915</v>
      </c>
      <c r="B1061" s="16" t="s">
        <v>923</v>
      </c>
      <c r="C1061" s="16" t="s">
        <v>924</v>
      </c>
      <c r="D1061" s="22">
        <v>8.281</v>
      </c>
      <c r="E1061" s="22">
        <v>0.753</v>
      </c>
      <c r="F1061" s="22">
        <v>6.023</v>
      </c>
      <c r="G1061" s="22">
        <v>0.274</v>
      </c>
      <c r="H1061" s="23">
        <v>0</v>
      </c>
      <c r="I1061" s="18">
        <v>217.16</v>
      </c>
      <c r="J1061" s="19">
        <v>100.3475</v>
      </c>
      <c r="K1061" s="17">
        <v>0</v>
      </c>
      <c r="L1061" s="20">
        <v>231.71</v>
      </c>
      <c r="M1061" s="21">
        <v>0</v>
      </c>
      <c r="N1061" s="21" t="s"/>
      <c r="O1061" s="16" t="s"/>
    </row>
    <row r="1062" spans="1:15" ht="20" customHeight="1">
      <c r="A1062" s="16" t="s">
        <v>915</v>
      </c>
      <c r="B1062" s="16" t="s">
        <v>923</v>
      </c>
      <c r="C1062" s="16" t="s">
        <v>925</v>
      </c>
      <c r="D1062" s="22">
        <v>1.243</v>
      </c>
      <c r="E1062" s="22">
        <v>0.113</v>
      </c>
      <c r="F1062" s="22">
        <v>0.904</v>
      </c>
      <c r="G1062" s="22">
        <v>0.042</v>
      </c>
      <c r="H1062" s="23">
        <v>0</v>
      </c>
      <c r="I1062" s="18">
        <v>0</v>
      </c>
      <c r="J1062" s="19">
        <v>0</v>
      </c>
      <c r="K1062" s="17">
        <v>0</v>
      </c>
      <c r="L1062" s="20">
        <v>0</v>
      </c>
      <c r="M1062" s="21">
        <v>0</v>
      </c>
      <c r="N1062" s="21" t="s"/>
      <c r="O1062" s="16" t="s"/>
    </row>
    <row r="1063" spans="1:15" ht="20" customHeight="1">
      <c r="A1063" s="16" t="s">
        <v>915</v>
      </c>
      <c r="B1063" s="16" t="s">
        <v>926</v>
      </c>
      <c r="C1063" s="16" t="s"/>
      <c r="D1063" s="22">
        <v>0.997</v>
      </c>
      <c r="E1063" s="22">
        <v>0.091</v>
      </c>
      <c r="F1063" s="22">
        <v>0.499</v>
      </c>
      <c r="G1063" s="22">
        <v>0.023</v>
      </c>
      <c r="H1063" s="23">
        <v>1.381</v>
      </c>
      <c r="I1063" s="18">
        <v>19.16</v>
      </c>
      <c r="J1063" s="19">
        <v>10.56</v>
      </c>
      <c r="K1063" s="17">
        <v>0</v>
      </c>
      <c r="L1063" s="20">
        <v>38.34</v>
      </c>
      <c r="M1063" s="21">
        <v>0</v>
      </c>
      <c r="N1063" s="21" t="s"/>
      <c r="O1063" s="16" t="s"/>
    </row>
    <row r="1064" spans="1:15" ht="20" customHeight="1">
      <c r="A1064" s="16" t="s">
        <v>915</v>
      </c>
      <c r="B1064" s="16" t="s">
        <v>927</v>
      </c>
      <c r="C1064" s="16" t="s"/>
      <c r="D1064" s="22">
        <v>3.188</v>
      </c>
      <c r="E1064" s="22">
        <v>0.29</v>
      </c>
      <c r="F1064" s="22">
        <v>2.753</v>
      </c>
      <c r="G1064" s="22">
        <v>0.126</v>
      </c>
      <c r="H1064" s="23">
        <v>4.022</v>
      </c>
      <c r="I1064" s="18">
        <v>55.84</v>
      </c>
      <c r="J1064" s="19">
        <v>30.7175</v>
      </c>
      <c r="K1064" s="17">
        <v>0</v>
      </c>
      <c r="L1064" s="20">
        <v>261.7</v>
      </c>
      <c r="M1064" s="21">
        <v>0</v>
      </c>
      <c r="N1064" s="21" t="s"/>
      <c r="O1064" s="16" t="s"/>
    </row>
    <row r="1065" spans="1:15" ht="20" customHeight="1">
      <c r="A1065" s="16" t="s">
        <v>915</v>
      </c>
      <c r="B1065" s="16" t="s">
        <v>928</v>
      </c>
      <c r="C1065" s="16" t="s"/>
      <c r="D1065" s="22">
        <v>8.113</v>
      </c>
      <c r="E1065" s="22">
        <v>0.738</v>
      </c>
      <c r="F1065" s="22">
        <v>2.926</v>
      </c>
      <c r="G1065" s="22">
        <v>0.133</v>
      </c>
      <c r="H1065" s="23">
        <v>0</v>
      </c>
      <c r="I1065" s="18">
        <v>212.26</v>
      </c>
      <c r="J1065" s="19">
        <v>244.7775</v>
      </c>
      <c r="K1065" s="17">
        <v>0</v>
      </c>
      <c r="L1065" s="20">
        <v>225.04</v>
      </c>
      <c r="M1065" s="21">
        <v>0</v>
      </c>
      <c r="N1065" s="21" t="s"/>
      <c r="O1065" s="16" t="s"/>
    </row>
    <row r="1066" spans="1:15" ht="20" customHeight="1">
      <c r="A1066" s="16" t="s">
        <v>915</v>
      </c>
      <c r="B1066" s="16" t="s">
        <v>929</v>
      </c>
      <c r="C1066" s="16" t="s"/>
      <c r="D1066" s="22">
        <v>20.909</v>
      </c>
      <c r="E1066" s="22">
        <v>1.901</v>
      </c>
      <c r="F1066" s="22">
        <v>3.728</v>
      </c>
      <c r="G1066" s="22">
        <v>0.17</v>
      </c>
      <c r="H1066" s="23">
        <v>0</v>
      </c>
      <c r="I1066" s="18">
        <v>143.35</v>
      </c>
      <c r="J1066" s="19">
        <v>0</v>
      </c>
      <c r="K1066" s="17">
        <v>0</v>
      </c>
      <c r="L1066" s="20">
        <v>786.71</v>
      </c>
      <c r="M1066" s="21">
        <v>0</v>
      </c>
      <c r="N1066" s="21" t="s"/>
      <c r="O1066" s="16" t="s"/>
    </row>
    <row r="1067" spans="1:15" ht="20" customHeight="1">
      <c r="A1067" s="16" t="s">
        <v>915</v>
      </c>
      <c r="B1067" s="16" t="s">
        <v>930</v>
      </c>
      <c r="C1067" s="16" t="s"/>
      <c r="D1067" s="22">
        <v>0.727</v>
      </c>
      <c r="E1067" s="22">
        <v>0.067</v>
      </c>
      <c r="F1067" s="22">
        <v>0.727</v>
      </c>
      <c r="G1067" s="22">
        <v>0.034</v>
      </c>
      <c r="H1067" s="23">
        <v>2.011</v>
      </c>
      <c r="I1067" s="18">
        <v>27.92</v>
      </c>
      <c r="J1067" s="19">
        <v>15.3725</v>
      </c>
      <c r="K1067" s="17">
        <v>0</v>
      </c>
      <c r="L1067" s="20">
        <v>55.85</v>
      </c>
      <c r="M1067" s="21">
        <v>0</v>
      </c>
      <c r="N1067" s="21" t="s"/>
      <c r="O1067" s="16" t="s"/>
    </row>
    <row r="1068" spans="1:15" ht="20" customHeight="1">
      <c r="A1068" s="16" t="s">
        <v>915</v>
      </c>
      <c r="B1068" s="16" t="s">
        <v>931</v>
      </c>
      <c r="C1068" s="16" t="s">
        <v>75</v>
      </c>
      <c r="D1068" s="22">
        <v>0</v>
      </c>
      <c r="E1068" s="22">
        <v>0</v>
      </c>
      <c r="F1068" s="22">
        <v>3.207</v>
      </c>
      <c r="G1068" s="22">
        <v>0.146</v>
      </c>
      <c r="H1068" s="23">
        <v>0</v>
      </c>
      <c r="I1068" s="18">
        <v>0</v>
      </c>
      <c r="J1068" s="19">
        <v>0</v>
      </c>
      <c r="K1068" s="17">
        <v>0</v>
      </c>
      <c r="L1068" s="20">
        <v>366.64</v>
      </c>
      <c r="M1068" s="21">
        <v>0</v>
      </c>
      <c r="N1068" s="21" t="s"/>
      <c r="O1068" s="16" t="s"/>
    </row>
    <row r="1069" spans="1:15" ht="20" customHeight="1">
      <c r="A1069" s="16" t="s">
        <v>915</v>
      </c>
      <c r="B1069" s="16" t="s">
        <v>931</v>
      </c>
      <c r="C1069" s="16" t="s">
        <v>76</v>
      </c>
      <c r="D1069" s="22">
        <v>0</v>
      </c>
      <c r="E1069" s="22">
        <v>0</v>
      </c>
      <c r="F1069" s="22">
        <v>4.052</v>
      </c>
      <c r="G1069" s="22">
        <v>0.185</v>
      </c>
      <c r="H1069" s="23">
        <v>0</v>
      </c>
      <c r="I1069" s="18">
        <v>0</v>
      </c>
      <c r="J1069" s="19">
        <v>0</v>
      </c>
      <c r="K1069" s="17">
        <v>0</v>
      </c>
      <c r="L1069" s="20">
        <v>416.64</v>
      </c>
      <c r="M1069" s="21">
        <v>0</v>
      </c>
      <c r="N1069" s="21" t="s"/>
      <c r="O1069" s="16" t="s"/>
    </row>
    <row r="1070" spans="1:15" ht="20" customHeight="1">
      <c r="A1070" s="16" t="s">
        <v>915</v>
      </c>
      <c r="B1070" s="16" t="s">
        <v>931</v>
      </c>
      <c r="C1070" s="16" t="s">
        <v>77</v>
      </c>
      <c r="D1070" s="22">
        <v>0</v>
      </c>
      <c r="E1070" s="22">
        <v>0</v>
      </c>
      <c r="F1070" s="22">
        <v>1.972</v>
      </c>
      <c r="G1070" s="22">
        <v>0.09</v>
      </c>
      <c r="H1070" s="23">
        <v>0</v>
      </c>
      <c r="I1070" s="18">
        <v>0</v>
      </c>
      <c r="J1070" s="19">
        <v>0</v>
      </c>
      <c r="K1070" s="17">
        <v>0</v>
      </c>
      <c r="L1070" s="20">
        <v>116.64</v>
      </c>
      <c r="M1070" s="21">
        <v>0</v>
      </c>
      <c r="N1070" s="21" t="s"/>
      <c r="O1070" s="16" t="s"/>
    </row>
    <row r="1071" spans="1:15" ht="20" customHeight="1">
      <c r="A1071" s="16" t="s">
        <v>915</v>
      </c>
      <c r="B1071" s="16" t="s">
        <v>932</v>
      </c>
      <c r="C1071" s="16" t="s"/>
      <c r="D1071" s="22">
        <v>5.357</v>
      </c>
      <c r="E1071" s="22">
        <v>0.487</v>
      </c>
      <c r="F1071" s="22">
        <v>4.717</v>
      </c>
      <c r="G1071" s="22">
        <v>0.215</v>
      </c>
      <c r="H1071" s="23">
        <v>0</v>
      </c>
      <c r="I1071" s="18">
        <v>193.71</v>
      </c>
      <c r="J1071" s="19">
        <v>126.885</v>
      </c>
      <c r="K1071" s="17">
        <v>0</v>
      </c>
      <c r="L1071" s="20">
        <v>214.97</v>
      </c>
      <c r="M1071" s="21">
        <v>0</v>
      </c>
      <c r="N1071" s="21" t="s"/>
      <c r="O1071" s="16" t="s"/>
    </row>
    <row r="1072" spans="1:15" ht="20" customHeight="1">
      <c r="A1072" s="16" t="s">
        <v>933</v>
      </c>
      <c r="B1072" s="16" t="s">
        <v>934</v>
      </c>
      <c r="C1072" s="16" t="s">
        <v>62</v>
      </c>
      <c r="D1072" s="22">
        <v>0.332</v>
      </c>
      <c r="E1072" s="22">
        <v>0.031</v>
      </c>
      <c r="F1072" s="22">
        <v>0.344</v>
      </c>
      <c r="G1072" s="22">
        <v>0.016</v>
      </c>
      <c r="H1072" s="23">
        <v>1.057</v>
      </c>
      <c r="I1072" s="18">
        <v>22.8</v>
      </c>
      <c r="J1072" s="19">
        <v>8.085</v>
      </c>
      <c r="K1072" s="17">
        <v>0</v>
      </c>
      <c r="L1072" s="20">
        <v>29.36</v>
      </c>
      <c r="M1072" s="21">
        <v>0</v>
      </c>
      <c r="N1072" s="21" t="s"/>
      <c r="O1072" s="16" t="s"/>
    </row>
    <row r="1073" spans="1:15" ht="20" customHeight="1">
      <c r="A1073" s="16" t="s">
        <v>933</v>
      </c>
      <c r="B1073" s="16" t="s">
        <v>934</v>
      </c>
      <c r="C1073" s="16" t="s">
        <v>63</v>
      </c>
      <c r="D1073" s="22">
        <v>0.716</v>
      </c>
      <c r="E1073" s="22">
        <v>0.066</v>
      </c>
      <c r="F1073" s="22">
        <v>0.68</v>
      </c>
      <c r="G1073" s="22">
        <v>0.031</v>
      </c>
      <c r="H1073" s="23">
        <v>2.106</v>
      </c>
      <c r="I1073" s="18">
        <v>46.57</v>
      </c>
      <c r="J1073" s="19">
        <v>16.0875</v>
      </c>
      <c r="K1073" s="17">
        <v>0</v>
      </c>
      <c r="L1073" s="20">
        <v>58.48</v>
      </c>
      <c r="M1073" s="21">
        <v>0</v>
      </c>
      <c r="N1073" s="21" t="s"/>
      <c r="O1073" s="16" t="s"/>
    </row>
    <row r="1074" spans="1:15" ht="20" customHeight="1">
      <c r="A1074" s="16" t="s">
        <v>933</v>
      </c>
      <c r="B1074" s="16" t="s">
        <v>934</v>
      </c>
      <c r="C1074" s="16" t="s">
        <v>64</v>
      </c>
      <c r="D1074" s="22">
        <v>0.938</v>
      </c>
      <c r="E1074" s="22">
        <v>0.086</v>
      </c>
      <c r="F1074" s="22">
        <v>0.823</v>
      </c>
      <c r="G1074" s="22">
        <v>0.038</v>
      </c>
      <c r="H1074" s="23">
        <v>2.561</v>
      </c>
      <c r="I1074" s="18">
        <v>58.04</v>
      </c>
      <c r="J1074" s="19">
        <v>19.58</v>
      </c>
      <c r="K1074" s="17">
        <v>0</v>
      </c>
      <c r="L1074" s="20">
        <v>71.14</v>
      </c>
      <c r="M1074" s="21">
        <v>0</v>
      </c>
      <c r="N1074" s="21" t="s"/>
      <c r="O1074" s="16" t="s"/>
    </row>
    <row r="1075" spans="1:15" ht="20" customHeight="1">
      <c r="A1075" s="16" t="s">
        <v>933</v>
      </c>
      <c r="B1075" s="16" t="s">
        <v>934</v>
      </c>
      <c r="C1075" s="16" t="s">
        <v>65</v>
      </c>
      <c r="D1075" s="22">
        <v>1.942</v>
      </c>
      <c r="E1075" s="22">
        <v>0.177</v>
      </c>
      <c r="F1075" s="22">
        <v>1.656</v>
      </c>
      <c r="G1075" s="22">
        <v>0.076</v>
      </c>
      <c r="H1075" s="23">
        <v>5.735</v>
      </c>
      <c r="I1075" s="18">
        <v>134</v>
      </c>
      <c r="J1075" s="19">
        <v>43.8075</v>
      </c>
      <c r="K1075" s="17">
        <v>0</v>
      </c>
      <c r="L1075" s="20">
        <v>159.3</v>
      </c>
      <c r="M1075" s="21">
        <v>0</v>
      </c>
      <c r="N1075" s="21" t="s"/>
      <c r="O1075" s="16" t="s"/>
    </row>
    <row r="1076" spans="1:15" ht="20" customHeight="1">
      <c r="A1076" s="16" t="s">
        <v>933</v>
      </c>
      <c r="B1076" s="16" t="s">
        <v>935</v>
      </c>
      <c r="C1076" s="16" t="s">
        <v>936</v>
      </c>
      <c r="D1076" s="22">
        <v>1.815</v>
      </c>
      <c r="E1076" s="22">
        <v>0.165</v>
      </c>
      <c r="F1076" s="22">
        <v>1.543</v>
      </c>
      <c r="G1076" s="22">
        <v>0.071</v>
      </c>
      <c r="H1076" s="23">
        <v>4.752</v>
      </c>
      <c r="I1076" s="18">
        <v>132</v>
      </c>
      <c r="J1076" s="19">
        <v>36.3</v>
      </c>
      <c r="K1076" s="17">
        <v>0</v>
      </c>
      <c r="L1076" s="20">
        <v>132</v>
      </c>
      <c r="M1076" s="21">
        <v>0</v>
      </c>
      <c r="N1076" s="21" t="s"/>
      <c r="O1076" s="16" t="s"/>
    </row>
    <row r="1077" spans="1:15" ht="20" customHeight="1">
      <c r="A1077" s="16" t="s">
        <v>933</v>
      </c>
      <c r="B1077" s="16" t="s">
        <v>935</v>
      </c>
      <c r="C1077" s="16" t="s">
        <v>937</v>
      </c>
      <c r="D1077" s="22">
        <v>2.072</v>
      </c>
      <c r="E1077" s="22">
        <v>0.189</v>
      </c>
      <c r="F1077" s="22">
        <v>1.761</v>
      </c>
      <c r="G1077" s="22">
        <v>0.081</v>
      </c>
      <c r="H1077" s="23">
        <v>5.424</v>
      </c>
      <c r="I1077" s="18">
        <v>150.66</v>
      </c>
      <c r="J1077" s="19">
        <v>41.4425</v>
      </c>
      <c r="K1077" s="17">
        <v>0</v>
      </c>
      <c r="L1077" s="20">
        <v>150.67</v>
      </c>
      <c r="M1077" s="21">
        <v>0</v>
      </c>
      <c r="N1077" s="21" t="s"/>
      <c r="O1077" s="16" t="s"/>
    </row>
    <row r="1078" spans="1:15" ht="20" customHeight="1">
      <c r="A1078" s="16" t="s">
        <v>933</v>
      </c>
      <c r="B1078" s="16" t="s">
        <v>935</v>
      </c>
      <c r="C1078" s="16" t="s">
        <v>938</v>
      </c>
      <c r="D1078" s="22">
        <v>2.75</v>
      </c>
      <c r="E1078" s="22">
        <v>0.25</v>
      </c>
      <c r="F1078" s="22">
        <v>1.1</v>
      </c>
      <c r="G1078" s="22">
        <v>0.05</v>
      </c>
      <c r="H1078" s="23">
        <v>3.6</v>
      </c>
      <c r="I1078" s="18">
        <v>130</v>
      </c>
      <c r="J1078" s="19">
        <v>27.5</v>
      </c>
      <c r="K1078" s="17">
        <v>0</v>
      </c>
      <c r="L1078" s="20">
        <v>100</v>
      </c>
      <c r="M1078" s="21">
        <v>0</v>
      </c>
      <c r="N1078" s="21" t="s"/>
      <c r="O1078" s="16" t="s"/>
    </row>
    <row r="1079" spans="1:15" ht="20" customHeight="1">
      <c r="A1079" s="16" t="s">
        <v>933</v>
      </c>
      <c r="B1079" s="16" t="s">
        <v>935</v>
      </c>
      <c r="C1079" s="16" t="s">
        <v>939</v>
      </c>
      <c r="D1079" s="22">
        <v>2.75</v>
      </c>
      <c r="E1079" s="22">
        <v>0.25</v>
      </c>
      <c r="F1079" s="22">
        <v>1.1</v>
      </c>
      <c r="G1079" s="22">
        <v>0.05</v>
      </c>
      <c r="H1079" s="23">
        <v>3.6</v>
      </c>
      <c r="I1079" s="18">
        <v>130</v>
      </c>
      <c r="J1079" s="19">
        <v>27.5</v>
      </c>
      <c r="K1079" s="17">
        <v>0</v>
      </c>
      <c r="L1079" s="20">
        <v>100</v>
      </c>
      <c r="M1079" s="21">
        <v>0</v>
      </c>
      <c r="N1079" s="21" t="s"/>
      <c r="O1079" s="16" t="s"/>
    </row>
    <row r="1080" spans="1:15" ht="20" customHeight="1">
      <c r="A1080" s="16" t="s">
        <v>933</v>
      </c>
      <c r="B1080" s="16" t="s">
        <v>940</v>
      </c>
      <c r="C1080" s="16" t="s">
        <v>941</v>
      </c>
      <c r="D1080" s="22">
        <v>0.413</v>
      </c>
      <c r="E1080" s="22">
        <v>0.038</v>
      </c>
      <c r="F1080" s="22">
        <v>0.165</v>
      </c>
      <c r="G1080" s="22">
        <v>0.008</v>
      </c>
      <c r="H1080" s="23">
        <v>0</v>
      </c>
      <c r="I1080" s="18">
        <v>19.5</v>
      </c>
      <c r="J1080" s="19">
        <v>0</v>
      </c>
      <c r="K1080" s="17">
        <v>0</v>
      </c>
      <c r="L1080" s="20">
        <v>0</v>
      </c>
      <c r="M1080" s="21">
        <v>0</v>
      </c>
      <c r="N1080" s="21" t="s"/>
      <c r="O1080" s="16" t="s"/>
    </row>
    <row r="1081" spans="1:15" ht="20" customHeight="1">
      <c r="A1081" s="16" t="s">
        <v>933</v>
      </c>
      <c r="B1081" s="16" t="s">
        <v>935</v>
      </c>
      <c r="C1081" s="16" t="s">
        <v>942</v>
      </c>
      <c r="D1081" s="22">
        <v>3.209</v>
      </c>
      <c r="E1081" s="22">
        <v>0.292</v>
      </c>
      <c r="F1081" s="22">
        <v>1.1</v>
      </c>
      <c r="G1081" s="22">
        <v>0.05</v>
      </c>
      <c r="H1081" s="23">
        <v>3.6</v>
      </c>
      <c r="I1081" s="18">
        <v>171.66</v>
      </c>
      <c r="J1081" s="19">
        <v>27.5</v>
      </c>
      <c r="K1081" s="17">
        <v>0</v>
      </c>
      <c r="L1081" s="20">
        <v>100</v>
      </c>
      <c r="M1081" s="21">
        <v>0</v>
      </c>
      <c r="N1081" s="21" t="s"/>
      <c r="O1081" s="16" t="s"/>
    </row>
    <row r="1082" spans="1:15" ht="20" customHeight="1">
      <c r="A1082" s="16" t="s">
        <v>933</v>
      </c>
      <c r="B1082" s="16" t="s">
        <v>935</v>
      </c>
      <c r="C1082" s="16" t="s">
        <v>943</v>
      </c>
      <c r="D1082" s="22">
        <v>3.209</v>
      </c>
      <c r="E1082" s="22">
        <v>0.292</v>
      </c>
      <c r="F1082" s="22">
        <v>1.1</v>
      </c>
      <c r="G1082" s="22">
        <v>0.05</v>
      </c>
      <c r="H1082" s="23">
        <v>3.6</v>
      </c>
      <c r="I1082" s="18">
        <v>171.66</v>
      </c>
      <c r="J1082" s="19">
        <v>27.5</v>
      </c>
      <c r="K1082" s="17">
        <v>0</v>
      </c>
      <c r="L1082" s="20">
        <v>100</v>
      </c>
      <c r="M1082" s="21">
        <v>0</v>
      </c>
      <c r="N1082" s="21" t="s"/>
      <c r="O1082" s="16" t="s"/>
    </row>
    <row r="1083" spans="1:15" ht="20" customHeight="1">
      <c r="A1083" s="16" t="s">
        <v>933</v>
      </c>
      <c r="B1083" s="16" t="s">
        <v>940</v>
      </c>
      <c r="C1083" s="16" t="s">
        <v>944</v>
      </c>
      <c r="D1083" s="22">
        <v>0.413</v>
      </c>
      <c r="E1083" s="22">
        <v>0.038</v>
      </c>
      <c r="F1083" s="22">
        <v>0.165</v>
      </c>
      <c r="G1083" s="22">
        <v>0.008</v>
      </c>
      <c r="H1083" s="23">
        <v>0</v>
      </c>
      <c r="I1083" s="18">
        <v>19.5</v>
      </c>
      <c r="J1083" s="19">
        <v>0</v>
      </c>
      <c r="K1083" s="17">
        <v>0</v>
      </c>
      <c r="L1083" s="20">
        <v>0</v>
      </c>
      <c r="M1083" s="21">
        <v>0</v>
      </c>
      <c r="N1083" s="21" t="s"/>
      <c r="O1083" s="16" t="s"/>
    </row>
    <row r="1084" spans="1:15" ht="20" customHeight="1">
      <c r="A1084" s="16" t="s">
        <v>933</v>
      </c>
      <c r="B1084" s="16" t="s">
        <v>945</v>
      </c>
      <c r="C1084" s="16" t="s"/>
      <c r="D1084" s="22">
        <v>0.543</v>
      </c>
      <c r="E1084" s="22">
        <v>0.05</v>
      </c>
      <c r="F1084" s="22">
        <v>0.679</v>
      </c>
      <c r="G1084" s="22">
        <v>0.031</v>
      </c>
      <c r="H1084" s="23">
        <v>0</v>
      </c>
      <c r="I1084" s="18">
        <v>61.68</v>
      </c>
      <c r="J1084" s="19">
        <v>16.9675</v>
      </c>
      <c r="K1084" s="17">
        <v>0</v>
      </c>
      <c r="L1084" s="20">
        <v>61.69</v>
      </c>
      <c r="M1084" s="21">
        <v>0</v>
      </c>
      <c r="N1084" s="21" t="s"/>
      <c r="O1084" s="16" t="s"/>
    </row>
    <row r="1085" spans="1:15" ht="20" customHeight="1">
      <c r="A1085" s="16" t="s">
        <v>933</v>
      </c>
      <c r="B1085" s="16" t="s">
        <v>946</v>
      </c>
      <c r="C1085" s="16" t="s"/>
      <c r="D1085" s="22">
        <v>0.648</v>
      </c>
      <c r="E1085" s="22">
        <v>0.059</v>
      </c>
      <c r="F1085" s="22">
        <v>0.671</v>
      </c>
      <c r="G1085" s="22">
        <v>0.031</v>
      </c>
      <c r="H1085" s="23">
        <v>2.064</v>
      </c>
      <c r="I1085" s="18">
        <v>44.53</v>
      </c>
      <c r="J1085" s="19">
        <v>15.785</v>
      </c>
      <c r="K1085" s="17">
        <v>0</v>
      </c>
      <c r="L1085" s="20">
        <v>57.34</v>
      </c>
      <c r="M1085" s="21">
        <v>0</v>
      </c>
      <c r="N1085" s="21" t="s"/>
      <c r="O1085" s="16" t="s"/>
    </row>
    <row r="1086" spans="1:15" ht="20" customHeight="1">
      <c r="A1086" s="16" t="s">
        <v>933</v>
      </c>
      <c r="B1086" s="16" t="s">
        <v>947</v>
      </c>
      <c r="C1086" s="16" t="s"/>
      <c r="D1086" s="22">
        <v>5.112</v>
      </c>
      <c r="E1086" s="22">
        <v>0.465</v>
      </c>
      <c r="F1086" s="22">
        <v>4.027</v>
      </c>
      <c r="G1086" s="22">
        <v>0.184</v>
      </c>
      <c r="H1086" s="23">
        <v>0</v>
      </c>
      <c r="I1086" s="18">
        <v>457</v>
      </c>
      <c r="J1086" s="19">
        <v>139.645</v>
      </c>
      <c r="K1086" s="17">
        <v>0</v>
      </c>
      <c r="L1086" s="20">
        <v>153.34</v>
      </c>
      <c r="M1086" s="21">
        <v>0</v>
      </c>
      <c r="N1086" s="21" t="s"/>
      <c r="O1086" s="16" t="s"/>
    </row>
    <row r="1087" spans="1:15" ht="20" customHeight="1">
      <c r="A1087" s="16" t="s">
        <v>933</v>
      </c>
      <c r="B1087" s="16" t="s">
        <v>948</v>
      </c>
      <c r="C1087" s="16" t="s"/>
      <c r="D1087" s="22">
        <v>5.445</v>
      </c>
      <c r="E1087" s="22">
        <v>0.495</v>
      </c>
      <c r="F1087" s="22">
        <v>4.336</v>
      </c>
      <c r="G1087" s="22">
        <v>0.198</v>
      </c>
      <c r="H1087" s="23">
        <v>0</v>
      </c>
      <c r="I1087" s="18">
        <v>486.2</v>
      </c>
      <c r="J1087" s="19">
        <v>148.5825</v>
      </c>
      <c r="K1087" s="17">
        <v>0</v>
      </c>
      <c r="L1087" s="20">
        <v>174.97</v>
      </c>
      <c r="M1087" s="21">
        <v>0</v>
      </c>
      <c r="N1087" s="21" t="s"/>
      <c r="O1087" s="16" t="s"/>
    </row>
    <row r="1088" spans="1:15" ht="20" customHeight="1">
      <c r="A1088" s="16" t="s">
        <v>933</v>
      </c>
      <c r="B1088" s="16" t="s">
        <v>949</v>
      </c>
      <c r="C1088" s="16" t="s"/>
      <c r="D1088" s="22">
        <v>0.458</v>
      </c>
      <c r="E1088" s="22">
        <v>0.042</v>
      </c>
      <c r="F1088" s="22">
        <v>0.229</v>
      </c>
      <c r="G1088" s="22">
        <v>0.011</v>
      </c>
      <c r="H1088" s="23">
        <v>0.75</v>
      </c>
      <c r="I1088" s="18">
        <v>20.81</v>
      </c>
      <c r="J1088" s="19">
        <v>5.7475</v>
      </c>
      <c r="K1088" s="17">
        <v>0</v>
      </c>
      <c r="L1088" s="20">
        <v>20.82</v>
      </c>
      <c r="M1088" s="21">
        <v>0</v>
      </c>
      <c r="N1088" s="21" t="s"/>
      <c r="O1088" s="16" t="s"/>
    </row>
    <row r="1089" spans="1:15" ht="20" customHeight="1">
      <c r="A1089" s="16" t="s">
        <v>933</v>
      </c>
      <c r="B1089" s="16" t="s">
        <v>950</v>
      </c>
      <c r="C1089" s="16" t="s"/>
      <c r="D1089" s="22">
        <v>2.412</v>
      </c>
      <c r="E1089" s="22">
        <v>0.22</v>
      </c>
      <c r="F1089" s="22">
        <v>2.109</v>
      </c>
      <c r="G1089" s="22">
        <v>0.096</v>
      </c>
      <c r="H1089" s="23">
        <v>3.302</v>
      </c>
      <c r="I1089" s="18">
        <v>91.69</v>
      </c>
      <c r="J1089" s="19">
        <v>25.2175</v>
      </c>
      <c r="K1089" s="17">
        <v>0</v>
      </c>
      <c r="L1089" s="20">
        <v>241.7</v>
      </c>
      <c r="M1089" s="21">
        <v>0</v>
      </c>
      <c r="N1089" s="21" t="s"/>
      <c r="O1089" s="16" t="s"/>
    </row>
    <row r="1090" spans="1:15" ht="20" customHeight="1">
      <c r="A1090" s="16" t="s">
        <v>933</v>
      </c>
      <c r="B1090" s="16" t="s">
        <v>951</v>
      </c>
      <c r="C1090" s="16" t="s"/>
      <c r="D1090" s="22">
        <v>8.162</v>
      </c>
      <c r="E1090" s="22">
        <v>0.742</v>
      </c>
      <c r="F1090" s="22">
        <v>2.31</v>
      </c>
      <c r="G1090" s="22">
        <v>0.105</v>
      </c>
      <c r="H1090" s="23">
        <v>0</v>
      </c>
      <c r="I1090" s="18">
        <v>542.46</v>
      </c>
      <c r="J1090" s="19">
        <v>240.625</v>
      </c>
      <c r="K1090" s="17">
        <v>0</v>
      </c>
      <c r="L1090" s="20">
        <v>209.97</v>
      </c>
      <c r="M1090" s="21">
        <v>0</v>
      </c>
      <c r="N1090" s="21" t="s"/>
      <c r="O1090" s="16" t="s"/>
    </row>
    <row r="1091" spans="1:15" ht="20" customHeight="1">
      <c r="A1091" s="16" t="s">
        <v>933</v>
      </c>
      <c r="B1091" s="16" t="s">
        <v>952</v>
      </c>
      <c r="C1091" s="16" t="s"/>
      <c r="D1091" s="22">
        <v>16.225</v>
      </c>
      <c r="E1091" s="22">
        <v>1.475</v>
      </c>
      <c r="F1091" s="22">
        <v>1.98</v>
      </c>
      <c r="G1091" s="22">
        <v>0.09</v>
      </c>
      <c r="H1091" s="23">
        <v>0</v>
      </c>
      <c r="I1091" s="18">
        <v>1456.99</v>
      </c>
      <c r="J1091" s="19">
        <v>0</v>
      </c>
      <c r="K1091" s="17">
        <v>0</v>
      </c>
      <c r="L1091" s="20">
        <v>680</v>
      </c>
      <c r="M1091" s="21">
        <v>0</v>
      </c>
      <c r="N1091" s="21" t="s"/>
      <c r="O1091" s="16" t="s"/>
    </row>
    <row r="1092" spans="1:15" ht="20" customHeight="1">
      <c r="A1092" s="16" t="s">
        <v>933</v>
      </c>
      <c r="B1092" s="16" t="s">
        <v>953</v>
      </c>
      <c r="C1092" s="16" t="s"/>
      <c r="D1092" s="22">
        <v>0.496</v>
      </c>
      <c r="E1092" s="22">
        <v>0.046</v>
      </c>
      <c r="F1092" s="22">
        <v>0.496</v>
      </c>
      <c r="G1092" s="22">
        <v>0.023</v>
      </c>
      <c r="H1092" s="23">
        <v>1.621</v>
      </c>
      <c r="I1092" s="18">
        <v>45.01</v>
      </c>
      <c r="J1092" s="19">
        <v>12.4025</v>
      </c>
      <c r="K1092" s="17">
        <v>0</v>
      </c>
      <c r="L1092" s="20">
        <v>45.02</v>
      </c>
      <c r="M1092" s="21">
        <v>0</v>
      </c>
      <c r="N1092" s="21" t="s"/>
      <c r="O1092" s="16" t="s"/>
    </row>
    <row r="1093" spans="1:15" ht="20" customHeight="1">
      <c r="A1093" s="16" t="s">
        <v>933</v>
      </c>
      <c r="B1093" s="16" t="s">
        <v>954</v>
      </c>
      <c r="C1093" s="16" t="s">
        <v>75</v>
      </c>
      <c r="D1093" s="22">
        <v>0</v>
      </c>
      <c r="E1093" s="22">
        <v>0</v>
      </c>
      <c r="F1093" s="22">
        <v>2.713</v>
      </c>
      <c r="G1093" s="22">
        <v>0.124</v>
      </c>
      <c r="H1093" s="23">
        <v>0</v>
      </c>
      <c r="I1093" s="18">
        <v>0</v>
      </c>
      <c r="J1093" s="19">
        <v>0</v>
      </c>
      <c r="K1093" s="17">
        <v>0</v>
      </c>
      <c r="L1093" s="20">
        <v>366.64</v>
      </c>
      <c r="M1093" s="21">
        <v>0</v>
      </c>
      <c r="N1093" s="21" t="s"/>
      <c r="O1093" s="16" t="s"/>
    </row>
    <row r="1094" spans="1:15" ht="20" customHeight="1">
      <c r="A1094" s="16" t="s">
        <v>933</v>
      </c>
      <c r="B1094" s="16" t="s">
        <v>954</v>
      </c>
      <c r="C1094" s="16" t="s">
        <v>76</v>
      </c>
      <c r="D1094" s="22">
        <v>0</v>
      </c>
      <c r="E1094" s="22">
        <v>0</v>
      </c>
      <c r="F1094" s="22">
        <v>3.428</v>
      </c>
      <c r="G1094" s="22">
        <v>0.156</v>
      </c>
      <c r="H1094" s="23">
        <v>0</v>
      </c>
      <c r="I1094" s="18">
        <v>0</v>
      </c>
      <c r="J1094" s="19">
        <v>0</v>
      </c>
      <c r="K1094" s="17">
        <v>0</v>
      </c>
      <c r="L1094" s="20">
        <v>416.64</v>
      </c>
      <c r="M1094" s="21">
        <v>0</v>
      </c>
      <c r="N1094" s="21" t="s"/>
      <c r="O1094" s="16" t="s"/>
    </row>
    <row r="1095" spans="1:15" ht="20" customHeight="1">
      <c r="A1095" s="16" t="s">
        <v>933</v>
      </c>
      <c r="B1095" s="16" t="s">
        <v>954</v>
      </c>
      <c r="C1095" s="16" t="s">
        <v>77</v>
      </c>
      <c r="D1095" s="22">
        <v>0</v>
      </c>
      <c r="E1095" s="22">
        <v>0</v>
      </c>
      <c r="F1095" s="22">
        <v>1.668</v>
      </c>
      <c r="G1095" s="22">
        <v>0.076</v>
      </c>
      <c r="H1095" s="23">
        <v>0</v>
      </c>
      <c r="I1095" s="18">
        <v>0</v>
      </c>
      <c r="J1095" s="19">
        <v>0</v>
      </c>
      <c r="K1095" s="17">
        <v>0</v>
      </c>
      <c r="L1095" s="20">
        <v>116.64</v>
      </c>
      <c r="M1095" s="21">
        <v>0</v>
      </c>
      <c r="N1095" s="21" t="s"/>
      <c r="O1095" s="16" t="s"/>
    </row>
    <row r="1096" spans="1:15" ht="20" customHeight="1">
      <c r="A1096" s="16" t="s">
        <v>933</v>
      </c>
      <c r="B1096" s="16" t="s">
        <v>955</v>
      </c>
      <c r="C1096" s="16" t="s"/>
      <c r="D1096" s="22">
        <v>3.635</v>
      </c>
      <c r="E1096" s="22">
        <v>0.331</v>
      </c>
      <c r="F1096" s="22">
        <v>3.157</v>
      </c>
      <c r="G1096" s="22">
        <v>0.144</v>
      </c>
      <c r="H1096" s="23">
        <v>0</v>
      </c>
      <c r="I1096" s="18">
        <v>308.72</v>
      </c>
      <c r="J1096" s="19">
        <v>102.8225</v>
      </c>
      <c r="K1096" s="17">
        <v>0</v>
      </c>
      <c r="L1096" s="20">
        <v>156.67</v>
      </c>
      <c r="M1096" s="21">
        <v>0</v>
      </c>
      <c r="N1096" s="21" t="s"/>
      <c r="O1096" s="16" t="s"/>
    </row>
  </sheetData>
</worksheet>
</file>

<file path=xl/worksheets/sheet4.xml><?xml version="1.0" encoding="utf-8"?>
<worksheet xmlns="http://schemas.openxmlformats.org/spreadsheetml/2006/main">
  <sheetPr codeName="代理人属性">
    <tabColor/>
  </sheetPr>
  <dimension ref="AF137"/>
  <sheetViews>
    <sheetView showGridLines="1" rightToLeft="0" workbookViewId="0">
      <pane xSplit="1" ySplit="1" topLeftCell="B2" state="frozen"/>
    </sheetView>
  </sheetViews>
  <sheetFormatPr baseColWidth="13" defaultRowHeight="18" customHeight="1"/>
  <cols>
    <col min="1" max="1" width="16.4023" style="16" customWidth="1"/>
    <col min="2" max="2" width="10.1133" style="16" customWidth="1"/>
    <col min="3" max="3" width="17.2031" style="16" customWidth="1"/>
    <col min="4" max="5" width="10.1133" style="16" customWidth="1"/>
    <col min="6" max="6" width="12.0938" style="16" customWidth="1"/>
    <col min="7" max="7" width="22.9609" style="16" customWidth="1"/>
    <col min="8" max="8" width="12.0938" style="16" customWidth="1"/>
    <col min="9" max="9" width="10.1133" style="16" customWidth="1"/>
    <col min="10" max="10" width="18.0234" style="16" customWidth="1"/>
    <col min="11" max="11" width="10.1133" style="16" customWidth="1"/>
    <col min="12" max="12" width="18.0234" style="16" customWidth="1"/>
    <col min="13" max="13" width="10.1133" style="16" customWidth="1"/>
    <col min="14" max="14" width="18.0234" style="16" customWidth="1"/>
    <col min="15" max="15" width="10.1133" style="83" customWidth="1"/>
    <col min="16" max="16" width="12.0938" style="83" customWidth="1"/>
    <col min="17" max="17" width="10.1133" style="16" customWidth="1"/>
    <col min="18" max="18" width="12.0938" style="16" customWidth="1"/>
    <col min="19" max="19" width="16.8633" style="16" customWidth="1"/>
    <col min="20" max="20" width="20.0039" style="16" customWidth="1"/>
    <col min="21" max="21" width="12.0938" style="16" customWidth="1"/>
    <col min="22" max="22" width="20.0039" style="83" customWidth="1"/>
    <col min="23" max="25" width="18.0234" style="16" customWidth="1"/>
    <col min="26" max="27" width="18.0508" style="16" customWidth="1"/>
    <col min="28" max="28" width="20.543" style="16" customWidth="1"/>
    <col min="29" max="29" width="19.0234" style="16" customWidth="1"/>
    <col min="30" max="30" width="9.13281" style="83" customWidth="1"/>
    <col min="31" max="31" width="19.0234" style="16" customWidth="1"/>
    <col min="32" max="32" width="10.793" style="16" customWidth="1"/>
  </cols>
  <sheetData>
    <row r="1" spans="1:32" s="82">
      <c r="A1" s="16" t="s">
        <v>45</v>
      </c>
      <c r="B1" s="16" t="s">
        <v>956</v>
      </c>
      <c r="C1" s="16" t="s">
        <v>957</v>
      </c>
      <c r="D1" s="16" t="s">
        <v>958</v>
      </c>
      <c r="E1" s="16" t="s">
        <v>959</v>
      </c>
      <c r="F1" s="16" t="s">
        <v>960</v>
      </c>
      <c r="G1" s="16" t="s">
        <v>961</v>
      </c>
      <c r="H1" s="16" t="s">
        <v>962</v>
      </c>
      <c r="I1" s="16" t="s">
        <v>963</v>
      </c>
      <c r="J1" s="21" t="s">
        <v>964</v>
      </c>
      <c r="K1" s="16" t="s">
        <v>965</v>
      </c>
      <c r="L1" s="21" t="s">
        <v>966</v>
      </c>
      <c r="M1" s="16" t="s">
        <v>967</v>
      </c>
      <c r="N1" s="21" t="s">
        <v>968</v>
      </c>
      <c r="O1" s="22" t="s">
        <v>969</v>
      </c>
      <c r="P1" s="22" t="s">
        <v>970</v>
      </c>
      <c r="Q1" s="16" t="s">
        <v>971</v>
      </c>
      <c r="R1" s="16" t="s">
        <v>972</v>
      </c>
      <c r="S1" s="28" t="s">
        <v>973</v>
      </c>
      <c r="T1" s="29" t="s">
        <v>974</v>
      </c>
      <c r="U1" s="16" t="s">
        <v>975</v>
      </c>
      <c r="V1" s="22" t="s">
        <v>976</v>
      </c>
      <c r="W1" s="16" t="s">
        <v>977</v>
      </c>
      <c r="X1" s="16" t="s">
        <v>978</v>
      </c>
      <c r="Y1" s="30" t="s">
        <v>979</v>
      </c>
      <c r="Z1" s="30" t="s">
        <v>980</v>
      </c>
      <c r="AA1" s="30" t="s">
        <v>981</v>
      </c>
      <c r="AB1" s="19" t="s">
        <v>982</v>
      </c>
      <c r="AC1" s="16" t="s">
        <v>983</v>
      </c>
      <c r="AD1" s="22" t="s">
        <v>984</v>
      </c>
      <c r="AE1" s="19" t="s">
        <v>985</v>
      </c>
      <c r="AF1" s="31" t="s">
        <v>986</v>
      </c>
    </row>
    <row r="2" spans="1:32">
      <c r="A2" s="16" t="s">
        <v>60</v>
      </c>
      <c r="B2" s="16">
        <v>1011</v>
      </c>
      <c r="C2" s="16" t="s">
        <v>987</v>
      </c>
      <c r="D2" s="16" t="s">
        <v>988</v>
      </c>
      <c r="E2" s="16" t="s">
        <v>989</v>
      </c>
      <c r="F2" s="16" t="s">
        <v>557</v>
      </c>
      <c r="G2" s="16" t="s">
        <v>990</v>
      </c>
      <c r="H2" s="16" t="s">
        <v>991</v>
      </c>
      <c r="I2" s="16">
        <v>603</v>
      </c>
      <c r="J2" s="21">
        <v>81.8426</v>
      </c>
      <c r="K2" s="16">
        <v>95</v>
      </c>
      <c r="L2" s="21">
        <v>5.423</v>
      </c>
      <c r="M2" s="16">
        <v>49</v>
      </c>
      <c r="N2" s="21">
        <v>6.6882</v>
      </c>
      <c r="O2" s="22">
        <v>0.05</v>
      </c>
      <c r="P2" s="22">
        <v>0.5</v>
      </c>
      <c r="Q2" s="16">
        <v>118</v>
      </c>
      <c r="R2" s="16">
        <v>94</v>
      </c>
      <c r="S2" s="16">
        <v>120</v>
      </c>
      <c r="T2" s="32">
        <v>1.2</v>
      </c>
      <c r="U2" s="16">
        <v>93</v>
      </c>
      <c r="V2" s="22">
        <v>0.5</v>
      </c>
      <c r="W2" s="16">
        <v>2069</v>
      </c>
      <c r="X2" s="16">
        <v>169</v>
      </c>
      <c r="Y2" s="16">
        <v>169</v>
      </c>
      <c r="Z2" s="19">
        <v>7500.7134</v>
      </c>
      <c r="AA2" s="19">
        <v>583.957</v>
      </c>
      <c r="AB2" s="19">
        <v>612.6038</v>
      </c>
      <c r="AC2" s="19" t="s">
        <v>992</v>
      </c>
      <c r="AD2" s="33">
        <v>18</v>
      </c>
      <c r="AE2" s="34" t="s">
        <v>993</v>
      </c>
      <c r="AF2" s="35">
        <v>75</v>
      </c>
    </row>
    <row r="3" spans="1:32">
      <c r="A3" s="16" t="s">
        <v>79</v>
      </c>
      <c r="B3" s="16">
        <v>1021</v>
      </c>
      <c r="C3" s="16" t="s">
        <v>994</v>
      </c>
      <c r="D3" s="16" t="s">
        <v>995</v>
      </c>
      <c r="E3" s="16" t="s">
        <v>996</v>
      </c>
      <c r="F3" s="16" t="s">
        <v>557</v>
      </c>
      <c r="G3" s="16" t="s">
        <v>990</v>
      </c>
      <c r="H3" s="16" t="s">
        <v>991</v>
      </c>
      <c r="I3" s="16">
        <v>608</v>
      </c>
      <c r="J3" s="21">
        <v>82.4778</v>
      </c>
      <c r="K3" s="16">
        <v>131</v>
      </c>
      <c r="L3" s="21">
        <v>7.9762</v>
      </c>
      <c r="M3" s="16">
        <v>47</v>
      </c>
      <c r="N3" s="21">
        <v>6.4166</v>
      </c>
      <c r="O3" s="22">
        <v>0.05</v>
      </c>
      <c r="P3" s="22">
        <v>0.5</v>
      </c>
      <c r="Q3" s="16">
        <v>92</v>
      </c>
      <c r="R3" s="16">
        <v>97</v>
      </c>
      <c r="S3" s="16">
        <v>120</v>
      </c>
      <c r="T3" s="32">
        <v>1.2</v>
      </c>
      <c r="U3" s="16">
        <v>96</v>
      </c>
      <c r="V3" s="22">
        <v>0.5</v>
      </c>
      <c r="W3" s="16">
        <v>2086</v>
      </c>
      <c r="X3" s="16">
        <v>234</v>
      </c>
      <c r="Y3" s="16">
        <v>162</v>
      </c>
      <c r="Z3" s="19">
        <v>7560.1902</v>
      </c>
      <c r="AA3" s="19">
        <v>835.5958</v>
      </c>
      <c r="AB3" s="19">
        <v>587.5794</v>
      </c>
      <c r="AC3" s="19" t="s">
        <v>997</v>
      </c>
      <c r="AD3" s="36">
        <v>0.144</v>
      </c>
      <c r="AE3" s="37" t="s">
        <v>993</v>
      </c>
      <c r="AF3" s="35">
        <v>75</v>
      </c>
    </row>
    <row r="4" spans="1:32">
      <c r="A4" s="16" t="s">
        <v>92</v>
      </c>
      <c r="B4" s="16">
        <v>1031</v>
      </c>
      <c r="C4" s="16" t="s">
        <v>998</v>
      </c>
      <c r="D4" s="16" t="s">
        <v>999</v>
      </c>
      <c r="E4" s="16" t="s">
        <v>1000</v>
      </c>
      <c r="F4" s="16" t="s">
        <v>226</v>
      </c>
      <c r="G4" s="16" t="s">
        <v>990</v>
      </c>
      <c r="H4" s="16" t="s">
        <v>991</v>
      </c>
      <c r="I4" s="16">
        <v>655</v>
      </c>
      <c r="J4" s="21">
        <v>88.8787</v>
      </c>
      <c r="K4" s="16">
        <v>93</v>
      </c>
      <c r="L4" s="21">
        <v>5.3249</v>
      </c>
      <c r="M4" s="16">
        <v>50</v>
      </c>
      <c r="N4" s="21">
        <v>6.7901</v>
      </c>
      <c r="O4" s="22">
        <v>0.05</v>
      </c>
      <c r="P4" s="22">
        <v>0.5</v>
      </c>
      <c r="Q4" s="16">
        <v>88</v>
      </c>
      <c r="R4" s="16">
        <v>90</v>
      </c>
      <c r="S4" s="16">
        <v>120</v>
      </c>
      <c r="T4" s="32">
        <v>1.2</v>
      </c>
      <c r="U4" s="16">
        <v>93</v>
      </c>
      <c r="V4" s="22">
        <v>0.5</v>
      </c>
      <c r="W4" s="16">
        <v>2247</v>
      </c>
      <c r="X4" s="16">
        <v>167</v>
      </c>
      <c r="Y4" s="16">
        <v>172</v>
      </c>
      <c r="Z4" s="19">
        <v>8145.8433</v>
      </c>
      <c r="AA4" s="19">
        <v>574.1691</v>
      </c>
      <c r="AB4" s="38">
        <v>622.6159</v>
      </c>
      <c r="AC4" s="38" t="s">
        <v>1001</v>
      </c>
      <c r="AD4" s="39">
        <v>0.36</v>
      </c>
      <c r="AE4" s="38" t="s">
        <v>993</v>
      </c>
      <c r="AF4" s="35">
        <v>75</v>
      </c>
    </row>
    <row r="5" spans="1:32">
      <c r="A5" s="16" t="s">
        <v>110</v>
      </c>
      <c r="B5" s="16">
        <v>1041</v>
      </c>
      <c r="C5" s="16" t="s">
        <v>1002</v>
      </c>
      <c r="D5" s="16" t="s">
        <v>1003</v>
      </c>
      <c r="E5" s="16" t="s">
        <v>996</v>
      </c>
      <c r="F5" s="16" t="s">
        <v>557</v>
      </c>
      <c r="G5" s="16" t="s">
        <v>1004</v>
      </c>
      <c r="H5" s="16" t="s">
        <v>991</v>
      </c>
      <c r="I5" s="16">
        <v>617</v>
      </c>
      <c r="J5" s="21">
        <v>83.7238</v>
      </c>
      <c r="K5" s="16">
        <v>128</v>
      </c>
      <c r="L5" s="21">
        <v>7.7554</v>
      </c>
      <c r="M5" s="16">
        <v>49</v>
      </c>
      <c r="N5" s="21">
        <v>6.6882</v>
      </c>
      <c r="O5" s="22">
        <v>0.05</v>
      </c>
      <c r="P5" s="22">
        <v>0.5</v>
      </c>
      <c r="Q5" s="16">
        <v>93</v>
      </c>
      <c r="R5" s="16">
        <v>94</v>
      </c>
      <c r="S5" s="16">
        <v>120</v>
      </c>
      <c r="T5" s="32">
        <v>1.2</v>
      </c>
      <c r="U5" s="16">
        <v>93</v>
      </c>
      <c r="V5" s="22">
        <v>0.5</v>
      </c>
      <c r="W5" s="16">
        <v>2117</v>
      </c>
      <c r="X5" s="16">
        <v>228</v>
      </c>
      <c r="Y5" s="16">
        <v>169</v>
      </c>
      <c r="Z5" s="19">
        <v>7673.7042</v>
      </c>
      <c r="AA5" s="19">
        <v>813.5686</v>
      </c>
      <c r="AB5" s="38">
        <v>612.6038</v>
      </c>
      <c r="AC5" s="38" t="s">
        <v>997</v>
      </c>
      <c r="AD5" s="40">
        <v>0.144</v>
      </c>
      <c r="AE5" s="38" t="s">
        <v>993</v>
      </c>
      <c r="AF5" s="35">
        <v>75</v>
      </c>
    </row>
    <row r="6" spans="1:32">
      <c r="A6" s="16" t="s">
        <v>126</v>
      </c>
      <c r="B6" s="16">
        <v>1051</v>
      </c>
      <c r="C6" s="16" t="s">
        <v>1005</v>
      </c>
      <c r="D6" s="16" t="s">
        <v>1006</v>
      </c>
      <c r="E6" s="16" t="s">
        <v>1007</v>
      </c>
      <c r="F6" s="16" t="s">
        <v>226</v>
      </c>
      <c r="G6" s="16" t="s">
        <v>1008</v>
      </c>
      <c r="H6" s="16" t="s">
        <v>991</v>
      </c>
      <c r="I6" s="16">
        <v>683</v>
      </c>
      <c r="J6" s="21">
        <v>92.7143</v>
      </c>
      <c r="K6" s="16">
        <v>124</v>
      </c>
      <c r="L6" s="21">
        <v>7.4561</v>
      </c>
      <c r="M6" s="16">
        <v>36</v>
      </c>
      <c r="N6" s="21">
        <v>4.8889</v>
      </c>
      <c r="O6" s="22">
        <v>0.05</v>
      </c>
      <c r="P6" s="22">
        <v>0.5</v>
      </c>
      <c r="Q6" s="16">
        <v>95</v>
      </c>
      <c r="R6" s="16">
        <v>87</v>
      </c>
      <c r="S6" s="16">
        <v>120</v>
      </c>
      <c r="T6" s="32">
        <v>2</v>
      </c>
      <c r="U6" s="16">
        <v>90</v>
      </c>
      <c r="V6" s="22">
        <v>0.5</v>
      </c>
      <c r="W6" s="16">
        <v>2344</v>
      </c>
      <c r="X6" s="16">
        <v>221</v>
      </c>
      <c r="Y6" s="16">
        <v>124</v>
      </c>
      <c r="Z6" s="19">
        <v>8497.1437</v>
      </c>
      <c r="AA6" s="19">
        <v>784.9099</v>
      </c>
      <c r="AB6" s="38">
        <v>448.4451</v>
      </c>
      <c r="AC6" s="38" t="s">
        <v>997</v>
      </c>
      <c r="AD6" s="40">
        <v>0.144</v>
      </c>
      <c r="AE6" s="38" t="s">
        <v>993</v>
      </c>
      <c r="AF6" s="35">
        <v>75</v>
      </c>
    </row>
    <row r="7" spans="1:32">
      <c r="A7" s="16" t="s">
        <v>149</v>
      </c>
      <c r="B7" s="16">
        <v>1061</v>
      </c>
      <c r="C7" s="16" t="s">
        <v>1009</v>
      </c>
      <c r="D7" s="16" t="s">
        <v>995</v>
      </c>
      <c r="E7" s="16" t="s">
        <v>996</v>
      </c>
      <c r="F7" s="16" t="s">
        <v>557</v>
      </c>
      <c r="G7" s="16" t="s">
        <v>1010</v>
      </c>
      <c r="H7" s="16" t="s">
        <v>991</v>
      </c>
      <c r="I7" s="16">
        <v>561</v>
      </c>
      <c r="J7" s="21">
        <v>76.1177</v>
      </c>
      <c r="K7" s="16">
        <v>116</v>
      </c>
      <c r="L7" s="21">
        <v>6.9346</v>
      </c>
      <c r="M7" s="16">
        <v>49</v>
      </c>
      <c r="N7" s="21">
        <v>6.5864</v>
      </c>
      <c r="O7" s="22">
        <v>0.05</v>
      </c>
      <c r="P7" s="22">
        <v>0.5</v>
      </c>
      <c r="Q7" s="16">
        <v>93</v>
      </c>
      <c r="R7" s="16">
        <v>93</v>
      </c>
      <c r="S7" s="16">
        <v>120</v>
      </c>
      <c r="T7" s="32">
        <v>1.2</v>
      </c>
      <c r="U7" s="16">
        <v>96</v>
      </c>
      <c r="V7" s="22">
        <v>0.525</v>
      </c>
      <c r="W7" s="16">
        <v>1925</v>
      </c>
      <c r="X7" s="16">
        <v>207</v>
      </c>
      <c r="Y7" s="16">
        <v>167</v>
      </c>
      <c r="Z7" s="19">
        <v>6976.9443</v>
      </c>
      <c r="AA7" s="19">
        <v>732.1414</v>
      </c>
      <c r="AB7" s="38">
        <v>604.5976</v>
      </c>
      <c r="AC7" s="38" t="s">
        <v>1011</v>
      </c>
      <c r="AD7" s="40">
        <v>0.288</v>
      </c>
      <c r="AE7" s="38" t="s">
        <v>993</v>
      </c>
      <c r="AF7" s="35">
        <v>75</v>
      </c>
    </row>
    <row r="8" spans="1:32">
      <c r="A8" s="16" t="s">
        <v>164</v>
      </c>
      <c r="B8" s="16">
        <v>1071</v>
      </c>
      <c r="C8" s="16" t="s">
        <v>1012</v>
      </c>
      <c r="D8" s="16" t="s">
        <v>995</v>
      </c>
      <c r="E8" s="16" t="s">
        <v>1013</v>
      </c>
      <c r="F8" s="16" t="s">
        <v>1014</v>
      </c>
      <c r="G8" s="16" t="s">
        <v>1015</v>
      </c>
      <c r="H8" s="16" t="s">
        <v>991</v>
      </c>
      <c r="I8" s="16">
        <v>766</v>
      </c>
      <c r="J8" s="21">
        <v>103.9361</v>
      </c>
      <c r="K8" s="16">
        <v>101</v>
      </c>
      <c r="L8" s="21">
        <v>5.8761</v>
      </c>
      <c r="M8" s="16">
        <v>61</v>
      </c>
      <c r="N8" s="21">
        <v>8.218</v>
      </c>
      <c r="O8" s="22">
        <v>0.05</v>
      </c>
      <c r="P8" s="22">
        <v>0.5</v>
      </c>
      <c r="Q8" s="16">
        <v>105</v>
      </c>
      <c r="R8" s="16">
        <v>87</v>
      </c>
      <c r="S8" s="16">
        <v>120</v>
      </c>
      <c r="T8" s="32">
        <v>1.2</v>
      </c>
      <c r="U8" s="16">
        <v>90</v>
      </c>
      <c r="V8" s="22">
        <v>0.5</v>
      </c>
      <c r="W8" s="16">
        <v>2628</v>
      </c>
      <c r="X8" s="16">
        <v>189</v>
      </c>
      <c r="Y8" s="16">
        <v>208</v>
      </c>
      <c r="Z8" s="19">
        <v>9526.2299</v>
      </c>
      <c r="AA8" s="19">
        <v>636.6899</v>
      </c>
      <c r="AB8" s="38">
        <v>753.862</v>
      </c>
      <c r="AC8" s="38" t="s">
        <v>992</v>
      </c>
      <c r="AD8" s="39">
        <v>18</v>
      </c>
      <c r="AE8" s="38" t="s">
        <v>993</v>
      </c>
      <c r="AF8" s="35">
        <v>75</v>
      </c>
    </row>
    <row r="9" spans="1:32">
      <c r="A9" s="16" t="s">
        <v>182</v>
      </c>
      <c r="B9" s="16">
        <v>1081</v>
      </c>
      <c r="C9" s="16" t="s">
        <v>1016</v>
      </c>
      <c r="D9" s="16" t="s">
        <v>995</v>
      </c>
      <c r="E9" s="16" t="s">
        <v>996</v>
      </c>
      <c r="F9" s="16" t="s">
        <v>1017</v>
      </c>
      <c r="G9" s="16" t="s">
        <v>990</v>
      </c>
      <c r="H9" s="16" t="s">
        <v>1018</v>
      </c>
      <c r="I9" s="16">
        <v>555</v>
      </c>
      <c r="J9" s="21">
        <v>75.3604</v>
      </c>
      <c r="K9" s="16">
        <v>113</v>
      </c>
      <c r="L9" s="21">
        <v>6.7335</v>
      </c>
      <c r="M9" s="16">
        <v>49</v>
      </c>
      <c r="N9" s="21">
        <v>6.6203</v>
      </c>
      <c r="O9" s="22">
        <v>0.05</v>
      </c>
      <c r="P9" s="22">
        <v>0.5</v>
      </c>
      <c r="Q9" s="16">
        <v>91</v>
      </c>
      <c r="R9" s="16">
        <v>92</v>
      </c>
      <c r="S9" s="16">
        <v>120</v>
      </c>
      <c r="T9" s="32">
        <v>1.2</v>
      </c>
      <c r="U9" s="16">
        <v>91</v>
      </c>
      <c r="V9" s="22">
        <v>0.525</v>
      </c>
      <c r="W9" s="16">
        <v>1906</v>
      </c>
      <c r="X9" s="16">
        <v>202</v>
      </c>
      <c r="Y9" s="16">
        <v>167</v>
      </c>
      <c r="Z9" s="19">
        <v>6907.2636</v>
      </c>
      <c r="AA9" s="19">
        <v>712.2765</v>
      </c>
      <c r="AB9" s="38">
        <v>606.5977</v>
      </c>
      <c r="AC9" s="38" t="s">
        <v>997</v>
      </c>
      <c r="AD9" s="40">
        <v>0.144</v>
      </c>
      <c r="AE9" s="38" t="s">
        <v>993</v>
      </c>
      <c r="AF9" s="35">
        <v>75</v>
      </c>
    </row>
    <row r="10" spans="1:32">
      <c r="A10" s="16" t="s">
        <v>200</v>
      </c>
      <c r="B10" s="16">
        <v>1091</v>
      </c>
      <c r="C10" s="16" t="s">
        <v>1019</v>
      </c>
      <c r="D10" s="16" t="s">
        <v>1020</v>
      </c>
      <c r="E10" s="16" t="s">
        <v>1021</v>
      </c>
      <c r="F10" s="16" t="s">
        <v>557</v>
      </c>
      <c r="G10" s="16" t="s">
        <v>1022</v>
      </c>
      <c r="H10" s="16" t="s">
        <v>991</v>
      </c>
      <c r="I10" s="16">
        <v>617</v>
      </c>
      <c r="J10" s="21">
        <v>83.7238</v>
      </c>
      <c r="K10" s="16">
        <v>127</v>
      </c>
      <c r="L10" s="21">
        <v>7.6728</v>
      </c>
      <c r="M10" s="16">
        <v>49</v>
      </c>
      <c r="N10" s="21">
        <v>6.6203</v>
      </c>
      <c r="O10" s="22">
        <v>0.05</v>
      </c>
      <c r="P10" s="22">
        <v>0.5</v>
      </c>
      <c r="Q10" s="16">
        <v>86</v>
      </c>
      <c r="R10" s="16">
        <v>116</v>
      </c>
      <c r="S10" s="16">
        <v>120</v>
      </c>
      <c r="T10" s="32">
        <v>1.2</v>
      </c>
      <c r="U10" s="16">
        <v>148</v>
      </c>
      <c r="V10" s="22">
        <v>0.5</v>
      </c>
      <c r="W10" s="16">
        <v>2117</v>
      </c>
      <c r="X10" s="16">
        <v>226</v>
      </c>
      <c r="Y10" s="16">
        <v>167</v>
      </c>
      <c r="Z10" s="19">
        <v>7673.7042</v>
      </c>
      <c r="AA10" s="19">
        <v>805.6952</v>
      </c>
      <c r="AB10" s="38">
        <v>606.5977</v>
      </c>
      <c r="AC10" s="38" t="s">
        <v>1023</v>
      </c>
      <c r="AD10" s="39">
        <v>90</v>
      </c>
      <c r="AE10" s="38" t="s">
        <v>993</v>
      </c>
      <c r="AF10" s="35">
        <v>75</v>
      </c>
    </row>
    <row r="11" spans="1:32">
      <c r="A11" s="16" t="s">
        <v>220</v>
      </c>
      <c r="B11" s="16">
        <v>1101</v>
      </c>
      <c r="C11" s="16" t="s">
        <v>1024</v>
      </c>
      <c r="D11" s="16" t="s">
        <v>1003</v>
      </c>
      <c r="E11" s="16" t="s">
        <v>989</v>
      </c>
      <c r="F11" s="16" t="s">
        <v>226</v>
      </c>
      <c r="G11" s="16" t="s">
        <v>1025</v>
      </c>
      <c r="H11" s="16" t="s">
        <v>991</v>
      </c>
      <c r="I11" s="16">
        <v>653</v>
      </c>
      <c r="J11" s="21">
        <v>88.6832</v>
      </c>
      <c r="K11" s="16">
        <v>106</v>
      </c>
      <c r="L11" s="21">
        <v>6.2007</v>
      </c>
      <c r="M11" s="16">
        <v>48</v>
      </c>
      <c r="N11" s="21">
        <v>6.4845</v>
      </c>
      <c r="O11" s="22">
        <v>0.05</v>
      </c>
      <c r="P11" s="22">
        <v>0.5</v>
      </c>
      <c r="Q11" s="16">
        <v>116</v>
      </c>
      <c r="R11" s="16">
        <v>97</v>
      </c>
      <c r="S11" s="16">
        <v>120</v>
      </c>
      <c r="T11" s="32">
        <v>1.2</v>
      </c>
      <c r="U11" s="16">
        <v>96</v>
      </c>
      <c r="V11" s="22">
        <v>0.5</v>
      </c>
      <c r="W11" s="16">
        <v>2242</v>
      </c>
      <c r="X11" s="16">
        <v>189</v>
      </c>
      <c r="Y11" s="16">
        <v>164</v>
      </c>
      <c r="Z11" s="19">
        <v>8127.3088</v>
      </c>
      <c r="AA11" s="19">
        <v>660.8413</v>
      </c>
      <c r="AB11" s="38">
        <v>594.5855</v>
      </c>
      <c r="AC11" s="38" t="s">
        <v>992</v>
      </c>
      <c r="AD11" s="39">
        <v>18</v>
      </c>
      <c r="AE11" s="38" t="s">
        <v>993</v>
      </c>
      <c r="AF11" s="35">
        <v>75</v>
      </c>
    </row>
    <row r="12" spans="1:32">
      <c r="A12" s="16" t="s">
        <v>238</v>
      </c>
      <c r="B12" s="16">
        <v>1111</v>
      </c>
      <c r="C12" s="16" t="s">
        <v>1026</v>
      </c>
      <c r="D12" s="16" t="s">
        <v>988</v>
      </c>
      <c r="E12" s="16" t="s">
        <v>996</v>
      </c>
      <c r="F12" s="16" t="s">
        <v>1017</v>
      </c>
      <c r="G12" s="16" t="s">
        <v>1025</v>
      </c>
      <c r="H12" s="16" t="s">
        <v>991</v>
      </c>
      <c r="I12" s="16">
        <v>580</v>
      </c>
      <c r="J12" s="21">
        <v>78.7644</v>
      </c>
      <c r="K12" s="16">
        <v>114</v>
      </c>
      <c r="L12" s="21">
        <v>6.7737</v>
      </c>
      <c r="M12" s="16">
        <v>50</v>
      </c>
      <c r="N12" s="21">
        <v>6.7901</v>
      </c>
      <c r="O12" s="22">
        <v>0.05</v>
      </c>
      <c r="P12" s="22">
        <v>0.5</v>
      </c>
      <c r="Q12" s="16">
        <v>95</v>
      </c>
      <c r="R12" s="16">
        <v>86</v>
      </c>
      <c r="S12" s="16">
        <v>120</v>
      </c>
      <c r="T12" s="32">
        <v>1.2</v>
      </c>
      <c r="U12" s="16">
        <v>90</v>
      </c>
      <c r="V12" s="22">
        <v>0.5</v>
      </c>
      <c r="W12" s="16">
        <v>1992</v>
      </c>
      <c r="X12" s="16">
        <v>203</v>
      </c>
      <c r="Y12" s="16">
        <v>172</v>
      </c>
      <c r="Z12" s="19">
        <v>7219.0996</v>
      </c>
      <c r="AA12" s="19">
        <v>716.6483</v>
      </c>
      <c r="AB12" s="38">
        <v>622.6159</v>
      </c>
      <c r="AC12" s="38" t="s">
        <v>997</v>
      </c>
      <c r="AD12" s="40">
        <v>0.144</v>
      </c>
      <c r="AE12" s="38" t="s">
        <v>993</v>
      </c>
      <c r="AF12" s="35">
        <v>75</v>
      </c>
    </row>
    <row r="13" spans="1:32">
      <c r="A13" s="16" t="s">
        <v>252</v>
      </c>
      <c r="B13" s="16">
        <v>1121</v>
      </c>
      <c r="C13" s="16" t="s">
        <v>1027</v>
      </c>
      <c r="D13" s="16" t="s">
        <v>1003</v>
      </c>
      <c r="E13" s="16" t="s">
        <v>1013</v>
      </c>
      <c r="F13" s="16" t="s">
        <v>226</v>
      </c>
      <c r="G13" s="16" t="s">
        <v>1025</v>
      </c>
      <c r="H13" s="16" t="s">
        <v>991</v>
      </c>
      <c r="I13" s="16">
        <v>690</v>
      </c>
      <c r="J13" s="21">
        <v>93.5856</v>
      </c>
      <c r="K13" s="16">
        <v>94</v>
      </c>
      <c r="L13" s="21">
        <v>5.3574</v>
      </c>
      <c r="M13" s="16">
        <v>58</v>
      </c>
      <c r="N13" s="21">
        <v>7.8989</v>
      </c>
      <c r="O13" s="22">
        <v>0.05</v>
      </c>
      <c r="P13" s="22">
        <v>0.5</v>
      </c>
      <c r="Q13" s="16">
        <v>95</v>
      </c>
      <c r="R13" s="16">
        <v>86</v>
      </c>
      <c r="S13" s="16">
        <v>120</v>
      </c>
      <c r="T13" s="32">
        <v>1.2</v>
      </c>
      <c r="U13" s="16">
        <v>90</v>
      </c>
      <c r="V13" s="22">
        <v>0.5</v>
      </c>
      <c r="W13" s="16">
        <v>2366</v>
      </c>
      <c r="X13" s="16">
        <v>168</v>
      </c>
      <c r="Y13" s="16">
        <v>200</v>
      </c>
      <c r="Z13" s="19">
        <v>8577.5504</v>
      </c>
      <c r="AA13" s="19">
        <v>578.0866</v>
      </c>
      <c r="AB13" s="38">
        <v>724.0351</v>
      </c>
      <c r="AC13" s="38" t="s">
        <v>1001</v>
      </c>
      <c r="AD13" s="39">
        <v>0.36</v>
      </c>
      <c r="AE13" s="38" t="s">
        <v>993</v>
      </c>
      <c r="AF13" s="35">
        <v>75</v>
      </c>
    </row>
    <row r="14" spans="1:32">
      <c r="A14" s="16" t="s">
        <v>267</v>
      </c>
      <c r="B14" s="16">
        <v>1131</v>
      </c>
      <c r="C14" s="16" t="s">
        <v>1028</v>
      </c>
      <c r="D14" s="16" t="s">
        <v>1006</v>
      </c>
      <c r="E14" s="16" t="s">
        <v>1000</v>
      </c>
      <c r="F14" s="16" t="s">
        <v>557</v>
      </c>
      <c r="G14" s="16" t="s">
        <v>1022</v>
      </c>
      <c r="H14" s="16" t="s">
        <v>991</v>
      </c>
      <c r="I14" s="16">
        <v>645</v>
      </c>
      <c r="J14" s="21">
        <v>87.5757</v>
      </c>
      <c r="K14" s="16">
        <v>96</v>
      </c>
      <c r="L14" s="21">
        <v>5.4887</v>
      </c>
      <c r="M14" s="16">
        <v>48</v>
      </c>
      <c r="N14" s="21">
        <v>6.5185</v>
      </c>
      <c r="O14" s="22">
        <v>0.05</v>
      </c>
      <c r="P14" s="22">
        <v>0.5</v>
      </c>
      <c r="Q14" s="16">
        <v>86</v>
      </c>
      <c r="R14" s="16">
        <v>93</v>
      </c>
      <c r="S14" s="16">
        <v>120</v>
      </c>
      <c r="T14" s="32">
        <v>1.2</v>
      </c>
      <c r="U14" s="16">
        <v>96</v>
      </c>
      <c r="V14" s="22">
        <v>0.5</v>
      </c>
      <c r="W14" s="16">
        <v>2214</v>
      </c>
      <c r="X14" s="16">
        <v>171</v>
      </c>
      <c r="Y14" s="16">
        <v>165</v>
      </c>
      <c r="Z14" s="19">
        <v>8025.9663</v>
      </c>
      <c r="AA14" s="19">
        <v>590.8333</v>
      </c>
      <c r="AB14" s="38">
        <v>597.5915</v>
      </c>
      <c r="AC14" s="38" t="s">
        <v>1001</v>
      </c>
      <c r="AD14" s="39">
        <v>0.36</v>
      </c>
      <c r="AE14" s="38" t="s">
        <v>993</v>
      </c>
      <c r="AF14" s="35">
        <v>75</v>
      </c>
    </row>
    <row r="15" spans="1:32">
      <c r="A15" s="16" t="s">
        <v>287</v>
      </c>
      <c r="B15" s="16">
        <v>1141</v>
      </c>
      <c r="C15" s="16" t="s">
        <v>1029</v>
      </c>
      <c r="D15" s="16" t="s">
        <v>1006</v>
      </c>
      <c r="E15" s="16" t="s">
        <v>989</v>
      </c>
      <c r="F15" s="16" t="s">
        <v>226</v>
      </c>
      <c r="G15" s="16" t="s">
        <v>1010</v>
      </c>
      <c r="H15" s="16" t="s">
        <v>991</v>
      </c>
      <c r="I15" s="16">
        <v>677</v>
      </c>
      <c r="J15" s="21">
        <v>91.8185</v>
      </c>
      <c r="K15" s="16">
        <v>105</v>
      </c>
      <c r="L15" s="21">
        <v>6.1287</v>
      </c>
      <c r="M15" s="16">
        <v>49</v>
      </c>
      <c r="N15" s="21">
        <v>6.6203</v>
      </c>
      <c r="O15" s="22">
        <v>0.05</v>
      </c>
      <c r="P15" s="22">
        <v>0.5</v>
      </c>
      <c r="Q15" s="16">
        <v>119</v>
      </c>
      <c r="R15" s="16">
        <v>91</v>
      </c>
      <c r="S15" s="16">
        <v>120</v>
      </c>
      <c r="T15" s="32">
        <v>1.2</v>
      </c>
      <c r="U15" s="16">
        <v>90</v>
      </c>
      <c r="V15" s="22">
        <v>0.5</v>
      </c>
      <c r="W15" s="16">
        <v>2322</v>
      </c>
      <c r="X15" s="16">
        <v>187</v>
      </c>
      <c r="Y15" s="16">
        <v>167</v>
      </c>
      <c r="Z15" s="19">
        <v>8416.2915</v>
      </c>
      <c r="AA15" s="19">
        <v>653.5933</v>
      </c>
      <c r="AB15" s="38">
        <v>606.5977</v>
      </c>
      <c r="AC15" s="38" t="s">
        <v>992</v>
      </c>
      <c r="AD15" s="39">
        <v>18</v>
      </c>
      <c r="AE15" s="38" t="s">
        <v>993</v>
      </c>
      <c r="AF15" s="35">
        <v>75</v>
      </c>
    </row>
    <row r="16" spans="1:32">
      <c r="A16" s="16" t="s">
        <v>307</v>
      </c>
      <c r="B16" s="16">
        <v>1151</v>
      </c>
      <c r="C16" s="16" t="s">
        <v>1030</v>
      </c>
      <c r="D16" s="16" t="s">
        <v>1003</v>
      </c>
      <c r="E16" s="16" t="s">
        <v>1000</v>
      </c>
      <c r="F16" s="16" t="s">
        <v>226</v>
      </c>
      <c r="G16" s="16" t="s">
        <v>1015</v>
      </c>
      <c r="H16" s="16" t="s">
        <v>991</v>
      </c>
      <c r="I16" s="16">
        <v>645</v>
      </c>
      <c r="J16" s="21">
        <v>87.5757</v>
      </c>
      <c r="K16" s="16">
        <v>95</v>
      </c>
      <c r="L16" s="21">
        <v>5.423</v>
      </c>
      <c r="M16" s="16">
        <v>49</v>
      </c>
      <c r="N16" s="21">
        <v>6.6882</v>
      </c>
      <c r="O16" s="22">
        <v>0.05</v>
      </c>
      <c r="P16" s="22">
        <v>0.5</v>
      </c>
      <c r="Q16" s="16">
        <v>86</v>
      </c>
      <c r="R16" s="16">
        <v>94</v>
      </c>
      <c r="S16" s="16">
        <v>120</v>
      </c>
      <c r="T16" s="32">
        <v>1.2</v>
      </c>
      <c r="U16" s="16">
        <v>93</v>
      </c>
      <c r="V16" s="22">
        <v>0.5</v>
      </c>
      <c r="W16" s="16">
        <v>2214</v>
      </c>
      <c r="X16" s="16">
        <v>169</v>
      </c>
      <c r="Y16" s="16">
        <v>169</v>
      </c>
      <c r="Z16" s="19">
        <v>8025.9663</v>
      </c>
      <c r="AA16" s="19">
        <v>583.957</v>
      </c>
      <c r="AB16" s="38">
        <v>612.6038</v>
      </c>
      <c r="AC16" s="38" t="s">
        <v>1001</v>
      </c>
      <c r="AD16" s="39">
        <v>0.36</v>
      </c>
      <c r="AE16" s="38" t="s">
        <v>993</v>
      </c>
      <c r="AF16" s="35">
        <v>75</v>
      </c>
    </row>
    <row r="17" spans="1:32">
      <c r="A17" s="16" t="s">
        <v>328</v>
      </c>
      <c r="B17" s="16">
        <v>1161</v>
      </c>
      <c r="C17" s="16" t="s">
        <v>1031</v>
      </c>
      <c r="D17" s="16" t="s">
        <v>1003</v>
      </c>
      <c r="E17" s="16" t="s">
        <v>989</v>
      </c>
      <c r="F17" s="16" t="s">
        <v>226</v>
      </c>
      <c r="G17" s="16" t="s">
        <v>1015</v>
      </c>
      <c r="H17" s="16" t="s">
        <v>991</v>
      </c>
      <c r="I17" s="16">
        <v>677</v>
      </c>
      <c r="J17" s="21">
        <v>91.8185</v>
      </c>
      <c r="K17" s="16">
        <v>109</v>
      </c>
      <c r="L17" s="21">
        <v>6.3891</v>
      </c>
      <c r="M17" s="16">
        <v>49</v>
      </c>
      <c r="N17" s="21">
        <v>6.6882</v>
      </c>
      <c r="O17" s="22">
        <v>0.05</v>
      </c>
      <c r="P17" s="22">
        <v>0.5</v>
      </c>
      <c r="Q17" s="16">
        <v>119</v>
      </c>
      <c r="R17" s="16">
        <v>91</v>
      </c>
      <c r="S17" s="16">
        <v>120</v>
      </c>
      <c r="T17" s="32">
        <v>1.2</v>
      </c>
      <c r="U17" s="16">
        <v>90</v>
      </c>
      <c r="V17" s="22">
        <v>0.5</v>
      </c>
      <c r="W17" s="16">
        <v>2159</v>
      </c>
      <c r="X17" s="16">
        <v>237</v>
      </c>
      <c r="Y17" s="16">
        <v>169</v>
      </c>
      <c r="Z17" s="19">
        <v>8253.2915</v>
      </c>
      <c r="AA17" s="19">
        <v>722.9569</v>
      </c>
      <c r="AB17" s="38">
        <v>612.6038</v>
      </c>
      <c r="AC17" s="38" t="s">
        <v>992</v>
      </c>
      <c r="AD17" s="39">
        <v>18</v>
      </c>
      <c r="AE17" s="38" t="s">
        <v>993</v>
      </c>
      <c r="AF17" s="35">
        <v>75</v>
      </c>
    </row>
    <row r="18" spans="1:32">
      <c r="A18" s="16" t="s">
        <v>352</v>
      </c>
      <c r="B18" s="16">
        <v>1171</v>
      </c>
      <c r="C18" s="16" t="s">
        <v>1032</v>
      </c>
      <c r="D18" s="16" t="s">
        <v>1003</v>
      </c>
      <c r="E18" s="16" t="s">
        <v>1021</v>
      </c>
      <c r="F18" s="16" t="s">
        <v>1017</v>
      </c>
      <c r="G18" s="16" t="s">
        <v>1015</v>
      </c>
      <c r="H18" s="16" t="s">
        <v>991</v>
      </c>
      <c r="I18" s="16">
        <v>592</v>
      </c>
      <c r="J18" s="21">
        <v>80.3931</v>
      </c>
      <c r="K18" s="16">
        <v>124</v>
      </c>
      <c r="L18" s="21">
        <v>7.4992</v>
      </c>
      <c r="M18" s="16">
        <v>48</v>
      </c>
      <c r="N18" s="21">
        <v>6.5524</v>
      </c>
      <c r="O18" s="22">
        <v>0.05</v>
      </c>
      <c r="P18" s="22">
        <v>0.5</v>
      </c>
      <c r="Q18" s="16">
        <v>83</v>
      </c>
      <c r="R18" s="16">
        <v>118</v>
      </c>
      <c r="S18" s="16">
        <v>120</v>
      </c>
      <c r="T18" s="32">
        <v>1.2</v>
      </c>
      <c r="U18" s="16">
        <v>120</v>
      </c>
      <c r="V18" s="22">
        <v>0.525</v>
      </c>
      <c r="W18" s="16">
        <v>2033</v>
      </c>
      <c r="X18" s="16">
        <v>222</v>
      </c>
      <c r="Y18" s="16">
        <v>166</v>
      </c>
      <c r="Z18" s="19">
        <v>7368.1929</v>
      </c>
      <c r="AA18" s="19">
        <v>788.4528</v>
      </c>
      <c r="AB18" s="38">
        <v>600.5916</v>
      </c>
      <c r="AC18" s="38" t="s">
        <v>1001</v>
      </c>
      <c r="AD18" s="39">
        <v>0.36</v>
      </c>
      <c r="AE18" s="38" t="s">
        <v>993</v>
      </c>
      <c r="AF18" s="35">
        <v>75</v>
      </c>
    </row>
    <row r="19" spans="1:32">
      <c r="A19" s="16" t="s">
        <v>372</v>
      </c>
      <c r="B19" s="16">
        <v>1181</v>
      </c>
      <c r="C19" s="16" t="s">
        <v>1033</v>
      </c>
      <c r="D19" s="16" t="s">
        <v>988</v>
      </c>
      <c r="E19" s="16" t="s">
        <v>1021</v>
      </c>
      <c r="F19" s="16" t="s">
        <v>1017</v>
      </c>
      <c r="G19" s="16" t="s">
        <v>1025</v>
      </c>
      <c r="H19" s="16" t="s">
        <v>1018</v>
      </c>
      <c r="I19" s="16">
        <v>602</v>
      </c>
      <c r="J19" s="21">
        <v>81.6391</v>
      </c>
      <c r="K19" s="16">
        <v>119</v>
      </c>
      <c r="L19" s="21">
        <v>7.1181</v>
      </c>
      <c r="M19" s="16">
        <v>48</v>
      </c>
      <c r="N19" s="21">
        <v>6.5524</v>
      </c>
      <c r="O19" s="22">
        <v>0.05</v>
      </c>
      <c r="P19" s="22">
        <v>0.5</v>
      </c>
      <c r="Q19" s="16">
        <v>83</v>
      </c>
      <c r="R19" s="16">
        <v>115</v>
      </c>
      <c r="S19" s="16">
        <v>120</v>
      </c>
      <c r="T19" s="32">
        <v>1.2</v>
      </c>
      <c r="U19" s="16">
        <v>116</v>
      </c>
      <c r="V19" s="22">
        <v>0.5</v>
      </c>
      <c r="W19" s="16">
        <v>2064</v>
      </c>
      <c r="X19" s="16">
        <v>212</v>
      </c>
      <c r="Y19" s="16">
        <v>166</v>
      </c>
      <c r="Z19" s="19">
        <v>7482.7069</v>
      </c>
      <c r="AA19" s="19">
        <v>750.9679</v>
      </c>
      <c r="AB19" s="38">
        <v>600.5916</v>
      </c>
      <c r="AC19" s="38" t="s">
        <v>1034</v>
      </c>
      <c r="AD19" s="39">
        <v>36</v>
      </c>
      <c r="AE19" s="38" t="s">
        <v>993</v>
      </c>
      <c r="AF19" s="35">
        <v>75</v>
      </c>
    </row>
    <row r="20" spans="1:32">
      <c r="A20" s="16" t="s">
        <v>388</v>
      </c>
      <c r="B20" s="16">
        <v>1191</v>
      </c>
      <c r="C20" s="16" t="s">
        <v>1035</v>
      </c>
      <c r="D20" s="16" t="s">
        <v>1006</v>
      </c>
      <c r="E20" s="16" t="s">
        <v>996</v>
      </c>
      <c r="F20" s="16" t="s">
        <v>557</v>
      </c>
      <c r="G20" s="16" t="s">
        <v>1010</v>
      </c>
      <c r="H20" s="16" t="s">
        <v>991</v>
      </c>
      <c r="I20" s="16">
        <v>617</v>
      </c>
      <c r="J20" s="21">
        <v>83.7238</v>
      </c>
      <c r="K20" s="16">
        <v>135</v>
      </c>
      <c r="L20" s="21">
        <v>8.2578</v>
      </c>
      <c r="M20" s="16">
        <v>49</v>
      </c>
      <c r="N20" s="21">
        <v>6.6203</v>
      </c>
      <c r="O20" s="22">
        <v>0.05</v>
      </c>
      <c r="P20" s="22">
        <v>0.5</v>
      </c>
      <c r="Q20" s="16">
        <v>93</v>
      </c>
      <c r="R20" s="16">
        <v>94</v>
      </c>
      <c r="S20" s="16">
        <v>120</v>
      </c>
      <c r="T20" s="32">
        <v>1.2</v>
      </c>
      <c r="U20" s="16">
        <v>93</v>
      </c>
      <c r="V20" s="22">
        <v>0.5</v>
      </c>
      <c r="W20" s="16">
        <v>2117</v>
      </c>
      <c r="X20" s="16">
        <v>241</v>
      </c>
      <c r="Y20" s="16">
        <v>167</v>
      </c>
      <c r="Z20" s="19">
        <v>7673.7042</v>
      </c>
      <c r="AA20" s="19">
        <v>863.2102</v>
      </c>
      <c r="AB20" s="38">
        <v>606.5977</v>
      </c>
      <c r="AC20" s="38" t="s">
        <v>997</v>
      </c>
      <c r="AD20" s="40">
        <v>0.144</v>
      </c>
      <c r="AE20" s="38" t="s">
        <v>993</v>
      </c>
      <c r="AF20" s="35">
        <v>75</v>
      </c>
    </row>
    <row r="21" spans="1:32">
      <c r="A21" s="16" t="s">
        <v>412</v>
      </c>
      <c r="B21" s="16">
        <v>1201</v>
      </c>
      <c r="C21" s="16" t="s">
        <v>1036</v>
      </c>
      <c r="D21" s="16" t="s">
        <v>988</v>
      </c>
      <c r="E21" s="16" t="s">
        <v>996</v>
      </c>
      <c r="F21" s="16" t="s">
        <v>1037</v>
      </c>
      <c r="G21" s="16" t="s">
        <v>1022</v>
      </c>
      <c r="H21" s="16" t="s">
        <v>991</v>
      </c>
      <c r="I21" s="16">
        <v>595</v>
      </c>
      <c r="J21" s="21">
        <v>80.8084</v>
      </c>
      <c r="K21" s="16">
        <v>132</v>
      </c>
      <c r="L21" s="21">
        <v>8.027</v>
      </c>
      <c r="M21" s="16">
        <v>48</v>
      </c>
      <c r="N21" s="21">
        <v>6.5524</v>
      </c>
      <c r="O21" s="22">
        <v>0.05</v>
      </c>
      <c r="P21" s="22">
        <v>0.5</v>
      </c>
      <c r="Q21" s="16">
        <v>90</v>
      </c>
      <c r="R21" s="16">
        <v>80</v>
      </c>
      <c r="S21" s="16">
        <v>120</v>
      </c>
      <c r="T21" s="32">
        <v>1.2</v>
      </c>
      <c r="U21" s="16">
        <v>95</v>
      </c>
      <c r="V21" s="22">
        <v>0.525</v>
      </c>
      <c r="W21" s="16">
        <v>2043</v>
      </c>
      <c r="X21" s="16">
        <v>235</v>
      </c>
      <c r="Y21" s="16">
        <v>166</v>
      </c>
      <c r="Z21" s="19">
        <v>7405.6956</v>
      </c>
      <c r="AA21" s="19">
        <v>840.593</v>
      </c>
      <c r="AB21" s="38">
        <v>600.5916</v>
      </c>
      <c r="AC21" s="38" t="s">
        <v>997</v>
      </c>
      <c r="AD21" s="40">
        <v>0.144</v>
      </c>
      <c r="AE21" s="38" t="s">
        <v>993</v>
      </c>
      <c r="AF21" s="35">
        <v>75</v>
      </c>
    </row>
    <row r="22" spans="1:32">
      <c r="A22" s="16" t="s">
        <v>431</v>
      </c>
      <c r="B22" s="16">
        <v>1211</v>
      </c>
      <c r="C22" s="16" t="s">
        <v>1038</v>
      </c>
      <c r="D22" s="16" t="s">
        <v>988</v>
      </c>
      <c r="E22" s="16" t="s">
        <v>1000</v>
      </c>
      <c r="F22" s="16" t="s">
        <v>226</v>
      </c>
      <c r="G22" s="16" t="s">
        <v>1010</v>
      </c>
      <c r="H22" s="16" t="s">
        <v>1018</v>
      </c>
      <c r="I22" s="16">
        <v>692</v>
      </c>
      <c r="J22" s="21">
        <v>93.9358</v>
      </c>
      <c r="K22" s="16">
        <v>103</v>
      </c>
      <c r="L22" s="21">
        <v>6.0201</v>
      </c>
      <c r="M22" s="16">
        <v>48</v>
      </c>
      <c r="N22" s="21">
        <v>6.5524</v>
      </c>
      <c r="O22" s="22">
        <v>0.05</v>
      </c>
      <c r="P22" s="22">
        <v>0.5</v>
      </c>
      <c r="Q22" s="16">
        <v>83</v>
      </c>
      <c r="R22" s="16">
        <v>93</v>
      </c>
      <c r="S22" s="16">
        <v>120</v>
      </c>
      <c r="T22" s="32">
        <v>1.2</v>
      </c>
      <c r="U22" s="16">
        <v>92</v>
      </c>
      <c r="V22" s="22">
        <v>0.5</v>
      </c>
      <c r="W22" s="16">
        <v>2375</v>
      </c>
      <c r="X22" s="16">
        <v>184</v>
      </c>
      <c r="Y22" s="16">
        <v>166</v>
      </c>
      <c r="Z22" s="19">
        <v>8609.2122</v>
      </c>
      <c r="AA22" s="19">
        <v>642.1859</v>
      </c>
      <c r="AB22" s="38">
        <v>600.5916</v>
      </c>
      <c r="AC22" s="38" t="s">
        <v>1039</v>
      </c>
      <c r="AD22" s="40">
        <v>0.144</v>
      </c>
      <c r="AE22" s="38" t="s">
        <v>993</v>
      </c>
      <c r="AF22" s="35">
        <v>75</v>
      </c>
    </row>
    <row r="23" spans="1:32">
      <c r="A23" s="16" t="s">
        <v>442</v>
      </c>
      <c r="B23" s="16">
        <v>1221</v>
      </c>
      <c r="C23" s="16" t="s">
        <v>1040</v>
      </c>
      <c r="D23" s="16" t="s">
        <v>988</v>
      </c>
      <c r="E23" s="16" t="s">
        <v>1021</v>
      </c>
      <c r="F23" s="16" t="s">
        <v>557</v>
      </c>
      <c r="G23" s="16" t="s">
        <v>1022</v>
      </c>
      <c r="H23" s="16" t="s">
        <v>991</v>
      </c>
      <c r="I23" s="16">
        <v>626</v>
      </c>
      <c r="J23" s="21">
        <v>84.9779</v>
      </c>
      <c r="K23" s="16">
        <v>126</v>
      </c>
      <c r="L23" s="21">
        <v>7.586</v>
      </c>
      <c r="M23" s="16">
        <v>49</v>
      </c>
      <c r="N23" s="21">
        <v>6.6882</v>
      </c>
      <c r="O23" s="22">
        <v>0.05</v>
      </c>
      <c r="P23" s="22">
        <v>0.5</v>
      </c>
      <c r="Q23" s="16">
        <v>86</v>
      </c>
      <c r="R23" s="16">
        <v>112</v>
      </c>
      <c r="S23" s="16">
        <v>120</v>
      </c>
      <c r="T23" s="32">
        <v>1.2</v>
      </c>
      <c r="U23" s="16">
        <v>114</v>
      </c>
      <c r="V23" s="22">
        <v>0.5</v>
      </c>
      <c r="W23" s="16">
        <v>2149</v>
      </c>
      <c r="X23" s="16">
        <v>224</v>
      </c>
      <c r="Y23" s="16">
        <v>169</v>
      </c>
      <c r="Z23" s="19">
        <v>7788.6961</v>
      </c>
      <c r="AA23" s="19">
        <v>797.574</v>
      </c>
      <c r="AB23" s="38">
        <v>612.6038</v>
      </c>
      <c r="AC23" s="38" t="s">
        <v>1034</v>
      </c>
      <c r="AD23" s="39">
        <v>36</v>
      </c>
      <c r="AE23" s="38" t="s">
        <v>993</v>
      </c>
      <c r="AF23" s="35">
        <v>75</v>
      </c>
    </row>
    <row r="24" spans="1:32">
      <c r="A24" s="16" t="s">
        <v>456</v>
      </c>
      <c r="B24" s="16">
        <v>1241</v>
      </c>
      <c r="C24" s="16" t="s">
        <v>1041</v>
      </c>
      <c r="D24" s="16" t="s">
        <v>999</v>
      </c>
      <c r="E24" s="16" t="s">
        <v>996</v>
      </c>
      <c r="F24" s="16" t="s">
        <v>1017</v>
      </c>
      <c r="G24" s="16" t="s">
        <v>1042</v>
      </c>
      <c r="H24" s="16" t="s">
        <v>1018</v>
      </c>
      <c r="I24" s="16">
        <v>602</v>
      </c>
      <c r="J24" s="21">
        <v>81.6391</v>
      </c>
      <c r="K24" s="16">
        <v>132</v>
      </c>
      <c r="L24" s="21">
        <v>8.0729</v>
      </c>
      <c r="M24" s="16">
        <v>48</v>
      </c>
      <c r="N24" s="21">
        <v>6.5524</v>
      </c>
      <c r="O24" s="22">
        <v>0.05</v>
      </c>
      <c r="P24" s="22">
        <v>0.5</v>
      </c>
      <c r="Q24" s="16">
        <v>90</v>
      </c>
      <c r="R24" s="16">
        <v>93</v>
      </c>
      <c r="S24" s="16">
        <v>120</v>
      </c>
      <c r="T24" s="32">
        <v>1.2</v>
      </c>
      <c r="U24" s="16">
        <v>92</v>
      </c>
      <c r="V24" s="22">
        <v>0.525</v>
      </c>
      <c r="W24" s="16">
        <v>2064</v>
      </c>
      <c r="X24" s="16">
        <v>236</v>
      </c>
      <c r="Y24" s="16">
        <v>166</v>
      </c>
      <c r="Z24" s="19">
        <v>7482.7069</v>
      </c>
      <c r="AA24" s="19">
        <v>844.3011</v>
      </c>
      <c r="AB24" s="38">
        <v>600.5916</v>
      </c>
      <c r="AC24" s="38" t="s">
        <v>1011</v>
      </c>
      <c r="AD24" s="40">
        <v>0.288</v>
      </c>
      <c r="AE24" s="38" t="s">
        <v>993</v>
      </c>
      <c r="AF24" s="35">
        <v>75</v>
      </c>
    </row>
    <row r="25" spans="1:32">
      <c r="A25" s="16" t="s">
        <v>476</v>
      </c>
      <c r="B25" s="16">
        <v>1251</v>
      </c>
      <c r="C25" s="16" t="s">
        <v>1043</v>
      </c>
      <c r="D25" s="16" t="s">
        <v>988</v>
      </c>
      <c r="E25" s="16" t="s">
        <v>989</v>
      </c>
      <c r="F25" s="16" t="s">
        <v>226</v>
      </c>
      <c r="G25" s="16" t="s">
        <v>1042</v>
      </c>
      <c r="H25" s="16" t="s">
        <v>991</v>
      </c>
      <c r="I25" s="16">
        <v>663</v>
      </c>
      <c r="J25" s="21">
        <v>90.0269</v>
      </c>
      <c r="K25" s="16">
        <v>109</v>
      </c>
      <c r="L25" s="21">
        <v>6.4272</v>
      </c>
      <c r="M25" s="16">
        <v>49</v>
      </c>
      <c r="N25" s="21">
        <v>6.6882</v>
      </c>
      <c r="O25" s="22">
        <v>0.05</v>
      </c>
      <c r="P25" s="22">
        <v>0.5</v>
      </c>
      <c r="Q25" s="16">
        <v>118</v>
      </c>
      <c r="R25" s="16">
        <v>94</v>
      </c>
      <c r="S25" s="16">
        <v>120</v>
      </c>
      <c r="T25" s="32">
        <v>1.2</v>
      </c>
      <c r="U25" s="16">
        <v>93</v>
      </c>
      <c r="V25" s="22">
        <v>0.5</v>
      </c>
      <c r="W25" s="16">
        <v>2276</v>
      </c>
      <c r="X25" s="16">
        <v>195</v>
      </c>
      <c r="Y25" s="16">
        <v>169</v>
      </c>
      <c r="Z25" s="19">
        <v>8250.5871</v>
      </c>
      <c r="AA25" s="19">
        <v>683.2048</v>
      </c>
      <c r="AB25" s="38">
        <v>612.6038</v>
      </c>
      <c r="AC25" s="38" t="s">
        <v>992</v>
      </c>
      <c r="AD25" s="39">
        <v>18</v>
      </c>
      <c r="AE25" s="38" t="s">
        <v>993</v>
      </c>
      <c r="AF25" s="35">
        <v>75</v>
      </c>
    </row>
    <row r="26" spans="1:32">
      <c r="A26" s="16" t="s">
        <v>492</v>
      </c>
      <c r="B26" s="16">
        <v>1261</v>
      </c>
      <c r="C26" s="16" t="s">
        <v>1044</v>
      </c>
      <c r="D26" s="16" t="s">
        <v>995</v>
      </c>
      <c r="E26" s="16" t="s">
        <v>1021</v>
      </c>
      <c r="F26" s="16" t="s">
        <v>557</v>
      </c>
      <c r="G26" s="16" t="s">
        <v>1042</v>
      </c>
      <c r="H26" s="16" t="s">
        <v>991</v>
      </c>
      <c r="I26" s="16">
        <v>626</v>
      </c>
      <c r="J26" s="21">
        <v>84.9779</v>
      </c>
      <c r="K26" s="16">
        <v>127</v>
      </c>
      <c r="L26" s="21">
        <v>7.6728</v>
      </c>
      <c r="M26" s="16">
        <v>49</v>
      </c>
      <c r="N26" s="21">
        <v>6.6203</v>
      </c>
      <c r="O26" s="22">
        <v>0.05</v>
      </c>
      <c r="P26" s="22">
        <v>0.5</v>
      </c>
      <c r="Q26" s="16">
        <v>86</v>
      </c>
      <c r="R26" s="16">
        <v>112</v>
      </c>
      <c r="S26" s="16">
        <v>120</v>
      </c>
      <c r="T26" s="32">
        <v>1.2</v>
      </c>
      <c r="U26" s="16">
        <v>114</v>
      </c>
      <c r="V26" s="22">
        <v>0.5</v>
      </c>
      <c r="W26" s="16">
        <v>2149</v>
      </c>
      <c r="X26" s="16">
        <v>226</v>
      </c>
      <c r="Y26" s="16">
        <v>167</v>
      </c>
      <c r="Z26" s="19">
        <v>7788.6961</v>
      </c>
      <c r="AA26" s="19">
        <v>805.6952</v>
      </c>
      <c r="AB26" s="38">
        <v>606.5977</v>
      </c>
      <c r="AC26" s="38" t="s">
        <v>1034</v>
      </c>
      <c r="AD26" s="39">
        <v>36</v>
      </c>
      <c r="AE26" s="38" t="s">
        <v>993</v>
      </c>
      <c r="AF26" s="35">
        <v>75</v>
      </c>
    </row>
    <row r="27" spans="1:32">
      <c r="A27" s="16" t="s">
        <v>527</v>
      </c>
      <c r="B27" s="16">
        <v>1271</v>
      </c>
      <c r="C27" s="16" t="s">
        <v>1045</v>
      </c>
      <c r="D27" s="16" t="s">
        <v>988</v>
      </c>
      <c r="E27" s="16" t="s">
        <v>1013</v>
      </c>
      <c r="F27" s="16" t="s">
        <v>557</v>
      </c>
      <c r="G27" s="16" t="s">
        <v>1042</v>
      </c>
      <c r="H27" s="16" t="s">
        <v>991</v>
      </c>
      <c r="I27" s="16">
        <v>699</v>
      </c>
      <c r="J27" s="21">
        <v>94.9375</v>
      </c>
      <c r="K27" s="16">
        <v>93</v>
      </c>
      <c r="L27" s="21">
        <v>5.2593</v>
      </c>
      <c r="M27" s="16">
        <v>60</v>
      </c>
      <c r="N27" s="21">
        <v>8.1379</v>
      </c>
      <c r="O27" s="22">
        <v>0.05</v>
      </c>
      <c r="P27" s="22">
        <v>0.5</v>
      </c>
      <c r="Q27" s="16">
        <v>94</v>
      </c>
      <c r="R27" s="16">
        <v>86</v>
      </c>
      <c r="S27" s="16">
        <v>120</v>
      </c>
      <c r="T27" s="32">
        <v>1.2</v>
      </c>
      <c r="U27" s="16">
        <v>90</v>
      </c>
      <c r="V27" s="22">
        <v>0.5</v>
      </c>
      <c r="W27" s="16">
        <v>2401</v>
      </c>
      <c r="X27" s="16">
        <v>165</v>
      </c>
      <c r="Y27" s="16">
        <v>206</v>
      </c>
      <c r="Z27" s="19">
        <v>8701.3125</v>
      </c>
      <c r="AA27" s="19">
        <v>568.2987</v>
      </c>
      <c r="AB27" s="38">
        <v>746.1361</v>
      </c>
      <c r="AC27" s="38" t="s">
        <v>1001</v>
      </c>
      <c r="AD27" s="39">
        <v>0.36</v>
      </c>
      <c r="AE27" s="38" t="s">
        <v>993</v>
      </c>
      <c r="AF27" s="35">
        <v>75</v>
      </c>
    </row>
    <row r="28" spans="1:32">
      <c r="A28" s="16" t="s">
        <v>540</v>
      </c>
      <c r="B28" s="16">
        <v>1281</v>
      </c>
      <c r="C28" s="16" t="s">
        <v>1046</v>
      </c>
      <c r="D28" s="16" t="s">
        <v>995</v>
      </c>
      <c r="E28" s="16" t="s">
        <v>1021</v>
      </c>
      <c r="F28" s="16" t="s">
        <v>557</v>
      </c>
      <c r="G28" s="16" t="s">
        <v>1015</v>
      </c>
      <c r="H28" s="16" t="s">
        <v>991</v>
      </c>
      <c r="I28" s="16">
        <v>561</v>
      </c>
      <c r="J28" s="21">
        <v>76.1177</v>
      </c>
      <c r="K28" s="16">
        <v>109</v>
      </c>
      <c r="L28" s="21">
        <v>6.4308</v>
      </c>
      <c r="M28" s="16">
        <v>49</v>
      </c>
      <c r="N28" s="21">
        <v>6.6882</v>
      </c>
      <c r="O28" s="22">
        <v>0.05</v>
      </c>
      <c r="P28" s="22">
        <v>0.5</v>
      </c>
      <c r="Q28" s="16">
        <v>86</v>
      </c>
      <c r="R28" s="16">
        <v>116</v>
      </c>
      <c r="S28" s="16">
        <v>120</v>
      </c>
      <c r="T28" s="32">
        <v>1.2</v>
      </c>
      <c r="U28" s="16">
        <v>118</v>
      </c>
      <c r="V28" s="22">
        <v>0.5</v>
      </c>
      <c r="W28" s="16">
        <v>1925</v>
      </c>
      <c r="X28" s="16">
        <v>195</v>
      </c>
      <c r="Y28" s="16">
        <v>169</v>
      </c>
      <c r="Z28" s="19">
        <v>6976.9443</v>
      </c>
      <c r="AA28" s="19">
        <v>683.4172</v>
      </c>
      <c r="AB28" s="38">
        <v>612.6038</v>
      </c>
      <c r="AC28" s="38" t="s">
        <v>1001</v>
      </c>
      <c r="AD28" s="39">
        <v>0.36</v>
      </c>
      <c r="AE28" s="38" t="s">
        <v>993</v>
      </c>
      <c r="AF28" s="35">
        <v>75</v>
      </c>
    </row>
    <row r="29" spans="1:32">
      <c r="A29" s="16" t="s">
        <v>555</v>
      </c>
      <c r="B29" s="16">
        <v>1291</v>
      </c>
      <c r="C29" s="16" t="s">
        <v>1047</v>
      </c>
      <c r="D29" s="16" t="s">
        <v>1006</v>
      </c>
      <c r="E29" s="16" t="s">
        <v>996</v>
      </c>
      <c r="F29" s="16" t="s">
        <v>557</v>
      </c>
      <c r="G29" s="16" t="s">
        <v>1048</v>
      </c>
      <c r="H29" s="16" t="s">
        <v>991</v>
      </c>
      <c r="I29" s="16">
        <v>638</v>
      </c>
      <c r="J29" s="21">
        <v>86.6392</v>
      </c>
      <c r="K29" s="16">
        <v>132</v>
      </c>
      <c r="L29" s="21">
        <v>8.0729</v>
      </c>
      <c r="M29" s="16">
        <v>50</v>
      </c>
      <c r="N29" s="21">
        <v>6.7222</v>
      </c>
      <c r="O29" s="22">
        <v>0.05</v>
      </c>
      <c r="P29" s="22">
        <v>0.5</v>
      </c>
      <c r="Q29" s="16">
        <v>95</v>
      </c>
      <c r="R29" s="16">
        <v>86</v>
      </c>
      <c r="S29" s="16">
        <v>120</v>
      </c>
      <c r="T29" s="32">
        <v>1.2</v>
      </c>
      <c r="U29" s="16">
        <v>90</v>
      </c>
      <c r="V29" s="22">
        <v>0.5</v>
      </c>
      <c r="W29" s="16">
        <v>2191</v>
      </c>
      <c r="X29" s="16">
        <v>236</v>
      </c>
      <c r="Y29" s="16">
        <v>170</v>
      </c>
      <c r="Z29" s="19">
        <v>7940.7128</v>
      </c>
      <c r="AA29" s="19">
        <v>844.3011</v>
      </c>
      <c r="AB29" s="38">
        <v>616.6098</v>
      </c>
      <c r="AC29" s="38" t="s">
        <v>997</v>
      </c>
      <c r="AD29" s="40">
        <v>0.144</v>
      </c>
      <c r="AE29" s="38" t="s">
        <v>993</v>
      </c>
      <c r="AF29" s="35">
        <v>75</v>
      </c>
    </row>
    <row r="30" spans="1:32">
      <c r="A30" s="16" t="s">
        <v>572</v>
      </c>
      <c r="B30" s="16">
        <v>1301</v>
      </c>
      <c r="C30" s="16" t="s">
        <v>1049</v>
      </c>
      <c r="D30" s="16" t="s">
        <v>1003</v>
      </c>
      <c r="E30" s="16" t="s">
        <v>996</v>
      </c>
      <c r="F30" s="16" t="s">
        <v>1037</v>
      </c>
      <c r="G30" s="16" t="s">
        <v>1004</v>
      </c>
      <c r="H30" s="16" t="s">
        <v>991</v>
      </c>
      <c r="I30" s="16">
        <v>626</v>
      </c>
      <c r="J30" s="21">
        <v>84.9779</v>
      </c>
      <c r="K30" s="16">
        <v>134</v>
      </c>
      <c r="L30" s="21">
        <v>8.1654</v>
      </c>
      <c r="M30" s="16">
        <v>49</v>
      </c>
      <c r="N30" s="21">
        <v>6.6882</v>
      </c>
      <c r="O30" s="22">
        <v>0.05</v>
      </c>
      <c r="P30" s="22">
        <v>0.5</v>
      </c>
      <c r="Q30" s="16">
        <v>93</v>
      </c>
      <c r="R30" s="16">
        <v>92</v>
      </c>
      <c r="S30" s="16">
        <v>120</v>
      </c>
      <c r="T30" s="32">
        <v>1.2</v>
      </c>
      <c r="U30" s="16">
        <v>90</v>
      </c>
      <c r="V30" s="22">
        <v>0.5</v>
      </c>
      <c r="W30" s="16">
        <v>2149</v>
      </c>
      <c r="X30" s="16">
        <v>239</v>
      </c>
      <c r="Y30" s="16">
        <v>169</v>
      </c>
      <c r="Z30" s="19">
        <v>7788.6961</v>
      </c>
      <c r="AA30" s="19">
        <v>854.7586</v>
      </c>
      <c r="AB30" s="38">
        <v>612.6038</v>
      </c>
      <c r="AC30" s="38" t="s">
        <v>1001</v>
      </c>
      <c r="AD30" s="39">
        <v>0.36</v>
      </c>
      <c r="AE30" s="38" t="s">
        <v>993</v>
      </c>
      <c r="AF30" s="35">
        <v>75</v>
      </c>
    </row>
    <row r="31" spans="1:32">
      <c r="A31" s="16" t="s">
        <v>590</v>
      </c>
      <c r="B31" s="16">
        <v>1311</v>
      </c>
      <c r="C31" s="16" t="s">
        <v>1050</v>
      </c>
      <c r="D31" s="16" t="s">
        <v>999</v>
      </c>
      <c r="E31" s="16" t="s">
        <v>1000</v>
      </c>
      <c r="F31" s="16" t="s">
        <v>226</v>
      </c>
      <c r="G31" s="16" t="s">
        <v>1051</v>
      </c>
      <c r="H31" s="16" t="s">
        <v>1018</v>
      </c>
      <c r="I31" s="16">
        <v>692</v>
      </c>
      <c r="J31" s="21">
        <v>93.9358</v>
      </c>
      <c r="K31" s="16">
        <v>103</v>
      </c>
      <c r="L31" s="21">
        <v>5.9961</v>
      </c>
      <c r="M31" s="16">
        <v>48</v>
      </c>
      <c r="N31" s="21">
        <v>6.5524</v>
      </c>
      <c r="O31" s="22">
        <v>0.05</v>
      </c>
      <c r="P31" s="22">
        <v>0.5</v>
      </c>
      <c r="Q31" s="16">
        <v>83</v>
      </c>
      <c r="R31" s="16">
        <v>93</v>
      </c>
      <c r="S31" s="16">
        <v>120</v>
      </c>
      <c r="T31" s="32">
        <v>1.2</v>
      </c>
      <c r="U31" s="16">
        <v>92</v>
      </c>
      <c r="V31" s="22">
        <v>0.5</v>
      </c>
      <c r="W31" s="16">
        <v>2375</v>
      </c>
      <c r="X31" s="16">
        <v>184</v>
      </c>
      <c r="Y31" s="16">
        <v>166</v>
      </c>
      <c r="Z31" s="19">
        <v>8609.2122</v>
      </c>
      <c r="AA31" s="19">
        <v>640.7699</v>
      </c>
      <c r="AB31" s="38">
        <v>600.5916</v>
      </c>
      <c r="AC31" s="38" t="s">
        <v>1001</v>
      </c>
      <c r="AD31" s="39">
        <v>0.36</v>
      </c>
      <c r="AE31" s="38" t="s">
        <v>993</v>
      </c>
      <c r="AF31" s="35">
        <v>75</v>
      </c>
    </row>
    <row r="32" spans="1:32">
      <c r="A32" s="16" t="s">
        <v>612</v>
      </c>
      <c r="B32" s="16">
        <v>1321</v>
      </c>
      <c r="C32" s="16" t="s">
        <v>1052</v>
      </c>
      <c r="D32" s="16" t="s">
        <v>1003</v>
      </c>
      <c r="E32" s="16" t="s">
        <v>996</v>
      </c>
      <c r="F32" s="16" t="s">
        <v>557</v>
      </c>
      <c r="G32" s="16" t="s">
        <v>1051</v>
      </c>
      <c r="H32" s="16" t="s">
        <v>991</v>
      </c>
      <c r="I32" s="16">
        <v>626</v>
      </c>
      <c r="J32" s="21">
        <v>84.9779</v>
      </c>
      <c r="K32" s="16">
        <v>134</v>
      </c>
      <c r="L32" s="21">
        <v>8.1654</v>
      </c>
      <c r="M32" s="16">
        <v>49</v>
      </c>
      <c r="N32" s="21">
        <v>6.6882</v>
      </c>
      <c r="O32" s="22">
        <v>0.05</v>
      </c>
      <c r="P32" s="22">
        <v>0.5</v>
      </c>
      <c r="Q32" s="16">
        <v>93</v>
      </c>
      <c r="R32" s="16">
        <v>92</v>
      </c>
      <c r="S32" s="16">
        <v>120</v>
      </c>
      <c r="T32" s="32">
        <v>1.2</v>
      </c>
      <c r="U32" s="16">
        <v>90</v>
      </c>
      <c r="V32" s="22">
        <v>0.5</v>
      </c>
      <c r="W32" s="16">
        <v>2149</v>
      </c>
      <c r="X32" s="16">
        <v>239</v>
      </c>
      <c r="Y32" s="16">
        <v>169</v>
      </c>
      <c r="Z32" s="19">
        <v>7788.6961</v>
      </c>
      <c r="AA32" s="19">
        <v>854.7586</v>
      </c>
      <c r="AB32" s="38">
        <v>612.6038</v>
      </c>
      <c r="AC32" s="38" t="s">
        <v>997</v>
      </c>
      <c r="AD32" s="40">
        <v>0.144</v>
      </c>
      <c r="AE32" s="38" t="s">
        <v>993</v>
      </c>
      <c r="AF32" s="35">
        <v>75</v>
      </c>
    </row>
    <row r="33" spans="1:32">
      <c r="A33" s="16" t="s">
        <v>628</v>
      </c>
      <c r="B33" s="16">
        <v>1331</v>
      </c>
      <c r="C33" s="16" t="s">
        <v>1053</v>
      </c>
      <c r="D33" s="16" t="s">
        <v>999</v>
      </c>
      <c r="E33" s="16" t="s">
        <v>1021</v>
      </c>
      <c r="F33" s="16" t="s">
        <v>557</v>
      </c>
      <c r="G33" s="16" t="s">
        <v>1048</v>
      </c>
      <c r="H33" s="16" t="s">
        <v>991</v>
      </c>
      <c r="I33" s="16">
        <v>617</v>
      </c>
      <c r="J33" s="21">
        <v>83.7238</v>
      </c>
      <c r="K33" s="16">
        <v>127</v>
      </c>
      <c r="L33" s="21">
        <v>7.6728</v>
      </c>
      <c r="M33" s="16">
        <v>49</v>
      </c>
      <c r="N33" s="21">
        <v>6.6203</v>
      </c>
      <c r="O33" s="22">
        <v>0.05</v>
      </c>
      <c r="P33" s="22">
        <v>0.5</v>
      </c>
      <c r="Q33" s="16">
        <v>86</v>
      </c>
      <c r="R33" s="16">
        <v>108</v>
      </c>
      <c r="S33" s="16">
        <v>120</v>
      </c>
      <c r="T33" s="32">
        <v>1.2</v>
      </c>
      <c r="U33" s="16">
        <v>118</v>
      </c>
      <c r="V33" s="22">
        <v>0.5</v>
      </c>
      <c r="W33" s="16">
        <v>2117</v>
      </c>
      <c r="X33" s="16">
        <v>226</v>
      </c>
      <c r="Y33" s="16">
        <v>167</v>
      </c>
      <c r="Z33" s="19">
        <v>7673.7042</v>
      </c>
      <c r="AA33" s="19">
        <v>805.6952</v>
      </c>
      <c r="AB33" s="38">
        <v>606.5977</v>
      </c>
      <c r="AC33" s="38" t="s">
        <v>1034</v>
      </c>
      <c r="AD33" s="39">
        <v>36</v>
      </c>
      <c r="AE33" s="38" t="s">
        <v>993</v>
      </c>
      <c r="AF33" s="35">
        <v>75</v>
      </c>
    </row>
    <row r="34" spans="1:32">
      <c r="A34" s="16" t="s">
        <v>644</v>
      </c>
      <c r="B34" s="16">
        <v>1341</v>
      </c>
      <c r="C34" s="16" t="s">
        <v>1054</v>
      </c>
      <c r="D34" s="16" t="s">
        <v>1006</v>
      </c>
      <c r="E34" s="16" t="s">
        <v>1013</v>
      </c>
      <c r="F34" s="16" t="s">
        <v>557</v>
      </c>
      <c r="G34" s="16" t="s">
        <v>1055</v>
      </c>
      <c r="H34" s="16" t="s">
        <v>991</v>
      </c>
      <c r="I34" s="16">
        <v>733</v>
      </c>
      <c r="J34" s="21">
        <v>99.4816</v>
      </c>
      <c r="K34" s="16">
        <v>110</v>
      </c>
      <c r="L34" s="21">
        <v>6.5027</v>
      </c>
      <c r="M34" s="16">
        <v>56</v>
      </c>
      <c r="N34" s="21">
        <v>7.6592</v>
      </c>
      <c r="O34" s="22">
        <v>0.05</v>
      </c>
      <c r="P34" s="22">
        <v>0.5</v>
      </c>
      <c r="Q34" s="16">
        <v>93</v>
      </c>
      <c r="R34" s="16">
        <v>93</v>
      </c>
      <c r="S34" s="16">
        <v>120</v>
      </c>
      <c r="T34" s="32">
        <v>1.2</v>
      </c>
      <c r="U34" s="16">
        <v>96</v>
      </c>
      <c r="V34" s="22">
        <v>0.5</v>
      </c>
      <c r="W34" s="16">
        <v>2515</v>
      </c>
      <c r="X34" s="16">
        <v>197</v>
      </c>
      <c r="Y34" s="16">
        <v>194</v>
      </c>
      <c r="Z34" s="19">
        <v>9117.4144</v>
      </c>
      <c r="AA34" s="19">
        <v>690.6593</v>
      </c>
      <c r="AB34" s="38">
        <v>701.8928</v>
      </c>
      <c r="AC34" s="38" t="s">
        <v>963</v>
      </c>
      <c r="AD34" s="40">
        <v>0.18</v>
      </c>
      <c r="AE34" s="38" t="s">
        <v>993</v>
      </c>
      <c r="AF34" s="35">
        <v>75</v>
      </c>
    </row>
    <row r="35" spans="1:32">
      <c r="A35" s="16" t="s">
        <v>659</v>
      </c>
      <c r="B35" s="16">
        <v>1351</v>
      </c>
      <c r="C35" s="16" t="s">
        <v>1056</v>
      </c>
      <c r="D35" s="16" t="s">
        <v>995</v>
      </c>
      <c r="E35" s="16" t="s">
        <v>989</v>
      </c>
      <c r="F35" s="16" t="s">
        <v>557</v>
      </c>
      <c r="G35" s="16" t="s">
        <v>1015</v>
      </c>
      <c r="H35" s="16" t="s">
        <v>1018</v>
      </c>
      <c r="I35" s="16">
        <v>612</v>
      </c>
      <c r="J35" s="21">
        <v>83.0642</v>
      </c>
      <c r="K35" s="16">
        <v>96</v>
      </c>
      <c r="L35" s="21">
        <v>5.4887</v>
      </c>
      <c r="M35" s="16">
        <v>49</v>
      </c>
      <c r="N35" s="21">
        <v>6.6203</v>
      </c>
      <c r="O35" s="22">
        <v>0.05</v>
      </c>
      <c r="P35" s="22">
        <v>0.5</v>
      </c>
      <c r="Q35" s="16">
        <v>118</v>
      </c>
      <c r="R35" s="16">
        <v>92</v>
      </c>
      <c r="S35" s="16">
        <v>120</v>
      </c>
      <c r="T35" s="32">
        <v>1.2</v>
      </c>
      <c r="U35" s="16">
        <v>90</v>
      </c>
      <c r="V35" s="22">
        <v>0.5</v>
      </c>
      <c r="W35" s="16">
        <v>2100</v>
      </c>
      <c r="X35" s="16">
        <v>171</v>
      </c>
      <c r="Y35" s="16">
        <v>167</v>
      </c>
      <c r="Z35" s="19">
        <v>7612.7878</v>
      </c>
      <c r="AA35" s="19">
        <v>590.8333</v>
      </c>
      <c r="AB35" s="19">
        <v>606.5977</v>
      </c>
      <c r="AC35" s="19" t="s">
        <v>992</v>
      </c>
      <c r="AD35" s="39">
        <v>18</v>
      </c>
      <c r="AE35" s="38" t="s">
        <v>993</v>
      </c>
      <c r="AF35" s="35">
        <v>75</v>
      </c>
    </row>
    <row r="36" spans="1:32">
      <c r="A36" s="16" t="s">
        <v>671</v>
      </c>
      <c r="B36" s="16">
        <v>1361</v>
      </c>
      <c r="C36" s="16" t="s">
        <v>1057</v>
      </c>
      <c r="D36" s="16" t="s">
        <v>988</v>
      </c>
      <c r="E36" s="16" t="s">
        <v>989</v>
      </c>
      <c r="F36" s="16" t="s">
        <v>1017</v>
      </c>
      <c r="G36" s="16" t="s">
        <v>1004</v>
      </c>
      <c r="H36" s="16" t="s">
        <v>991</v>
      </c>
      <c r="I36" s="16">
        <v>637</v>
      </c>
      <c r="J36" s="21">
        <v>86.4437</v>
      </c>
      <c r="K36" s="16">
        <v>108</v>
      </c>
      <c r="L36" s="21">
        <v>6.3517</v>
      </c>
      <c r="M36" s="16">
        <v>48</v>
      </c>
      <c r="N36" s="21">
        <v>6.5524</v>
      </c>
      <c r="O36" s="22">
        <v>0.05</v>
      </c>
      <c r="P36" s="22">
        <v>0.5</v>
      </c>
      <c r="Q36" s="16">
        <v>113</v>
      </c>
      <c r="R36" s="16">
        <v>96</v>
      </c>
      <c r="S36" s="16">
        <v>120</v>
      </c>
      <c r="T36" s="32">
        <v>1.2</v>
      </c>
      <c r="U36" s="16">
        <v>95</v>
      </c>
      <c r="V36" s="22">
        <v>0.5</v>
      </c>
      <c r="W36" s="16">
        <v>2186</v>
      </c>
      <c r="X36" s="16">
        <v>193</v>
      </c>
      <c r="Y36" s="16">
        <v>166</v>
      </c>
      <c r="Z36" s="19">
        <v>7923.1783</v>
      </c>
      <c r="AA36" s="19">
        <v>675.7503</v>
      </c>
      <c r="AB36" s="38">
        <v>600.5916</v>
      </c>
      <c r="AC36" s="38" t="s">
        <v>992</v>
      </c>
      <c r="AD36" s="39">
        <v>18</v>
      </c>
      <c r="AE36" s="38" t="s">
        <v>993</v>
      </c>
      <c r="AF36" s="35">
        <v>75</v>
      </c>
    </row>
    <row r="37" spans="1:32">
      <c r="A37" s="16" t="s">
        <v>692</v>
      </c>
      <c r="B37" s="16">
        <v>1371</v>
      </c>
      <c r="C37" s="16" t="s">
        <v>1058</v>
      </c>
      <c r="D37" s="16" t="s">
        <v>1059</v>
      </c>
      <c r="E37" s="16" t="s">
        <v>1007</v>
      </c>
      <c r="F37" s="16" t="s">
        <v>226</v>
      </c>
      <c r="G37" s="16" t="s">
        <v>1060</v>
      </c>
      <c r="H37" s="16" t="s">
        <v>991</v>
      </c>
      <c r="I37" s="16">
        <v>673</v>
      </c>
      <c r="J37" s="21">
        <v>84.2519</v>
      </c>
      <c r="K37" s="16">
        <v>126</v>
      </c>
      <c r="L37" s="21">
        <v>8.8572</v>
      </c>
      <c r="M37" s="16">
        <v>35</v>
      </c>
      <c r="N37" s="21">
        <v>4.8155</v>
      </c>
      <c r="O37" s="22">
        <v>0.05</v>
      </c>
      <c r="P37" s="22">
        <v>0.5</v>
      </c>
      <c r="Q37" s="16">
        <v>93</v>
      </c>
      <c r="R37" s="16">
        <v>92</v>
      </c>
      <c r="S37" s="16">
        <v>120</v>
      </c>
      <c r="T37" s="32">
        <v>2</v>
      </c>
      <c r="U37" s="16">
        <v>90</v>
      </c>
      <c r="V37" s="22">
        <v>0.5</v>
      </c>
      <c r="W37" s="16">
        <v>2310</v>
      </c>
      <c r="X37" s="16">
        <v>224</v>
      </c>
      <c r="Y37" s="16">
        <v>122</v>
      </c>
      <c r="Z37" s="19">
        <v>7953.8621</v>
      </c>
      <c r="AA37" s="19">
        <v>872.5748</v>
      </c>
      <c r="AB37" s="38">
        <v>441.1145</v>
      </c>
      <c r="AC37" s="38" t="s">
        <v>997</v>
      </c>
      <c r="AD37" s="40">
        <v>0.144</v>
      </c>
      <c r="AE37" s="38" t="s">
        <v>1061</v>
      </c>
      <c r="AF37" s="35">
        <v>420</v>
      </c>
    </row>
    <row r="38" spans="1:32">
      <c r="A38" s="16" t="s">
        <v>716</v>
      </c>
      <c r="B38" s="16">
        <v>1381</v>
      </c>
      <c r="C38" s="16" t="s">
        <v>1062</v>
      </c>
      <c r="D38" s="16" t="s">
        <v>988</v>
      </c>
      <c r="E38" s="16" t="s">
        <v>996</v>
      </c>
      <c r="F38" s="16" t="s">
        <v>557</v>
      </c>
      <c r="G38" s="16" t="s">
        <v>1004</v>
      </c>
      <c r="H38" s="16" t="s">
        <v>991</v>
      </c>
      <c r="I38" s="16">
        <v>617</v>
      </c>
      <c r="J38" s="21">
        <v>83.7238</v>
      </c>
      <c r="K38" s="16">
        <v>134</v>
      </c>
      <c r="L38" s="21">
        <v>8.1654</v>
      </c>
      <c r="M38" s="16">
        <v>49</v>
      </c>
      <c r="N38" s="21">
        <v>6.6882</v>
      </c>
      <c r="O38" s="22">
        <v>0.05</v>
      </c>
      <c r="P38" s="22">
        <v>0.5</v>
      </c>
      <c r="Q38" s="16">
        <v>93</v>
      </c>
      <c r="R38" s="16">
        <v>94</v>
      </c>
      <c r="S38" s="16">
        <v>120</v>
      </c>
      <c r="T38" s="32">
        <v>1.2</v>
      </c>
      <c r="U38" s="16">
        <v>93</v>
      </c>
      <c r="V38" s="22">
        <v>0.5</v>
      </c>
      <c r="W38" s="16">
        <v>2117</v>
      </c>
      <c r="X38" s="16">
        <v>239</v>
      </c>
      <c r="Y38" s="16">
        <v>169</v>
      </c>
      <c r="Z38" s="19">
        <v>7673.7042</v>
      </c>
      <c r="AA38" s="19">
        <v>854.7586</v>
      </c>
      <c r="AB38" s="38">
        <v>612.6038</v>
      </c>
      <c r="AC38" s="38" t="s">
        <v>997</v>
      </c>
      <c r="AD38" s="40">
        <v>0.144</v>
      </c>
      <c r="AE38" s="38" t="s">
        <v>993</v>
      </c>
      <c r="AF38" s="35">
        <v>75</v>
      </c>
    </row>
    <row r="39" spans="1:32">
      <c r="A39" s="16" t="s">
        <v>734</v>
      </c>
      <c r="B39" s="16">
        <v>1391</v>
      </c>
      <c r="C39" s="16" t="s">
        <v>1063</v>
      </c>
      <c r="D39" s="16" t="s">
        <v>1003</v>
      </c>
      <c r="E39" s="16" t="s">
        <v>989</v>
      </c>
      <c r="F39" s="16" t="s">
        <v>226</v>
      </c>
      <c r="G39" s="16" t="s">
        <v>1060</v>
      </c>
      <c r="H39" s="16" t="s">
        <v>991</v>
      </c>
      <c r="I39" s="16">
        <v>663</v>
      </c>
      <c r="J39" s="21">
        <v>90.0269</v>
      </c>
      <c r="K39" s="16">
        <v>110</v>
      </c>
      <c r="L39" s="21">
        <v>6.5027</v>
      </c>
      <c r="M39" s="16">
        <v>48</v>
      </c>
      <c r="N39" s="21">
        <v>6.5185</v>
      </c>
      <c r="O39" s="22">
        <v>0.05</v>
      </c>
      <c r="P39" s="22">
        <v>0.5</v>
      </c>
      <c r="Q39" s="16">
        <v>118</v>
      </c>
      <c r="R39" s="16">
        <v>93</v>
      </c>
      <c r="S39" s="16">
        <v>120</v>
      </c>
      <c r="T39" s="32">
        <v>1.2</v>
      </c>
      <c r="U39" s="16">
        <v>96</v>
      </c>
      <c r="V39" s="22">
        <v>0.5</v>
      </c>
      <c r="W39" s="16">
        <v>2276</v>
      </c>
      <c r="X39" s="16">
        <v>197</v>
      </c>
      <c r="Y39" s="16">
        <v>165</v>
      </c>
      <c r="Z39" s="19">
        <v>8250.5871</v>
      </c>
      <c r="AA39" s="19">
        <v>690.6593</v>
      </c>
      <c r="AB39" s="38">
        <v>597.5915</v>
      </c>
      <c r="AC39" s="38" t="s">
        <v>997</v>
      </c>
      <c r="AD39" s="40">
        <v>0.144</v>
      </c>
      <c r="AE39" s="38" t="s">
        <v>993</v>
      </c>
      <c r="AF39" s="35">
        <v>75</v>
      </c>
    </row>
    <row r="40" spans="1:32">
      <c r="A40" s="16" t="s">
        <v>749</v>
      </c>
      <c r="B40" s="16">
        <v>1401</v>
      </c>
      <c r="C40" s="16" t="s">
        <v>1064</v>
      </c>
      <c r="D40" s="16" t="s">
        <v>995</v>
      </c>
      <c r="E40" s="16" t="s">
        <v>1021</v>
      </c>
      <c r="F40" s="16" t="s">
        <v>557</v>
      </c>
      <c r="G40" s="16" t="s">
        <v>1008</v>
      </c>
      <c r="H40" s="16" t="s">
        <v>991</v>
      </c>
      <c r="I40" s="16">
        <v>617</v>
      </c>
      <c r="J40" s="21">
        <v>83.7238</v>
      </c>
      <c r="K40" s="16">
        <v>127</v>
      </c>
      <c r="L40" s="21">
        <v>7.6728</v>
      </c>
      <c r="M40" s="16">
        <v>49</v>
      </c>
      <c r="N40" s="21">
        <v>6.6203</v>
      </c>
      <c r="O40" s="22">
        <v>0.05</v>
      </c>
      <c r="P40" s="22">
        <v>0.5</v>
      </c>
      <c r="Q40" s="16">
        <v>86</v>
      </c>
      <c r="R40" s="16">
        <v>106</v>
      </c>
      <c r="S40" s="16">
        <v>120</v>
      </c>
      <c r="T40" s="32">
        <v>1.2</v>
      </c>
      <c r="U40" s="16">
        <v>118</v>
      </c>
      <c r="V40" s="22">
        <v>0.5</v>
      </c>
      <c r="W40" s="16">
        <v>2117</v>
      </c>
      <c r="X40" s="16">
        <v>226</v>
      </c>
      <c r="Y40" s="16">
        <v>167</v>
      </c>
      <c r="Z40" s="19">
        <v>7673.7042</v>
      </c>
      <c r="AA40" s="19">
        <v>805.6952</v>
      </c>
      <c r="AB40" s="38">
        <v>606.5977</v>
      </c>
      <c r="AC40" s="38" t="s">
        <v>1034</v>
      </c>
      <c r="AD40" s="39">
        <v>36</v>
      </c>
      <c r="AE40" s="38" t="s">
        <v>993</v>
      </c>
      <c r="AF40" s="35">
        <v>75</v>
      </c>
    </row>
    <row r="41" spans="1:32">
      <c r="A41" s="16" t="s">
        <v>763</v>
      </c>
      <c r="B41" s="16">
        <v>1411</v>
      </c>
      <c r="C41" s="16" t="s">
        <v>1065</v>
      </c>
      <c r="D41" s="16" t="s">
        <v>995</v>
      </c>
      <c r="E41" s="16" t="s">
        <v>1000</v>
      </c>
      <c r="F41" s="16" t="s">
        <v>226</v>
      </c>
      <c r="G41" s="16" t="s">
        <v>1008</v>
      </c>
      <c r="H41" s="16" t="s">
        <v>991</v>
      </c>
      <c r="I41" s="16">
        <v>710</v>
      </c>
      <c r="J41" s="21">
        <v>96.33</v>
      </c>
      <c r="K41" s="16">
        <v>109</v>
      </c>
      <c r="L41" s="21">
        <v>6.4272</v>
      </c>
      <c r="M41" s="16">
        <v>49</v>
      </c>
      <c r="N41" s="21">
        <v>6.6882</v>
      </c>
      <c r="O41" s="22">
        <v>0.05</v>
      </c>
      <c r="P41" s="22">
        <v>0.5</v>
      </c>
      <c r="Q41" s="16">
        <v>86</v>
      </c>
      <c r="R41" s="16">
        <v>88</v>
      </c>
      <c r="S41" s="16">
        <v>120</v>
      </c>
      <c r="T41" s="32">
        <v>1.2</v>
      </c>
      <c r="U41" s="16">
        <v>93</v>
      </c>
      <c r="V41" s="22">
        <v>0.5</v>
      </c>
      <c r="W41" s="16">
        <v>2436</v>
      </c>
      <c r="X41" s="16">
        <v>195</v>
      </c>
      <c r="Y41" s="16">
        <v>169</v>
      </c>
      <c r="Z41" s="19">
        <v>8829.47</v>
      </c>
      <c r="AA41" s="19">
        <v>683.2048</v>
      </c>
      <c r="AB41" s="38">
        <v>612.6038</v>
      </c>
      <c r="AC41" s="38" t="s">
        <v>1034</v>
      </c>
      <c r="AD41" s="39">
        <v>36</v>
      </c>
      <c r="AE41" s="38" t="s">
        <v>993</v>
      </c>
      <c r="AF41" s="35">
        <v>75</v>
      </c>
    </row>
    <row r="42" spans="1:32">
      <c r="A42" s="16" t="s">
        <v>784</v>
      </c>
      <c r="B42" s="16">
        <v>1421</v>
      </c>
      <c r="C42" s="16" t="s">
        <v>1066</v>
      </c>
      <c r="D42" s="16" t="s">
        <v>995</v>
      </c>
      <c r="E42" s="16" t="s">
        <v>1013</v>
      </c>
      <c r="F42" s="16" t="s">
        <v>226</v>
      </c>
      <c r="G42" s="16" t="s">
        <v>1060</v>
      </c>
      <c r="H42" s="16" t="s">
        <v>991</v>
      </c>
      <c r="I42" s="16">
        <v>680</v>
      </c>
      <c r="J42" s="21">
        <v>92.2338</v>
      </c>
      <c r="K42" s="16">
        <v>95</v>
      </c>
      <c r="L42" s="21">
        <v>5.4562</v>
      </c>
      <c r="M42" s="16">
        <v>57</v>
      </c>
      <c r="N42" s="21">
        <v>7.7787</v>
      </c>
      <c r="O42" s="22">
        <v>0.05</v>
      </c>
      <c r="P42" s="22">
        <v>0.5</v>
      </c>
      <c r="Q42" s="16">
        <v>94</v>
      </c>
      <c r="R42" s="16">
        <v>91</v>
      </c>
      <c r="S42" s="16">
        <v>120</v>
      </c>
      <c r="T42" s="32">
        <v>1.2</v>
      </c>
      <c r="U42" s="16">
        <v>90</v>
      </c>
      <c r="V42" s="22">
        <v>0.5</v>
      </c>
      <c r="W42" s="16">
        <v>2332</v>
      </c>
      <c r="X42" s="16">
        <v>170</v>
      </c>
      <c r="Y42" s="16">
        <v>197</v>
      </c>
      <c r="Z42" s="19">
        <v>8453.7942</v>
      </c>
      <c r="AA42" s="19">
        <v>586.9158</v>
      </c>
      <c r="AB42" s="38">
        <v>712.9433</v>
      </c>
      <c r="AC42" s="38" t="s">
        <v>1001</v>
      </c>
      <c r="AD42" s="39">
        <v>0.36</v>
      </c>
      <c r="AE42" s="38" t="s">
        <v>993</v>
      </c>
      <c r="AF42" s="35">
        <v>75</v>
      </c>
    </row>
    <row r="43" spans="1:32" ht="20" customHeight="1">
      <c r="A43" s="16" t="s">
        <v>796</v>
      </c>
      <c r="B43" s="16">
        <v>1431</v>
      </c>
      <c r="C43" s="16" t="s">
        <v>1067</v>
      </c>
      <c r="D43" s="16" t="s">
        <v>1068</v>
      </c>
      <c r="E43" s="16" t="s">
        <v>996</v>
      </c>
      <c r="F43" s="16" t="s">
        <v>557</v>
      </c>
      <c r="G43" s="16" t="s">
        <v>1060</v>
      </c>
      <c r="H43" s="16" t="s">
        <v>991</v>
      </c>
      <c r="I43" s="16">
        <v>617</v>
      </c>
      <c r="J43" s="21">
        <v>83.7238</v>
      </c>
      <c r="K43" s="16">
        <v>135</v>
      </c>
      <c r="L43" s="21">
        <v>8.2578</v>
      </c>
      <c r="M43" s="16">
        <v>49</v>
      </c>
      <c r="N43" s="21">
        <v>6.6203</v>
      </c>
      <c r="O43" s="22">
        <v>0.05</v>
      </c>
      <c r="P43" s="22">
        <v>0.5</v>
      </c>
      <c r="Q43" s="16">
        <v>83</v>
      </c>
      <c r="R43" s="16">
        <v>94</v>
      </c>
      <c r="S43" s="16">
        <v>120</v>
      </c>
      <c r="T43" s="32">
        <v>1.2</v>
      </c>
      <c r="U43" s="16">
        <v>93</v>
      </c>
      <c r="V43" s="22">
        <v>0.5</v>
      </c>
      <c r="W43" s="16">
        <v>2117</v>
      </c>
      <c r="X43" s="16">
        <v>241</v>
      </c>
      <c r="Y43" s="16">
        <v>167</v>
      </c>
      <c r="Z43" s="19">
        <v>7673.7042</v>
      </c>
      <c r="AA43" s="19">
        <v>863.2102</v>
      </c>
      <c r="AB43" s="19">
        <v>606.5977</v>
      </c>
      <c r="AC43" s="19" t="s">
        <v>997</v>
      </c>
      <c r="AD43" s="40">
        <v>0.144</v>
      </c>
      <c r="AE43" s="38" t="s">
        <v>993</v>
      </c>
      <c r="AF43" s="35">
        <v>75</v>
      </c>
    </row>
    <row r="44" spans="1:32">
      <c r="A44" s="16" t="s">
        <v>826</v>
      </c>
      <c r="B44" s="16">
        <v>1441</v>
      </c>
      <c r="C44" s="16" t="s">
        <v>1069</v>
      </c>
      <c r="D44" s="16" t="s">
        <v>1003</v>
      </c>
      <c r="E44" s="16" t="s">
        <v>1007</v>
      </c>
      <c r="F44" s="16" t="s">
        <v>557</v>
      </c>
      <c r="G44" s="16" t="s">
        <v>1008</v>
      </c>
      <c r="H44" s="16" t="s">
        <v>991</v>
      </c>
      <c r="I44" s="16">
        <v>621</v>
      </c>
      <c r="J44" s="21">
        <v>84.2857</v>
      </c>
      <c r="K44" s="16">
        <v>109</v>
      </c>
      <c r="L44" s="21">
        <v>6.3934</v>
      </c>
      <c r="M44" s="16">
        <v>36</v>
      </c>
      <c r="N44" s="21">
        <v>4.84</v>
      </c>
      <c r="O44" s="22">
        <v>0.05</v>
      </c>
      <c r="P44" s="22">
        <v>0.5</v>
      </c>
      <c r="Q44" s="16">
        <v>95</v>
      </c>
      <c r="R44" s="16">
        <v>87</v>
      </c>
      <c r="S44" s="16">
        <v>120</v>
      </c>
      <c r="T44" s="32">
        <v>0</v>
      </c>
      <c r="U44" s="16">
        <v>90</v>
      </c>
      <c r="V44" s="22">
        <v>0.5</v>
      </c>
      <c r="W44" s="16">
        <v>2131</v>
      </c>
      <c r="X44" s="16">
        <v>194</v>
      </c>
      <c r="Y44" s="16">
        <v>122</v>
      </c>
      <c r="Z44" s="19">
        <v>7724.8563</v>
      </c>
      <c r="AA44" s="19">
        <v>680.2106</v>
      </c>
      <c r="AB44" s="19">
        <v>443.56</v>
      </c>
      <c r="AC44" s="16" t="s">
        <v>963</v>
      </c>
      <c r="AD44" s="40">
        <v>0.18</v>
      </c>
      <c r="AE44" s="38" t="s">
        <v>993</v>
      </c>
      <c r="AF44" s="35">
        <v>75</v>
      </c>
    </row>
    <row r="45" spans="1:32">
      <c r="A45" s="16" t="s">
        <v>849</v>
      </c>
      <c r="B45" s="16">
        <v>1451</v>
      </c>
      <c r="C45" s="16" t="s">
        <v>1070</v>
      </c>
      <c r="D45" s="16" t="s">
        <v>999</v>
      </c>
      <c r="E45" s="16" t="s">
        <v>1000</v>
      </c>
      <c r="F45" s="16" t="s">
        <v>226</v>
      </c>
      <c r="G45" s="16" t="s">
        <v>1008</v>
      </c>
      <c r="H45" s="16" t="s">
        <v>991</v>
      </c>
      <c r="I45" s="16">
        <v>681</v>
      </c>
      <c r="J45" s="21">
        <v>92.4944</v>
      </c>
      <c r="K45" s="16">
        <v>109</v>
      </c>
      <c r="L45" s="21">
        <v>6.4272</v>
      </c>
      <c r="M45" s="16">
        <v>48</v>
      </c>
      <c r="N45" s="21">
        <v>6.4845</v>
      </c>
      <c r="O45" s="22">
        <v>0.05</v>
      </c>
      <c r="P45" s="22">
        <v>0.5</v>
      </c>
      <c r="Q45" s="16">
        <v>83</v>
      </c>
      <c r="R45" s="16">
        <v>96</v>
      </c>
      <c r="S45" s="16">
        <v>120</v>
      </c>
      <c r="T45" s="32">
        <v>1.2</v>
      </c>
      <c r="U45" s="16">
        <v>95</v>
      </c>
      <c r="V45" s="22">
        <v>0.5</v>
      </c>
      <c r="W45" s="16">
        <v>2339</v>
      </c>
      <c r="X45" s="16">
        <v>195</v>
      </c>
      <c r="Y45" s="16">
        <v>164</v>
      </c>
      <c r="Z45" s="19">
        <v>8477.1696</v>
      </c>
      <c r="AA45" s="19">
        <v>683.2048</v>
      </c>
      <c r="AB45" s="19">
        <v>594.5855</v>
      </c>
      <c r="AC45" s="16" t="s">
        <v>1001</v>
      </c>
      <c r="AD45" s="39">
        <v>0.36</v>
      </c>
      <c r="AE45" s="38" t="s">
        <v>993</v>
      </c>
      <c r="AF45" s="35">
        <v>75</v>
      </c>
    </row>
    <row r="46" spans="1:32">
      <c r="A46" s="16" t="s">
        <v>864</v>
      </c>
      <c r="B46" s="16">
        <v>1461</v>
      </c>
      <c r="C46" s="16" t="s">
        <v>1071</v>
      </c>
      <c r="D46" s="16" t="s">
        <v>988</v>
      </c>
      <c r="E46" s="16" t="s">
        <v>996</v>
      </c>
      <c r="F46" s="16" t="s">
        <v>1014</v>
      </c>
      <c r="G46" s="16" t="s">
        <v>1004</v>
      </c>
      <c r="H46" s="16" t="s">
        <v>991</v>
      </c>
      <c r="I46" s="16">
        <v>617</v>
      </c>
      <c r="J46" s="21">
        <v>83.7238</v>
      </c>
      <c r="K46" s="16">
        <v>134</v>
      </c>
      <c r="L46" s="21">
        <v>8.1654</v>
      </c>
      <c r="M46" s="16">
        <v>49</v>
      </c>
      <c r="N46" s="21">
        <v>6.6882</v>
      </c>
      <c r="O46" s="22">
        <v>0.05</v>
      </c>
      <c r="P46" s="22">
        <v>0.5</v>
      </c>
      <c r="Q46" s="16">
        <v>93</v>
      </c>
      <c r="R46" s="16">
        <v>94</v>
      </c>
      <c r="S46" s="16">
        <v>120</v>
      </c>
      <c r="T46" s="32">
        <v>1.2</v>
      </c>
      <c r="U46" s="16">
        <v>93</v>
      </c>
      <c r="V46" s="22">
        <v>0.5</v>
      </c>
      <c r="W46" s="16">
        <v>2117</v>
      </c>
      <c r="X46" s="16">
        <v>239</v>
      </c>
      <c r="Y46" s="16">
        <v>169</v>
      </c>
      <c r="Z46" s="19">
        <v>7673.7042</v>
      </c>
      <c r="AA46" s="19">
        <v>854.7586</v>
      </c>
      <c r="AB46" s="19">
        <v>612.6038</v>
      </c>
      <c r="AC46" s="16" t="s">
        <v>1011</v>
      </c>
      <c r="AD46" s="40">
        <v>0.288</v>
      </c>
      <c r="AE46" s="38" t="s">
        <v>993</v>
      </c>
      <c r="AF46" s="35">
        <v>75</v>
      </c>
    </row>
    <row r="47" spans="1:32">
      <c r="A47" s="16" t="s">
        <v>879</v>
      </c>
      <c r="B47" s="16">
        <v>1471</v>
      </c>
      <c r="C47" s="16" t="s">
        <v>1072</v>
      </c>
      <c r="D47" s="16" t="s">
        <v>1003</v>
      </c>
      <c r="E47" s="16" t="s">
        <v>1007</v>
      </c>
      <c r="F47" s="16" t="s">
        <v>226</v>
      </c>
      <c r="G47" s="16" t="s">
        <v>1055</v>
      </c>
      <c r="H47" s="16" t="s">
        <v>991</v>
      </c>
      <c r="I47" s="16">
        <v>683</v>
      </c>
      <c r="J47" s="21">
        <v>92.7143</v>
      </c>
      <c r="K47" s="16">
        <v>124</v>
      </c>
      <c r="L47" s="21">
        <v>7.4561</v>
      </c>
      <c r="M47" s="16">
        <v>36</v>
      </c>
      <c r="N47" s="21">
        <v>4.8644</v>
      </c>
      <c r="O47" s="22">
        <v>0.05</v>
      </c>
      <c r="P47" s="22">
        <v>0.5</v>
      </c>
      <c r="Q47" s="16">
        <v>95</v>
      </c>
      <c r="R47" s="16">
        <v>90</v>
      </c>
      <c r="S47" s="16">
        <v>120</v>
      </c>
      <c r="T47" s="32">
        <v>2</v>
      </c>
      <c r="U47" s="16">
        <v>89</v>
      </c>
      <c r="V47" s="41">
        <v>0.5</v>
      </c>
      <c r="W47" s="16">
        <v>2344</v>
      </c>
      <c r="X47" s="16">
        <v>221</v>
      </c>
      <c r="Y47" s="16">
        <v>123</v>
      </c>
      <c r="Z47" s="16">
        <v>8497.1437</v>
      </c>
      <c r="AA47" s="16">
        <v>784.9099</v>
      </c>
      <c r="AB47" s="19">
        <v>445.9996</v>
      </c>
      <c r="AC47" s="16" t="s">
        <v>997</v>
      </c>
      <c r="AD47" s="40">
        <v>0.144</v>
      </c>
      <c r="AE47" s="38" t="s">
        <v>993</v>
      </c>
      <c r="AF47" s="35">
        <v>75</v>
      </c>
    </row>
    <row r="48" spans="1:32">
      <c r="A48" s="16" t="s">
        <v>900</v>
      </c>
      <c r="B48" s="16">
        <v>1481</v>
      </c>
      <c r="C48" s="16" t="s">
        <v>1073</v>
      </c>
      <c r="D48" s="16" t="s">
        <v>995</v>
      </c>
      <c r="E48" s="16" t="s">
        <v>989</v>
      </c>
      <c r="F48" s="16" t="s">
        <v>557</v>
      </c>
      <c r="G48" s="16" t="s">
        <v>1055</v>
      </c>
      <c r="H48" s="16" t="s">
        <v>991</v>
      </c>
      <c r="I48" s="16">
        <v>663</v>
      </c>
      <c r="J48" s="21">
        <v>90.0269</v>
      </c>
      <c r="K48" s="16">
        <v>109</v>
      </c>
      <c r="L48" s="21">
        <v>6.4272</v>
      </c>
      <c r="M48" s="16">
        <v>49</v>
      </c>
      <c r="N48" s="21">
        <v>6.6882</v>
      </c>
      <c r="O48" s="22">
        <v>0.05</v>
      </c>
      <c r="P48" s="22">
        <v>0.5</v>
      </c>
      <c r="Q48" s="16">
        <v>110</v>
      </c>
      <c r="R48" s="16">
        <v>94</v>
      </c>
      <c r="S48" s="16">
        <v>120</v>
      </c>
      <c r="T48" s="32">
        <v>1.2</v>
      </c>
      <c r="U48" s="16">
        <v>93</v>
      </c>
      <c r="V48" s="41">
        <v>0.5</v>
      </c>
      <c r="W48" s="16">
        <v>2276</v>
      </c>
      <c r="X48" s="16">
        <v>195</v>
      </c>
      <c r="Y48" s="16">
        <v>169</v>
      </c>
      <c r="Z48" s="16">
        <v>8250.5871</v>
      </c>
      <c r="AA48" s="16">
        <v>683.2048</v>
      </c>
      <c r="AB48" s="19">
        <v>612.6038</v>
      </c>
      <c r="AC48" s="16" t="s">
        <v>997</v>
      </c>
      <c r="AD48" s="40">
        <v>0.144</v>
      </c>
      <c r="AE48" s="38" t="s">
        <v>993</v>
      </c>
      <c r="AF48" s="35">
        <v>75</v>
      </c>
    </row>
    <row r="49" spans="1:32">
      <c r="A49" s="16" t="s">
        <v>915</v>
      </c>
      <c r="B49" s="16">
        <v>1491</v>
      </c>
      <c r="C49" s="16" t="s">
        <v>1074</v>
      </c>
      <c r="D49" s="16" t="s">
        <v>995</v>
      </c>
      <c r="E49" s="16" t="s">
        <v>1000</v>
      </c>
      <c r="F49" s="16" t="s">
        <v>226</v>
      </c>
      <c r="G49" s="16" t="s">
        <v>1075</v>
      </c>
      <c r="H49" s="16" t="s">
        <v>991</v>
      </c>
      <c r="I49" s="16">
        <v>681</v>
      </c>
      <c r="J49" s="21">
        <v>92.4944</v>
      </c>
      <c r="K49" s="16">
        <v>108</v>
      </c>
      <c r="L49" s="21">
        <v>6.3517</v>
      </c>
      <c r="M49" s="16">
        <v>48</v>
      </c>
      <c r="N49" s="21">
        <v>6.5524</v>
      </c>
      <c r="O49" s="22">
        <v>0.05</v>
      </c>
      <c r="P49" s="22">
        <v>0.5</v>
      </c>
      <c r="Q49" s="16">
        <v>98</v>
      </c>
      <c r="R49" s="16">
        <v>96</v>
      </c>
      <c r="S49" s="16">
        <v>120</v>
      </c>
      <c r="T49" s="32">
        <v>1</v>
      </c>
      <c r="U49" s="16">
        <v>95</v>
      </c>
      <c r="V49" s="41">
        <v>0.5</v>
      </c>
      <c r="W49" s="16">
        <v>2339</v>
      </c>
      <c r="X49" s="16">
        <v>193</v>
      </c>
      <c r="Y49" s="16">
        <v>166</v>
      </c>
      <c r="Z49" s="16">
        <v>8477.1696</v>
      </c>
      <c r="AA49" s="16">
        <v>675.7503</v>
      </c>
      <c r="AB49" s="19">
        <v>600.5916</v>
      </c>
      <c r="AC49" s="16" t="s">
        <v>965</v>
      </c>
      <c r="AD49" s="40">
        <v>0.21</v>
      </c>
      <c r="AE49" s="38" t="s">
        <v>993</v>
      </c>
      <c r="AF49" s="35">
        <v>75</v>
      </c>
    </row>
    <row r="50" spans="1:32">
      <c r="A50" s="16" t="s">
        <v>933</v>
      </c>
      <c r="B50" s="16">
        <v>1501</v>
      </c>
      <c r="C50" s="16" t="s">
        <v>1076</v>
      </c>
      <c r="D50" s="16" t="s">
        <v>999</v>
      </c>
      <c r="E50" s="16" t="s">
        <v>1021</v>
      </c>
      <c r="F50" s="16" t="s">
        <v>226</v>
      </c>
      <c r="G50" s="16" t="s">
        <v>1075</v>
      </c>
      <c r="H50" s="16" t="s">
        <v>991</v>
      </c>
      <c r="I50" s="16">
        <v>623</v>
      </c>
      <c r="J50" s="21">
        <v>84.5544</v>
      </c>
      <c r="K50" s="16">
        <v>124</v>
      </c>
      <c r="L50" s="21">
        <v>7.4992</v>
      </c>
      <c r="M50" s="16">
        <v>50</v>
      </c>
      <c r="N50" s="21">
        <v>6.7561</v>
      </c>
      <c r="O50" s="22">
        <v>0.05</v>
      </c>
      <c r="P50" s="22">
        <v>0.5</v>
      </c>
      <c r="Q50" s="16">
        <v>87</v>
      </c>
      <c r="R50" s="16">
        <v>115</v>
      </c>
      <c r="S50" s="16">
        <v>120</v>
      </c>
      <c r="T50" s="32">
        <v>1.2</v>
      </c>
      <c r="U50" s="16">
        <v>116</v>
      </c>
      <c r="V50" s="41">
        <v>0.5</v>
      </c>
      <c r="W50" s="16">
        <v>2138</v>
      </c>
      <c r="X50" s="16">
        <v>222</v>
      </c>
      <c r="Y50" s="16">
        <v>171</v>
      </c>
      <c r="Z50" s="16">
        <v>7749.7096</v>
      </c>
      <c r="AA50" s="16">
        <v>788.4528</v>
      </c>
      <c r="AB50" s="19">
        <v>619.6099</v>
      </c>
      <c r="AC50" s="16" t="s">
        <v>1034</v>
      </c>
      <c r="AD50" s="39">
        <v>36</v>
      </c>
      <c r="AE50" s="38" t="s">
        <v>993</v>
      </c>
      <c r="AF50" s="35">
        <v>75</v>
      </c>
    </row>
    <row r="51" spans="1:32">
      <c r="A51" s="16" t="s">
        <v>1077</v>
      </c>
      <c r="B51" s="16">
        <v>2011</v>
      </c>
      <c r="C51" s="16" t="s">
        <v>1078</v>
      </c>
      <c r="D51" s="16" t="s"/>
      <c r="E51" s="16" t="s">
        <v>996</v>
      </c>
      <c r="F51" s="16" t="s">
        <v>1079</v>
      </c>
      <c r="G51" s="16" t="s">
        <v>1079</v>
      </c>
      <c r="H51" s="16" t="s"/>
      <c r="I51" s="16">
        <v>600</v>
      </c>
      <c r="J51" s="21">
        <v>81.4355</v>
      </c>
      <c r="K51" s="16">
        <v>100</v>
      </c>
      <c r="L51" s="21">
        <v>5.7858</v>
      </c>
      <c r="M51" s="16">
        <v>50</v>
      </c>
      <c r="N51" s="21">
        <v>6.7901</v>
      </c>
      <c r="O51" s="22">
        <v>0.05</v>
      </c>
      <c r="P51" s="22">
        <v>0.5</v>
      </c>
      <c r="Q51" s="16">
        <v>110</v>
      </c>
      <c r="R51" s="16">
        <v>100</v>
      </c>
      <c r="S51" s="16">
        <v>120</v>
      </c>
      <c r="T51" s="32">
        <v>1.8</v>
      </c>
      <c r="U51" s="16">
        <v>100</v>
      </c>
      <c r="V51" s="41">
        <v>0.5</v>
      </c>
      <c r="W51" s="16" t="s"/>
      <c r="X51" s="16" t="s"/>
      <c r="Y51" s="16" t="s"/>
      <c r="Z51" s="16" t="s">
        <v>1079</v>
      </c>
      <c r="AA51" s="16" t="s"/>
      <c r="AB51" s="19" t="s"/>
      <c r="AC51" s="16" t="s"/>
      <c r="AD51" s="40" t="s"/>
      <c r="AE51" s="38" t="s"/>
      <c r="AF51" s="35" t="s"/>
    </row>
    <row r="52" spans="1:32">
      <c r="A52" s="16" t="s">
        <v>1080</v>
      </c>
      <c r="B52" s="16">
        <v>2021</v>
      </c>
      <c r="C52" s="16" t="s">
        <v>1081</v>
      </c>
      <c r="D52" s="16" t="s"/>
      <c r="E52" s="16" t="s">
        <v>996</v>
      </c>
      <c r="F52" s="16" t="s">
        <v>1079</v>
      </c>
      <c r="G52" s="16" t="s">
        <v>1079</v>
      </c>
      <c r="H52" s="16" t="s"/>
      <c r="I52" s="16">
        <v>600</v>
      </c>
      <c r="J52" s="21">
        <v>81.4355</v>
      </c>
      <c r="K52" s="16">
        <v>100</v>
      </c>
      <c r="L52" s="21">
        <v>5.7858</v>
      </c>
      <c r="M52" s="16">
        <v>50</v>
      </c>
      <c r="N52" s="21">
        <v>6.7901</v>
      </c>
      <c r="O52" s="22">
        <v>0.05</v>
      </c>
      <c r="P52" s="22">
        <v>0.5</v>
      </c>
      <c r="Q52" s="16">
        <v>110</v>
      </c>
      <c r="R52" s="16">
        <v>100</v>
      </c>
      <c r="S52" s="16">
        <v>120</v>
      </c>
      <c r="T52" s="32">
        <v>1.8</v>
      </c>
      <c r="U52" s="16">
        <v>100</v>
      </c>
      <c r="V52" s="41">
        <v>0.5</v>
      </c>
      <c r="W52" s="16" t="s"/>
      <c r="X52" s="16" t="s"/>
      <c r="Y52" s="16" t="s"/>
      <c r="Z52" s="16" t="s">
        <v>1079</v>
      </c>
      <c r="AA52" s="16" t="s"/>
      <c r="AB52" s="19" t="s"/>
      <c r="AC52" s="16" t="s"/>
      <c r="AD52" s="40" t="s"/>
      <c r="AE52" s="38" t="s"/>
      <c r="AF52" s="35" t="s"/>
    </row>
    <row r="53" spans="1:32">
      <c r="A53" s="16" t="s"/>
      <c r="J53" s="21" t="s"/>
      <c r="L53" s="21" t="s"/>
      <c r="N53" s="21" t="s"/>
      <c r="T53" s="32" t="s"/>
      <c r="V53" s="22" t="s"/>
      <c r="AB53" s="19" t="s"/>
      <c r="AD53" s="40" t="s"/>
      <c r="AE53" s="38" t="s"/>
      <c r="AF53" s="35" t="s"/>
    </row>
    <row r="54" spans="1:32">
      <c r="A54" s="16" t="s"/>
      <c r="J54" s="21" t="s"/>
      <c r="L54" s="21" t="s"/>
      <c r="N54" s="21" t="s"/>
      <c r="T54" s="32" t="s"/>
      <c r="V54" s="22" t="s"/>
      <c r="AB54" s="19" t="s"/>
      <c r="AD54" s="40" t="s"/>
      <c r="AE54" s="38" t="s"/>
      <c r="AF54" s="35" t="s"/>
    </row>
    <row r="55" spans="1:32">
      <c r="A55" s="16" t="s"/>
      <c r="J55" s="21" t="s"/>
      <c r="L55" s="21" t="s"/>
      <c r="N55" s="21" t="s"/>
      <c r="T55" s="32" t="s"/>
      <c r="V55" s="22" t="s"/>
      <c r="AB55" s="19" t="s"/>
      <c r="AD55" s="40" t="s"/>
      <c r="AE55" s="38" t="s"/>
      <c r="AF55" s="35" t="s"/>
    </row>
    <row r="56" spans="1:32">
      <c r="A56" s="16" t="s"/>
      <c r="J56" s="21" t="s"/>
      <c r="L56" s="21" t="s"/>
      <c r="N56" s="21" t="s"/>
      <c r="T56" s="32" t="s"/>
      <c r="V56" s="22" t="s"/>
      <c r="AB56" s="19" t="s"/>
      <c r="AD56" s="40" t="s"/>
      <c r="AE56" s="38" t="s"/>
      <c r="AF56" s="35" t="s"/>
    </row>
    <row r="57" spans="1:32">
      <c r="A57" s="16" t="s"/>
      <c r="J57" s="21" t="s"/>
      <c r="L57" s="21" t="s"/>
      <c r="N57" s="21" t="s"/>
      <c r="T57" s="32" t="s"/>
      <c r="V57" s="22" t="s"/>
      <c r="AB57" s="19" t="s"/>
      <c r="AD57" s="40" t="s"/>
      <c r="AE57" s="38" t="s"/>
      <c r="AF57" s="35" t="s"/>
    </row>
    <row r="58" spans="1:32">
      <c r="A58" s="16" t="s"/>
      <c r="J58" s="21" t="s"/>
      <c r="L58" s="21" t="s"/>
      <c r="N58" s="21" t="s"/>
      <c r="T58" s="32" t="s"/>
      <c r="V58" s="22" t="s"/>
      <c r="AB58" s="19" t="s"/>
      <c r="AD58" s="40" t="s"/>
      <c r="AE58" s="38" t="s"/>
      <c r="AF58" s="35" t="s"/>
    </row>
    <row r="59" spans="1:32">
      <c r="A59" s="16" t="s"/>
      <c r="J59" s="21" t="s"/>
      <c r="L59" s="21" t="s"/>
      <c r="N59" s="21" t="s"/>
      <c r="T59" s="32" t="s"/>
      <c r="V59" s="22" t="s"/>
      <c r="AB59" s="19" t="s"/>
      <c r="AD59" s="40" t="s"/>
      <c r="AE59" s="38" t="s"/>
      <c r="AF59" s="35" t="s"/>
    </row>
    <row r="60" spans="1:32">
      <c r="A60" s="16" t="s"/>
      <c r="J60" s="21" t="s"/>
      <c r="L60" s="21" t="s"/>
      <c r="N60" s="21" t="s"/>
      <c r="T60" s="32" t="s"/>
      <c r="V60" s="22" t="s"/>
      <c r="AB60" s="19" t="s"/>
      <c r="AD60" s="40" t="s"/>
      <c r="AE60" s="38" t="s"/>
      <c r="AF60" s="35" t="s"/>
    </row>
    <row r="61" spans="1:32">
      <c r="A61" s="16" t="s"/>
      <c r="J61" s="21" t="s"/>
      <c r="L61" s="21" t="s"/>
      <c r="N61" s="21" t="s"/>
      <c r="T61" s="32" t="s"/>
      <c r="V61" s="22" t="s"/>
      <c r="AB61" s="19" t="s"/>
      <c r="AD61" s="40" t="s"/>
      <c r="AE61" s="38" t="s"/>
      <c r="AF61" s="35" t="s"/>
    </row>
    <row r="62" spans="1:32">
      <c r="A62" s="16" t="s"/>
      <c r="J62" s="21" t="s"/>
      <c r="L62" s="21" t="s"/>
      <c r="N62" s="21" t="s"/>
      <c r="T62" s="32" t="s"/>
      <c r="V62" s="22" t="s"/>
      <c r="AB62" s="19" t="s"/>
      <c r="AD62" s="40" t="s"/>
      <c r="AE62" s="38" t="s"/>
      <c r="AF62" s="35" t="s"/>
    </row>
    <row r="63" spans="1:32">
      <c r="A63" s="16" t="s"/>
      <c r="J63" s="21" t="s"/>
      <c r="L63" s="21" t="s"/>
      <c r="N63" s="21" t="s"/>
      <c r="T63" s="32" t="s"/>
      <c r="V63" s="22" t="s"/>
      <c r="AB63" s="19" t="s"/>
      <c r="AD63" s="40" t="s"/>
      <c r="AE63" s="38" t="s"/>
      <c r="AF63" s="35" t="s"/>
    </row>
    <row r="64" spans="1:32">
      <c r="A64" s="16" t="s"/>
      <c r="J64" s="21" t="s"/>
      <c r="L64" s="21" t="s"/>
      <c r="N64" s="21" t="s"/>
      <c r="T64" s="32" t="s"/>
      <c r="V64" s="22" t="s"/>
      <c r="AB64" s="19" t="s"/>
      <c r="AD64" s="40" t="s"/>
      <c r="AE64" s="38" t="s"/>
      <c r="AF64" s="35" t="s"/>
    </row>
    <row r="65" spans="1:32">
      <c r="A65" s="16" t="s"/>
      <c r="J65" s="21" t="s"/>
      <c r="L65" s="21" t="s"/>
      <c r="N65" s="21" t="s"/>
      <c r="T65" s="32" t="s"/>
      <c r="V65" s="22" t="s"/>
      <c r="AB65" s="19" t="s"/>
      <c r="AD65" s="40" t="s"/>
      <c r="AE65" s="38" t="s"/>
      <c r="AF65" s="35" t="s"/>
    </row>
    <row r="66" spans="1:32">
      <c r="A66" s="16" t="s"/>
      <c r="J66" s="21" t="s"/>
      <c r="L66" s="21" t="s"/>
      <c r="N66" s="21" t="s"/>
      <c r="T66" s="32" t="s"/>
      <c r="V66" s="22" t="s"/>
      <c r="AB66" s="19" t="s"/>
      <c r="AD66" s="40" t="s"/>
      <c r="AE66" s="38" t="s"/>
      <c r="AF66" s="35" t="s"/>
    </row>
    <row r="67" spans="1:32">
      <c r="A67" s="16" t="s"/>
      <c r="J67" s="21" t="s"/>
      <c r="L67" s="21" t="s"/>
      <c r="N67" s="21" t="s"/>
      <c r="T67" s="32" t="s"/>
      <c r="V67" s="22" t="s"/>
      <c r="AB67" s="19" t="s"/>
      <c r="AD67" s="40" t="s"/>
      <c r="AE67" s="38" t="s"/>
      <c r="AF67" s="35" t="s"/>
    </row>
    <row r="68" spans="1:32">
      <c r="A68" s="16" t="s"/>
      <c r="J68" s="21" t="s"/>
      <c r="L68" s="21" t="s"/>
      <c r="N68" s="21" t="s"/>
      <c r="T68" s="32" t="s"/>
      <c r="V68" s="22" t="s"/>
      <c r="AB68" s="19" t="s"/>
      <c r="AD68" s="40" t="s"/>
      <c r="AE68" s="38" t="s"/>
      <c r="AF68" s="35" t="s"/>
    </row>
    <row r="69" spans="1:32">
      <c r="A69" s="16" t="s"/>
      <c r="J69" s="21" t="s"/>
      <c r="L69" s="21" t="s"/>
      <c r="N69" s="21" t="s"/>
      <c r="T69" s="32" t="s"/>
      <c r="V69" s="22" t="s"/>
      <c r="AB69" s="19" t="s"/>
      <c r="AD69" s="40" t="s"/>
      <c r="AE69" s="38" t="s"/>
      <c r="AF69" s="35" t="s"/>
    </row>
    <row r="70" spans="1:32">
      <c r="A70" s="16" t="s"/>
      <c r="J70" s="21" t="s"/>
      <c r="L70" s="21" t="s"/>
      <c r="N70" s="21" t="s"/>
      <c r="T70" s="32" t="s"/>
      <c r="V70" s="22" t="s"/>
      <c r="AB70" s="19" t="s"/>
      <c r="AD70" s="40" t="s"/>
      <c r="AE70" s="38" t="s"/>
      <c r="AF70" s="35" t="s"/>
    </row>
    <row r="71" spans="1:32">
      <c r="A71" s="16" t="s"/>
      <c r="J71" s="21" t="s"/>
      <c r="L71" s="21" t="s"/>
      <c r="N71" s="21" t="s"/>
      <c r="T71" s="32" t="s"/>
      <c r="V71" s="22" t="s"/>
      <c r="AB71" s="19" t="s"/>
      <c r="AD71" s="40" t="s"/>
      <c r="AE71" s="38" t="s"/>
      <c r="AF71" s="35" t="s"/>
    </row>
    <row r="72" spans="1:32">
      <c r="A72" s="16" t="s"/>
      <c r="J72" s="21" t="s"/>
      <c r="L72" s="21" t="s"/>
      <c r="N72" s="21" t="s"/>
      <c r="T72" s="32" t="s"/>
      <c r="V72" s="22" t="s"/>
      <c r="AB72" s="19" t="s"/>
      <c r="AD72" s="40" t="s"/>
      <c r="AE72" s="38" t="s"/>
      <c r="AF72" s="35" t="s"/>
    </row>
    <row r="73" spans="1:32">
      <c r="A73" s="16" t="s"/>
      <c r="J73" s="21" t="s"/>
      <c r="L73" s="21" t="s"/>
      <c r="N73" s="21" t="s"/>
      <c r="T73" s="32" t="s"/>
      <c r="V73" s="22" t="s"/>
      <c r="AB73" s="19" t="s"/>
      <c r="AD73" s="40" t="s"/>
      <c r="AE73" s="38" t="s"/>
      <c r="AF73" s="35" t="s"/>
    </row>
    <row r="74" spans="1:32">
      <c r="A74" s="16" t="s"/>
      <c r="J74" s="21" t="s"/>
      <c r="L74" s="21" t="s"/>
      <c r="N74" s="21" t="s"/>
      <c r="T74" s="32" t="s"/>
      <c r="V74" s="22" t="s"/>
      <c r="AB74" s="19" t="s"/>
      <c r="AD74" s="40" t="s"/>
      <c r="AE74" s="38" t="s"/>
      <c r="AF74" s="35" t="s"/>
    </row>
    <row r="75" spans="1:32">
      <c r="A75" s="16" t="s"/>
      <c r="J75" s="21" t="s"/>
      <c r="L75" s="21" t="s"/>
      <c r="N75" s="21" t="s"/>
      <c r="T75" s="32" t="s"/>
      <c r="V75" s="22" t="s"/>
      <c r="AB75" s="19" t="s"/>
      <c r="AD75" s="40" t="s"/>
      <c r="AE75" s="38" t="s"/>
      <c r="AF75" s="35" t="s"/>
    </row>
    <row r="76" spans="1:32">
      <c r="A76" s="16" t="s"/>
      <c r="J76" s="21" t="s"/>
      <c r="L76" s="21" t="s"/>
      <c r="N76" s="21" t="s"/>
      <c r="T76" s="32" t="s"/>
      <c r="V76" s="22" t="s"/>
      <c r="AB76" s="19" t="s"/>
      <c r="AD76" s="40" t="s"/>
      <c r="AE76" s="38" t="s"/>
      <c r="AF76" s="35" t="s"/>
    </row>
    <row r="77" spans="1:32">
      <c r="A77" s="16" t="s"/>
      <c r="J77" s="21" t="s"/>
      <c r="L77" s="21" t="s"/>
      <c r="N77" s="21" t="s"/>
      <c r="T77" s="32" t="s"/>
      <c r="V77" s="22" t="s"/>
      <c r="AB77" s="19" t="s"/>
      <c r="AD77" s="40" t="s"/>
      <c r="AE77" s="38" t="s"/>
      <c r="AF77" s="35" t="s"/>
    </row>
    <row r="78" spans="1:32">
      <c r="A78" s="16" t="s"/>
      <c r="J78" s="21" t="s"/>
      <c r="L78" s="21" t="s"/>
      <c r="N78" s="21" t="s"/>
      <c r="T78" s="32" t="s"/>
      <c r="V78" s="22" t="s"/>
      <c r="AB78" s="19" t="s"/>
      <c r="AD78" s="40" t="s"/>
      <c r="AE78" s="38" t="s"/>
      <c r="AF78" s="35" t="s"/>
    </row>
    <row r="79" spans="1:32">
      <c r="A79" s="16" t="s"/>
      <c r="J79" s="21" t="s"/>
      <c r="L79" s="21" t="s"/>
      <c r="N79" s="21" t="s"/>
      <c r="T79" s="32" t="s"/>
      <c r="V79" s="22" t="s"/>
      <c r="AB79" s="19" t="s"/>
      <c r="AD79" s="40" t="s"/>
      <c r="AE79" s="38" t="s"/>
      <c r="AF79" s="35" t="s"/>
    </row>
    <row r="80" spans="1:32">
      <c r="A80" s="16" t="s"/>
      <c r="J80" s="21" t="s"/>
      <c r="L80" s="21" t="s"/>
      <c r="N80" s="21" t="s"/>
      <c r="T80" s="32" t="s"/>
      <c r="V80" s="22" t="s"/>
      <c r="AB80" s="19" t="s"/>
      <c r="AD80" s="40" t="s"/>
      <c r="AE80" s="38" t="s"/>
      <c r="AF80" s="35" t="s"/>
    </row>
    <row r="81" spans="1:32">
      <c r="A81" s="16" t="s"/>
      <c r="J81" s="21" t="s"/>
      <c r="L81" s="21" t="s"/>
      <c r="N81" s="21" t="s"/>
      <c r="T81" s="32" t="s"/>
      <c r="V81" s="22" t="s"/>
      <c r="AB81" s="19" t="s"/>
      <c r="AD81" s="40" t="s"/>
      <c r="AE81" s="38" t="s"/>
      <c r="AF81" s="35" t="s"/>
    </row>
    <row r="82" spans="1:32">
      <c r="A82" s="16" t="s"/>
      <c r="J82" s="21" t="s"/>
      <c r="L82" s="21" t="s"/>
      <c r="N82" s="21" t="s"/>
      <c r="T82" s="32" t="s"/>
      <c r="V82" s="22" t="s"/>
      <c r="AB82" s="19" t="s"/>
      <c r="AD82" s="40" t="s"/>
      <c r="AE82" s="38" t="s"/>
      <c r="AF82" s="35" t="s"/>
    </row>
    <row r="83" spans="1:32">
      <c r="A83" s="16" t="s"/>
      <c r="J83" s="21" t="s"/>
      <c r="L83" s="21" t="s"/>
      <c r="N83" s="21" t="s"/>
      <c r="T83" s="32" t="s"/>
      <c r="V83" s="22" t="s"/>
      <c r="AB83" s="19" t="s"/>
      <c r="AD83" s="40" t="s"/>
      <c r="AE83" s="38" t="s"/>
      <c r="AF83" s="35" t="s"/>
    </row>
    <row r="84" spans="1:32">
      <c r="A84" s="16" t="s"/>
      <c r="J84" s="21" t="s"/>
      <c r="L84" s="21" t="s"/>
      <c r="N84" s="21" t="s"/>
      <c r="T84" s="32" t="s"/>
      <c r="V84" s="22" t="s"/>
      <c r="AB84" s="19" t="s"/>
      <c r="AD84" s="40" t="s"/>
      <c r="AE84" s="38" t="s"/>
      <c r="AF84" s="35" t="s"/>
    </row>
    <row r="85" spans="1:32">
      <c r="A85" s="16" t="s"/>
      <c r="J85" s="21" t="s"/>
      <c r="L85" s="21" t="s"/>
      <c r="N85" s="21" t="s"/>
      <c r="T85" s="32" t="s"/>
      <c r="V85" s="22" t="s"/>
      <c r="AB85" s="19" t="s"/>
      <c r="AD85" s="40" t="s"/>
      <c r="AE85" s="38" t="s"/>
      <c r="AF85" s="35" t="s"/>
    </row>
    <row r="86" spans="1:32">
      <c r="A86" s="16" t="s"/>
      <c r="J86" s="21" t="s"/>
      <c r="L86" s="21" t="s"/>
      <c r="N86" s="21" t="s"/>
      <c r="T86" s="32" t="s"/>
      <c r="V86" s="22" t="s"/>
      <c r="AB86" s="19" t="s"/>
      <c r="AD86" s="40" t="s"/>
      <c r="AE86" s="38" t="s"/>
      <c r="AF86" s="35" t="s"/>
    </row>
    <row r="87" spans="1:32">
      <c r="A87" s="16" t="s"/>
      <c r="J87" s="21" t="s"/>
      <c r="L87" s="21" t="s"/>
      <c r="N87" s="21" t="s"/>
      <c r="T87" s="32" t="s"/>
      <c r="V87" s="22" t="s"/>
      <c r="AB87" s="19" t="s"/>
      <c r="AD87" s="40" t="s"/>
      <c r="AE87" s="38" t="s"/>
      <c r="AF87" s="35" t="s"/>
    </row>
    <row r="88" spans="1:32">
      <c r="A88" s="16" t="s"/>
      <c r="J88" s="21" t="s"/>
      <c r="L88" s="21" t="s"/>
      <c r="N88" s="21" t="s"/>
      <c r="T88" s="32" t="s"/>
      <c r="V88" s="22" t="s"/>
      <c r="AB88" s="19" t="s"/>
      <c r="AD88" s="40" t="s"/>
      <c r="AE88" s="38" t="s"/>
      <c r="AF88" s="35" t="s"/>
    </row>
    <row r="89" spans="1:32">
      <c r="A89" s="16" t="s"/>
      <c r="J89" s="21" t="s"/>
      <c r="L89" s="21" t="s"/>
      <c r="N89" s="21" t="s"/>
      <c r="T89" s="32" t="s"/>
      <c r="V89" s="22" t="s"/>
      <c r="AB89" s="19" t="s"/>
      <c r="AD89" s="40" t="s"/>
      <c r="AE89" s="38" t="s"/>
      <c r="AF89" s="35" t="s"/>
    </row>
    <row r="90" spans="1:32">
      <c r="A90" s="16" t="s"/>
      <c r="J90" s="21" t="s"/>
      <c r="L90" s="21" t="s"/>
      <c r="N90" s="21" t="s"/>
      <c r="T90" s="32" t="s"/>
      <c r="V90" s="22" t="s"/>
      <c r="AB90" s="19" t="s"/>
      <c r="AD90" s="40" t="s"/>
      <c r="AE90" s="38" t="s"/>
      <c r="AF90" s="35" t="s"/>
    </row>
    <row r="91" spans="1:32">
      <c r="A91" s="16" t="s"/>
      <c r="J91" s="21" t="s"/>
      <c r="L91" s="21" t="s"/>
      <c r="N91" s="21" t="s"/>
      <c r="T91" s="32" t="s"/>
      <c r="V91" s="22" t="s"/>
      <c r="AB91" s="19" t="s"/>
      <c r="AD91" s="40" t="s"/>
      <c r="AE91" s="38" t="s"/>
      <c r="AF91" s="35" t="s"/>
    </row>
    <row r="92" spans="1:32">
      <c r="A92" s="16" t="s"/>
      <c r="J92" s="21" t="s"/>
      <c r="L92" s="21" t="s"/>
      <c r="N92" s="21" t="s"/>
      <c r="T92" s="32" t="s"/>
      <c r="V92" s="22" t="s"/>
      <c r="AB92" s="19" t="s"/>
      <c r="AD92" s="40" t="s"/>
      <c r="AE92" s="38" t="s"/>
      <c r="AF92" s="35" t="s"/>
    </row>
    <row r="93" spans="1:32">
      <c r="A93" s="16" t="s"/>
      <c r="J93" s="21" t="s"/>
      <c r="L93" s="21" t="s"/>
      <c r="N93" s="21" t="s"/>
      <c r="T93" s="32" t="s"/>
      <c r="V93" s="22" t="s"/>
      <c r="AB93" s="19" t="s"/>
      <c r="AD93" s="40" t="s"/>
      <c r="AE93" s="38" t="s"/>
      <c r="AF93" s="35" t="s"/>
    </row>
    <row r="94" spans="1:32">
      <c r="A94" s="16" t="s"/>
      <c r="J94" s="21" t="s"/>
      <c r="L94" s="21" t="s"/>
      <c r="N94" s="21" t="s"/>
      <c r="T94" s="32" t="s"/>
      <c r="V94" s="22" t="s"/>
      <c r="AB94" s="19" t="s"/>
      <c r="AD94" s="40" t="s"/>
      <c r="AE94" s="38" t="s"/>
      <c r="AF94" s="35" t="s"/>
    </row>
    <row r="95" spans="1:32">
      <c r="A95" s="16" t="s"/>
      <c r="J95" s="21" t="s"/>
      <c r="L95" s="21" t="s"/>
      <c r="N95" s="21" t="s"/>
      <c r="T95" s="32" t="s"/>
      <c r="V95" s="22" t="s"/>
      <c r="AB95" s="19" t="s"/>
      <c r="AD95" s="40" t="s"/>
      <c r="AE95" s="38" t="s"/>
      <c r="AF95" s="35" t="s"/>
    </row>
    <row r="96" spans="1:32">
      <c r="A96" s="16" t="s"/>
      <c r="J96" s="21" t="s"/>
      <c r="L96" s="21" t="s"/>
      <c r="N96" s="21" t="s"/>
      <c r="T96" s="32" t="s"/>
      <c r="V96" s="22" t="s"/>
      <c r="AB96" s="19" t="s"/>
      <c r="AD96" s="40" t="s"/>
      <c r="AE96" s="38" t="s"/>
      <c r="AF96" s="35" t="s"/>
    </row>
    <row r="97" spans="1:32">
      <c r="A97" s="16" t="s"/>
      <c r="J97" s="21" t="s"/>
      <c r="L97" s="21" t="s"/>
      <c r="N97" s="21" t="s"/>
      <c r="T97" s="32" t="s"/>
      <c r="V97" s="22" t="s"/>
      <c r="AB97" s="19" t="s"/>
      <c r="AD97" s="40" t="s"/>
      <c r="AE97" s="38" t="s"/>
      <c r="AF97" s="35" t="s"/>
    </row>
    <row r="98" spans="1:32">
      <c r="A98" s="16" t="s"/>
      <c r="J98" s="21" t="s"/>
      <c r="L98" s="21" t="s"/>
      <c r="N98" s="21" t="s"/>
      <c r="T98" s="32" t="s"/>
      <c r="V98" s="22" t="s"/>
      <c r="AB98" s="19" t="s"/>
      <c r="AD98" s="40" t="s"/>
      <c r="AE98" s="38" t="s"/>
      <c r="AF98" s="35" t="s"/>
    </row>
    <row r="99" spans="1:32">
      <c r="A99" s="16" t="s"/>
      <c r="J99" s="21" t="s"/>
      <c r="L99" s="21" t="s"/>
      <c r="N99" s="21" t="s"/>
      <c r="T99" s="32" t="s"/>
      <c r="V99" s="22" t="s"/>
      <c r="AB99" s="19" t="s"/>
      <c r="AD99" s="40" t="s"/>
      <c r="AE99" s="38" t="s"/>
      <c r="AF99" s="35" t="s"/>
    </row>
    <row r="100" spans="1:32">
      <c r="A100" s="16" t="s"/>
      <c r="J100" s="21" t="s"/>
      <c r="L100" s="21" t="s"/>
      <c r="N100" s="21" t="s"/>
      <c r="T100" s="32" t="s"/>
      <c r="V100" s="22" t="s"/>
      <c r="AB100" s="19" t="s"/>
      <c r="AD100" s="40" t="s"/>
      <c r="AE100" s="38" t="s"/>
      <c r="AF100" s="35" t="s"/>
    </row>
    <row r="101" spans="1:32">
      <c r="A101" s="16" t="s"/>
      <c r="J101" s="21" t="s"/>
      <c r="L101" s="21" t="s"/>
      <c r="N101" s="21" t="s"/>
      <c r="T101" s="32" t="s"/>
      <c r="V101" s="22" t="s"/>
      <c r="AB101" s="19" t="s"/>
      <c r="AD101" s="40" t="s"/>
      <c r="AE101" s="38" t="s"/>
      <c r="AF101" s="35" t="s"/>
    </row>
    <row r="102" spans="1:32">
      <c r="A102" s="16" t="s"/>
      <c r="J102" s="21" t="s"/>
      <c r="L102" s="21" t="s"/>
      <c r="N102" s="21" t="s"/>
      <c r="T102" s="32" t="s"/>
      <c r="V102" s="22" t="s"/>
      <c r="AB102" s="19" t="s"/>
      <c r="AD102" s="40" t="s"/>
      <c r="AE102" s="38" t="s"/>
      <c r="AF102" s="35" t="s"/>
    </row>
    <row r="103" spans="1:32">
      <c r="A103" s="16" t="s"/>
      <c r="J103" s="21" t="s"/>
      <c r="L103" s="21" t="s"/>
      <c r="N103" s="21" t="s"/>
      <c r="T103" s="32" t="s"/>
      <c r="V103" s="22" t="s"/>
      <c r="AB103" s="19" t="s"/>
      <c r="AD103" s="40" t="s"/>
      <c r="AE103" s="38" t="s"/>
      <c r="AF103" s="35" t="s"/>
    </row>
    <row r="104" spans="1:32">
      <c r="A104" s="16" t="s"/>
      <c r="J104" s="21" t="s"/>
      <c r="L104" s="21" t="s"/>
      <c r="N104" s="21" t="s"/>
      <c r="T104" s="32" t="s"/>
      <c r="V104" s="22" t="s"/>
      <c r="AB104" s="19" t="s"/>
      <c r="AD104" s="40" t="s"/>
      <c r="AE104" s="38" t="s"/>
      <c r="AF104" s="35" t="s"/>
    </row>
    <row r="105" spans="1:32">
      <c r="A105" s="16" t="s"/>
      <c r="J105" s="21" t="s"/>
      <c r="L105" s="21" t="s"/>
      <c r="N105" s="21" t="s"/>
      <c r="T105" s="32" t="s"/>
      <c r="V105" s="22" t="s"/>
      <c r="AB105" s="19" t="s"/>
      <c r="AD105" s="40" t="s"/>
      <c r="AE105" s="38" t="s"/>
      <c r="AF105" s="35" t="s"/>
    </row>
    <row r="106" spans="1:32">
      <c r="A106" s="16" t="s"/>
      <c r="J106" s="21" t="s"/>
      <c r="L106" s="21" t="s"/>
      <c r="N106" s="21" t="s"/>
      <c r="T106" s="32" t="s"/>
      <c r="V106" s="22" t="s"/>
      <c r="AB106" s="19" t="s"/>
      <c r="AD106" s="40" t="s"/>
      <c r="AE106" s="38" t="s"/>
      <c r="AF106" s="35" t="s"/>
    </row>
    <row r="107" spans="1:32">
      <c r="A107" s="16" t="s"/>
      <c r="J107" s="21" t="s"/>
      <c r="L107" s="21" t="s"/>
      <c r="N107" s="21" t="s"/>
      <c r="T107" s="32" t="s"/>
      <c r="V107" s="22" t="s"/>
      <c r="AB107" s="19" t="s"/>
      <c r="AD107" s="40" t="s"/>
      <c r="AE107" s="38" t="s"/>
      <c r="AF107" s="35" t="s"/>
    </row>
    <row r="108" spans="1:32">
      <c r="A108" s="16" t="s"/>
      <c r="J108" s="21" t="s"/>
      <c r="L108" s="21" t="s"/>
      <c r="N108" s="21" t="s"/>
      <c r="T108" s="32" t="s"/>
      <c r="V108" s="22" t="s"/>
      <c r="AB108" s="19" t="s"/>
      <c r="AD108" s="40" t="s"/>
      <c r="AE108" s="38" t="s"/>
      <c r="AF108" s="35" t="s"/>
    </row>
    <row r="109" spans="1:32">
      <c r="A109" s="16" t="s"/>
      <c r="J109" s="21" t="s"/>
      <c r="L109" s="21" t="s"/>
      <c r="N109" s="21" t="s"/>
      <c r="T109" s="32" t="s"/>
      <c r="V109" s="22" t="s"/>
      <c r="AB109" s="19" t="s"/>
      <c r="AD109" s="40" t="s"/>
      <c r="AE109" s="38" t="s"/>
      <c r="AF109" s="35" t="s"/>
    </row>
    <row r="110" spans="1:32">
      <c r="A110" s="16" t="s"/>
      <c r="J110" s="21" t="s"/>
      <c r="L110" s="21" t="s"/>
      <c r="N110" s="21" t="s"/>
      <c r="T110" s="32" t="s"/>
      <c r="V110" s="22" t="s"/>
      <c r="AB110" s="19" t="s"/>
      <c r="AD110" s="40" t="s"/>
      <c r="AE110" s="38" t="s"/>
      <c r="AF110" s="35" t="s"/>
    </row>
    <row r="111" spans="1:32">
      <c r="A111" s="16" t="s"/>
      <c r="J111" s="21" t="s"/>
      <c r="L111" s="21" t="s"/>
      <c r="N111" s="21" t="s"/>
      <c r="T111" s="32" t="s"/>
      <c r="V111" s="22" t="s"/>
      <c r="AB111" s="19" t="s"/>
      <c r="AD111" s="40" t="s"/>
      <c r="AE111" s="38" t="s"/>
      <c r="AF111" s="35" t="s"/>
    </row>
    <row r="112" spans="1:32">
      <c r="A112" s="16" t="s"/>
      <c r="J112" s="21" t="s"/>
      <c r="L112" s="21" t="s"/>
      <c r="N112" s="21" t="s"/>
      <c r="T112" s="32" t="s"/>
      <c r="V112" s="22" t="s"/>
      <c r="AB112" s="19" t="s"/>
      <c r="AD112" s="40" t="s"/>
      <c r="AE112" s="38" t="s"/>
      <c r="AF112" s="35" t="s"/>
    </row>
    <row r="113" spans="1:32">
      <c r="A113" s="16" t="s"/>
      <c r="J113" s="21" t="s"/>
      <c r="L113" s="21" t="s"/>
      <c r="N113" s="21" t="s"/>
      <c r="T113" s="32" t="s"/>
      <c r="V113" s="22" t="s"/>
      <c r="AB113" s="19" t="s"/>
      <c r="AD113" s="40" t="s"/>
      <c r="AE113" s="38" t="s"/>
      <c r="AF113" s="35" t="s"/>
    </row>
    <row r="114" spans="1:32">
      <c r="A114" s="16" t="s"/>
      <c r="J114" s="21" t="s"/>
      <c r="L114" s="21" t="s"/>
      <c r="N114" s="21" t="s"/>
      <c r="T114" s="32" t="s"/>
      <c r="V114" s="22" t="s"/>
      <c r="AB114" s="19" t="s"/>
      <c r="AD114" s="40" t="s"/>
      <c r="AE114" s="38" t="s"/>
      <c r="AF114" s="35" t="s"/>
    </row>
    <row r="115" spans="1:32">
      <c r="A115" s="16" t="s"/>
      <c r="J115" s="21" t="s"/>
      <c r="L115" s="21" t="s"/>
      <c r="N115" s="21" t="s"/>
      <c r="T115" s="32" t="s"/>
      <c r="V115" s="22" t="s"/>
      <c r="AB115" s="19" t="s"/>
      <c r="AD115" s="40" t="s"/>
      <c r="AE115" s="38" t="s"/>
      <c r="AF115" s="35" t="s"/>
    </row>
    <row r="116" spans="1:32">
      <c r="A116" s="16" t="s"/>
      <c r="J116" s="21" t="s"/>
      <c r="L116" s="21" t="s"/>
      <c r="N116" s="21" t="s"/>
      <c r="T116" s="32" t="s"/>
      <c r="V116" s="22" t="s"/>
      <c r="AB116" s="19" t="s"/>
      <c r="AD116" s="40" t="s"/>
      <c r="AE116" s="38" t="s"/>
      <c r="AF116" s="35" t="s"/>
    </row>
    <row r="117" spans="1:32">
      <c r="A117" s="16" t="s"/>
      <c r="J117" s="21" t="s"/>
      <c r="L117" s="21" t="s"/>
      <c r="N117" s="21" t="s"/>
      <c r="T117" s="32" t="s"/>
      <c r="V117" s="22" t="s"/>
      <c r="AB117" s="19" t="s"/>
      <c r="AD117" s="40" t="s"/>
      <c r="AE117" s="38" t="s"/>
      <c r="AF117" s="35" t="s"/>
    </row>
    <row r="118" spans="1:32">
      <c r="A118" s="16" t="s"/>
      <c r="J118" s="21" t="s"/>
      <c r="L118" s="21" t="s"/>
      <c r="N118" s="21" t="s"/>
      <c r="T118" s="32" t="s"/>
      <c r="V118" s="22" t="s"/>
      <c r="AB118" s="19" t="s"/>
      <c r="AD118" s="40" t="s"/>
      <c r="AE118" s="38" t="s"/>
      <c r="AF118" s="35" t="s"/>
    </row>
    <row r="119" spans="1:32">
      <c r="A119" s="16" t="s"/>
      <c r="J119" s="21" t="s"/>
      <c r="L119" s="21" t="s"/>
      <c r="N119" s="21" t="s"/>
      <c r="T119" s="32" t="s"/>
      <c r="V119" s="22" t="s"/>
      <c r="AB119" s="19" t="s"/>
      <c r="AD119" s="40" t="s"/>
      <c r="AE119" s="38" t="s"/>
      <c r="AF119" s="35" t="s"/>
    </row>
    <row r="120" spans="1:32">
      <c r="A120" s="16" t="s"/>
      <c r="J120" s="21" t="s"/>
      <c r="L120" s="21" t="s"/>
      <c r="N120" s="21" t="s"/>
      <c r="T120" s="32" t="s"/>
      <c r="V120" s="22" t="s"/>
      <c r="AB120" s="19" t="s"/>
      <c r="AD120" s="40" t="s"/>
      <c r="AE120" s="38" t="s"/>
      <c r="AF120" s="35" t="s"/>
    </row>
    <row r="121" spans="1:32">
      <c r="A121" s="16" t="s"/>
      <c r="J121" s="21" t="s"/>
      <c r="L121" s="21" t="s"/>
      <c r="N121" s="21" t="s"/>
      <c r="T121" s="32" t="s"/>
      <c r="V121" s="22" t="s"/>
      <c r="AB121" s="19" t="s"/>
      <c r="AD121" s="40" t="s"/>
      <c r="AE121" s="38" t="s"/>
      <c r="AF121" s="35" t="s"/>
    </row>
    <row r="122" spans="1:32">
      <c r="A122" s="16" t="s"/>
      <c r="J122" s="21" t="s"/>
      <c r="L122" s="21" t="s"/>
      <c r="N122" s="21" t="s"/>
      <c r="T122" s="32" t="s"/>
      <c r="V122" s="22" t="s"/>
      <c r="AB122" s="19" t="s"/>
      <c r="AD122" s="40" t="s"/>
      <c r="AE122" s="38" t="s"/>
      <c r="AF122" s="35" t="s"/>
    </row>
    <row r="123" spans="1:32">
      <c r="A123" s="16" t="s"/>
      <c r="J123" s="21" t="s"/>
      <c r="L123" s="21" t="s"/>
      <c r="N123" s="21" t="s"/>
      <c r="T123" s="32" t="s"/>
      <c r="V123" s="22" t="s"/>
      <c r="AB123" s="19" t="s"/>
      <c r="AD123" s="40" t="s"/>
      <c r="AE123" s="38" t="s"/>
      <c r="AF123" s="35" t="s"/>
    </row>
    <row r="124" spans="1:32">
      <c r="A124" s="16" t="s"/>
      <c r="J124" s="21" t="s"/>
      <c r="L124" s="21" t="s"/>
      <c r="N124" s="21" t="s"/>
      <c r="T124" s="32" t="s"/>
      <c r="V124" s="22" t="s"/>
      <c r="AB124" s="19" t="s"/>
      <c r="AD124" s="40" t="s"/>
      <c r="AE124" s="38" t="s"/>
      <c r="AF124" s="35" t="s"/>
    </row>
    <row r="125" spans="1:32">
      <c r="A125" s="16" t="s"/>
      <c r="J125" s="21" t="s"/>
      <c r="L125" s="21" t="s"/>
      <c r="N125" s="21" t="s"/>
      <c r="T125" s="32" t="s"/>
      <c r="V125" s="22" t="s"/>
      <c r="AB125" s="19" t="s"/>
      <c r="AD125" s="40" t="s"/>
      <c r="AE125" s="38" t="s"/>
      <c r="AF125" s="35" t="s"/>
    </row>
    <row r="126" spans="1:32">
      <c r="A126" s="16" t="s"/>
      <c r="J126" s="21" t="s"/>
      <c r="L126" s="21" t="s"/>
      <c r="N126" s="21" t="s"/>
      <c r="T126" s="32" t="s"/>
      <c r="V126" s="22" t="s"/>
      <c r="AB126" s="19" t="s"/>
      <c r="AD126" s="40" t="s"/>
      <c r="AE126" s="38" t="s"/>
      <c r="AF126" s="35" t="s"/>
    </row>
    <row r="127" spans="1:32">
      <c r="A127" s="16" t="s"/>
      <c r="J127" s="21" t="s"/>
      <c r="L127" s="21" t="s"/>
      <c r="N127" s="21" t="s"/>
      <c r="T127" s="32" t="s"/>
      <c r="V127" s="22" t="s"/>
      <c r="AB127" s="19" t="s"/>
      <c r="AD127" s="40" t="s"/>
      <c r="AE127" s="38" t="s"/>
      <c r="AF127" s="35" t="s"/>
    </row>
    <row r="128" spans="1:32">
      <c r="A128" s="16" t="s"/>
      <c r="J128" s="21" t="s"/>
      <c r="L128" s="21" t="s"/>
      <c r="N128" s="21" t="s"/>
      <c r="T128" s="32" t="s"/>
      <c r="V128" s="22" t="s"/>
      <c r="AB128" s="19" t="s"/>
      <c r="AD128" s="40" t="s"/>
      <c r="AE128" s="38" t="s"/>
      <c r="AF128" s="35" t="s"/>
    </row>
    <row r="129" spans="1:32">
      <c r="A129" s="16" t="s"/>
      <c r="J129" s="21" t="s"/>
      <c r="L129" s="21" t="s"/>
      <c r="N129" s="21" t="s"/>
      <c r="T129" s="32" t="s"/>
      <c r="V129" s="22" t="s"/>
      <c r="AB129" s="19" t="s"/>
      <c r="AD129" s="40" t="s"/>
      <c r="AE129" s="38" t="s"/>
      <c r="AF129" s="35" t="s"/>
    </row>
    <row r="130" spans="1:32">
      <c r="A130" s="16" t="s"/>
      <c r="J130" s="21" t="s"/>
      <c r="L130" s="21" t="s"/>
      <c r="N130" s="21" t="s"/>
      <c r="T130" s="32" t="s"/>
      <c r="V130" s="22" t="s"/>
      <c r="AB130" s="19" t="s"/>
      <c r="AD130" s="40" t="s"/>
      <c r="AE130" s="38" t="s"/>
      <c r="AF130" s="35" t="s"/>
    </row>
    <row r="131" spans="1:32">
      <c r="A131" s="16" t="s"/>
      <c r="J131" s="21" t="s"/>
      <c r="L131" s="21" t="s"/>
      <c r="N131" s="21" t="s"/>
      <c r="T131" s="32" t="s"/>
      <c r="V131" s="22" t="s"/>
      <c r="AB131" s="19" t="s"/>
      <c r="AD131" s="40" t="s"/>
      <c r="AE131" s="38" t="s"/>
      <c r="AF131" s="35" t="s"/>
    </row>
    <row r="132" spans="1:32">
      <c r="A132" s="16" t="s"/>
      <c r="J132" s="21" t="s"/>
      <c r="L132" s="21" t="s"/>
      <c r="N132" s="21" t="s"/>
      <c r="T132" s="32" t="s"/>
      <c r="V132" s="22" t="s"/>
      <c r="AB132" s="19" t="s"/>
      <c r="AD132" s="40" t="s"/>
      <c r="AE132" s="38" t="s"/>
      <c r="AF132" s="35" t="s"/>
    </row>
    <row r="133" spans="1:32">
      <c r="A133" s="16" t="s"/>
      <c r="J133" s="21" t="s"/>
      <c r="L133" s="21" t="s"/>
      <c r="N133" s="21" t="s"/>
      <c r="T133" s="32" t="s"/>
      <c r="V133" s="22" t="s"/>
      <c r="AB133" s="19" t="s"/>
      <c r="AD133" s="40" t="s"/>
      <c r="AE133" s="38" t="s"/>
      <c r="AF133" s="35" t="s"/>
    </row>
    <row r="134" spans="1:32">
      <c r="A134" s="16" t="s"/>
      <c r="J134" s="21" t="s"/>
      <c r="L134" s="21" t="s"/>
      <c r="N134" s="21" t="s"/>
      <c r="T134" s="32" t="s"/>
      <c r="V134" s="22" t="s"/>
      <c r="AB134" s="19" t="s"/>
      <c r="AD134" s="40" t="s"/>
      <c r="AE134" s="38" t="s"/>
      <c r="AF134" s="35" t="s"/>
    </row>
    <row r="135" spans="1:32">
      <c r="A135" s="16" t="s"/>
      <c r="J135" s="21" t="s"/>
      <c r="L135" s="21" t="s"/>
      <c r="N135" s="21" t="s"/>
      <c r="T135" s="32" t="s"/>
      <c r="V135" s="22" t="s"/>
      <c r="AB135" s="19" t="s"/>
      <c r="AD135" s="40" t="s"/>
      <c r="AE135" s="38" t="s"/>
      <c r="AF135" s="35" t="s"/>
    </row>
    <row r="136" spans="1:32">
      <c r="A136" s="16" t="s"/>
      <c r="J136" s="21" t="s"/>
      <c r="L136" s="21" t="s"/>
      <c r="N136" s="21" t="s"/>
      <c r="T136" s="32" t="s"/>
      <c r="V136" s="22" t="s"/>
      <c r="AB136" s="19" t="s"/>
      <c r="AD136" s="40" t="s"/>
      <c r="AE136" s="38" t="s"/>
      <c r="AF136" s="35" t="s"/>
    </row>
    <row r="137" spans="1:32">
      <c r="A137" s="16" t="s"/>
      <c r="J137" s="21" t="s"/>
      <c r="L137" s="21" t="s"/>
      <c r="N137" s="21" t="s"/>
      <c r="T137" s="32" t="s"/>
      <c r="V137" s="22" t="s"/>
      <c r="AB137" s="19" t="s"/>
      <c r="AD137" s="40" t="s"/>
      <c r="AE137" s="38" t="s"/>
      <c r="AF137" s="35" t="s"/>
    </row>
  </sheetData>
</worksheet>
</file>

<file path=xl/worksheets/sheet5.xml><?xml version="1.0" encoding="utf-8"?>
<worksheet xmlns="http://schemas.openxmlformats.org/spreadsheetml/2006/main">
  <sheetPr codeName="敌人属性">
    <tabColor/>
  </sheetPr>
  <dimension ref="AU437"/>
  <sheetViews>
    <sheetView showGridLines="1" workbookViewId="0">
      <pane xSplit="2" ySplit="1" topLeftCell="C2" state="frozen"/>
    </sheetView>
  </sheetViews>
  <sheetFormatPr baseColWidth="13" defaultRowHeight="18" customHeight="1"/>
  <cols>
    <col min="1" max="1" width="42.5625" customWidth="1"/>
    <col min="2" max="2" width="10.2812" customWidth="1"/>
    <col min="3" max="3" width="38.1719" customWidth="1"/>
    <col min="4" max="4" width="51.2031" customWidth="1"/>
    <col min="5" max="5" width="10.2344" customWidth="1"/>
    <col min="6" max="8" width="10.1133" customWidth="1"/>
    <col min="9" max="9" width="12.0938" style="84" customWidth="1"/>
    <col min="10" max="10" width="14.0625" customWidth="1"/>
    <col min="11" max="11" width="12.0938" customWidth="1"/>
    <col min="12" max="12" width="18.0234" style="84" customWidth="1"/>
    <col min="13" max="13" width="21.9727" style="81" customWidth="1"/>
    <col min="14" max="14" width="20.0039" style="84" customWidth="1"/>
    <col min="15" max="15" width="20.0039" style="81" customWidth="1"/>
    <col min="16" max="16" width="16.043" style="84" customWidth="1"/>
    <col min="17" max="17" width="14.0625" customWidth="1"/>
    <col min="18" max="18" width="18.0234" customWidth="1"/>
    <col min="19" max="19" width="16.043" style="84" customWidth="1"/>
    <col min="20" max="22" width="14.0625" customWidth="1"/>
    <col min="23" max="24" width="16.043" customWidth="1"/>
    <col min="25" max="27" width="14.0625" customWidth="1"/>
    <col min="28" max="29" width="16.043" customWidth="1"/>
    <col min="30" max="32" width="14.0625" customWidth="1"/>
    <col min="33" max="34" width="16.043" customWidth="1"/>
    <col min="35" max="37" width="12.0938" style="85" customWidth="1"/>
    <col min="38" max="39" width="14.0625" style="85" customWidth="1"/>
    <col min="40" max="40" width="23.9531" style="83" customWidth="1"/>
    <col min="41" max="41" width="14.0625" style="86" customWidth="1"/>
    <col min="42" max="42" width="26.4609" customWidth="1"/>
    <col min="43" max="43" width="74.543" style="16" customWidth="1"/>
    <col min="44" max="45" width="18.0508" customWidth="1"/>
    <col min="46" max="46" width="22.0039" customWidth="1"/>
    <col min="47" max="47" width="20.0234" customWidth="1"/>
  </cols>
  <sheetData>
    <row r="1" spans="1:47" s="82">
      <c r="A1" s="16" t="s">
        <v>1082</v>
      </c>
      <c r="B1" s="16" t="s">
        <v>1083</v>
      </c>
      <c r="C1" s="16" t="s">
        <v>1084</v>
      </c>
      <c r="D1" s="16" t="s">
        <v>1085</v>
      </c>
      <c r="E1" s="16" t="s">
        <v>956</v>
      </c>
      <c r="F1" s="16" t="s">
        <v>963</v>
      </c>
      <c r="G1" s="16" t="s">
        <v>965</v>
      </c>
      <c r="H1" s="16" t="s">
        <v>967</v>
      </c>
      <c r="I1" s="22" t="s">
        <v>970</v>
      </c>
      <c r="J1" s="16" t="s">
        <v>1086</v>
      </c>
      <c r="K1" s="16" t="s">
        <v>1087</v>
      </c>
      <c r="L1" s="22" t="s">
        <v>1088</v>
      </c>
      <c r="M1" s="42" t="s">
        <v>1089</v>
      </c>
      <c r="N1" s="22" t="s">
        <v>1090</v>
      </c>
      <c r="O1" s="42" t="s">
        <v>1091</v>
      </c>
      <c r="P1" s="22" t="s">
        <v>1092</v>
      </c>
      <c r="Q1" s="16" t="s">
        <v>1093</v>
      </c>
      <c r="R1" s="16" t="s">
        <v>1094</v>
      </c>
      <c r="S1" s="22" t="s">
        <v>1095</v>
      </c>
      <c r="T1" s="16" t="s">
        <v>1096</v>
      </c>
      <c r="U1" s="16" t="s">
        <v>1097</v>
      </c>
      <c r="V1" s="16" t="s">
        <v>1098</v>
      </c>
      <c r="W1" s="16" t="s">
        <v>1099</v>
      </c>
      <c r="X1" s="16" t="s">
        <v>1100</v>
      </c>
      <c r="Y1" s="26" t="s">
        <v>1101</v>
      </c>
      <c r="Z1" s="26" t="s">
        <v>1102</v>
      </c>
      <c r="AA1" s="26" t="s">
        <v>1103</v>
      </c>
      <c r="AB1" s="26" t="s">
        <v>1104</v>
      </c>
      <c r="AC1" s="26" t="s">
        <v>1105</v>
      </c>
      <c r="AD1" s="26" t="s">
        <v>1106</v>
      </c>
      <c r="AE1" s="26" t="s">
        <v>1107</v>
      </c>
      <c r="AF1" s="26" t="s">
        <v>1108</v>
      </c>
      <c r="AG1" s="26" t="s">
        <v>1109</v>
      </c>
      <c r="AH1" s="26" t="s">
        <v>1110</v>
      </c>
      <c r="AI1" s="43" t="s">
        <v>1111</v>
      </c>
      <c r="AJ1" s="43" t="s">
        <v>1112</v>
      </c>
      <c r="AK1" s="43" t="s">
        <v>1113</v>
      </c>
      <c r="AL1" s="43" t="s">
        <v>1114</v>
      </c>
      <c r="AM1" s="43" t="s">
        <v>1115</v>
      </c>
      <c r="AN1" s="22" t="s">
        <v>1116</v>
      </c>
      <c r="AO1" s="44" t="s">
        <v>1117</v>
      </c>
      <c r="AP1" s="45" t="s">
        <v>14599</v>
      </c>
      <c r="AQ1" s="46" t="s">
        <v>1119</v>
      </c>
      <c r="AR1" s="46" t="s">
        <v>1120</v>
      </c>
      <c r="AS1" s="46" t="s">
        <v>1121</v>
      </c>
      <c r="AT1" s="46" t="s">
        <v>1122</v>
      </c>
      <c r="AU1" s="42" t="s">
        <v>1123</v>
      </c>
    </row>
    <row r="2" spans="1:47">
      <c r="A2" s="24" t="s">
        <v>1124</v>
      </c>
      <c r="B2" s="24">
        <v>11011</v>
      </c>
      <c r="C2" s="24" t="s">
        <v>1125</v>
      </c>
      <c r="D2" s="24" t="s">
        <v>1126</v>
      </c>
      <c r="E2" s="24">
        <v>1</v>
      </c>
      <c r="F2" s="24">
        <v>999999</v>
      </c>
      <c r="G2" s="24">
        <v>38</v>
      </c>
      <c r="H2" s="24">
        <v>50</v>
      </c>
      <c r="I2" s="25">
        <v>0.5</v>
      </c>
      <c r="J2" s="24">
        <v>473</v>
      </c>
      <c r="K2" s="24" t="b">
        <v>1</v>
      </c>
      <c r="L2" s="25">
        <v>0</v>
      </c>
      <c r="M2" s="47">
        <v>3</v>
      </c>
      <c r="N2" s="25">
        <v>0.1</v>
      </c>
      <c r="O2" s="47">
        <v>10</v>
      </c>
      <c r="P2" s="25">
        <v>0.5</v>
      </c>
      <c r="Q2" s="24">
        <v>1</v>
      </c>
      <c r="R2" s="24">
        <v>1</v>
      </c>
      <c r="S2" s="25">
        <v>0</v>
      </c>
      <c r="T2" s="24">
        <v>0</v>
      </c>
      <c r="U2" s="24">
        <v>0</v>
      </c>
      <c r="V2" s="24">
        <v>0</v>
      </c>
      <c r="W2" s="24">
        <v>0</v>
      </c>
      <c r="X2" s="24">
        <v>0</v>
      </c>
      <c r="Y2" s="24">
        <v>0</v>
      </c>
      <c r="Z2" s="24">
        <v>0</v>
      </c>
      <c r="AA2" s="24">
        <v>0</v>
      </c>
      <c r="AB2" s="24">
        <v>0</v>
      </c>
      <c r="AC2" s="24">
        <v>0</v>
      </c>
      <c r="AD2" s="24">
        <v>0</v>
      </c>
      <c r="AE2" s="24">
        <v>0</v>
      </c>
      <c r="AF2" s="24">
        <v>0</v>
      </c>
      <c r="AG2" s="24">
        <v>0</v>
      </c>
      <c r="AH2" s="24">
        <v>0</v>
      </c>
      <c r="AI2" s="48">
        <v>10001</v>
      </c>
      <c r="AJ2" s="48">
        <v>10012</v>
      </c>
      <c r="AK2" s="48">
        <v>10003</v>
      </c>
      <c r="AL2" s="48">
        <v>10005</v>
      </c>
      <c r="AM2" s="48">
        <v>10004</v>
      </c>
      <c r="AN2" s="25">
        <v>0</v>
      </c>
      <c r="AO2" s="49" t="s"/>
      <c r="AP2" s="50">
        <v>100</v>
      </c>
      <c r="AQ2" s="51" t="s">
        <v>1127</v>
      </c>
      <c r="AR2" s="51">
        <f>=F2*247.95</f>
        <v>247949752.05</v>
      </c>
      <c r="AS2" s="51">
        <f>=G2*32.6061</f>
        <v>1239.0318</v>
      </c>
      <c r="AT2" s="51">
        <f>=J2*2.35</f>
        <v>1111.55</v>
      </c>
      <c r="AU2" s="47">
        <f>=H2*15.88</f>
        <v>794</v>
      </c>
    </row>
    <row r="3" spans="1:47">
      <c r="A3" s="24" t="s">
        <v>1124</v>
      </c>
      <c r="B3" s="24">
        <v>11011</v>
      </c>
      <c r="C3" s="24" t="s">
        <v>1125</v>
      </c>
      <c r="D3" s="24" t="s">
        <v>1126</v>
      </c>
      <c r="E3" s="24">
        <v>2</v>
      </c>
      <c r="F3" s="24">
        <v>999999</v>
      </c>
      <c r="G3" s="24">
        <v>38</v>
      </c>
      <c r="H3" s="24">
        <v>50</v>
      </c>
      <c r="I3" s="25">
        <v>0.5</v>
      </c>
      <c r="J3" s="24">
        <v>473</v>
      </c>
      <c r="K3" s="24" t="b">
        <v>1</v>
      </c>
      <c r="L3" s="25">
        <v>0</v>
      </c>
      <c r="M3" s="47">
        <v>3</v>
      </c>
      <c r="N3" s="25">
        <v>0.1</v>
      </c>
      <c r="O3" s="47">
        <v>10</v>
      </c>
      <c r="P3" s="25">
        <v>0.5</v>
      </c>
      <c r="Q3" s="24">
        <v>1</v>
      </c>
      <c r="R3" s="24">
        <v>1</v>
      </c>
      <c r="S3" s="25">
        <v>0</v>
      </c>
      <c r="T3" s="24">
        <v>0</v>
      </c>
      <c r="U3" s="24">
        <v>0</v>
      </c>
      <c r="V3" s="24">
        <v>0</v>
      </c>
      <c r="W3" s="24">
        <v>0</v>
      </c>
      <c r="X3" s="24">
        <v>0</v>
      </c>
      <c r="Y3" s="24">
        <v>0</v>
      </c>
      <c r="Z3" s="24">
        <v>0</v>
      </c>
      <c r="AA3" s="24">
        <v>0</v>
      </c>
      <c r="AB3" s="24">
        <v>0</v>
      </c>
      <c r="AC3" s="24">
        <v>0</v>
      </c>
      <c r="AD3" s="24">
        <v>0</v>
      </c>
      <c r="AE3" s="24">
        <v>0</v>
      </c>
      <c r="AF3" s="24">
        <v>0</v>
      </c>
      <c r="AG3" s="24">
        <v>0</v>
      </c>
      <c r="AH3" s="24">
        <v>0</v>
      </c>
      <c r="AI3" s="48">
        <v>10001</v>
      </c>
      <c r="AJ3" s="48">
        <v>10012</v>
      </c>
      <c r="AK3" s="48">
        <v>10003</v>
      </c>
      <c r="AL3" s="48">
        <v>10005</v>
      </c>
      <c r="AM3" s="48">
        <v>10004</v>
      </c>
      <c r="AN3" s="25">
        <v>0</v>
      </c>
      <c r="AO3" s="49" t="s"/>
      <c r="AP3" s="50">
        <v>100</v>
      </c>
      <c r="AQ3" s="51" t="s">
        <v>1127</v>
      </c>
      <c r="AR3" s="51">
        <f>=F3*247.95</f>
        <v>247949752.05</v>
      </c>
      <c r="AS3" s="51">
        <f>=G3*32.6061</f>
        <v>1239.0318</v>
      </c>
      <c r="AT3" s="51">
        <f>=J3*2.35</f>
        <v>1111.55</v>
      </c>
      <c r="AU3" s="47">
        <f>=H3*15.88</f>
        <v>794</v>
      </c>
    </row>
    <row r="4" spans="1:47">
      <c r="A4" s="24" t="s">
        <v>1128</v>
      </c>
      <c r="B4" s="24">
        <v>11233</v>
      </c>
      <c r="C4" s="24" t="s">
        <v>1129</v>
      </c>
      <c r="D4" s="24" t="s">
        <v>1130</v>
      </c>
      <c r="E4" s="24">
        <v>3</v>
      </c>
      <c r="F4" s="24">
        <v>999999</v>
      </c>
      <c r="G4" s="24">
        <v>100</v>
      </c>
      <c r="H4" s="24">
        <v>83</v>
      </c>
      <c r="I4" s="25">
        <v>0.5</v>
      </c>
      <c r="J4" s="24">
        <v>3570</v>
      </c>
      <c r="K4" s="24" t="b">
        <v>1</v>
      </c>
      <c r="L4" s="25">
        <v>0</v>
      </c>
      <c r="M4" s="47">
        <v>2</v>
      </c>
      <c r="N4" s="25">
        <v>0.1</v>
      </c>
      <c r="O4" s="47">
        <v>10</v>
      </c>
      <c r="P4" s="25">
        <v>0</v>
      </c>
      <c r="Q4" s="24">
        <v>3</v>
      </c>
      <c r="R4" s="24">
        <v>5</v>
      </c>
      <c r="S4" s="25">
        <v>0.75</v>
      </c>
      <c r="T4" s="24">
        <v>0</v>
      </c>
      <c r="U4" s="24">
        <v>0</v>
      </c>
      <c r="V4" s="24">
        <v>0</v>
      </c>
      <c r="W4" s="24">
        <v>0</v>
      </c>
      <c r="X4" s="24">
        <v>0</v>
      </c>
      <c r="Y4" s="24">
        <v>0</v>
      </c>
      <c r="Z4" s="24">
        <v>0</v>
      </c>
      <c r="AA4" s="24">
        <v>0</v>
      </c>
      <c r="AB4" s="24">
        <v>0</v>
      </c>
      <c r="AC4" s="24">
        <v>0</v>
      </c>
      <c r="AD4" s="24">
        <v>0</v>
      </c>
      <c r="AE4" s="24">
        <v>0</v>
      </c>
      <c r="AF4" s="24">
        <v>0</v>
      </c>
      <c r="AG4" s="24">
        <v>0</v>
      </c>
      <c r="AH4" s="24">
        <v>0</v>
      </c>
      <c r="AI4" s="48">
        <v>30001</v>
      </c>
      <c r="AJ4" s="48">
        <v>30002</v>
      </c>
      <c r="AK4" s="48">
        <v>30003</v>
      </c>
      <c r="AL4" s="48">
        <v>30004</v>
      </c>
      <c r="AM4" s="48">
        <v>30005</v>
      </c>
      <c r="AN4" s="25">
        <v>1</v>
      </c>
      <c r="AO4" s="49" t="s"/>
      <c r="AP4" s="50">
        <v>100</v>
      </c>
      <c r="AQ4" s="51" t="s">
        <v>1131</v>
      </c>
      <c r="AR4" s="51">
        <f>=F4*247.95</f>
        <v>247949752.05</v>
      </c>
      <c r="AS4" s="51">
        <f>=G4*32.6061</f>
        <v>3260.61</v>
      </c>
      <c r="AT4" s="51">
        <f>=J4*2.35</f>
        <v>8389.5</v>
      </c>
      <c r="AU4" s="47">
        <f>=H4*15.88</f>
        <v>1318.04</v>
      </c>
    </row>
    <row r="5" spans="1:47">
      <c r="A5" s="24" t="s">
        <v>1128</v>
      </c>
      <c r="B5" s="24">
        <v>11233</v>
      </c>
      <c r="C5" s="24" t="s">
        <v>1129</v>
      </c>
      <c r="D5" s="24" t="s">
        <v>1130</v>
      </c>
      <c r="E5" s="24">
        <v>4</v>
      </c>
      <c r="F5" s="24">
        <v>9999999</v>
      </c>
      <c r="G5" s="24">
        <v>180</v>
      </c>
      <c r="H5" s="24">
        <v>60</v>
      </c>
      <c r="I5" s="25">
        <v>0.5</v>
      </c>
      <c r="J5" s="24">
        <v>6097</v>
      </c>
      <c r="K5" s="24" t="b">
        <v>1</v>
      </c>
      <c r="L5" s="25">
        <v>0</v>
      </c>
      <c r="M5" s="47">
        <v>0</v>
      </c>
      <c r="N5" s="25">
        <v>0.0833</v>
      </c>
      <c r="O5" s="47">
        <v>12.0048019</v>
      </c>
      <c r="P5" s="25">
        <v>0.5</v>
      </c>
      <c r="Q5" s="24">
        <v>3</v>
      </c>
      <c r="R5" s="24">
        <v>5</v>
      </c>
      <c r="S5" s="25">
        <v>0.75</v>
      </c>
      <c r="T5" s="24">
        <v>0</v>
      </c>
      <c r="U5" s="24">
        <v>0</v>
      </c>
      <c r="V5" s="24">
        <v>0</v>
      </c>
      <c r="W5" s="24">
        <v>0</v>
      </c>
      <c r="X5" s="24">
        <v>0</v>
      </c>
      <c r="Y5" s="24">
        <v>0</v>
      </c>
      <c r="Z5" s="24">
        <v>0</v>
      </c>
      <c r="AA5" s="24">
        <v>0</v>
      </c>
      <c r="AB5" s="24">
        <v>0</v>
      </c>
      <c r="AC5" s="24">
        <v>0</v>
      </c>
      <c r="AD5" s="24">
        <v>0</v>
      </c>
      <c r="AE5" s="24">
        <v>0</v>
      </c>
      <c r="AF5" s="24">
        <v>0</v>
      </c>
      <c r="AG5" s="24">
        <v>0</v>
      </c>
      <c r="AH5" s="24">
        <v>0</v>
      </c>
      <c r="AI5" s="48">
        <v>30001</v>
      </c>
      <c r="AJ5" s="48">
        <v>30002</v>
      </c>
      <c r="AK5" s="48">
        <v>30003</v>
      </c>
      <c r="AL5" s="48">
        <v>30004</v>
      </c>
      <c r="AM5" s="48">
        <v>30005</v>
      </c>
      <c r="AN5" s="25">
        <v>0.2</v>
      </c>
      <c r="AO5" s="49" t="s"/>
      <c r="AP5" s="50">
        <v>100</v>
      </c>
      <c r="AQ5" s="51" t="s">
        <v>1131</v>
      </c>
      <c r="AR5" s="51">
        <f>=F5*247.95</f>
        <v>2479499752.05</v>
      </c>
      <c r="AS5" s="51">
        <f>=G5*32.6061</f>
        <v>5869.098</v>
      </c>
      <c r="AT5" s="51">
        <f>=J5*2.35</f>
        <v>14327.95</v>
      </c>
      <c r="AU5" s="47">
        <f>=H5*15.88</f>
        <v>952.8</v>
      </c>
    </row>
    <row r="6" spans="1:47">
      <c r="A6" s="24" t="s">
        <v>1128</v>
      </c>
      <c r="B6" s="24">
        <v>11233</v>
      </c>
      <c r="C6" s="24" t="s">
        <v>1129</v>
      </c>
      <c r="D6" s="24" t="s">
        <v>1130</v>
      </c>
      <c r="E6" s="24">
        <v>5</v>
      </c>
      <c r="F6" s="24">
        <v>999999</v>
      </c>
      <c r="G6" s="24">
        <v>100</v>
      </c>
      <c r="H6" s="24">
        <v>83</v>
      </c>
      <c r="I6" s="25">
        <v>0.5</v>
      </c>
      <c r="J6" s="24">
        <v>3570</v>
      </c>
      <c r="K6" s="24" t="b">
        <v>1</v>
      </c>
      <c r="L6" s="25">
        <v>0</v>
      </c>
      <c r="M6" s="47">
        <v>2</v>
      </c>
      <c r="N6" s="25">
        <v>0.0298</v>
      </c>
      <c r="O6" s="47">
        <v>33.557047</v>
      </c>
      <c r="P6" s="25">
        <v>1</v>
      </c>
      <c r="Q6" s="24">
        <v>3</v>
      </c>
      <c r="R6" s="24">
        <v>5</v>
      </c>
      <c r="S6" s="25">
        <v>0.75</v>
      </c>
      <c r="T6" s="24">
        <v>0</v>
      </c>
      <c r="U6" s="24">
        <v>0</v>
      </c>
      <c r="V6" s="24">
        <v>0</v>
      </c>
      <c r="W6" s="24">
        <v>0</v>
      </c>
      <c r="X6" s="24">
        <v>0</v>
      </c>
      <c r="Y6" s="24">
        <v>0</v>
      </c>
      <c r="Z6" s="24">
        <v>0</v>
      </c>
      <c r="AA6" s="24">
        <v>0</v>
      </c>
      <c r="AB6" s="24">
        <v>0</v>
      </c>
      <c r="AC6" s="24">
        <v>0</v>
      </c>
      <c r="AD6" s="24">
        <v>0</v>
      </c>
      <c r="AE6" s="24">
        <v>0</v>
      </c>
      <c r="AF6" s="24">
        <v>0</v>
      </c>
      <c r="AG6" s="24">
        <v>0</v>
      </c>
      <c r="AH6" s="24">
        <v>0</v>
      </c>
      <c r="AI6" s="48">
        <v>30001</v>
      </c>
      <c r="AJ6" s="48">
        <v>30002</v>
      </c>
      <c r="AK6" s="48">
        <v>30003</v>
      </c>
      <c r="AL6" s="48">
        <v>30004</v>
      </c>
      <c r="AM6" s="48">
        <v>30005</v>
      </c>
      <c r="AN6" s="25">
        <v>0</v>
      </c>
      <c r="AO6" s="49" t="s"/>
      <c r="AP6" s="50">
        <v>100</v>
      </c>
      <c r="AQ6" s="51" t="s">
        <v>1131</v>
      </c>
      <c r="AR6" s="51">
        <f>=F6*247.95</f>
        <v>247949752.05</v>
      </c>
      <c r="AS6" s="51">
        <f>=G6*32.6061</f>
        <v>3260.61</v>
      </c>
      <c r="AT6" s="51">
        <f>=J6*2.35</f>
        <v>8389.5</v>
      </c>
      <c r="AU6" s="47">
        <f>=H6*15.88</f>
        <v>1318.04</v>
      </c>
    </row>
    <row r="7" spans="1:47">
      <c r="A7" s="24" t="s">
        <v>1128</v>
      </c>
      <c r="B7" s="24">
        <v>11233</v>
      </c>
      <c r="C7" s="24" t="s">
        <v>1129</v>
      </c>
      <c r="D7" s="24" t="s">
        <v>1130</v>
      </c>
      <c r="E7" s="24">
        <v>6</v>
      </c>
      <c r="F7" s="24">
        <v>999999</v>
      </c>
      <c r="G7" s="24">
        <v>100</v>
      </c>
      <c r="H7" s="24">
        <v>83</v>
      </c>
      <c r="I7" s="25">
        <v>0.5</v>
      </c>
      <c r="J7" s="24">
        <v>4641</v>
      </c>
      <c r="K7" s="24" t="b">
        <v>1</v>
      </c>
      <c r="L7" s="25">
        <v>0</v>
      </c>
      <c r="M7" s="47">
        <v>2</v>
      </c>
      <c r="N7" s="25">
        <v>0.0312</v>
      </c>
      <c r="O7" s="47">
        <v>32.0512821</v>
      </c>
      <c r="P7" s="25">
        <v>0</v>
      </c>
      <c r="Q7" s="24">
        <v>3</v>
      </c>
      <c r="R7" s="24">
        <v>5</v>
      </c>
      <c r="S7" s="25">
        <v>0.75</v>
      </c>
      <c r="T7" s="24">
        <v>0</v>
      </c>
      <c r="U7" s="24">
        <v>0</v>
      </c>
      <c r="V7" s="24">
        <v>0</v>
      </c>
      <c r="W7" s="24">
        <v>0</v>
      </c>
      <c r="X7" s="24">
        <v>0</v>
      </c>
      <c r="Y7" s="24">
        <v>0</v>
      </c>
      <c r="Z7" s="24">
        <v>0</v>
      </c>
      <c r="AA7" s="24">
        <v>0</v>
      </c>
      <c r="AB7" s="24">
        <v>0</v>
      </c>
      <c r="AC7" s="24">
        <v>0</v>
      </c>
      <c r="AD7" s="24">
        <v>0</v>
      </c>
      <c r="AE7" s="24">
        <v>0</v>
      </c>
      <c r="AF7" s="24">
        <v>0</v>
      </c>
      <c r="AG7" s="24">
        <v>0</v>
      </c>
      <c r="AH7" s="24">
        <v>0</v>
      </c>
      <c r="AI7" s="48">
        <v>30001</v>
      </c>
      <c r="AJ7" s="48">
        <v>30002</v>
      </c>
      <c r="AK7" s="48">
        <v>30003</v>
      </c>
      <c r="AL7" s="48">
        <v>30004</v>
      </c>
      <c r="AM7" s="48">
        <v>30005</v>
      </c>
      <c r="AN7" s="25">
        <v>0</v>
      </c>
      <c r="AO7" s="49" t="s"/>
      <c r="AP7" s="50">
        <v>100</v>
      </c>
      <c r="AQ7" s="51" t="s">
        <v>1131</v>
      </c>
      <c r="AR7" s="51">
        <f>=F7*247.95</f>
        <v>247949752.05</v>
      </c>
      <c r="AS7" s="51">
        <f>=G7*32.6061</f>
        <v>3260.61</v>
      </c>
      <c r="AT7" s="51">
        <f>=J7*2.35</f>
        <v>10906.35</v>
      </c>
      <c r="AU7" s="47">
        <f>=H7*15.88</f>
        <v>1318.04</v>
      </c>
    </row>
    <row r="8" spans="1:47">
      <c r="A8" s="24" t="s">
        <v>1128</v>
      </c>
      <c r="B8" s="24">
        <v>11233</v>
      </c>
      <c r="C8" s="24" t="s">
        <v>1129</v>
      </c>
      <c r="D8" s="24" t="s">
        <v>1130</v>
      </c>
      <c r="E8" s="24">
        <v>7</v>
      </c>
      <c r="F8" s="24">
        <v>999999</v>
      </c>
      <c r="G8" s="24">
        <v>100</v>
      </c>
      <c r="H8" s="24">
        <v>83</v>
      </c>
      <c r="I8" s="25">
        <v>0.5</v>
      </c>
      <c r="J8" s="24">
        <v>2142</v>
      </c>
      <c r="K8" s="24" t="b">
        <v>1</v>
      </c>
      <c r="L8" s="25">
        <v>0</v>
      </c>
      <c r="M8" s="47">
        <v>2</v>
      </c>
      <c r="N8" s="25">
        <v>0.0268</v>
      </c>
      <c r="O8" s="47">
        <v>37.3134328</v>
      </c>
      <c r="P8" s="25">
        <v>0</v>
      </c>
      <c r="Q8" s="24">
        <v>3</v>
      </c>
      <c r="R8" s="24">
        <v>5</v>
      </c>
      <c r="S8" s="25">
        <v>0.75</v>
      </c>
      <c r="T8" s="24">
        <v>0</v>
      </c>
      <c r="U8" s="24">
        <v>0</v>
      </c>
      <c r="V8" s="24">
        <v>0</v>
      </c>
      <c r="W8" s="24">
        <v>0</v>
      </c>
      <c r="X8" s="24">
        <v>0</v>
      </c>
      <c r="Y8" s="24">
        <v>0</v>
      </c>
      <c r="Z8" s="24">
        <v>0</v>
      </c>
      <c r="AA8" s="24">
        <v>0</v>
      </c>
      <c r="AB8" s="24">
        <v>0</v>
      </c>
      <c r="AC8" s="24">
        <v>0</v>
      </c>
      <c r="AD8" s="24">
        <v>0</v>
      </c>
      <c r="AE8" s="24">
        <v>0</v>
      </c>
      <c r="AF8" s="24">
        <v>0</v>
      </c>
      <c r="AG8" s="24">
        <v>0</v>
      </c>
      <c r="AH8" s="24">
        <v>0</v>
      </c>
      <c r="AI8" s="48">
        <v>30001</v>
      </c>
      <c r="AJ8" s="48">
        <v>30002</v>
      </c>
      <c r="AK8" s="48">
        <v>30003</v>
      </c>
      <c r="AL8" s="48">
        <v>30004</v>
      </c>
      <c r="AM8" s="48">
        <v>30005</v>
      </c>
      <c r="AN8" s="25">
        <v>0</v>
      </c>
      <c r="AO8" s="49" t="s"/>
      <c r="AP8" s="50">
        <v>100</v>
      </c>
      <c r="AQ8" s="51" t="s">
        <v>1131</v>
      </c>
      <c r="AR8" s="51">
        <f>=F8*247.95</f>
        <v>247949752.05</v>
      </c>
      <c r="AS8" s="51">
        <f>=G8*32.6061</f>
        <v>3260.61</v>
      </c>
      <c r="AT8" s="51">
        <f>=J8*2.35</f>
        <v>5033.7</v>
      </c>
      <c r="AU8" s="47">
        <f>=H8*15.88</f>
        <v>1318.04</v>
      </c>
    </row>
    <row r="9" spans="1:47">
      <c r="A9" s="24" t="s">
        <v>1128</v>
      </c>
      <c r="B9" s="24">
        <v>11233</v>
      </c>
      <c r="C9" s="24" t="s">
        <v>1129</v>
      </c>
      <c r="D9" s="24" t="s">
        <v>1130</v>
      </c>
      <c r="E9" s="24">
        <v>8</v>
      </c>
      <c r="F9" s="24">
        <v>8558</v>
      </c>
      <c r="G9" s="24">
        <v>100</v>
      </c>
      <c r="H9" s="24">
        <v>83</v>
      </c>
      <c r="I9" s="25">
        <v>0.5</v>
      </c>
      <c r="J9" s="24">
        <v>3570</v>
      </c>
      <c r="K9" s="24" t="b">
        <v>1</v>
      </c>
      <c r="L9" s="25">
        <v>0</v>
      </c>
      <c r="M9" s="47">
        <v>2</v>
      </c>
      <c r="N9" s="25">
        <v>0.0298</v>
      </c>
      <c r="O9" s="47">
        <v>33.557047</v>
      </c>
      <c r="P9" s="25">
        <v>0</v>
      </c>
      <c r="Q9" s="24">
        <v>3</v>
      </c>
      <c r="R9" s="24">
        <v>5</v>
      </c>
      <c r="S9" s="25">
        <v>0.75</v>
      </c>
      <c r="T9" s="24">
        <v>0</v>
      </c>
      <c r="U9" s="24">
        <v>0</v>
      </c>
      <c r="V9" s="24">
        <v>0</v>
      </c>
      <c r="W9" s="24">
        <v>0</v>
      </c>
      <c r="X9" s="24">
        <v>0</v>
      </c>
      <c r="Y9" s="24">
        <v>0</v>
      </c>
      <c r="Z9" s="24">
        <v>0</v>
      </c>
      <c r="AA9" s="24">
        <v>0</v>
      </c>
      <c r="AB9" s="24">
        <v>0</v>
      </c>
      <c r="AC9" s="24">
        <v>0</v>
      </c>
      <c r="AD9" s="24">
        <v>0</v>
      </c>
      <c r="AE9" s="24">
        <v>0</v>
      </c>
      <c r="AF9" s="24">
        <v>0</v>
      </c>
      <c r="AG9" s="24">
        <v>0</v>
      </c>
      <c r="AH9" s="24">
        <v>0</v>
      </c>
      <c r="AI9" s="48">
        <v>30001</v>
      </c>
      <c r="AJ9" s="48">
        <v>30002</v>
      </c>
      <c r="AK9" s="48">
        <v>30003</v>
      </c>
      <c r="AL9" s="48">
        <v>30004</v>
      </c>
      <c r="AM9" s="48">
        <v>30005</v>
      </c>
      <c r="AN9" s="25">
        <v>0</v>
      </c>
      <c r="AO9" s="49" t="s"/>
      <c r="AP9" s="50">
        <v>100</v>
      </c>
      <c r="AQ9" s="51" t="s">
        <v>1131</v>
      </c>
      <c r="AR9" s="51">
        <f>=F9*247.95</f>
        <v>2121956.1</v>
      </c>
      <c r="AS9" s="51">
        <f>=G9*32.6061</f>
        <v>3260.61</v>
      </c>
      <c r="AT9" s="51">
        <f>=J9*2.35</f>
        <v>8389.5</v>
      </c>
      <c r="AU9" s="47">
        <f>=H9*15.88</f>
        <v>1318.04</v>
      </c>
    </row>
    <row r="10" spans="1:47">
      <c r="A10" s="24" t="s">
        <v>1132</v>
      </c>
      <c r="B10" s="24">
        <v>11156</v>
      </c>
      <c r="C10" s="24" t="s">
        <v>1133</v>
      </c>
      <c r="D10" s="24" t="s">
        <v>1134</v>
      </c>
      <c r="E10" s="24">
        <v>9</v>
      </c>
      <c r="F10" s="24">
        <v>52500</v>
      </c>
      <c r="G10" s="24">
        <v>120</v>
      </c>
      <c r="H10" s="24">
        <v>60</v>
      </c>
      <c r="I10" s="25">
        <v>0.5</v>
      </c>
      <c r="J10" s="24">
        <v>6100</v>
      </c>
      <c r="K10" s="24" t="b">
        <v>1</v>
      </c>
      <c r="L10" s="25">
        <v>0</v>
      </c>
      <c r="M10" s="47">
        <v>0</v>
      </c>
      <c r="N10" s="25">
        <v>0.0833</v>
      </c>
      <c r="O10" s="47">
        <v>12.0048019</v>
      </c>
      <c r="P10" s="25">
        <v>0.5</v>
      </c>
      <c r="Q10" s="24">
        <v>3</v>
      </c>
      <c r="R10" s="24">
        <v>5</v>
      </c>
      <c r="S10" s="25">
        <v>0.75</v>
      </c>
      <c r="T10" s="24">
        <v>0</v>
      </c>
      <c r="U10" s="24">
        <v>0</v>
      </c>
      <c r="V10" s="24">
        <v>0</v>
      </c>
      <c r="W10" s="24">
        <v>0</v>
      </c>
      <c r="X10" s="24">
        <v>0</v>
      </c>
      <c r="Y10" s="24">
        <v>0</v>
      </c>
      <c r="Z10" s="24">
        <v>0</v>
      </c>
      <c r="AA10" s="24">
        <v>0</v>
      </c>
      <c r="AB10" s="24">
        <v>0</v>
      </c>
      <c r="AC10" s="24">
        <v>0</v>
      </c>
      <c r="AD10" s="24">
        <v>0</v>
      </c>
      <c r="AE10" s="24">
        <v>0</v>
      </c>
      <c r="AF10" s="24">
        <v>0</v>
      </c>
      <c r="AG10" s="24">
        <v>0</v>
      </c>
      <c r="AH10" s="24">
        <v>0</v>
      </c>
      <c r="AI10" s="48">
        <v>30001</v>
      </c>
      <c r="AJ10" s="48">
        <v>30002</v>
      </c>
      <c r="AK10" s="48">
        <v>30003</v>
      </c>
      <c r="AL10" s="48">
        <v>30004</v>
      </c>
      <c r="AM10" s="48">
        <v>30005</v>
      </c>
      <c r="AN10" s="25">
        <v>0.2</v>
      </c>
      <c r="AO10" s="49" t="s"/>
      <c r="AP10" s="50">
        <v>100</v>
      </c>
      <c r="AQ10" s="51" t="s">
        <v>1135</v>
      </c>
      <c r="AR10" s="51">
        <f>=F10*247.95</f>
        <v>13017375</v>
      </c>
      <c r="AS10" s="51">
        <f>=G10*32.6061</f>
        <v>3912.732</v>
      </c>
      <c r="AT10" s="51">
        <f>=J10*2.35</f>
        <v>14335</v>
      </c>
      <c r="AU10" s="47">
        <f>=H10*15.88</f>
        <v>952.8</v>
      </c>
    </row>
    <row r="11" spans="1:47">
      <c r="A11" s="24" t="s">
        <v>1128</v>
      </c>
      <c r="B11" s="24">
        <v>11233</v>
      </c>
      <c r="C11" s="24" t="s">
        <v>1129</v>
      </c>
      <c r="D11" s="24" t="s">
        <v>1130</v>
      </c>
      <c r="E11" s="24">
        <v>10</v>
      </c>
      <c r="F11" s="24">
        <v>9999999</v>
      </c>
      <c r="G11" s="24">
        <v>180</v>
      </c>
      <c r="H11" s="24">
        <v>60</v>
      </c>
      <c r="I11" s="25">
        <v>0.5</v>
      </c>
      <c r="J11" s="24">
        <v>5543</v>
      </c>
      <c r="K11" s="24" t="b">
        <v>1</v>
      </c>
      <c r="L11" s="25">
        <v>0</v>
      </c>
      <c r="M11" s="47">
        <v>0</v>
      </c>
      <c r="N11" s="25">
        <v>0.0833</v>
      </c>
      <c r="O11" s="47">
        <v>12.0048019</v>
      </c>
      <c r="P11" s="25">
        <v>0.5</v>
      </c>
      <c r="Q11" s="24">
        <v>3</v>
      </c>
      <c r="R11" s="24">
        <v>5</v>
      </c>
      <c r="S11" s="25">
        <v>0.75</v>
      </c>
      <c r="T11" s="24">
        <v>0</v>
      </c>
      <c r="U11" s="24">
        <v>0</v>
      </c>
      <c r="V11" s="24">
        <v>0</v>
      </c>
      <c r="W11" s="24">
        <v>0</v>
      </c>
      <c r="X11" s="24">
        <v>0</v>
      </c>
      <c r="Y11" s="24">
        <v>0</v>
      </c>
      <c r="Z11" s="24">
        <v>0</v>
      </c>
      <c r="AA11" s="24">
        <v>0</v>
      </c>
      <c r="AB11" s="24">
        <v>0</v>
      </c>
      <c r="AC11" s="24">
        <v>0</v>
      </c>
      <c r="AD11" s="24">
        <v>0</v>
      </c>
      <c r="AE11" s="24">
        <v>0</v>
      </c>
      <c r="AF11" s="24">
        <v>0</v>
      </c>
      <c r="AG11" s="24">
        <v>0</v>
      </c>
      <c r="AH11" s="24">
        <v>0</v>
      </c>
      <c r="AI11" s="48">
        <v>30001</v>
      </c>
      <c r="AJ11" s="48">
        <v>30002</v>
      </c>
      <c r="AK11" s="48">
        <v>30003</v>
      </c>
      <c r="AL11" s="48">
        <v>30004</v>
      </c>
      <c r="AM11" s="48">
        <v>30005</v>
      </c>
      <c r="AN11" s="25">
        <v>0</v>
      </c>
      <c r="AO11" s="49" t="s"/>
      <c r="AP11" s="50">
        <v>100</v>
      </c>
      <c r="AQ11" s="51" t="s">
        <v>1131</v>
      </c>
      <c r="AR11" s="51">
        <f>=F11*247.95</f>
        <v>2479499752.05</v>
      </c>
      <c r="AS11" s="51">
        <f>=G11*32.6061</f>
        <v>5869.098</v>
      </c>
      <c r="AT11" s="51">
        <f>=J11*2.35</f>
        <v>13026.05</v>
      </c>
      <c r="AU11" s="47">
        <f>=H11*15.88</f>
        <v>952.8</v>
      </c>
    </row>
    <row r="12" spans="1:47">
      <c r="A12" s="24" t="s">
        <v>1124</v>
      </c>
      <c r="B12" s="24">
        <v>11011</v>
      </c>
      <c r="C12" s="24" t="s">
        <v>1125</v>
      </c>
      <c r="D12" s="24" t="s">
        <v>1126</v>
      </c>
      <c r="E12" s="24">
        <v>12</v>
      </c>
      <c r="F12" s="24">
        <v>999999</v>
      </c>
      <c r="G12" s="24">
        <v>38</v>
      </c>
      <c r="H12" s="24">
        <v>50</v>
      </c>
      <c r="I12" s="25">
        <v>0.5</v>
      </c>
      <c r="J12" s="24">
        <v>473</v>
      </c>
      <c r="K12" s="24" t="b">
        <v>1</v>
      </c>
      <c r="L12" s="25">
        <v>0</v>
      </c>
      <c r="M12" s="47">
        <v>3</v>
      </c>
      <c r="N12" s="25">
        <v>0.1</v>
      </c>
      <c r="O12" s="47">
        <v>10</v>
      </c>
      <c r="P12" s="25">
        <v>0</v>
      </c>
      <c r="Q12" s="24">
        <v>1</v>
      </c>
      <c r="R12" s="24">
        <v>1</v>
      </c>
      <c r="S12" s="25">
        <v>0</v>
      </c>
      <c r="T12" s="24">
        <v>0</v>
      </c>
      <c r="U12" s="24">
        <v>0</v>
      </c>
      <c r="V12" s="24">
        <v>0</v>
      </c>
      <c r="W12" s="24">
        <v>0</v>
      </c>
      <c r="X12" s="24">
        <v>0</v>
      </c>
      <c r="Y12" s="24">
        <v>0</v>
      </c>
      <c r="Z12" s="24">
        <v>0</v>
      </c>
      <c r="AA12" s="24">
        <v>0</v>
      </c>
      <c r="AB12" s="24">
        <v>0</v>
      </c>
      <c r="AC12" s="24">
        <v>0</v>
      </c>
      <c r="AD12" s="24">
        <v>0</v>
      </c>
      <c r="AE12" s="24">
        <v>0</v>
      </c>
      <c r="AF12" s="24">
        <v>0</v>
      </c>
      <c r="AG12" s="24">
        <v>0</v>
      </c>
      <c r="AH12" s="24">
        <v>0</v>
      </c>
      <c r="AI12" s="48">
        <v>10001</v>
      </c>
      <c r="AJ12" s="48">
        <v>10012</v>
      </c>
      <c r="AK12" s="48">
        <v>10003</v>
      </c>
      <c r="AL12" s="48">
        <v>10004</v>
      </c>
      <c r="AM12" s="48">
        <v>10005</v>
      </c>
      <c r="AN12" s="25">
        <v>0</v>
      </c>
      <c r="AO12" s="49" t="s"/>
      <c r="AP12" s="50">
        <v>100</v>
      </c>
      <c r="AQ12" s="51" t="s">
        <v>1127</v>
      </c>
      <c r="AR12" s="51">
        <f>=F12*247.95</f>
        <v>247949752.05</v>
      </c>
      <c r="AS12" s="51">
        <f>=G12*32.6061</f>
        <v>1239.0318</v>
      </c>
      <c r="AT12" s="51">
        <f>=J12*2.35</f>
        <v>1111.55</v>
      </c>
      <c r="AU12" s="47">
        <f>=H12*15.88</f>
        <v>794</v>
      </c>
    </row>
    <row r="13" spans="1:47">
      <c r="A13" s="24" t="s">
        <v>1136</v>
      </c>
      <c r="B13" s="24">
        <v>11236</v>
      </c>
      <c r="C13" s="24" t="s">
        <v>1137</v>
      </c>
      <c r="D13" s="24" t="s">
        <v>1138</v>
      </c>
      <c r="E13" s="24">
        <v>199011236</v>
      </c>
      <c r="F13" s="24">
        <v>16778</v>
      </c>
      <c r="G13" s="24">
        <v>120</v>
      </c>
      <c r="H13" s="24">
        <v>60</v>
      </c>
      <c r="I13" s="25">
        <v>0.5</v>
      </c>
      <c r="J13" s="24">
        <v>5543</v>
      </c>
      <c r="K13" s="24" t="b">
        <v>1</v>
      </c>
      <c r="L13" s="25">
        <v>0</v>
      </c>
      <c r="M13" s="47">
        <v>0</v>
      </c>
      <c r="N13" s="25">
        <v>0.0833</v>
      </c>
      <c r="O13" s="47">
        <v>12.0048019</v>
      </c>
      <c r="P13" s="25">
        <v>0.5</v>
      </c>
      <c r="Q13" s="24">
        <v>3</v>
      </c>
      <c r="R13" s="24">
        <v>5</v>
      </c>
      <c r="S13" s="25">
        <v>0.75</v>
      </c>
      <c r="T13" s="24">
        <v>-0.2</v>
      </c>
      <c r="U13" s="24">
        <v>0</v>
      </c>
      <c r="V13" s="24">
        <v>0</v>
      </c>
      <c r="W13" s="24">
        <v>0</v>
      </c>
      <c r="X13" s="24">
        <v>-0.2</v>
      </c>
      <c r="Y13" s="24">
        <v>-0.2</v>
      </c>
      <c r="Z13" s="24">
        <v>0</v>
      </c>
      <c r="AA13" s="24">
        <v>0</v>
      </c>
      <c r="AB13" s="24">
        <v>0</v>
      </c>
      <c r="AC13" s="24">
        <v>-0.2</v>
      </c>
      <c r="AD13" s="24">
        <v>-0.2</v>
      </c>
      <c r="AE13" s="24">
        <v>0</v>
      </c>
      <c r="AF13" s="24">
        <v>0</v>
      </c>
      <c r="AG13" s="24">
        <v>0</v>
      </c>
      <c r="AH13" s="24">
        <v>-0.2</v>
      </c>
      <c r="AI13" s="48">
        <v>30001</v>
      </c>
      <c r="AJ13" s="48">
        <v>30002</v>
      </c>
      <c r="AK13" s="48">
        <v>30003</v>
      </c>
      <c r="AL13" s="48">
        <v>30004</v>
      </c>
      <c r="AM13" s="48">
        <v>30015</v>
      </c>
      <c r="AN13" s="25">
        <v>0</v>
      </c>
      <c r="AO13" s="49">
        <v>5</v>
      </c>
      <c r="AP13" s="50">
        <v>100</v>
      </c>
      <c r="AQ13" s="51" t="s">
        <v>1139</v>
      </c>
      <c r="AR13" s="51">
        <f>=F13*247.95</f>
        <v>4160105.1</v>
      </c>
      <c r="AS13" s="51">
        <f>=G13*32.6061</f>
        <v>3912.732</v>
      </c>
      <c r="AT13" s="51">
        <f>=J13*2.35</f>
        <v>13026.05</v>
      </c>
      <c r="AU13" s="47">
        <f>=H13*15.88</f>
        <v>952.8</v>
      </c>
    </row>
    <row r="14" spans="1:47">
      <c r="A14" s="24" t="s">
        <v>1140</v>
      </c>
      <c r="B14" s="24">
        <v>11021</v>
      </c>
      <c r="C14" s="24" t="s">
        <v>1141</v>
      </c>
      <c r="D14" s="24" t="s">
        <v>1142</v>
      </c>
      <c r="E14" s="24">
        <v>199110212</v>
      </c>
      <c r="F14" s="24">
        <v>767</v>
      </c>
      <c r="G14" s="24">
        <v>44</v>
      </c>
      <c r="H14" s="24">
        <v>50</v>
      </c>
      <c r="I14" s="25">
        <v>0.5</v>
      </c>
      <c r="J14" s="24">
        <v>600</v>
      </c>
      <c r="K14" s="24" t="b">
        <v>1</v>
      </c>
      <c r="L14" s="25">
        <v>0</v>
      </c>
      <c r="M14" s="47">
        <v>3</v>
      </c>
      <c r="N14" s="25">
        <v>0.1</v>
      </c>
      <c r="O14" s="47">
        <v>10</v>
      </c>
      <c r="P14" s="25">
        <v>0.5</v>
      </c>
      <c r="Q14" s="24">
        <v>1</v>
      </c>
      <c r="R14" s="24">
        <v>1</v>
      </c>
      <c r="S14" s="25">
        <v>0</v>
      </c>
      <c r="T14" s="24">
        <v>0</v>
      </c>
      <c r="U14" s="24">
        <v>-0.2</v>
      </c>
      <c r="V14" s="24">
        <v>0</v>
      </c>
      <c r="W14" s="24">
        <v>0</v>
      </c>
      <c r="X14" s="24">
        <v>0</v>
      </c>
      <c r="Y14" s="24">
        <v>0</v>
      </c>
      <c r="Z14" s="24">
        <v>-0.2</v>
      </c>
      <c r="AA14" s="24">
        <v>0</v>
      </c>
      <c r="AB14" s="24">
        <v>0</v>
      </c>
      <c r="AC14" s="24">
        <v>0</v>
      </c>
      <c r="AD14" s="24">
        <v>0</v>
      </c>
      <c r="AE14" s="24">
        <v>0</v>
      </c>
      <c r="AF14" s="24">
        <v>0</v>
      </c>
      <c r="AG14" s="24">
        <v>0</v>
      </c>
      <c r="AH14" s="24">
        <v>0</v>
      </c>
      <c r="AI14" s="48">
        <v>10001</v>
      </c>
      <c r="AJ14" s="48">
        <v>10012</v>
      </c>
      <c r="AK14" s="48">
        <v>10003</v>
      </c>
      <c r="AL14" s="48">
        <v>10004</v>
      </c>
      <c r="AM14" s="48">
        <v>10005</v>
      </c>
      <c r="AN14" s="25">
        <v>0</v>
      </c>
      <c r="AO14" s="49" t="s"/>
      <c r="AP14" s="50">
        <v>100</v>
      </c>
      <c r="AQ14" s="51" t="s">
        <v>1143</v>
      </c>
      <c r="AR14" s="51">
        <f>=F14*247.95</f>
        <v>190177.65</v>
      </c>
      <c r="AS14" s="51">
        <f>=G14*32.6061</f>
        <v>1434.6684</v>
      </c>
      <c r="AT14" s="51">
        <f>=J14*2.35</f>
        <v>1410</v>
      </c>
      <c r="AU14" s="47">
        <f>=H14*15.88</f>
        <v>794</v>
      </c>
    </row>
    <row r="15" spans="1:47">
      <c r="A15" s="24" t="s">
        <v>1140</v>
      </c>
      <c r="B15" s="24">
        <v>11021</v>
      </c>
      <c r="C15" s="24" t="s">
        <v>1141</v>
      </c>
      <c r="D15" s="24" t="s">
        <v>1142</v>
      </c>
      <c r="E15" s="24">
        <v>199110213</v>
      </c>
      <c r="F15" s="24">
        <v>767</v>
      </c>
      <c r="G15" s="24">
        <v>44</v>
      </c>
      <c r="H15" s="24">
        <v>50</v>
      </c>
      <c r="I15" s="25">
        <v>0.5</v>
      </c>
      <c r="J15" s="24">
        <v>600</v>
      </c>
      <c r="K15" s="24" t="b">
        <v>1</v>
      </c>
      <c r="L15" s="25">
        <v>0</v>
      </c>
      <c r="M15" s="47">
        <v>3</v>
      </c>
      <c r="N15" s="25">
        <v>0.1</v>
      </c>
      <c r="O15" s="47">
        <v>10</v>
      </c>
      <c r="P15" s="25">
        <v>0.5</v>
      </c>
      <c r="Q15" s="24">
        <v>1</v>
      </c>
      <c r="R15" s="24">
        <v>1</v>
      </c>
      <c r="S15" s="25">
        <v>0</v>
      </c>
      <c r="T15" s="24">
        <v>0</v>
      </c>
      <c r="U15" s="24">
        <v>-0.2</v>
      </c>
      <c r="V15" s="24">
        <v>0</v>
      </c>
      <c r="W15" s="24">
        <v>0</v>
      </c>
      <c r="X15" s="24">
        <v>0</v>
      </c>
      <c r="Y15" s="24">
        <v>0</v>
      </c>
      <c r="Z15" s="24">
        <v>-0.2</v>
      </c>
      <c r="AA15" s="24">
        <v>0</v>
      </c>
      <c r="AB15" s="24">
        <v>0</v>
      </c>
      <c r="AC15" s="24">
        <v>0</v>
      </c>
      <c r="AD15" s="24">
        <v>0</v>
      </c>
      <c r="AE15" s="24">
        <v>0</v>
      </c>
      <c r="AF15" s="24">
        <v>0</v>
      </c>
      <c r="AG15" s="24">
        <v>0</v>
      </c>
      <c r="AH15" s="24">
        <v>0</v>
      </c>
      <c r="AI15" s="48">
        <v>10001</v>
      </c>
      <c r="AJ15" s="48">
        <v>10012</v>
      </c>
      <c r="AK15" s="48">
        <v>10003</v>
      </c>
      <c r="AL15" s="48">
        <v>10004</v>
      </c>
      <c r="AM15" s="48">
        <v>10005</v>
      </c>
      <c r="AN15" s="25">
        <v>0</v>
      </c>
      <c r="AO15" s="49" t="s"/>
      <c r="AP15" s="50">
        <v>100</v>
      </c>
      <c r="AQ15" s="51" t="s">
        <v>1143</v>
      </c>
      <c r="AR15" s="51">
        <f>=F15*247.95</f>
        <v>190177.65</v>
      </c>
      <c r="AS15" s="51">
        <f>=G15*32.6061</f>
        <v>1434.6684</v>
      </c>
      <c r="AT15" s="51">
        <f>=J15*2.35</f>
        <v>1410</v>
      </c>
      <c r="AU15" s="47">
        <f>=H15*15.88</f>
        <v>794</v>
      </c>
    </row>
    <row r="16" spans="1:47">
      <c r="A16" s="24" t="s">
        <v>1144</v>
      </c>
      <c r="B16" s="24">
        <v>11096</v>
      </c>
      <c r="C16" s="24" t="s">
        <v>1145</v>
      </c>
      <c r="D16" s="24" t="s">
        <v>1146</v>
      </c>
      <c r="E16" s="24">
        <v>199110961</v>
      </c>
      <c r="F16" s="24">
        <v>80</v>
      </c>
      <c r="G16" s="24">
        <v>48</v>
      </c>
      <c r="H16" s="24">
        <v>45</v>
      </c>
      <c r="I16" s="25">
        <v>0.5</v>
      </c>
      <c r="J16" s="24">
        <v>0</v>
      </c>
      <c r="K16" s="24" t="b">
        <v>0</v>
      </c>
      <c r="L16" s="25">
        <v>0</v>
      </c>
      <c r="M16" s="47">
        <v>3</v>
      </c>
      <c r="N16" s="25">
        <v>0.1</v>
      </c>
      <c r="O16" s="47">
        <v>10</v>
      </c>
      <c r="P16" s="25">
        <v>0.5</v>
      </c>
      <c r="Q16" s="24">
        <v>1</v>
      </c>
      <c r="R16" s="24">
        <v>1</v>
      </c>
      <c r="S16" s="25">
        <v>0</v>
      </c>
      <c r="T16" s="24">
        <v>0</v>
      </c>
      <c r="U16" s="24">
        <v>0</v>
      </c>
      <c r="V16" s="24">
        <v>0</v>
      </c>
      <c r="W16" s="24">
        <v>0</v>
      </c>
      <c r="X16" s="24">
        <v>-0.2</v>
      </c>
      <c r="Y16" s="24">
        <v>0</v>
      </c>
      <c r="Z16" s="24">
        <v>0</v>
      </c>
      <c r="AA16" s="24">
        <v>0</v>
      </c>
      <c r="AB16" s="24">
        <v>0</v>
      </c>
      <c r="AC16" s="24">
        <v>-0.2</v>
      </c>
      <c r="AD16" s="24">
        <v>0</v>
      </c>
      <c r="AE16" s="24">
        <v>0</v>
      </c>
      <c r="AF16" s="24">
        <v>0</v>
      </c>
      <c r="AG16" s="24">
        <v>0</v>
      </c>
      <c r="AH16" s="24">
        <v>0</v>
      </c>
      <c r="AI16" s="48">
        <v>10101</v>
      </c>
      <c r="AJ16" s="48">
        <v>10102</v>
      </c>
      <c r="AK16" s="48">
        <v>10103</v>
      </c>
      <c r="AL16" s="48">
        <v>10104</v>
      </c>
      <c r="AM16" s="48">
        <v>10115</v>
      </c>
      <c r="AN16" s="25">
        <v>0</v>
      </c>
      <c r="AO16" s="49" t="s"/>
      <c r="AP16" s="50">
        <v>100</v>
      </c>
      <c r="AQ16" s="51" t="s">
        <v>1147</v>
      </c>
      <c r="AR16" s="51">
        <f>=F16*247.95</f>
        <v>19836</v>
      </c>
      <c r="AS16" s="51">
        <f>=G16*32.6061</f>
        <v>1565.0928</v>
      </c>
      <c r="AT16" s="51">
        <f>=J16*2.35</f>
        <v>0</v>
      </c>
      <c r="AU16" s="47">
        <f>=H16*15.88</f>
        <v>714.6</v>
      </c>
    </row>
    <row r="17" spans="1:47">
      <c r="A17" s="24" t="s">
        <v>1148</v>
      </c>
      <c r="B17" s="24">
        <v>11103</v>
      </c>
      <c r="C17" s="24" t="s">
        <v>1149</v>
      </c>
      <c r="D17" s="24" t="s">
        <v>1150</v>
      </c>
      <c r="E17" s="24">
        <v>199111031</v>
      </c>
      <c r="F17" s="24">
        <v>80</v>
      </c>
      <c r="G17" s="24">
        <v>48</v>
      </c>
      <c r="H17" s="24">
        <v>45</v>
      </c>
      <c r="I17" s="25">
        <v>0.5</v>
      </c>
      <c r="J17" s="24">
        <v>0</v>
      </c>
      <c r="K17" s="24" t="b">
        <v>0</v>
      </c>
      <c r="L17" s="25">
        <v>0</v>
      </c>
      <c r="M17" s="47">
        <v>3</v>
      </c>
      <c r="N17" s="25">
        <v>0.1</v>
      </c>
      <c r="O17" s="47">
        <v>10</v>
      </c>
      <c r="P17" s="25">
        <v>0.5</v>
      </c>
      <c r="Q17" s="24">
        <v>1</v>
      </c>
      <c r="R17" s="24">
        <v>1</v>
      </c>
      <c r="S17" s="25">
        <v>0</v>
      </c>
      <c r="T17" s="24">
        <v>0</v>
      </c>
      <c r="U17" s="24">
        <v>0</v>
      </c>
      <c r="V17" s="24">
        <v>0</v>
      </c>
      <c r="W17" s="24">
        <v>0</v>
      </c>
      <c r="X17" s="24">
        <v>-0.2</v>
      </c>
      <c r="Y17" s="24">
        <v>0</v>
      </c>
      <c r="Z17" s="24">
        <v>0</v>
      </c>
      <c r="AA17" s="24">
        <v>0</v>
      </c>
      <c r="AB17" s="24">
        <v>0</v>
      </c>
      <c r="AC17" s="24">
        <v>-0.2</v>
      </c>
      <c r="AD17" s="24">
        <v>0</v>
      </c>
      <c r="AE17" s="24">
        <v>0</v>
      </c>
      <c r="AF17" s="24">
        <v>0</v>
      </c>
      <c r="AG17" s="24">
        <v>0</v>
      </c>
      <c r="AH17" s="24">
        <v>0</v>
      </c>
      <c r="AI17" s="48">
        <v>10101</v>
      </c>
      <c r="AJ17" s="48">
        <v>10102</v>
      </c>
      <c r="AK17" s="48">
        <v>10103</v>
      </c>
      <c r="AL17" s="48">
        <v>10104</v>
      </c>
      <c r="AM17" s="48">
        <v>10115</v>
      </c>
      <c r="AN17" s="25">
        <v>0</v>
      </c>
      <c r="AO17" s="49" t="s"/>
      <c r="AP17" s="50">
        <v>100</v>
      </c>
      <c r="AQ17" s="51" t="s">
        <v>1147</v>
      </c>
      <c r="AR17" s="51">
        <f>=F17*247.95</f>
        <v>19836</v>
      </c>
      <c r="AS17" s="51">
        <f>=G17*32.6061</f>
        <v>1565.0928</v>
      </c>
      <c r="AT17" s="51">
        <f>=J17*2.35</f>
        <v>0</v>
      </c>
      <c r="AU17" s="47">
        <f>=H17*15.88</f>
        <v>714.6</v>
      </c>
    </row>
    <row r="18" spans="1:47">
      <c r="A18" s="24" t="s">
        <v>1151</v>
      </c>
      <c r="B18" s="24">
        <v>11047</v>
      </c>
      <c r="C18" s="24" t="s">
        <v>1152</v>
      </c>
      <c r="D18" s="24" t="s">
        <v>1153</v>
      </c>
      <c r="E18" s="24">
        <v>199111047</v>
      </c>
      <c r="F18" s="24">
        <v>999999</v>
      </c>
      <c r="G18" s="24">
        <v>84</v>
      </c>
      <c r="H18" s="24">
        <v>54</v>
      </c>
      <c r="I18" s="25">
        <v>0.5</v>
      </c>
      <c r="J18" s="24">
        <v>2817</v>
      </c>
      <c r="K18" s="24" t="b">
        <v>1</v>
      </c>
      <c r="L18" s="25">
        <v>0</v>
      </c>
      <c r="M18" s="47">
        <v>0</v>
      </c>
      <c r="N18" s="25">
        <v>0.1</v>
      </c>
      <c r="O18" s="47">
        <v>10</v>
      </c>
      <c r="P18" s="25">
        <v>0.5</v>
      </c>
      <c r="Q18" s="24">
        <v>2</v>
      </c>
      <c r="R18" s="24">
        <v>3</v>
      </c>
      <c r="S18" s="25">
        <v>0.5</v>
      </c>
      <c r="T18" s="24">
        <v>0</v>
      </c>
      <c r="U18" s="24">
        <v>0</v>
      </c>
      <c r="V18" s="24">
        <v>0</v>
      </c>
      <c r="W18" s="24">
        <v>0</v>
      </c>
      <c r="X18" s="24">
        <v>0</v>
      </c>
      <c r="Y18" s="24">
        <v>0</v>
      </c>
      <c r="Z18" s="24">
        <v>0</v>
      </c>
      <c r="AA18" s="24">
        <v>0</v>
      </c>
      <c r="AB18" s="24">
        <v>0</v>
      </c>
      <c r="AC18" s="24">
        <v>0</v>
      </c>
      <c r="AD18" s="24">
        <v>0</v>
      </c>
      <c r="AE18" s="24">
        <v>0</v>
      </c>
      <c r="AF18" s="24">
        <v>0</v>
      </c>
      <c r="AG18" s="24">
        <v>0</v>
      </c>
      <c r="AH18" s="24">
        <v>0</v>
      </c>
      <c r="AI18" s="48">
        <v>20001</v>
      </c>
      <c r="AJ18" s="48">
        <v>20002</v>
      </c>
      <c r="AK18" s="48">
        <v>20003</v>
      </c>
      <c r="AL18" s="48">
        <v>20004</v>
      </c>
      <c r="AM18" s="48">
        <v>20005</v>
      </c>
      <c r="AN18" s="25">
        <v>0</v>
      </c>
      <c r="AO18" s="49" t="s"/>
      <c r="AP18" s="50">
        <v>100</v>
      </c>
      <c r="AQ18" s="51" t="s">
        <v>1154</v>
      </c>
      <c r="AR18" s="51">
        <f>=F18*247.95</f>
        <v>247949752.05</v>
      </c>
      <c r="AS18" s="51">
        <f>=G18*32.6061</f>
        <v>2738.9124</v>
      </c>
      <c r="AT18" s="51">
        <f>=J18*2.35</f>
        <v>6619.95</v>
      </c>
      <c r="AU18" s="47">
        <f>=H18*15.88</f>
        <v>857.52</v>
      </c>
    </row>
    <row r="19" spans="1:47">
      <c r="A19" s="24" t="s">
        <v>1155</v>
      </c>
      <c r="B19" s="24">
        <v>11241</v>
      </c>
      <c r="C19" s="24" t="s">
        <v>1156</v>
      </c>
      <c r="D19" s="24" t="s">
        <v>1157</v>
      </c>
      <c r="E19" s="24">
        <v>199112411</v>
      </c>
      <c r="F19" s="24">
        <v>30</v>
      </c>
      <c r="G19" s="24">
        <v>48</v>
      </c>
      <c r="H19" s="24">
        <v>45</v>
      </c>
      <c r="I19" s="25">
        <v>0.5</v>
      </c>
      <c r="J19" s="24">
        <v>0</v>
      </c>
      <c r="K19" s="24" t="b">
        <v>0</v>
      </c>
      <c r="L19" s="25">
        <v>0</v>
      </c>
      <c r="M19" s="47">
        <v>3</v>
      </c>
      <c r="N19" s="25">
        <v>0.1</v>
      </c>
      <c r="O19" s="47">
        <v>10</v>
      </c>
      <c r="P19" s="25">
        <v>0.5</v>
      </c>
      <c r="Q19" s="24">
        <v>1</v>
      </c>
      <c r="R19" s="24">
        <v>1</v>
      </c>
      <c r="S19" s="25">
        <v>0</v>
      </c>
      <c r="T19" s="24">
        <v>0</v>
      </c>
      <c r="U19" s="24">
        <v>0</v>
      </c>
      <c r="V19" s="24">
        <v>0</v>
      </c>
      <c r="W19" s="24">
        <v>0</v>
      </c>
      <c r="X19" s="24">
        <v>-0.2</v>
      </c>
      <c r="Y19" s="24">
        <v>0</v>
      </c>
      <c r="Z19" s="24">
        <v>0</v>
      </c>
      <c r="AA19" s="24">
        <v>0</v>
      </c>
      <c r="AB19" s="24">
        <v>0</v>
      </c>
      <c r="AC19" s="24">
        <v>-0.2</v>
      </c>
      <c r="AD19" s="24">
        <v>0</v>
      </c>
      <c r="AE19" s="24">
        <v>0</v>
      </c>
      <c r="AF19" s="24">
        <v>0</v>
      </c>
      <c r="AG19" s="24">
        <v>0</v>
      </c>
      <c r="AH19" s="24">
        <v>0</v>
      </c>
      <c r="AI19" s="48">
        <v>10101</v>
      </c>
      <c r="AJ19" s="48">
        <v>10102</v>
      </c>
      <c r="AK19" s="48">
        <v>10103</v>
      </c>
      <c r="AL19" s="48">
        <v>10104</v>
      </c>
      <c r="AM19" s="48">
        <v>10115</v>
      </c>
      <c r="AN19" s="25">
        <v>0</v>
      </c>
      <c r="AO19" s="49" t="s"/>
      <c r="AP19" s="50">
        <v>100</v>
      </c>
      <c r="AQ19" s="51" t="s">
        <v>1158</v>
      </c>
      <c r="AR19" s="51">
        <f>=F19*247.95</f>
        <v>7438.5</v>
      </c>
      <c r="AS19" s="51">
        <f>=G19*32.6061</f>
        <v>1565.0928</v>
      </c>
      <c r="AT19" s="51">
        <f>=J19*2.35</f>
        <v>0</v>
      </c>
      <c r="AU19" s="47">
        <f>=H19*15.88</f>
        <v>714.6</v>
      </c>
    </row>
    <row r="20" spans="1:47">
      <c r="A20" s="24" t="s">
        <v>1159</v>
      </c>
      <c r="B20" s="24">
        <v>11245</v>
      </c>
      <c r="C20" s="24" t="s">
        <v>1160</v>
      </c>
      <c r="D20" s="24" t="s">
        <v>1161</v>
      </c>
      <c r="E20" s="24">
        <v>199112451</v>
      </c>
      <c r="F20" s="24">
        <v>30</v>
      </c>
      <c r="G20" s="24">
        <v>48</v>
      </c>
      <c r="H20" s="24">
        <v>45</v>
      </c>
      <c r="I20" s="25">
        <v>0.5</v>
      </c>
      <c r="J20" s="24">
        <v>0</v>
      </c>
      <c r="K20" s="24" t="b">
        <v>0</v>
      </c>
      <c r="L20" s="25">
        <v>0</v>
      </c>
      <c r="M20" s="47">
        <v>3</v>
      </c>
      <c r="N20" s="25">
        <v>0.1</v>
      </c>
      <c r="O20" s="47">
        <v>10</v>
      </c>
      <c r="P20" s="25">
        <v>0.5</v>
      </c>
      <c r="Q20" s="24">
        <v>1</v>
      </c>
      <c r="R20" s="24">
        <v>1</v>
      </c>
      <c r="S20" s="25">
        <v>0</v>
      </c>
      <c r="T20" s="24">
        <v>0</v>
      </c>
      <c r="U20" s="24">
        <v>0</v>
      </c>
      <c r="V20" s="24">
        <v>0</v>
      </c>
      <c r="W20" s="24">
        <v>0</v>
      </c>
      <c r="X20" s="24">
        <v>-0.2</v>
      </c>
      <c r="Y20" s="24">
        <v>0</v>
      </c>
      <c r="Z20" s="24">
        <v>0</v>
      </c>
      <c r="AA20" s="24">
        <v>0</v>
      </c>
      <c r="AB20" s="24">
        <v>0</v>
      </c>
      <c r="AC20" s="24">
        <v>-0.2</v>
      </c>
      <c r="AD20" s="24">
        <v>0</v>
      </c>
      <c r="AE20" s="24">
        <v>0</v>
      </c>
      <c r="AF20" s="24">
        <v>0</v>
      </c>
      <c r="AG20" s="24">
        <v>0</v>
      </c>
      <c r="AH20" s="24">
        <v>0</v>
      </c>
      <c r="AI20" s="48">
        <v>10101</v>
      </c>
      <c r="AJ20" s="48">
        <v>10102</v>
      </c>
      <c r="AK20" s="48">
        <v>10103</v>
      </c>
      <c r="AL20" s="48">
        <v>10104</v>
      </c>
      <c r="AM20" s="48">
        <v>10115</v>
      </c>
      <c r="AN20" s="25">
        <v>0</v>
      </c>
      <c r="AO20" s="49" t="s"/>
      <c r="AP20" s="50">
        <v>100</v>
      </c>
      <c r="AQ20" s="51" t="s">
        <v>1162</v>
      </c>
      <c r="AR20" s="51">
        <f>=F20*247.95</f>
        <v>7438.5</v>
      </c>
      <c r="AS20" s="51">
        <f>=G20*32.6061</f>
        <v>1565.0928</v>
      </c>
      <c r="AT20" s="51">
        <f>=J20*2.35</f>
        <v>0</v>
      </c>
      <c r="AU20" s="47">
        <f>=H20*15.88</f>
        <v>714.6</v>
      </c>
    </row>
    <row r="21" spans="1:47">
      <c r="A21" s="24" t="s">
        <v>1151</v>
      </c>
      <c r="B21" s="24">
        <v>21101</v>
      </c>
      <c r="C21" s="24" t="s">
        <v>1152</v>
      </c>
      <c r="D21" s="24" t="s">
        <v>1153</v>
      </c>
      <c r="E21" s="24">
        <v>199211011</v>
      </c>
      <c r="F21" s="24">
        <v>982</v>
      </c>
      <c r="G21" s="24">
        <v>40</v>
      </c>
      <c r="H21" s="24">
        <v>55</v>
      </c>
      <c r="I21" s="25">
        <v>0.5</v>
      </c>
      <c r="J21" s="24">
        <v>660</v>
      </c>
      <c r="K21" s="24" t="b">
        <v>1</v>
      </c>
      <c r="L21" s="25">
        <v>0</v>
      </c>
      <c r="M21" s="47">
        <v>2.5</v>
      </c>
      <c r="N21" s="25">
        <v>0.1</v>
      </c>
      <c r="O21" s="47">
        <v>10</v>
      </c>
      <c r="P21" s="25">
        <v>0.5</v>
      </c>
      <c r="Q21" s="24">
        <v>1</v>
      </c>
      <c r="R21" s="24">
        <v>5</v>
      </c>
      <c r="S21" s="25">
        <v>0</v>
      </c>
      <c r="T21" s="24">
        <v>0</v>
      </c>
      <c r="U21" s="24">
        <v>0</v>
      </c>
      <c r="V21" s="24">
        <v>-0.2</v>
      </c>
      <c r="W21" s="24">
        <v>0.2</v>
      </c>
      <c r="X21" s="24">
        <v>0</v>
      </c>
      <c r="Y21" s="24">
        <v>0</v>
      </c>
      <c r="Z21" s="24">
        <v>0</v>
      </c>
      <c r="AA21" s="24">
        <v>-0.2</v>
      </c>
      <c r="AB21" s="24">
        <v>0.2</v>
      </c>
      <c r="AC21" s="24">
        <v>0</v>
      </c>
      <c r="AD21" s="24">
        <v>0</v>
      </c>
      <c r="AE21" s="24">
        <v>0</v>
      </c>
      <c r="AF21" s="24">
        <v>0</v>
      </c>
      <c r="AG21" s="24">
        <v>0</v>
      </c>
      <c r="AH21" s="24">
        <v>0</v>
      </c>
      <c r="AI21" s="48">
        <v>10001</v>
      </c>
      <c r="AJ21" s="48">
        <v>10002</v>
      </c>
      <c r="AK21" s="48">
        <v>10013</v>
      </c>
      <c r="AL21" s="48">
        <v>10004</v>
      </c>
      <c r="AM21" s="48">
        <v>10005</v>
      </c>
      <c r="AN21" s="25">
        <v>0</v>
      </c>
      <c r="AO21" s="49" t="s"/>
      <c r="AP21" s="50">
        <v>100</v>
      </c>
      <c r="AQ21" s="51" t="s">
        <v>1163</v>
      </c>
      <c r="AR21" s="51">
        <f>=F21*247.95</f>
        <v>243486.9</v>
      </c>
      <c r="AS21" s="51">
        <f>=G21*32.6061</f>
        <v>1304.244</v>
      </c>
      <c r="AT21" s="51">
        <f>=J21*2.35</f>
        <v>1551</v>
      </c>
      <c r="AU21" s="47">
        <f>=H21*15.88</f>
        <v>873.4</v>
      </c>
    </row>
    <row r="22" spans="1:47">
      <c r="A22" s="24" t="s">
        <v>1164</v>
      </c>
      <c r="B22" s="24">
        <v>11163</v>
      </c>
      <c r="C22" s="24" t="s">
        <v>1165</v>
      </c>
      <c r="D22" s="24" t="s">
        <v>1166</v>
      </c>
      <c r="E22" s="24">
        <v>199211242</v>
      </c>
      <c r="F22" s="24">
        <v>987</v>
      </c>
      <c r="G22" s="24">
        <v>38</v>
      </c>
      <c r="H22" s="24">
        <v>50</v>
      </c>
      <c r="I22" s="25">
        <v>0.5</v>
      </c>
      <c r="J22" s="24">
        <v>0</v>
      </c>
      <c r="K22" s="24" t="b">
        <v>0</v>
      </c>
      <c r="L22" s="25">
        <v>0</v>
      </c>
      <c r="M22" s="47">
        <v>3</v>
      </c>
      <c r="N22" s="25">
        <v>0.1</v>
      </c>
      <c r="O22" s="47">
        <v>10</v>
      </c>
      <c r="P22" s="25">
        <v>0.5</v>
      </c>
      <c r="Q22" s="24">
        <v>1</v>
      </c>
      <c r="R22" s="24">
        <v>1</v>
      </c>
      <c r="S22" s="25">
        <v>0</v>
      </c>
      <c r="T22" s="24">
        <v>-0.2</v>
      </c>
      <c r="U22" s="24">
        <v>0</v>
      </c>
      <c r="V22" s="24">
        <v>0</v>
      </c>
      <c r="W22" s="24">
        <v>0</v>
      </c>
      <c r="X22" s="24">
        <v>0</v>
      </c>
      <c r="Y22" s="24">
        <v>0</v>
      </c>
      <c r="Z22" s="24">
        <v>-0.2</v>
      </c>
      <c r="AA22" s="24">
        <v>0</v>
      </c>
      <c r="AB22" s="24">
        <v>0</v>
      </c>
      <c r="AC22" s="24">
        <v>0</v>
      </c>
      <c r="AD22" s="24">
        <v>0</v>
      </c>
      <c r="AE22" s="24">
        <v>0</v>
      </c>
      <c r="AF22" s="24">
        <v>0</v>
      </c>
      <c r="AG22" s="24">
        <v>0</v>
      </c>
      <c r="AH22" s="24">
        <v>0</v>
      </c>
      <c r="AI22" s="48">
        <v>10001</v>
      </c>
      <c r="AJ22" s="48">
        <v>10012</v>
      </c>
      <c r="AK22" s="48">
        <v>10003</v>
      </c>
      <c r="AL22" s="48">
        <v>10004</v>
      </c>
      <c r="AM22" s="48">
        <v>10005</v>
      </c>
      <c r="AN22" s="25">
        <v>0</v>
      </c>
      <c r="AO22" s="49" t="s"/>
      <c r="AP22" s="50">
        <v>100</v>
      </c>
      <c r="AQ22" s="51" t="s">
        <v>1167</v>
      </c>
      <c r="AR22" s="51">
        <f>=F22*247.95</f>
        <v>244726.65</v>
      </c>
      <c r="AS22" s="51">
        <f>=G22*32.6061</f>
        <v>1239.0318</v>
      </c>
      <c r="AT22" s="51">
        <f>=J22*2.35</f>
        <v>0</v>
      </c>
      <c r="AU22" s="47">
        <f>=H22*15.88</f>
        <v>794</v>
      </c>
    </row>
    <row r="23" spans="1:47">
      <c r="A23" s="24" t="s">
        <v>1168</v>
      </c>
      <c r="B23" s="24">
        <v>21205</v>
      </c>
      <c r="C23" s="24" t="s">
        <v>1169</v>
      </c>
      <c r="D23" s="16" t="s">
        <v>1170</v>
      </c>
      <c r="E23" s="24">
        <v>199212051</v>
      </c>
      <c r="F23" s="24">
        <v>21595</v>
      </c>
      <c r="G23" s="24">
        <v>144</v>
      </c>
      <c r="H23" s="24">
        <v>60</v>
      </c>
      <c r="I23" s="25">
        <v>0.5</v>
      </c>
      <c r="J23" s="24">
        <v>6097</v>
      </c>
      <c r="K23" s="24" t="b">
        <v>1</v>
      </c>
      <c r="L23" s="25">
        <v>0</v>
      </c>
      <c r="M23" s="47">
        <v>0</v>
      </c>
      <c r="N23" s="25">
        <v>0.0833</v>
      </c>
      <c r="O23" s="47">
        <v>12.0048019</v>
      </c>
      <c r="P23" s="25">
        <v>0.25</v>
      </c>
      <c r="Q23" s="24">
        <v>3</v>
      </c>
      <c r="R23" s="24">
        <v>1</v>
      </c>
      <c r="S23" s="25">
        <v>0.75</v>
      </c>
      <c r="T23" s="24">
        <v>0</v>
      </c>
      <c r="U23" s="24">
        <v>-0.2</v>
      </c>
      <c r="V23" s="24">
        <v>0</v>
      </c>
      <c r="W23" s="24">
        <v>-0.2</v>
      </c>
      <c r="X23" s="24">
        <v>0.2</v>
      </c>
      <c r="Y23" s="24">
        <v>0</v>
      </c>
      <c r="Z23" s="24">
        <v>-0.2</v>
      </c>
      <c r="AA23" s="24">
        <v>0</v>
      </c>
      <c r="AB23" s="24">
        <v>-0.2</v>
      </c>
      <c r="AC23" s="24">
        <v>0.2</v>
      </c>
      <c r="AD23" s="24">
        <v>0</v>
      </c>
      <c r="AE23" s="24">
        <v>-0.2</v>
      </c>
      <c r="AF23" s="24">
        <v>0</v>
      </c>
      <c r="AG23" s="24">
        <v>-0.2</v>
      </c>
      <c r="AH23" s="24">
        <v>0.2</v>
      </c>
      <c r="AI23" s="48">
        <v>30011</v>
      </c>
      <c r="AJ23" s="48">
        <v>30012</v>
      </c>
      <c r="AK23" s="48">
        <v>30003</v>
      </c>
      <c r="AL23" s="48">
        <v>30004</v>
      </c>
      <c r="AM23" s="48">
        <v>30005</v>
      </c>
      <c r="AN23" s="25">
        <v>0.2</v>
      </c>
      <c r="AO23" s="49">
        <v>5</v>
      </c>
      <c r="AP23" s="50">
        <v>100</v>
      </c>
      <c r="AQ23" s="51" t="s">
        <v>1171</v>
      </c>
      <c r="AR23" s="51">
        <f>=F23*247.95</f>
        <v>5354480.25</v>
      </c>
      <c r="AS23" s="51">
        <f>=G23*32.6061</f>
        <v>4695.2784</v>
      </c>
      <c r="AT23" s="51">
        <f>=J23*2.35</f>
        <v>14327.95</v>
      </c>
      <c r="AU23" s="47">
        <f>=H23*15.88</f>
        <v>952.8</v>
      </c>
    </row>
    <row r="24" spans="1:47">
      <c r="A24" s="24" t="s">
        <v>1172</v>
      </c>
      <c r="B24" s="24">
        <v>21207</v>
      </c>
      <c r="C24" s="24" t="s">
        <v>1173</v>
      </c>
      <c r="D24" s="24" t="s">
        <v>1174</v>
      </c>
      <c r="E24" s="24">
        <v>199212071</v>
      </c>
      <c r="F24" s="24">
        <v>1140</v>
      </c>
      <c r="G24" s="24">
        <v>72</v>
      </c>
      <c r="H24" s="24">
        <v>40</v>
      </c>
      <c r="I24" s="25">
        <v>0.5</v>
      </c>
      <c r="J24" s="24">
        <v>660</v>
      </c>
      <c r="K24" s="24" t="b">
        <v>1</v>
      </c>
      <c r="L24" s="25">
        <v>0</v>
      </c>
      <c r="M24" s="47">
        <v>0</v>
      </c>
      <c r="N24" s="25">
        <v>0.1538</v>
      </c>
      <c r="O24" s="47">
        <v>6.501950585</v>
      </c>
      <c r="P24" s="25">
        <v>0.5</v>
      </c>
      <c r="Q24" s="24">
        <v>1</v>
      </c>
      <c r="R24" s="24">
        <v>1</v>
      </c>
      <c r="S24" s="25">
        <v>0</v>
      </c>
      <c r="T24" s="24">
        <v>0</v>
      </c>
      <c r="U24" s="24">
        <v>-0.2</v>
      </c>
      <c r="V24" s="24">
        <v>0</v>
      </c>
      <c r="W24" s="24">
        <v>0</v>
      </c>
      <c r="X24" s="24">
        <v>-0.2</v>
      </c>
      <c r="Y24" s="24">
        <v>0</v>
      </c>
      <c r="Z24" s="24">
        <v>-0.2</v>
      </c>
      <c r="AA24" s="24">
        <v>0</v>
      </c>
      <c r="AB24" s="24">
        <v>0</v>
      </c>
      <c r="AC24" s="24">
        <v>-0.2</v>
      </c>
      <c r="AD24" s="24">
        <v>0</v>
      </c>
      <c r="AE24" s="24">
        <v>-0.2</v>
      </c>
      <c r="AF24" s="24">
        <v>0</v>
      </c>
      <c r="AG24" s="24">
        <v>0</v>
      </c>
      <c r="AH24" s="24">
        <v>-0.2</v>
      </c>
      <c r="AI24" s="48">
        <v>10001</v>
      </c>
      <c r="AJ24" s="48">
        <v>10012</v>
      </c>
      <c r="AK24" s="48">
        <v>10003</v>
      </c>
      <c r="AL24" s="48">
        <v>10004</v>
      </c>
      <c r="AM24" s="48">
        <v>10015</v>
      </c>
      <c r="AN24" s="25">
        <v>0.2</v>
      </c>
      <c r="AO24" s="49" t="s"/>
      <c r="AP24" s="50">
        <v>50</v>
      </c>
      <c r="AQ24" s="51" t="s">
        <v>1175</v>
      </c>
      <c r="AR24" s="51">
        <f>=F24*247.95</f>
        <v>282663</v>
      </c>
      <c r="AS24" s="51">
        <f>=G24*32.6061</f>
        <v>2347.6392</v>
      </c>
      <c r="AT24" s="51">
        <f>=J24*2.35</f>
        <v>1551</v>
      </c>
      <c r="AU24" s="47">
        <f>=H24*15.88</f>
        <v>635.2</v>
      </c>
    </row>
    <row r="25" spans="1:47">
      <c r="A25" s="24" t="s">
        <v>1124</v>
      </c>
      <c r="B25" s="24">
        <v>11011</v>
      </c>
      <c r="C25" s="24" t="s">
        <v>1125</v>
      </c>
      <c r="D25" s="24" t="s">
        <v>1126</v>
      </c>
      <c r="E25" s="24">
        <v>900011011</v>
      </c>
      <c r="F25" s="24">
        <v>1123</v>
      </c>
      <c r="G25" s="24">
        <v>60</v>
      </c>
      <c r="H25" s="24">
        <v>40</v>
      </c>
      <c r="I25" s="25">
        <v>0.5</v>
      </c>
      <c r="J25" s="24">
        <v>600</v>
      </c>
      <c r="K25" s="24" t="b">
        <v>1</v>
      </c>
      <c r="L25" s="25">
        <v>0</v>
      </c>
      <c r="M25" s="47">
        <v>0</v>
      </c>
      <c r="N25" s="25">
        <v>0.1538</v>
      </c>
      <c r="O25" s="47">
        <v>6.501951</v>
      </c>
      <c r="P25" s="25">
        <v>0.5</v>
      </c>
      <c r="Q25" s="24">
        <v>1</v>
      </c>
      <c r="R25" s="24">
        <v>1</v>
      </c>
      <c r="S25" s="25">
        <v>0</v>
      </c>
      <c r="T25" s="24">
        <v>0</v>
      </c>
      <c r="U25" s="24">
        <v>-0.2</v>
      </c>
      <c r="V25" s="24">
        <v>0</v>
      </c>
      <c r="W25" s="24">
        <v>-0.2</v>
      </c>
      <c r="X25" s="24">
        <v>0</v>
      </c>
      <c r="Y25" s="24">
        <v>0</v>
      </c>
      <c r="Z25" s="24">
        <v>-0.2</v>
      </c>
      <c r="AA25" s="24">
        <v>0</v>
      </c>
      <c r="AB25" s="24">
        <v>-0.2</v>
      </c>
      <c r="AC25" s="24">
        <v>0</v>
      </c>
      <c r="AD25" s="24">
        <v>0</v>
      </c>
      <c r="AE25" s="24">
        <v>-0.2</v>
      </c>
      <c r="AF25" s="24">
        <v>0</v>
      </c>
      <c r="AG25" s="24">
        <v>-0.2</v>
      </c>
      <c r="AH25" s="24">
        <v>0</v>
      </c>
      <c r="AI25" s="48">
        <v>10001</v>
      </c>
      <c r="AJ25" s="48">
        <v>10012</v>
      </c>
      <c r="AK25" s="48">
        <v>10003</v>
      </c>
      <c r="AL25" s="48">
        <v>10004</v>
      </c>
      <c r="AM25" s="48">
        <v>10005</v>
      </c>
      <c r="AN25" s="25">
        <v>0</v>
      </c>
      <c r="AO25" s="49" t="s"/>
      <c r="AP25" s="50">
        <v>50</v>
      </c>
      <c r="AQ25" s="26" t="s">
        <v>1127</v>
      </c>
      <c r="AR25" s="51">
        <f>=F25*247.95</f>
        <v>278447.85</v>
      </c>
      <c r="AS25" s="51">
        <f>=G25*32.6061</f>
        <v>1956.366</v>
      </c>
      <c r="AT25" s="51">
        <f>=J25*2.35</f>
        <v>1410</v>
      </c>
      <c r="AU25" s="47">
        <f>=H25*15.88</f>
        <v>635.2</v>
      </c>
    </row>
    <row r="26" spans="1:47">
      <c r="A26" s="24" t="s">
        <v>1124</v>
      </c>
      <c r="B26" s="24">
        <v>11012</v>
      </c>
      <c r="C26" s="24" t="s">
        <v>1125</v>
      </c>
      <c r="D26" s="24" t="s">
        <v>1126</v>
      </c>
      <c r="E26" s="24">
        <v>900011012</v>
      </c>
      <c r="F26" s="24">
        <v>1373</v>
      </c>
      <c r="G26" s="24">
        <v>60</v>
      </c>
      <c r="H26" s="24">
        <v>40</v>
      </c>
      <c r="I26" s="25">
        <v>0.5</v>
      </c>
      <c r="J26" s="24">
        <v>900</v>
      </c>
      <c r="K26" s="24" t="b">
        <v>1</v>
      </c>
      <c r="L26" s="25">
        <v>0</v>
      </c>
      <c r="M26" s="47">
        <v>0</v>
      </c>
      <c r="N26" s="25">
        <v>0.1538</v>
      </c>
      <c r="O26" s="47">
        <v>6.501951</v>
      </c>
      <c r="P26" s="25">
        <v>0.5</v>
      </c>
      <c r="Q26" s="24">
        <v>1</v>
      </c>
      <c r="R26" s="24">
        <v>1</v>
      </c>
      <c r="S26" s="25">
        <v>0</v>
      </c>
      <c r="T26" s="24">
        <v>0</v>
      </c>
      <c r="U26" s="24">
        <v>-0.2</v>
      </c>
      <c r="V26" s="24">
        <v>0</v>
      </c>
      <c r="W26" s="24">
        <v>-0.2</v>
      </c>
      <c r="X26" s="24">
        <v>0</v>
      </c>
      <c r="Y26" s="24">
        <v>0</v>
      </c>
      <c r="Z26" s="24">
        <v>-0.2</v>
      </c>
      <c r="AA26" s="24">
        <v>0</v>
      </c>
      <c r="AB26" s="24">
        <v>-0.2</v>
      </c>
      <c r="AC26" s="24">
        <v>0</v>
      </c>
      <c r="AD26" s="24">
        <v>0</v>
      </c>
      <c r="AE26" s="24">
        <v>-0.2</v>
      </c>
      <c r="AF26" s="24">
        <v>0</v>
      </c>
      <c r="AG26" s="24">
        <v>-0.2</v>
      </c>
      <c r="AH26" s="24">
        <v>0</v>
      </c>
      <c r="AI26" s="48">
        <v>10001</v>
      </c>
      <c r="AJ26" s="48">
        <v>10012</v>
      </c>
      <c r="AK26" s="48">
        <v>10003</v>
      </c>
      <c r="AL26" s="48">
        <v>10004</v>
      </c>
      <c r="AM26" s="48">
        <v>10005</v>
      </c>
      <c r="AN26" s="25">
        <v>0</v>
      </c>
      <c r="AO26" s="49" t="s"/>
      <c r="AP26" s="50">
        <v>50</v>
      </c>
      <c r="AQ26" s="51" t="s">
        <v>1176</v>
      </c>
      <c r="AR26" s="51">
        <f>=F26*247.95</f>
        <v>340435.35</v>
      </c>
      <c r="AS26" s="51">
        <f>=G26*32.6061</f>
        <v>1956.366</v>
      </c>
      <c r="AT26" s="51">
        <f>=J26*2.35</f>
        <v>2115</v>
      </c>
      <c r="AU26" s="47">
        <f>=H26*15.88</f>
        <v>635.2</v>
      </c>
    </row>
    <row r="27" spans="1:47">
      <c r="A27" s="24" t="s">
        <v>1140</v>
      </c>
      <c r="B27" s="24">
        <v>11021</v>
      </c>
      <c r="C27" s="24" t="s">
        <v>1141</v>
      </c>
      <c r="D27" s="24" t="s">
        <v>1142</v>
      </c>
      <c r="E27" s="24">
        <v>900011021</v>
      </c>
      <c r="F27" s="24">
        <v>923</v>
      </c>
      <c r="G27" s="24">
        <v>54</v>
      </c>
      <c r="H27" s="24">
        <v>40</v>
      </c>
      <c r="I27" s="25">
        <v>0.5</v>
      </c>
      <c r="J27" s="24">
        <v>360</v>
      </c>
      <c r="K27" s="24" t="b">
        <v>1</v>
      </c>
      <c r="L27" s="25">
        <v>0</v>
      </c>
      <c r="M27" s="47">
        <v>0</v>
      </c>
      <c r="N27" s="25">
        <v>0.1538</v>
      </c>
      <c r="O27" s="47">
        <v>6.501951</v>
      </c>
      <c r="P27" s="25">
        <v>0.5</v>
      </c>
      <c r="Q27" s="24">
        <v>1</v>
      </c>
      <c r="R27" s="24">
        <v>1</v>
      </c>
      <c r="S27" s="25">
        <v>0</v>
      </c>
      <c r="T27" s="24">
        <v>0</v>
      </c>
      <c r="U27" s="24">
        <v>-0.2</v>
      </c>
      <c r="V27" s="24">
        <v>0</v>
      </c>
      <c r="W27" s="24">
        <v>-0.2</v>
      </c>
      <c r="X27" s="24">
        <v>0</v>
      </c>
      <c r="Y27" s="24">
        <v>0</v>
      </c>
      <c r="Z27" s="24">
        <v>-0.2</v>
      </c>
      <c r="AA27" s="24">
        <v>0</v>
      </c>
      <c r="AB27" s="24">
        <v>-0.2</v>
      </c>
      <c r="AC27" s="24">
        <v>0</v>
      </c>
      <c r="AD27" s="24">
        <v>0</v>
      </c>
      <c r="AE27" s="24">
        <v>-0.2</v>
      </c>
      <c r="AF27" s="24">
        <v>0</v>
      </c>
      <c r="AG27" s="24">
        <v>-0.2</v>
      </c>
      <c r="AH27" s="24">
        <v>0</v>
      </c>
      <c r="AI27" s="48">
        <v>10001</v>
      </c>
      <c r="AJ27" s="48">
        <v>10012</v>
      </c>
      <c r="AK27" s="48">
        <v>10003</v>
      </c>
      <c r="AL27" s="48">
        <v>10004</v>
      </c>
      <c r="AM27" s="48">
        <v>10005</v>
      </c>
      <c r="AN27" s="25">
        <v>0</v>
      </c>
      <c r="AO27" s="49" t="s"/>
      <c r="AP27" s="50">
        <v>50</v>
      </c>
      <c r="AQ27" s="51" t="s">
        <v>1143</v>
      </c>
      <c r="AR27" s="51">
        <f>=F27*247.95</f>
        <v>228857.85</v>
      </c>
      <c r="AS27" s="51">
        <f>=G27*32.6061</f>
        <v>1760.7294</v>
      </c>
      <c r="AT27" s="51">
        <f>=J27*2.35</f>
        <v>846</v>
      </c>
      <c r="AU27" s="47">
        <f>=H27*15.88</f>
        <v>635.2</v>
      </c>
    </row>
    <row r="28" spans="1:47">
      <c r="A28" s="24" t="s">
        <v>1140</v>
      </c>
      <c r="B28" s="24">
        <v>11022</v>
      </c>
      <c r="C28" s="24" t="s">
        <v>1141</v>
      </c>
      <c r="D28" s="24" t="s">
        <v>1142</v>
      </c>
      <c r="E28" s="24">
        <v>900011022</v>
      </c>
      <c r="F28" s="24">
        <v>1073</v>
      </c>
      <c r="G28" s="24">
        <v>54</v>
      </c>
      <c r="H28" s="24">
        <v>40</v>
      </c>
      <c r="I28" s="25">
        <v>0.5</v>
      </c>
      <c r="J28" s="24">
        <v>540</v>
      </c>
      <c r="K28" s="24" t="b">
        <v>1</v>
      </c>
      <c r="L28" s="25">
        <v>0</v>
      </c>
      <c r="M28" s="47">
        <v>0</v>
      </c>
      <c r="N28" s="25">
        <v>0.1538</v>
      </c>
      <c r="O28" s="47">
        <v>6.501951</v>
      </c>
      <c r="P28" s="25">
        <v>0.5</v>
      </c>
      <c r="Q28" s="24">
        <v>1</v>
      </c>
      <c r="R28" s="24">
        <v>1</v>
      </c>
      <c r="S28" s="25">
        <v>0</v>
      </c>
      <c r="T28" s="24">
        <v>0</v>
      </c>
      <c r="U28" s="24">
        <v>-0.2</v>
      </c>
      <c r="V28" s="24">
        <v>0</v>
      </c>
      <c r="W28" s="24">
        <v>-0.2</v>
      </c>
      <c r="X28" s="24">
        <v>0</v>
      </c>
      <c r="Y28" s="24">
        <v>0</v>
      </c>
      <c r="Z28" s="24">
        <v>-0.2</v>
      </c>
      <c r="AA28" s="24">
        <v>0</v>
      </c>
      <c r="AB28" s="24">
        <v>-0.2</v>
      </c>
      <c r="AC28" s="24">
        <v>0</v>
      </c>
      <c r="AD28" s="24">
        <v>0</v>
      </c>
      <c r="AE28" s="24">
        <v>-0.2</v>
      </c>
      <c r="AF28" s="24">
        <v>0</v>
      </c>
      <c r="AG28" s="24">
        <v>-0.2</v>
      </c>
      <c r="AH28" s="24">
        <v>0</v>
      </c>
      <c r="AI28" s="48">
        <v>10001</v>
      </c>
      <c r="AJ28" s="48">
        <v>10012</v>
      </c>
      <c r="AK28" s="48">
        <v>10003</v>
      </c>
      <c r="AL28" s="48">
        <v>10004</v>
      </c>
      <c r="AM28" s="48">
        <v>10005</v>
      </c>
      <c r="AN28" s="25">
        <v>0</v>
      </c>
      <c r="AO28" s="49" t="s"/>
      <c r="AP28" s="50">
        <v>50</v>
      </c>
      <c r="AQ28" s="51" t="s">
        <v>1177</v>
      </c>
      <c r="AR28" s="51">
        <f>=F28*247.95</f>
        <v>266050.35</v>
      </c>
      <c r="AS28" s="51">
        <f>=G28*32.6061</f>
        <v>1760.7294</v>
      </c>
      <c r="AT28" s="51">
        <f>=J28*2.35</f>
        <v>1269</v>
      </c>
      <c r="AU28" s="47">
        <f>=H28*15.88</f>
        <v>635.2</v>
      </c>
    </row>
    <row r="29" spans="1:47">
      <c r="A29" s="24" t="s">
        <v>1178</v>
      </c>
      <c r="B29" s="24">
        <v>11031</v>
      </c>
      <c r="C29" s="24" t="s">
        <v>1179</v>
      </c>
      <c r="D29" s="24" t="s">
        <v>1180</v>
      </c>
      <c r="E29" s="24">
        <v>900011031</v>
      </c>
      <c r="F29" s="24">
        <v>1123</v>
      </c>
      <c r="G29" s="24">
        <v>60</v>
      </c>
      <c r="H29" s="24">
        <v>46</v>
      </c>
      <c r="I29" s="25">
        <v>0.5</v>
      </c>
      <c r="J29" s="24">
        <v>600</v>
      </c>
      <c r="K29" s="24" t="b">
        <v>1</v>
      </c>
      <c r="L29" s="25">
        <v>0</v>
      </c>
      <c r="M29" s="47">
        <v>0</v>
      </c>
      <c r="N29" s="25">
        <v>0.1538</v>
      </c>
      <c r="O29" s="47">
        <v>6.501951</v>
      </c>
      <c r="P29" s="25">
        <v>0.25</v>
      </c>
      <c r="Q29" s="24">
        <v>1</v>
      </c>
      <c r="R29" s="24">
        <v>1</v>
      </c>
      <c r="S29" s="25">
        <v>0</v>
      </c>
      <c r="T29" s="24">
        <v>0</v>
      </c>
      <c r="U29" s="24">
        <v>-0.2</v>
      </c>
      <c r="V29" s="24">
        <v>0</v>
      </c>
      <c r="W29" s="24">
        <v>-0.2</v>
      </c>
      <c r="X29" s="24">
        <v>0</v>
      </c>
      <c r="Y29" s="24">
        <v>0</v>
      </c>
      <c r="Z29" s="24">
        <v>-0.2</v>
      </c>
      <c r="AA29" s="24">
        <v>0</v>
      </c>
      <c r="AB29" s="24">
        <v>-0.2</v>
      </c>
      <c r="AC29" s="24">
        <v>0</v>
      </c>
      <c r="AD29" s="24">
        <v>0</v>
      </c>
      <c r="AE29" s="24">
        <v>-0.2</v>
      </c>
      <c r="AF29" s="24">
        <v>0</v>
      </c>
      <c r="AG29" s="24">
        <v>-0.2</v>
      </c>
      <c r="AH29" s="24">
        <v>0</v>
      </c>
      <c r="AI29" s="48">
        <v>10001</v>
      </c>
      <c r="AJ29" s="48">
        <v>10012</v>
      </c>
      <c r="AK29" s="48">
        <v>10003</v>
      </c>
      <c r="AL29" s="48">
        <v>10004</v>
      </c>
      <c r="AM29" s="48">
        <v>10005</v>
      </c>
      <c r="AN29" s="25">
        <v>0</v>
      </c>
      <c r="AO29" s="49" t="s"/>
      <c r="AP29" s="50">
        <v>50</v>
      </c>
      <c r="AQ29" s="51" t="s">
        <v>1181</v>
      </c>
      <c r="AR29" s="51">
        <f>=F29*247.95</f>
        <v>278447.85</v>
      </c>
      <c r="AS29" s="51">
        <f>=G29*32.6061</f>
        <v>1956.366</v>
      </c>
      <c r="AT29" s="51">
        <f>=J29*2.35</f>
        <v>1410</v>
      </c>
      <c r="AU29" s="47">
        <f>=H29*15.88</f>
        <v>730.48</v>
      </c>
    </row>
    <row r="30" spans="1:47">
      <c r="A30" s="24" t="s">
        <v>1178</v>
      </c>
      <c r="B30" s="24">
        <v>11032</v>
      </c>
      <c r="C30" s="24" t="s">
        <v>1179</v>
      </c>
      <c r="D30" s="24" t="s">
        <v>1180</v>
      </c>
      <c r="E30" s="24">
        <v>900011032</v>
      </c>
      <c r="F30" s="24">
        <v>1373</v>
      </c>
      <c r="G30" s="24">
        <v>60</v>
      </c>
      <c r="H30" s="24">
        <v>46</v>
      </c>
      <c r="I30" s="25">
        <v>0.5</v>
      </c>
      <c r="J30" s="24">
        <v>900</v>
      </c>
      <c r="K30" s="24" t="b">
        <v>1</v>
      </c>
      <c r="L30" s="25">
        <v>0</v>
      </c>
      <c r="M30" s="47">
        <v>0</v>
      </c>
      <c r="N30" s="25">
        <v>0.1538</v>
      </c>
      <c r="O30" s="47">
        <v>6.501951</v>
      </c>
      <c r="P30" s="25">
        <v>0.25</v>
      </c>
      <c r="Q30" s="24">
        <v>1</v>
      </c>
      <c r="R30" s="24">
        <v>1</v>
      </c>
      <c r="S30" s="25">
        <v>0</v>
      </c>
      <c r="T30" s="24">
        <v>0</v>
      </c>
      <c r="U30" s="24">
        <v>-0.2</v>
      </c>
      <c r="V30" s="24">
        <v>0</v>
      </c>
      <c r="W30" s="24">
        <v>-0.2</v>
      </c>
      <c r="X30" s="24">
        <v>0</v>
      </c>
      <c r="Y30" s="24">
        <v>0</v>
      </c>
      <c r="Z30" s="24">
        <v>-0.2</v>
      </c>
      <c r="AA30" s="24">
        <v>0</v>
      </c>
      <c r="AB30" s="24">
        <v>-0.2</v>
      </c>
      <c r="AC30" s="24">
        <v>0</v>
      </c>
      <c r="AD30" s="24">
        <v>0</v>
      </c>
      <c r="AE30" s="24">
        <v>-0.2</v>
      </c>
      <c r="AF30" s="24">
        <v>0</v>
      </c>
      <c r="AG30" s="24">
        <v>-0.2</v>
      </c>
      <c r="AH30" s="24">
        <v>0</v>
      </c>
      <c r="AI30" s="48">
        <v>10001</v>
      </c>
      <c r="AJ30" s="48">
        <v>10012</v>
      </c>
      <c r="AK30" s="48">
        <v>10003</v>
      </c>
      <c r="AL30" s="48">
        <v>10004</v>
      </c>
      <c r="AM30" s="48">
        <v>10005</v>
      </c>
      <c r="AN30" s="25">
        <v>0</v>
      </c>
      <c r="AO30" s="49" t="s"/>
      <c r="AP30" s="50">
        <v>50</v>
      </c>
      <c r="AQ30" s="51" t="s">
        <v>1182</v>
      </c>
      <c r="AR30" s="51">
        <f>=F30*247.95</f>
        <v>340435.35</v>
      </c>
      <c r="AS30" s="51">
        <f>=G30*32.6061</f>
        <v>1956.366</v>
      </c>
      <c r="AT30" s="51">
        <f>=J30*2.35</f>
        <v>2115</v>
      </c>
      <c r="AU30" s="47">
        <f>=H30*15.88</f>
        <v>730.48</v>
      </c>
    </row>
    <row r="31" spans="1:47">
      <c r="A31" s="24" t="s">
        <v>1151</v>
      </c>
      <c r="B31" s="24">
        <v>11041</v>
      </c>
      <c r="C31" s="24" t="s">
        <v>1152</v>
      </c>
      <c r="D31" s="24" t="s">
        <v>1153</v>
      </c>
      <c r="E31" s="24">
        <v>900011041</v>
      </c>
      <c r="F31" s="24">
        <v>6759</v>
      </c>
      <c r="G31" s="24">
        <v>84</v>
      </c>
      <c r="H31" s="24">
        <v>54</v>
      </c>
      <c r="I31" s="25">
        <v>0.5</v>
      </c>
      <c r="J31" s="24">
        <v>3335</v>
      </c>
      <c r="K31" s="24" t="b">
        <v>1</v>
      </c>
      <c r="L31" s="25">
        <v>0</v>
      </c>
      <c r="M31" s="47">
        <v>0</v>
      </c>
      <c r="N31" s="25">
        <v>0.1</v>
      </c>
      <c r="O31" s="47">
        <v>10</v>
      </c>
      <c r="P31" s="25">
        <v>0.5</v>
      </c>
      <c r="Q31" s="24">
        <v>2</v>
      </c>
      <c r="R31" s="24">
        <v>3</v>
      </c>
      <c r="S31" s="25">
        <v>0.5</v>
      </c>
      <c r="T31" s="24">
        <v>0</v>
      </c>
      <c r="U31" s="24">
        <v>0</v>
      </c>
      <c r="V31" s="24">
        <v>-0.2</v>
      </c>
      <c r="W31" s="24">
        <v>0.2</v>
      </c>
      <c r="X31" s="24">
        <v>0</v>
      </c>
      <c r="Y31" s="24">
        <v>0</v>
      </c>
      <c r="Z31" s="24">
        <v>0</v>
      </c>
      <c r="AA31" s="24">
        <v>-0.2</v>
      </c>
      <c r="AB31" s="24">
        <v>0.2</v>
      </c>
      <c r="AC31" s="24">
        <v>0</v>
      </c>
      <c r="AD31" s="24">
        <v>0</v>
      </c>
      <c r="AE31" s="24">
        <v>0</v>
      </c>
      <c r="AF31" s="24">
        <v>-0.2</v>
      </c>
      <c r="AG31" s="24">
        <v>0.2</v>
      </c>
      <c r="AH31" s="24">
        <v>0</v>
      </c>
      <c r="AI31" s="48">
        <v>20001</v>
      </c>
      <c r="AJ31" s="48">
        <v>20002</v>
      </c>
      <c r="AK31" s="48">
        <v>20013</v>
      </c>
      <c r="AL31" s="48">
        <v>20004</v>
      </c>
      <c r="AM31" s="48">
        <v>20005</v>
      </c>
      <c r="AN31" s="25">
        <v>0</v>
      </c>
      <c r="AO31" s="49">
        <v>3</v>
      </c>
      <c r="AP31" s="50">
        <v>75</v>
      </c>
      <c r="AQ31" s="51" t="s">
        <v>1183</v>
      </c>
      <c r="AR31" s="51">
        <f>=F31*247.95</f>
        <v>1675894.05</v>
      </c>
      <c r="AS31" s="51">
        <f>=G31*32.6061</f>
        <v>2738.9124</v>
      </c>
      <c r="AT31" s="51">
        <f>=J31*2.35</f>
        <v>7837.25</v>
      </c>
      <c r="AU31" s="47">
        <f>=H31*15.88</f>
        <v>857.52</v>
      </c>
    </row>
    <row r="32" spans="1:47">
      <c r="A32" s="24" t="s">
        <v>1151</v>
      </c>
      <c r="B32" s="24">
        <v>11044</v>
      </c>
      <c r="C32" s="24" t="s">
        <v>1152</v>
      </c>
      <c r="D32" s="24" t="s">
        <v>1153</v>
      </c>
      <c r="E32" s="24">
        <v>900011044</v>
      </c>
      <c r="F32" s="24">
        <v>7001</v>
      </c>
      <c r="G32" s="24">
        <v>96</v>
      </c>
      <c r="H32" s="24">
        <v>54</v>
      </c>
      <c r="I32" s="25">
        <v>0.5</v>
      </c>
      <c r="J32" s="24">
        <v>3783</v>
      </c>
      <c r="K32" s="24" t="b">
        <v>1</v>
      </c>
      <c r="L32" s="25">
        <v>0</v>
      </c>
      <c r="M32" s="47">
        <v>0</v>
      </c>
      <c r="N32" s="25">
        <v>0.1</v>
      </c>
      <c r="O32" s="47">
        <v>10</v>
      </c>
      <c r="P32" s="25">
        <v>0.5</v>
      </c>
      <c r="Q32" s="24">
        <v>2</v>
      </c>
      <c r="R32" s="24">
        <v>5</v>
      </c>
      <c r="S32" s="25">
        <v>0.5</v>
      </c>
      <c r="T32" s="24">
        <v>0</v>
      </c>
      <c r="U32" s="24">
        <v>0</v>
      </c>
      <c r="V32" s="24">
        <v>-0.2</v>
      </c>
      <c r="W32" s="24">
        <v>0.2</v>
      </c>
      <c r="X32" s="24">
        <v>0</v>
      </c>
      <c r="Y32" s="24">
        <v>0</v>
      </c>
      <c r="Z32" s="24">
        <v>0</v>
      </c>
      <c r="AA32" s="24">
        <v>-0.2</v>
      </c>
      <c r="AB32" s="24">
        <v>0.2</v>
      </c>
      <c r="AC32" s="24">
        <v>0</v>
      </c>
      <c r="AD32" s="24">
        <v>0</v>
      </c>
      <c r="AE32" s="24">
        <v>0</v>
      </c>
      <c r="AF32" s="24">
        <v>-0.2</v>
      </c>
      <c r="AG32" s="24">
        <v>0.2</v>
      </c>
      <c r="AH32" s="24">
        <v>0</v>
      </c>
      <c r="AI32" s="48">
        <v>20001</v>
      </c>
      <c r="AJ32" s="48">
        <v>20002</v>
      </c>
      <c r="AK32" s="48">
        <v>20013</v>
      </c>
      <c r="AL32" s="48">
        <v>20004</v>
      </c>
      <c r="AM32" s="48">
        <v>20005</v>
      </c>
      <c r="AN32" s="25">
        <v>0</v>
      </c>
      <c r="AO32" s="49">
        <v>3</v>
      </c>
      <c r="AP32" s="50">
        <v>75</v>
      </c>
      <c r="AQ32" s="51" t="s">
        <v>1154</v>
      </c>
      <c r="AR32" s="51">
        <f>=F32*247.95</f>
        <v>1735897.95</v>
      </c>
      <c r="AS32" s="51">
        <f>=G32*32.6061</f>
        <v>3130.1856</v>
      </c>
      <c r="AT32" s="51">
        <f>=J32*2.35</f>
        <v>8890.05</v>
      </c>
      <c r="AU32" s="47">
        <f>=H32*15.88</f>
        <v>857.52</v>
      </c>
    </row>
    <row r="33" spans="1:47">
      <c r="A33" s="24" t="s">
        <v>1184</v>
      </c>
      <c r="B33" s="24">
        <v>11045</v>
      </c>
      <c r="C33" s="24" t="s">
        <v>1185</v>
      </c>
      <c r="D33" s="24" t="s">
        <v>1186</v>
      </c>
      <c r="E33" s="24">
        <v>900011045</v>
      </c>
      <c r="F33" s="24">
        <v>7001</v>
      </c>
      <c r="G33" s="24">
        <v>96</v>
      </c>
      <c r="H33" s="24">
        <v>54</v>
      </c>
      <c r="I33" s="25">
        <v>0.5</v>
      </c>
      <c r="J33" s="24">
        <v>3783</v>
      </c>
      <c r="K33" s="24" t="b">
        <v>1</v>
      </c>
      <c r="L33" s="25">
        <v>0</v>
      </c>
      <c r="M33" s="47">
        <v>0</v>
      </c>
      <c r="N33" s="25">
        <v>0.1</v>
      </c>
      <c r="O33" s="47">
        <v>10</v>
      </c>
      <c r="P33" s="25">
        <v>0.5</v>
      </c>
      <c r="Q33" s="24">
        <v>2</v>
      </c>
      <c r="R33" s="24">
        <v>5</v>
      </c>
      <c r="S33" s="25">
        <v>0.5</v>
      </c>
      <c r="T33" s="24">
        <v>0</v>
      </c>
      <c r="U33" s="24">
        <v>0</v>
      </c>
      <c r="V33" s="24">
        <v>-0.2</v>
      </c>
      <c r="W33" s="24">
        <v>0.2</v>
      </c>
      <c r="X33" s="24">
        <v>0</v>
      </c>
      <c r="Y33" s="24">
        <v>0</v>
      </c>
      <c r="Z33" s="24">
        <v>0</v>
      </c>
      <c r="AA33" s="24">
        <v>-0.2</v>
      </c>
      <c r="AB33" s="24">
        <v>0.2</v>
      </c>
      <c r="AC33" s="24">
        <v>0</v>
      </c>
      <c r="AD33" s="24">
        <v>0</v>
      </c>
      <c r="AE33" s="24">
        <v>0</v>
      </c>
      <c r="AF33" s="24">
        <v>-0.2</v>
      </c>
      <c r="AG33" s="24">
        <v>0.2</v>
      </c>
      <c r="AH33" s="24">
        <v>0</v>
      </c>
      <c r="AI33" s="48">
        <v>20001</v>
      </c>
      <c r="AJ33" s="48">
        <v>20002</v>
      </c>
      <c r="AK33" s="48">
        <v>20013</v>
      </c>
      <c r="AL33" s="48">
        <v>20004</v>
      </c>
      <c r="AM33" s="48">
        <v>20005</v>
      </c>
      <c r="AN33" s="25">
        <v>0</v>
      </c>
      <c r="AO33" s="49">
        <v>3</v>
      </c>
      <c r="AP33" s="50">
        <v>75</v>
      </c>
      <c r="AQ33" s="51" t="s">
        <v>1187</v>
      </c>
      <c r="AR33" s="51">
        <f>=F33*247.95</f>
        <v>1735897.95</v>
      </c>
      <c r="AS33" s="51">
        <f>=G33*32.6061</f>
        <v>3130.1856</v>
      </c>
      <c r="AT33" s="51">
        <f>=J33*2.35</f>
        <v>8890.05</v>
      </c>
      <c r="AU33" s="47">
        <f>=H33*15.88</f>
        <v>857.52</v>
      </c>
    </row>
    <row r="34" spans="1:47">
      <c r="A34" s="24" t="s">
        <v>1184</v>
      </c>
      <c r="B34" s="24">
        <v>11046</v>
      </c>
      <c r="C34" s="24" t="s">
        <v>1185</v>
      </c>
      <c r="D34" s="24" t="s">
        <v>1186</v>
      </c>
      <c r="E34" s="24">
        <v>900011046</v>
      </c>
      <c r="F34" s="24">
        <v>6759</v>
      </c>
      <c r="G34" s="24">
        <v>84</v>
      </c>
      <c r="H34" s="24">
        <v>54</v>
      </c>
      <c r="I34" s="25">
        <v>0.5</v>
      </c>
      <c r="J34" s="24">
        <v>3335</v>
      </c>
      <c r="K34" s="24" t="b">
        <v>1</v>
      </c>
      <c r="L34" s="25">
        <v>0</v>
      </c>
      <c r="M34" s="47">
        <v>0</v>
      </c>
      <c r="N34" s="25">
        <v>0.1</v>
      </c>
      <c r="O34" s="47">
        <v>10</v>
      </c>
      <c r="P34" s="25">
        <v>0.5</v>
      </c>
      <c r="Q34" s="24">
        <v>2</v>
      </c>
      <c r="R34" s="24">
        <v>3</v>
      </c>
      <c r="S34" s="25">
        <v>0.5</v>
      </c>
      <c r="T34" s="24">
        <v>0</v>
      </c>
      <c r="U34" s="24">
        <v>0</v>
      </c>
      <c r="V34" s="24">
        <v>-0.2</v>
      </c>
      <c r="W34" s="24">
        <v>0.2</v>
      </c>
      <c r="X34" s="24">
        <v>0</v>
      </c>
      <c r="Y34" s="24">
        <v>0</v>
      </c>
      <c r="Z34" s="24">
        <v>0</v>
      </c>
      <c r="AA34" s="24">
        <v>-0.2</v>
      </c>
      <c r="AB34" s="24">
        <v>0.2</v>
      </c>
      <c r="AC34" s="24">
        <v>0</v>
      </c>
      <c r="AD34" s="24">
        <v>0</v>
      </c>
      <c r="AE34" s="24">
        <v>0</v>
      </c>
      <c r="AF34" s="24">
        <v>-0.2</v>
      </c>
      <c r="AG34" s="24">
        <v>0.2</v>
      </c>
      <c r="AH34" s="24">
        <v>0</v>
      </c>
      <c r="AI34" s="48">
        <v>20001</v>
      </c>
      <c r="AJ34" s="48">
        <v>20002</v>
      </c>
      <c r="AK34" s="48">
        <v>20013</v>
      </c>
      <c r="AL34" s="48">
        <v>20004</v>
      </c>
      <c r="AM34" s="48">
        <v>20005</v>
      </c>
      <c r="AN34" s="25">
        <v>0</v>
      </c>
      <c r="AO34" s="49">
        <v>3</v>
      </c>
      <c r="AP34" s="50">
        <v>75</v>
      </c>
      <c r="AQ34" s="51" t="s">
        <v>1188</v>
      </c>
      <c r="AR34" s="51">
        <f>=F34*247.95</f>
        <v>1675894.05</v>
      </c>
      <c r="AS34" s="51">
        <f>=G34*32.6061</f>
        <v>2738.9124</v>
      </c>
      <c r="AT34" s="51">
        <f>=J34*2.35</f>
        <v>7837.25</v>
      </c>
      <c r="AU34" s="47">
        <f>=H34*15.88</f>
        <v>857.52</v>
      </c>
    </row>
    <row r="35" spans="1:47">
      <c r="A35" s="24" t="s">
        <v>1189</v>
      </c>
      <c r="B35" s="24">
        <v>11051</v>
      </c>
      <c r="C35" s="24" t="s">
        <v>1190</v>
      </c>
      <c r="D35" s="24" t="s">
        <v>1191</v>
      </c>
      <c r="E35" s="24">
        <v>900011051</v>
      </c>
      <c r="F35" s="24">
        <v>8417</v>
      </c>
      <c r="G35" s="24">
        <v>92</v>
      </c>
      <c r="H35" s="24">
        <v>54</v>
      </c>
      <c r="I35" s="25">
        <v>0.5</v>
      </c>
      <c r="J35" s="24">
        <v>4161</v>
      </c>
      <c r="K35" s="24" t="b">
        <v>1</v>
      </c>
      <c r="L35" s="25">
        <v>0</v>
      </c>
      <c r="M35" s="47">
        <v>0</v>
      </c>
      <c r="N35" s="25">
        <v>0.0769</v>
      </c>
      <c r="O35" s="47">
        <v>13.0039</v>
      </c>
      <c r="P35" s="25">
        <v>0.5</v>
      </c>
      <c r="Q35" s="24">
        <v>2</v>
      </c>
      <c r="R35" s="24">
        <v>5</v>
      </c>
      <c r="S35" s="25">
        <v>0.5</v>
      </c>
      <c r="T35" s="24">
        <v>0</v>
      </c>
      <c r="U35" s="24">
        <v>0.2</v>
      </c>
      <c r="V35" s="24">
        <v>-0.2</v>
      </c>
      <c r="W35" s="24">
        <v>0</v>
      </c>
      <c r="X35" s="24">
        <v>0</v>
      </c>
      <c r="Y35" s="24">
        <v>0</v>
      </c>
      <c r="Z35" s="24">
        <v>0.2</v>
      </c>
      <c r="AA35" s="24">
        <v>-0.2</v>
      </c>
      <c r="AB35" s="24">
        <v>0</v>
      </c>
      <c r="AC35" s="24">
        <v>0</v>
      </c>
      <c r="AD35" s="24">
        <v>0</v>
      </c>
      <c r="AE35" s="24">
        <v>0.2</v>
      </c>
      <c r="AF35" s="24">
        <v>-0.2</v>
      </c>
      <c r="AG35" s="24">
        <v>0</v>
      </c>
      <c r="AH35" s="24">
        <v>0</v>
      </c>
      <c r="AI35" s="48">
        <v>20001</v>
      </c>
      <c r="AJ35" s="48">
        <v>20002</v>
      </c>
      <c r="AK35" s="48">
        <v>20013</v>
      </c>
      <c r="AL35" s="48">
        <v>20004</v>
      </c>
      <c r="AM35" s="48">
        <v>20005</v>
      </c>
      <c r="AN35" s="25">
        <v>0</v>
      </c>
      <c r="AO35" s="49">
        <v>3</v>
      </c>
      <c r="AP35" s="50">
        <v>75</v>
      </c>
      <c r="AQ35" s="51" t="s">
        <v>1192</v>
      </c>
      <c r="AR35" s="51">
        <f>=F35*247.95</f>
        <v>2086995.15</v>
      </c>
      <c r="AS35" s="51">
        <f>=G35*32.6061</f>
        <v>2999.7612</v>
      </c>
      <c r="AT35" s="51">
        <f>=J35*2.35</f>
        <v>9778.35</v>
      </c>
      <c r="AU35" s="47">
        <f>=H35*15.88</f>
        <v>857.52</v>
      </c>
    </row>
    <row r="36" spans="1:47">
      <c r="A36" s="24" t="s">
        <v>1189</v>
      </c>
      <c r="B36" s="24">
        <v>11052</v>
      </c>
      <c r="C36" s="24" t="s">
        <v>1190</v>
      </c>
      <c r="D36" s="24" t="s">
        <v>1191</v>
      </c>
      <c r="E36" s="24">
        <v>900011052</v>
      </c>
      <c r="F36" s="24">
        <v>8736</v>
      </c>
      <c r="G36" s="24">
        <v>106</v>
      </c>
      <c r="H36" s="24">
        <v>54</v>
      </c>
      <c r="I36" s="25">
        <v>0.5</v>
      </c>
      <c r="J36" s="24">
        <v>4753</v>
      </c>
      <c r="K36" s="24" t="b">
        <v>1</v>
      </c>
      <c r="L36" s="25">
        <v>0</v>
      </c>
      <c r="M36" s="47">
        <v>0</v>
      </c>
      <c r="N36" s="25">
        <v>0.0769</v>
      </c>
      <c r="O36" s="47">
        <v>13.0039</v>
      </c>
      <c r="P36" s="25">
        <v>0.5</v>
      </c>
      <c r="Q36" s="24">
        <v>2</v>
      </c>
      <c r="R36" s="24">
        <v>5</v>
      </c>
      <c r="S36" s="25">
        <v>0.5</v>
      </c>
      <c r="T36" s="24">
        <v>0</v>
      </c>
      <c r="U36" s="24">
        <v>0.2</v>
      </c>
      <c r="V36" s="24">
        <v>-0.2</v>
      </c>
      <c r="W36" s="24">
        <v>0</v>
      </c>
      <c r="X36" s="24">
        <v>0</v>
      </c>
      <c r="Y36" s="24">
        <v>0</v>
      </c>
      <c r="Z36" s="24">
        <v>0.2</v>
      </c>
      <c r="AA36" s="24">
        <v>-0.2</v>
      </c>
      <c r="AB36" s="24">
        <v>0</v>
      </c>
      <c r="AC36" s="24">
        <v>0</v>
      </c>
      <c r="AD36" s="24">
        <v>0</v>
      </c>
      <c r="AE36" s="24">
        <v>0.2</v>
      </c>
      <c r="AF36" s="24">
        <v>-0.2</v>
      </c>
      <c r="AG36" s="24">
        <v>0</v>
      </c>
      <c r="AH36" s="24">
        <v>0</v>
      </c>
      <c r="AI36" s="48">
        <v>20001</v>
      </c>
      <c r="AJ36" s="48">
        <v>20002</v>
      </c>
      <c r="AK36" s="48">
        <v>20013</v>
      </c>
      <c r="AL36" s="48">
        <v>20004</v>
      </c>
      <c r="AM36" s="48">
        <v>20005</v>
      </c>
      <c r="AN36" s="25">
        <v>0</v>
      </c>
      <c r="AO36" s="49">
        <v>3</v>
      </c>
      <c r="AP36" s="50">
        <v>75</v>
      </c>
      <c r="AQ36" s="51" t="s">
        <v>1193</v>
      </c>
      <c r="AR36" s="51">
        <f>=F36*247.95</f>
        <v>2166091.2</v>
      </c>
      <c r="AS36" s="51">
        <f>=G36*32.6061</f>
        <v>3456.2466</v>
      </c>
      <c r="AT36" s="51">
        <f>=J36*2.35</f>
        <v>11169.55</v>
      </c>
      <c r="AU36" s="47">
        <f>=H36*15.88</f>
        <v>857.52</v>
      </c>
    </row>
    <row r="37" spans="1:47">
      <c r="A37" s="24" t="s">
        <v>1189</v>
      </c>
      <c r="B37" s="24">
        <v>11054</v>
      </c>
      <c r="C37" s="24" t="s">
        <v>1190</v>
      </c>
      <c r="D37" s="24" t="s">
        <v>1191</v>
      </c>
      <c r="E37" s="24">
        <v>900011054</v>
      </c>
      <c r="F37" s="24">
        <v>8417</v>
      </c>
      <c r="G37" s="24">
        <v>92</v>
      </c>
      <c r="H37" s="24">
        <v>54</v>
      </c>
      <c r="I37" s="25">
        <v>0.5</v>
      </c>
      <c r="J37" s="24">
        <v>4161</v>
      </c>
      <c r="K37" s="24" t="b">
        <v>1</v>
      </c>
      <c r="L37" s="25">
        <v>0</v>
      </c>
      <c r="M37" s="47">
        <v>0</v>
      </c>
      <c r="N37" s="25">
        <v>0.0769</v>
      </c>
      <c r="O37" s="47">
        <v>13.0039</v>
      </c>
      <c r="P37" s="25">
        <v>0.5</v>
      </c>
      <c r="Q37" s="24">
        <v>2</v>
      </c>
      <c r="R37" s="24">
        <v>5</v>
      </c>
      <c r="S37" s="25">
        <v>0.5</v>
      </c>
      <c r="T37" s="24">
        <v>0</v>
      </c>
      <c r="U37" s="24">
        <v>0.2</v>
      </c>
      <c r="V37" s="24">
        <v>-0.2</v>
      </c>
      <c r="W37" s="24">
        <v>0</v>
      </c>
      <c r="X37" s="24">
        <v>0</v>
      </c>
      <c r="Y37" s="24">
        <v>0</v>
      </c>
      <c r="Z37" s="24">
        <v>0.2</v>
      </c>
      <c r="AA37" s="24">
        <v>-0.2</v>
      </c>
      <c r="AB37" s="24">
        <v>0</v>
      </c>
      <c r="AC37" s="24">
        <v>0</v>
      </c>
      <c r="AD37" s="24">
        <v>0</v>
      </c>
      <c r="AE37" s="24">
        <v>0.2</v>
      </c>
      <c r="AF37" s="24">
        <v>-0.2</v>
      </c>
      <c r="AG37" s="24">
        <v>0</v>
      </c>
      <c r="AH37" s="24">
        <v>0</v>
      </c>
      <c r="AI37" s="48">
        <v>20001</v>
      </c>
      <c r="AJ37" s="48">
        <v>20002</v>
      </c>
      <c r="AK37" s="48">
        <v>20013</v>
      </c>
      <c r="AL37" s="48">
        <v>20004</v>
      </c>
      <c r="AM37" s="48">
        <v>20005</v>
      </c>
      <c r="AN37" s="25">
        <v>0</v>
      </c>
      <c r="AO37" s="49">
        <v>3</v>
      </c>
      <c r="AP37" s="50">
        <v>75</v>
      </c>
      <c r="AQ37" s="51" t="s">
        <v>1194</v>
      </c>
      <c r="AR37" s="51">
        <f>=F37*247.95</f>
        <v>2086995.15</v>
      </c>
      <c r="AS37" s="51">
        <f>=G37*32.6061</f>
        <v>2999.7612</v>
      </c>
      <c r="AT37" s="51">
        <f>=J37*2.35</f>
        <v>9778.35</v>
      </c>
      <c r="AU37" s="47">
        <f>=H37*15.88</f>
        <v>857.52</v>
      </c>
    </row>
    <row r="38" spans="1:47">
      <c r="A38" s="24" t="s">
        <v>1189</v>
      </c>
      <c r="B38" s="24">
        <v>11056</v>
      </c>
      <c r="C38" s="24" t="s">
        <v>1190</v>
      </c>
      <c r="D38" s="24" t="s">
        <v>1191</v>
      </c>
      <c r="E38" s="24">
        <v>900011056</v>
      </c>
      <c r="F38" s="24">
        <v>8417</v>
      </c>
      <c r="G38" s="24">
        <v>92</v>
      </c>
      <c r="H38" s="24">
        <v>54</v>
      </c>
      <c r="I38" s="25">
        <v>0.5</v>
      </c>
      <c r="J38" s="24">
        <v>4161</v>
      </c>
      <c r="K38" s="24" t="b">
        <v>1</v>
      </c>
      <c r="L38" s="25">
        <v>0</v>
      </c>
      <c r="M38" s="47">
        <v>0</v>
      </c>
      <c r="N38" s="25">
        <v>0.0769</v>
      </c>
      <c r="O38" s="47">
        <v>13.0039</v>
      </c>
      <c r="P38" s="25">
        <v>0.5</v>
      </c>
      <c r="Q38" s="24">
        <v>2</v>
      </c>
      <c r="R38" s="24">
        <v>5</v>
      </c>
      <c r="S38" s="25">
        <v>0.5</v>
      </c>
      <c r="T38" s="24">
        <v>0</v>
      </c>
      <c r="U38" s="24">
        <v>0.2</v>
      </c>
      <c r="V38" s="24">
        <v>-0.2</v>
      </c>
      <c r="W38" s="24">
        <v>0</v>
      </c>
      <c r="X38" s="24">
        <v>0</v>
      </c>
      <c r="Y38" s="24">
        <v>0</v>
      </c>
      <c r="Z38" s="24">
        <v>0.2</v>
      </c>
      <c r="AA38" s="24">
        <v>-0.2</v>
      </c>
      <c r="AB38" s="24">
        <v>0</v>
      </c>
      <c r="AC38" s="24">
        <v>0</v>
      </c>
      <c r="AD38" s="24">
        <v>0</v>
      </c>
      <c r="AE38" s="24">
        <v>0.2</v>
      </c>
      <c r="AF38" s="24">
        <v>-0.2</v>
      </c>
      <c r="AG38" s="24">
        <v>0</v>
      </c>
      <c r="AH38" s="24">
        <v>0</v>
      </c>
      <c r="AI38" s="48">
        <v>20001</v>
      </c>
      <c r="AJ38" s="48">
        <v>20002</v>
      </c>
      <c r="AK38" s="48">
        <v>20013</v>
      </c>
      <c r="AL38" s="48">
        <v>20004</v>
      </c>
      <c r="AM38" s="48">
        <v>20005</v>
      </c>
      <c r="AN38" s="25">
        <v>0</v>
      </c>
      <c r="AO38" s="49">
        <v>3</v>
      </c>
      <c r="AP38" s="50">
        <v>75</v>
      </c>
      <c r="AQ38" s="51" t="s">
        <v>1194</v>
      </c>
      <c r="AR38" s="51">
        <f>=F38*247.95</f>
        <v>2086995.15</v>
      </c>
      <c r="AS38" s="51">
        <f>=G38*32.6061</f>
        <v>2999.7612</v>
      </c>
      <c r="AT38" s="51">
        <f>=J38*2.35</f>
        <v>9778.35</v>
      </c>
      <c r="AU38" s="47">
        <f>=H38*15.88</f>
        <v>857.52</v>
      </c>
    </row>
    <row r="39" spans="1:47">
      <c r="A39" s="24" t="s">
        <v>1195</v>
      </c>
      <c r="B39" s="24">
        <v>11057</v>
      </c>
      <c r="C39" s="24" t="s">
        <v>1196</v>
      </c>
      <c r="D39" s="24" t="s">
        <v>1197</v>
      </c>
      <c r="E39" s="24">
        <v>900011057</v>
      </c>
      <c r="F39" s="24">
        <v>17218</v>
      </c>
      <c r="G39" s="24">
        <v>120</v>
      </c>
      <c r="H39" s="24">
        <v>60</v>
      </c>
      <c r="I39" s="25">
        <v>0.5</v>
      </c>
      <c r="J39" s="24">
        <v>5991</v>
      </c>
      <c r="K39" s="24" t="b">
        <v>1</v>
      </c>
      <c r="L39" s="25">
        <v>0</v>
      </c>
      <c r="M39" s="47">
        <v>0</v>
      </c>
      <c r="N39" s="25">
        <v>0.0833</v>
      </c>
      <c r="O39" s="47">
        <v>12.0048</v>
      </c>
      <c r="P39" s="25">
        <v>0.5</v>
      </c>
      <c r="Q39" s="24">
        <v>3</v>
      </c>
      <c r="R39" s="24">
        <v>5</v>
      </c>
      <c r="S39" s="25">
        <v>0.75</v>
      </c>
      <c r="T39" s="24">
        <v>0</v>
      </c>
      <c r="U39" s="24">
        <v>0.2</v>
      </c>
      <c r="V39" s="24">
        <v>-0.2</v>
      </c>
      <c r="W39" s="24">
        <v>0</v>
      </c>
      <c r="X39" s="24">
        <v>0</v>
      </c>
      <c r="Y39" s="24">
        <v>0</v>
      </c>
      <c r="Z39" s="24">
        <v>0.2</v>
      </c>
      <c r="AA39" s="24">
        <v>-0.2</v>
      </c>
      <c r="AB39" s="24">
        <v>0</v>
      </c>
      <c r="AC39" s="24">
        <v>0</v>
      </c>
      <c r="AD39" s="24">
        <v>0</v>
      </c>
      <c r="AE39" s="24">
        <v>0.2</v>
      </c>
      <c r="AF39" s="24">
        <v>-0.2</v>
      </c>
      <c r="AG39" s="24">
        <v>0</v>
      </c>
      <c r="AH39" s="24">
        <v>0</v>
      </c>
      <c r="AI39" s="48">
        <v>30001</v>
      </c>
      <c r="AJ39" s="48">
        <v>30002</v>
      </c>
      <c r="AK39" s="48">
        <v>30013</v>
      </c>
      <c r="AL39" s="48">
        <v>30004</v>
      </c>
      <c r="AM39" s="48">
        <v>30005</v>
      </c>
      <c r="AN39" s="25">
        <v>0</v>
      </c>
      <c r="AO39" s="49">
        <v>5</v>
      </c>
      <c r="AP39" s="50">
        <v>100</v>
      </c>
      <c r="AQ39" s="51" t="s">
        <v>1198</v>
      </c>
      <c r="AR39" s="51">
        <f>=F39*247.95</f>
        <v>4269203.1</v>
      </c>
      <c r="AS39" s="51">
        <f>=G39*32.6061</f>
        <v>3912.732</v>
      </c>
      <c r="AT39" s="51">
        <f>=J39*2.35</f>
        <v>14078.85</v>
      </c>
      <c r="AU39" s="47">
        <f>=H39*15.88</f>
        <v>952.8</v>
      </c>
    </row>
    <row r="40" spans="1:47">
      <c r="A40" s="24" t="s">
        <v>1199</v>
      </c>
      <c r="B40" s="24">
        <v>11058</v>
      </c>
      <c r="C40" s="24" t="s">
        <v>1200</v>
      </c>
      <c r="D40" s="24" t="s">
        <v>1201</v>
      </c>
      <c r="E40" s="24">
        <v>900011058</v>
      </c>
      <c r="F40" s="24">
        <v>8417</v>
      </c>
      <c r="G40" s="24">
        <v>92</v>
      </c>
      <c r="H40" s="24">
        <v>54</v>
      </c>
      <c r="I40" s="25">
        <v>0.5</v>
      </c>
      <c r="J40" s="24">
        <v>4161</v>
      </c>
      <c r="K40" s="24" t="b">
        <v>1</v>
      </c>
      <c r="L40" s="25">
        <v>0</v>
      </c>
      <c r="M40" s="47">
        <v>0</v>
      </c>
      <c r="N40" s="25">
        <v>0.0769</v>
      </c>
      <c r="O40" s="47">
        <v>13.0039</v>
      </c>
      <c r="P40" s="25">
        <v>0.5</v>
      </c>
      <c r="Q40" s="24">
        <v>2</v>
      </c>
      <c r="R40" s="24">
        <v>5</v>
      </c>
      <c r="S40" s="25">
        <v>0.5</v>
      </c>
      <c r="T40" s="24">
        <v>0</v>
      </c>
      <c r="U40" s="24">
        <v>-0.2</v>
      </c>
      <c r="V40" s="24">
        <v>0</v>
      </c>
      <c r="W40" s="24">
        <v>-0.2</v>
      </c>
      <c r="X40" s="24">
        <v>0.2</v>
      </c>
      <c r="Y40" s="24">
        <v>0</v>
      </c>
      <c r="Z40" s="24">
        <v>-0.2</v>
      </c>
      <c r="AA40" s="24">
        <v>0</v>
      </c>
      <c r="AB40" s="24">
        <v>-0.2</v>
      </c>
      <c r="AC40" s="24">
        <v>0.2</v>
      </c>
      <c r="AD40" s="24">
        <v>0</v>
      </c>
      <c r="AE40" s="24">
        <v>-0.2</v>
      </c>
      <c r="AF40" s="24">
        <v>0</v>
      </c>
      <c r="AG40" s="24">
        <v>-0.2</v>
      </c>
      <c r="AH40" s="24">
        <v>0.2</v>
      </c>
      <c r="AI40" s="48">
        <v>20001</v>
      </c>
      <c r="AJ40" s="48">
        <v>20012</v>
      </c>
      <c r="AK40" s="48">
        <v>20003</v>
      </c>
      <c r="AL40" s="48">
        <v>20004</v>
      </c>
      <c r="AM40" s="48">
        <v>20005</v>
      </c>
      <c r="AN40" s="25">
        <v>0</v>
      </c>
      <c r="AO40" s="49">
        <v>3</v>
      </c>
      <c r="AP40" s="50">
        <v>75</v>
      </c>
      <c r="AQ40" s="51" t="s">
        <v>1202</v>
      </c>
      <c r="AR40" s="51">
        <f>=F40*247.95</f>
        <v>2086995.15</v>
      </c>
      <c r="AS40" s="51">
        <f>=G40*32.6061</f>
        <v>2999.7612</v>
      </c>
      <c r="AT40" s="51">
        <f>=J40*2.35</f>
        <v>9778.35</v>
      </c>
      <c r="AU40" s="47">
        <f>=H40*15.88</f>
        <v>857.52</v>
      </c>
    </row>
    <row r="41" spans="1:47">
      <c r="A41" s="24" t="s">
        <v>1199</v>
      </c>
      <c r="B41" s="24">
        <v>11059</v>
      </c>
      <c r="C41" s="24" t="s">
        <v>1200</v>
      </c>
      <c r="D41" s="24" t="s">
        <v>1201</v>
      </c>
      <c r="E41" s="24">
        <v>900011059</v>
      </c>
      <c r="F41" s="24">
        <v>8736</v>
      </c>
      <c r="G41" s="24">
        <v>106</v>
      </c>
      <c r="H41" s="24">
        <v>54</v>
      </c>
      <c r="I41" s="25">
        <v>0.5</v>
      </c>
      <c r="J41" s="24">
        <v>4753</v>
      </c>
      <c r="K41" s="24" t="b">
        <v>1</v>
      </c>
      <c r="L41" s="25">
        <v>0</v>
      </c>
      <c r="M41" s="47">
        <v>0</v>
      </c>
      <c r="N41" s="25">
        <v>0.0769</v>
      </c>
      <c r="O41" s="47">
        <v>13.0039</v>
      </c>
      <c r="P41" s="25">
        <v>0.5</v>
      </c>
      <c r="Q41" s="24">
        <v>2</v>
      </c>
      <c r="R41" s="24">
        <v>5</v>
      </c>
      <c r="S41" s="25">
        <v>0.5</v>
      </c>
      <c r="T41" s="24">
        <v>0</v>
      </c>
      <c r="U41" s="24">
        <v>-0.2</v>
      </c>
      <c r="V41" s="24">
        <v>0</v>
      </c>
      <c r="W41" s="24">
        <v>-0.2</v>
      </c>
      <c r="X41" s="24">
        <v>0.2</v>
      </c>
      <c r="Y41" s="24">
        <v>0</v>
      </c>
      <c r="Z41" s="24">
        <v>-0.2</v>
      </c>
      <c r="AA41" s="24">
        <v>0</v>
      </c>
      <c r="AB41" s="24">
        <v>-0.2</v>
      </c>
      <c r="AC41" s="24">
        <v>0.2</v>
      </c>
      <c r="AD41" s="24">
        <v>0</v>
      </c>
      <c r="AE41" s="24">
        <v>-0.2</v>
      </c>
      <c r="AF41" s="24">
        <v>0</v>
      </c>
      <c r="AG41" s="24">
        <v>-0.2</v>
      </c>
      <c r="AH41" s="24">
        <v>0.2</v>
      </c>
      <c r="AI41" s="48">
        <v>20001</v>
      </c>
      <c r="AJ41" s="48">
        <v>20012</v>
      </c>
      <c r="AK41" s="48">
        <v>20003</v>
      </c>
      <c r="AL41" s="48">
        <v>20004</v>
      </c>
      <c r="AM41" s="48">
        <v>20005</v>
      </c>
      <c r="AN41" s="25">
        <v>0</v>
      </c>
      <c r="AO41" s="49">
        <v>3</v>
      </c>
      <c r="AP41" s="50">
        <v>75</v>
      </c>
      <c r="AQ41" s="51" t="s">
        <v>1203</v>
      </c>
      <c r="AR41" s="51">
        <f>=F41*247.95</f>
        <v>2166091.2</v>
      </c>
      <c r="AS41" s="51">
        <f>=G41*32.6061</f>
        <v>3456.2466</v>
      </c>
      <c r="AT41" s="51">
        <f>=J41*2.35</f>
        <v>11169.55</v>
      </c>
      <c r="AU41" s="47">
        <f>=H41*15.88</f>
        <v>857.52</v>
      </c>
    </row>
    <row r="42" spans="1:47">
      <c r="A42" s="24" t="s">
        <v>1204</v>
      </c>
      <c r="B42" s="24">
        <v>11061</v>
      </c>
      <c r="C42" s="24" t="s">
        <v>1205</v>
      </c>
      <c r="D42" s="24" t="s">
        <v>1206</v>
      </c>
      <c r="E42" s="24">
        <v>900011061</v>
      </c>
      <c r="F42" s="24">
        <v>16778</v>
      </c>
      <c r="G42" s="24">
        <v>132</v>
      </c>
      <c r="H42" s="24">
        <v>60</v>
      </c>
      <c r="I42" s="25">
        <v>0.5</v>
      </c>
      <c r="J42" s="24">
        <v>5543</v>
      </c>
      <c r="K42" s="24" t="b">
        <v>1</v>
      </c>
      <c r="L42" s="25">
        <v>0</v>
      </c>
      <c r="M42" s="47">
        <v>0</v>
      </c>
      <c r="N42" s="25">
        <v>0.0833</v>
      </c>
      <c r="O42" s="47">
        <v>12.0048</v>
      </c>
      <c r="P42" s="25">
        <v>0.5</v>
      </c>
      <c r="Q42" s="24">
        <v>3</v>
      </c>
      <c r="R42" s="24">
        <v>5</v>
      </c>
      <c r="S42" s="25">
        <v>0.75</v>
      </c>
      <c r="T42" s="24">
        <v>0</v>
      </c>
      <c r="U42" s="24">
        <v>0.2</v>
      </c>
      <c r="V42" s="24">
        <v>-0.2</v>
      </c>
      <c r="W42" s="24">
        <v>0</v>
      </c>
      <c r="X42" s="24">
        <v>0</v>
      </c>
      <c r="Y42" s="24">
        <v>0</v>
      </c>
      <c r="Z42" s="24">
        <v>0.2</v>
      </c>
      <c r="AA42" s="24">
        <v>-0.2</v>
      </c>
      <c r="AB42" s="24">
        <v>0</v>
      </c>
      <c r="AC42" s="24">
        <v>0</v>
      </c>
      <c r="AD42" s="24">
        <v>0</v>
      </c>
      <c r="AE42" s="24">
        <v>0.2</v>
      </c>
      <c r="AF42" s="24">
        <v>-0.2</v>
      </c>
      <c r="AG42" s="24">
        <v>0</v>
      </c>
      <c r="AH42" s="24">
        <v>0</v>
      </c>
      <c r="AI42" s="48">
        <v>30001</v>
      </c>
      <c r="AJ42" s="48">
        <v>30002</v>
      </c>
      <c r="AK42" s="48">
        <v>30013</v>
      </c>
      <c r="AL42" s="48">
        <v>30004</v>
      </c>
      <c r="AM42" s="48">
        <v>30005</v>
      </c>
      <c r="AN42" s="25">
        <v>0</v>
      </c>
      <c r="AO42" s="49">
        <v>5</v>
      </c>
      <c r="AP42" s="50">
        <v>100</v>
      </c>
      <c r="AQ42" s="51" t="s">
        <v>1207</v>
      </c>
      <c r="AR42" s="51">
        <f>=F42*247.95</f>
        <v>4160105.1</v>
      </c>
      <c r="AS42" s="51">
        <f>=G42*32.6061</f>
        <v>4304.0052</v>
      </c>
      <c r="AT42" s="51">
        <f>=J42*2.35</f>
        <v>13026.05</v>
      </c>
      <c r="AU42" s="47">
        <f>=H42*15.88</f>
        <v>952.8</v>
      </c>
    </row>
    <row r="43" spans="1:47">
      <c r="A43" s="24" t="s">
        <v>1204</v>
      </c>
      <c r="B43" s="24">
        <v>11062</v>
      </c>
      <c r="C43" s="24" t="s">
        <v>1205</v>
      </c>
      <c r="D43" s="24" t="s">
        <v>1206</v>
      </c>
      <c r="E43" s="24">
        <v>900011062</v>
      </c>
      <c r="F43" s="24">
        <v>16778</v>
      </c>
      <c r="G43" s="24">
        <v>132</v>
      </c>
      <c r="H43" s="24">
        <v>60</v>
      </c>
      <c r="I43" s="25">
        <v>0.5</v>
      </c>
      <c r="J43" s="24">
        <v>5543</v>
      </c>
      <c r="K43" s="24" t="b">
        <v>1</v>
      </c>
      <c r="L43" s="25">
        <v>0</v>
      </c>
      <c r="M43" s="47">
        <v>0</v>
      </c>
      <c r="N43" s="25">
        <v>0.0833</v>
      </c>
      <c r="O43" s="47">
        <v>12.0048</v>
      </c>
      <c r="P43" s="25">
        <v>0.5</v>
      </c>
      <c r="Q43" s="24">
        <v>3</v>
      </c>
      <c r="R43" s="24">
        <v>5</v>
      </c>
      <c r="S43" s="25">
        <v>0.75</v>
      </c>
      <c r="T43" s="24">
        <v>0</v>
      </c>
      <c r="U43" s="24">
        <v>0.2</v>
      </c>
      <c r="V43" s="24">
        <v>-0.2</v>
      </c>
      <c r="W43" s="24">
        <v>0</v>
      </c>
      <c r="X43" s="24">
        <v>0</v>
      </c>
      <c r="Y43" s="24">
        <v>0</v>
      </c>
      <c r="Z43" s="24">
        <v>0.2</v>
      </c>
      <c r="AA43" s="24">
        <v>-0.2</v>
      </c>
      <c r="AB43" s="24">
        <v>0</v>
      </c>
      <c r="AC43" s="24">
        <v>0</v>
      </c>
      <c r="AD43" s="24">
        <v>0</v>
      </c>
      <c r="AE43" s="24">
        <v>0.2</v>
      </c>
      <c r="AF43" s="24">
        <v>-0.2</v>
      </c>
      <c r="AG43" s="24">
        <v>0</v>
      </c>
      <c r="AH43" s="24">
        <v>0</v>
      </c>
      <c r="AI43" s="48">
        <v>30001</v>
      </c>
      <c r="AJ43" s="48">
        <v>30002</v>
      </c>
      <c r="AK43" s="48">
        <v>30013</v>
      </c>
      <c r="AL43" s="48">
        <v>30004</v>
      </c>
      <c r="AM43" s="48">
        <v>30005</v>
      </c>
      <c r="AN43" s="25">
        <v>0</v>
      </c>
      <c r="AO43" s="49">
        <v>5</v>
      </c>
      <c r="AP43" s="50">
        <v>100</v>
      </c>
      <c r="AQ43" s="51" t="s">
        <v>1207</v>
      </c>
      <c r="AR43" s="51">
        <f>=F43*247.95</f>
        <v>4160105.1</v>
      </c>
      <c r="AS43" s="51">
        <f>=G43*32.6061</f>
        <v>4304.0052</v>
      </c>
      <c r="AT43" s="51">
        <f>=J43*2.35</f>
        <v>13026.05</v>
      </c>
      <c r="AU43" s="47">
        <f>=H43*15.88</f>
        <v>952.8</v>
      </c>
    </row>
    <row r="44" spans="1:47">
      <c r="A44" s="24" t="s">
        <v>1208</v>
      </c>
      <c r="B44" s="24">
        <v>11063</v>
      </c>
      <c r="C44" s="24" t="s">
        <v>1209</v>
      </c>
      <c r="D44" s="24" t="s">
        <v>1210</v>
      </c>
      <c r="E44" s="24">
        <v>900011063</v>
      </c>
      <c r="F44" s="24">
        <v>16778</v>
      </c>
      <c r="G44" s="24">
        <v>132</v>
      </c>
      <c r="H44" s="24">
        <v>60</v>
      </c>
      <c r="I44" s="25">
        <v>0.5</v>
      </c>
      <c r="J44" s="24">
        <v>5543</v>
      </c>
      <c r="K44" s="24" t="b">
        <v>1</v>
      </c>
      <c r="L44" s="25">
        <v>0</v>
      </c>
      <c r="M44" s="47">
        <v>0</v>
      </c>
      <c r="N44" s="25">
        <v>0.0833</v>
      </c>
      <c r="O44" s="47">
        <v>12.0048</v>
      </c>
      <c r="P44" s="25">
        <v>0.5</v>
      </c>
      <c r="Q44" s="24">
        <v>3</v>
      </c>
      <c r="R44" s="24">
        <v>5</v>
      </c>
      <c r="S44" s="25">
        <v>0.75</v>
      </c>
      <c r="T44" s="24">
        <v>0</v>
      </c>
      <c r="U44" s="24">
        <v>-0.2</v>
      </c>
      <c r="V44" s="24">
        <v>0</v>
      </c>
      <c r="W44" s="24">
        <v>-0.2</v>
      </c>
      <c r="X44" s="24">
        <v>0.2</v>
      </c>
      <c r="Y44" s="24">
        <v>0</v>
      </c>
      <c r="Z44" s="24">
        <v>-0.2</v>
      </c>
      <c r="AA44" s="24">
        <v>0</v>
      </c>
      <c r="AB44" s="24">
        <v>-0.2</v>
      </c>
      <c r="AC44" s="24">
        <v>0.2</v>
      </c>
      <c r="AD44" s="24">
        <v>0</v>
      </c>
      <c r="AE44" s="24">
        <v>-0.2</v>
      </c>
      <c r="AF44" s="24">
        <v>0</v>
      </c>
      <c r="AG44" s="24">
        <v>-0.2</v>
      </c>
      <c r="AH44" s="24">
        <v>0.2</v>
      </c>
      <c r="AI44" s="48">
        <v>30001</v>
      </c>
      <c r="AJ44" s="48">
        <v>30012</v>
      </c>
      <c r="AK44" s="48">
        <v>30003</v>
      </c>
      <c r="AL44" s="48">
        <v>30004</v>
      </c>
      <c r="AM44" s="48">
        <v>30005</v>
      </c>
      <c r="AN44" s="25">
        <v>0</v>
      </c>
      <c r="AO44" s="49">
        <v>5</v>
      </c>
      <c r="AP44" s="50">
        <v>100</v>
      </c>
      <c r="AQ44" s="51" t="s">
        <v>1211</v>
      </c>
      <c r="AR44" s="51">
        <f>=F44*247.95</f>
        <v>4160105.1</v>
      </c>
      <c r="AS44" s="51">
        <f>=G44*32.6061</f>
        <v>4304.0052</v>
      </c>
      <c r="AT44" s="51">
        <f>=J44*2.35</f>
        <v>13026.05</v>
      </c>
      <c r="AU44" s="47">
        <f>=H44*15.88</f>
        <v>952.8</v>
      </c>
    </row>
    <row r="45" spans="1:47">
      <c r="A45" s="24" t="s">
        <v>1208</v>
      </c>
      <c r="B45" s="24">
        <v>11064</v>
      </c>
      <c r="C45" s="24" t="s">
        <v>1209</v>
      </c>
      <c r="D45" s="24" t="s">
        <v>1210</v>
      </c>
      <c r="E45" s="24">
        <v>900011064</v>
      </c>
      <c r="F45" s="24">
        <v>16778</v>
      </c>
      <c r="G45" s="24">
        <v>132</v>
      </c>
      <c r="H45" s="24">
        <v>60</v>
      </c>
      <c r="I45" s="25">
        <v>0.5</v>
      </c>
      <c r="J45" s="24">
        <v>5543</v>
      </c>
      <c r="K45" s="24" t="b">
        <v>1</v>
      </c>
      <c r="L45" s="25">
        <v>0</v>
      </c>
      <c r="M45" s="47">
        <v>0</v>
      </c>
      <c r="N45" s="25">
        <v>0.0833</v>
      </c>
      <c r="O45" s="47">
        <v>12.0048</v>
      </c>
      <c r="P45" s="25">
        <v>0.5</v>
      </c>
      <c r="Q45" s="24">
        <v>3</v>
      </c>
      <c r="R45" s="24">
        <v>5</v>
      </c>
      <c r="S45" s="25">
        <v>0.75</v>
      </c>
      <c r="T45" s="24">
        <v>0</v>
      </c>
      <c r="U45" s="24">
        <v>-0.2</v>
      </c>
      <c r="V45" s="24">
        <v>0</v>
      </c>
      <c r="W45" s="24">
        <v>-0.2</v>
      </c>
      <c r="X45" s="24">
        <v>0.2</v>
      </c>
      <c r="Y45" s="24">
        <v>0</v>
      </c>
      <c r="Z45" s="24">
        <v>-0.2</v>
      </c>
      <c r="AA45" s="24">
        <v>0</v>
      </c>
      <c r="AB45" s="24">
        <v>-0.2</v>
      </c>
      <c r="AC45" s="24">
        <v>0.2</v>
      </c>
      <c r="AD45" s="24">
        <v>0</v>
      </c>
      <c r="AE45" s="24">
        <v>-0.2</v>
      </c>
      <c r="AF45" s="24">
        <v>0</v>
      </c>
      <c r="AG45" s="24">
        <v>-0.2</v>
      </c>
      <c r="AH45" s="24">
        <v>0.2</v>
      </c>
      <c r="AI45" s="48">
        <v>30001</v>
      </c>
      <c r="AJ45" s="48">
        <v>30012</v>
      </c>
      <c r="AK45" s="48">
        <v>30003</v>
      </c>
      <c r="AL45" s="48">
        <v>30004</v>
      </c>
      <c r="AM45" s="48">
        <v>30005</v>
      </c>
      <c r="AN45" s="25">
        <v>0</v>
      </c>
      <c r="AO45" s="49">
        <v>5</v>
      </c>
      <c r="AP45" s="50">
        <v>100</v>
      </c>
      <c r="AQ45" s="51" t="s">
        <v>1211</v>
      </c>
      <c r="AR45" s="51">
        <f>=F45*247.95</f>
        <v>4160105.1</v>
      </c>
      <c r="AS45" s="51">
        <f>=G45*32.6061</f>
        <v>4304.0052</v>
      </c>
      <c r="AT45" s="51">
        <f>=J45*2.35</f>
        <v>13026.05</v>
      </c>
      <c r="AU45" s="47">
        <f>=H45*15.88</f>
        <v>952.8</v>
      </c>
    </row>
    <row r="46" spans="1:47">
      <c r="A46" s="24" t="s">
        <v>1212</v>
      </c>
      <c r="B46" s="24">
        <v>11083</v>
      </c>
      <c r="C46" s="24" t="s">
        <v>1213</v>
      </c>
      <c r="D46" s="24" t="s">
        <v>1214</v>
      </c>
      <c r="E46" s="24">
        <v>900011083</v>
      </c>
      <c r="F46" s="24">
        <v>462</v>
      </c>
      <c r="G46" s="24">
        <v>44</v>
      </c>
      <c r="H46" s="24">
        <v>43</v>
      </c>
      <c r="I46" s="25">
        <v>0.5</v>
      </c>
      <c r="J46" s="24">
        <v>180</v>
      </c>
      <c r="K46" s="24" t="b">
        <v>1</v>
      </c>
      <c r="L46" s="25">
        <v>0</v>
      </c>
      <c r="M46" s="47">
        <v>0</v>
      </c>
      <c r="N46" s="25">
        <v>0.1538</v>
      </c>
      <c r="O46" s="47">
        <v>6.501951</v>
      </c>
      <c r="P46" s="25">
        <v>0.5</v>
      </c>
      <c r="Q46" s="24">
        <v>1</v>
      </c>
      <c r="R46" s="24">
        <v>1</v>
      </c>
      <c r="S46" s="25">
        <v>0</v>
      </c>
      <c r="T46" s="24">
        <v>-0.2</v>
      </c>
      <c r="U46" s="24">
        <v>0</v>
      </c>
      <c r="V46" s="24">
        <v>0</v>
      </c>
      <c r="W46" s="24">
        <v>0</v>
      </c>
      <c r="X46" s="24">
        <v>-0.2</v>
      </c>
      <c r="Y46" s="24">
        <v>-0.2</v>
      </c>
      <c r="Z46" s="24">
        <v>0</v>
      </c>
      <c r="AA46" s="24">
        <v>0</v>
      </c>
      <c r="AB46" s="24">
        <v>0</v>
      </c>
      <c r="AC46" s="24">
        <v>-0.2</v>
      </c>
      <c r="AD46" s="24">
        <v>-0.2</v>
      </c>
      <c r="AE46" s="24">
        <v>0</v>
      </c>
      <c r="AF46" s="24">
        <v>0</v>
      </c>
      <c r="AG46" s="24">
        <v>0</v>
      </c>
      <c r="AH46" s="24">
        <v>-0.2</v>
      </c>
      <c r="AI46" s="48">
        <v>10001</v>
      </c>
      <c r="AJ46" s="48">
        <v>10002</v>
      </c>
      <c r="AK46" s="48">
        <v>10003</v>
      </c>
      <c r="AL46" s="48">
        <v>10004</v>
      </c>
      <c r="AM46" s="48">
        <v>10015</v>
      </c>
      <c r="AN46" s="25">
        <v>0</v>
      </c>
      <c r="AO46" s="49" t="s"/>
      <c r="AP46" s="50">
        <v>50</v>
      </c>
      <c r="AQ46" s="51" t="s">
        <v>1147</v>
      </c>
      <c r="AR46" s="51">
        <f>=F46*247.95</f>
        <v>114552.9</v>
      </c>
      <c r="AS46" s="51">
        <f>=G46*32.6061</f>
        <v>1434.6684</v>
      </c>
      <c r="AT46" s="51">
        <f>=J46*2.35</f>
        <v>423</v>
      </c>
      <c r="AU46" s="47">
        <f>=H46*15.88</f>
        <v>682.84</v>
      </c>
    </row>
    <row r="47" spans="1:47">
      <c r="A47" s="24" t="s">
        <v>1212</v>
      </c>
      <c r="B47" s="24">
        <v>11084</v>
      </c>
      <c r="C47" s="24" t="s">
        <v>1213</v>
      </c>
      <c r="D47" s="24" t="s">
        <v>1214</v>
      </c>
      <c r="E47" s="24">
        <v>900011084</v>
      </c>
      <c r="F47" s="24">
        <v>537</v>
      </c>
      <c r="G47" s="24">
        <v>44</v>
      </c>
      <c r="H47" s="24">
        <v>43</v>
      </c>
      <c r="I47" s="25">
        <v>0.5</v>
      </c>
      <c r="J47" s="24">
        <v>270</v>
      </c>
      <c r="K47" s="24" t="b">
        <v>1</v>
      </c>
      <c r="L47" s="25">
        <v>0</v>
      </c>
      <c r="M47" s="47">
        <v>0</v>
      </c>
      <c r="N47" s="25">
        <v>0.1538</v>
      </c>
      <c r="O47" s="47">
        <v>6.501951</v>
      </c>
      <c r="P47" s="25">
        <v>0.5</v>
      </c>
      <c r="Q47" s="24">
        <v>1</v>
      </c>
      <c r="R47" s="24">
        <v>1</v>
      </c>
      <c r="S47" s="25">
        <v>0</v>
      </c>
      <c r="T47" s="24">
        <v>-0.2</v>
      </c>
      <c r="U47" s="24">
        <v>0</v>
      </c>
      <c r="V47" s="24">
        <v>0</v>
      </c>
      <c r="W47" s="24">
        <v>0</v>
      </c>
      <c r="X47" s="24">
        <v>-0.2</v>
      </c>
      <c r="Y47" s="24">
        <v>-0.2</v>
      </c>
      <c r="Z47" s="24">
        <v>0</v>
      </c>
      <c r="AA47" s="24">
        <v>0</v>
      </c>
      <c r="AB47" s="24">
        <v>0</v>
      </c>
      <c r="AC47" s="24">
        <v>-0.2</v>
      </c>
      <c r="AD47" s="24">
        <v>-0.2</v>
      </c>
      <c r="AE47" s="24">
        <v>0</v>
      </c>
      <c r="AF47" s="24">
        <v>0</v>
      </c>
      <c r="AG47" s="24">
        <v>0</v>
      </c>
      <c r="AH47" s="24">
        <v>-0.2</v>
      </c>
      <c r="AI47" s="48">
        <v>10001</v>
      </c>
      <c r="AJ47" s="48">
        <v>10002</v>
      </c>
      <c r="AK47" s="48">
        <v>10003</v>
      </c>
      <c r="AL47" s="48">
        <v>10004</v>
      </c>
      <c r="AM47" s="48">
        <v>10015</v>
      </c>
      <c r="AN47" s="25">
        <v>0</v>
      </c>
      <c r="AO47" s="49" t="s"/>
      <c r="AP47" s="50">
        <v>50</v>
      </c>
      <c r="AQ47" s="51" t="s">
        <v>1215</v>
      </c>
      <c r="AR47" s="51">
        <f>=F47*247.95</f>
        <v>133149.15</v>
      </c>
      <c r="AS47" s="51">
        <f>=G47*32.6061</f>
        <v>1434.6684</v>
      </c>
      <c r="AT47" s="51">
        <f>=J47*2.35</f>
        <v>634.5</v>
      </c>
      <c r="AU47" s="47">
        <f>=H47*15.88</f>
        <v>682.84</v>
      </c>
    </row>
    <row r="48" spans="1:47">
      <c r="A48" s="24" t="s">
        <v>1216</v>
      </c>
      <c r="B48" s="24">
        <v>11085</v>
      </c>
      <c r="C48" s="24" t="s">
        <v>1217</v>
      </c>
      <c r="D48" s="24" t="s">
        <v>1218</v>
      </c>
      <c r="E48" s="24">
        <v>900011085</v>
      </c>
      <c r="F48" s="24">
        <v>462</v>
      </c>
      <c r="G48" s="24">
        <v>44</v>
      </c>
      <c r="H48" s="24">
        <v>43</v>
      </c>
      <c r="I48" s="25">
        <v>0.5</v>
      </c>
      <c r="J48" s="24">
        <v>180</v>
      </c>
      <c r="K48" s="24" t="b">
        <v>1</v>
      </c>
      <c r="L48" s="25">
        <v>0</v>
      </c>
      <c r="M48" s="47">
        <v>0</v>
      </c>
      <c r="N48" s="25">
        <v>0.1538</v>
      </c>
      <c r="O48" s="47">
        <v>6.501951</v>
      </c>
      <c r="P48" s="25">
        <v>0.5</v>
      </c>
      <c r="Q48" s="24">
        <v>1</v>
      </c>
      <c r="R48" s="24">
        <v>1</v>
      </c>
      <c r="S48" s="25">
        <v>0</v>
      </c>
      <c r="T48" s="24">
        <v>0</v>
      </c>
      <c r="U48" s="24">
        <v>-0.2</v>
      </c>
      <c r="V48" s="24">
        <v>0</v>
      </c>
      <c r="W48" s="24">
        <v>0</v>
      </c>
      <c r="X48" s="24">
        <v>0</v>
      </c>
      <c r="Y48" s="24">
        <v>0</v>
      </c>
      <c r="Z48" s="24">
        <v>-0.2</v>
      </c>
      <c r="AA48" s="24">
        <v>0</v>
      </c>
      <c r="AB48" s="24">
        <v>0</v>
      </c>
      <c r="AC48" s="24">
        <v>0</v>
      </c>
      <c r="AD48" s="24">
        <v>0</v>
      </c>
      <c r="AE48" s="24">
        <v>-0.2</v>
      </c>
      <c r="AF48" s="24">
        <v>0</v>
      </c>
      <c r="AG48" s="24">
        <v>0</v>
      </c>
      <c r="AH48" s="24">
        <v>0</v>
      </c>
      <c r="AI48" s="48">
        <v>10001</v>
      </c>
      <c r="AJ48" s="48">
        <v>10012</v>
      </c>
      <c r="AK48" s="48">
        <v>10003</v>
      </c>
      <c r="AL48" s="48">
        <v>10004</v>
      </c>
      <c r="AM48" s="48">
        <v>10005</v>
      </c>
      <c r="AN48" s="25">
        <v>0</v>
      </c>
      <c r="AO48" s="49" t="s"/>
      <c r="AP48" s="50">
        <v>50</v>
      </c>
      <c r="AQ48" s="51" t="s">
        <v>1219</v>
      </c>
      <c r="AR48" s="51">
        <f>=F48*247.95</f>
        <v>114552.9</v>
      </c>
      <c r="AS48" s="51">
        <f>=G48*32.6061</f>
        <v>1434.6684</v>
      </c>
      <c r="AT48" s="51">
        <f>=J48*2.35</f>
        <v>423</v>
      </c>
      <c r="AU48" s="47">
        <f>=H48*15.88</f>
        <v>682.84</v>
      </c>
    </row>
    <row r="49" spans="1:47">
      <c r="A49" s="24" t="s">
        <v>1216</v>
      </c>
      <c r="B49" s="24">
        <v>11086</v>
      </c>
      <c r="C49" s="24" t="s">
        <v>1217</v>
      </c>
      <c r="D49" s="24" t="s">
        <v>1218</v>
      </c>
      <c r="E49" s="24">
        <v>900011086</v>
      </c>
      <c r="F49" s="24">
        <v>537</v>
      </c>
      <c r="G49" s="24">
        <v>44</v>
      </c>
      <c r="H49" s="24">
        <v>43</v>
      </c>
      <c r="I49" s="25">
        <v>0.5</v>
      </c>
      <c r="J49" s="24">
        <v>270</v>
      </c>
      <c r="K49" s="24" t="b">
        <v>1</v>
      </c>
      <c r="L49" s="25">
        <v>0</v>
      </c>
      <c r="M49" s="47">
        <v>0</v>
      </c>
      <c r="N49" s="25">
        <v>0.1538</v>
      </c>
      <c r="O49" s="47">
        <v>6.501951</v>
      </c>
      <c r="P49" s="25">
        <v>0.5</v>
      </c>
      <c r="Q49" s="24">
        <v>1</v>
      </c>
      <c r="R49" s="24">
        <v>1</v>
      </c>
      <c r="S49" s="25">
        <v>0</v>
      </c>
      <c r="T49" s="24">
        <v>0</v>
      </c>
      <c r="U49" s="24">
        <v>-0.2</v>
      </c>
      <c r="V49" s="24">
        <v>0</v>
      </c>
      <c r="W49" s="24">
        <v>0</v>
      </c>
      <c r="X49" s="24">
        <v>0</v>
      </c>
      <c r="Y49" s="24">
        <v>0</v>
      </c>
      <c r="Z49" s="24">
        <v>-0.2</v>
      </c>
      <c r="AA49" s="24">
        <v>0</v>
      </c>
      <c r="AB49" s="24">
        <v>0</v>
      </c>
      <c r="AC49" s="24">
        <v>0</v>
      </c>
      <c r="AD49" s="24">
        <v>0</v>
      </c>
      <c r="AE49" s="24">
        <v>-0.2</v>
      </c>
      <c r="AF49" s="24">
        <v>0</v>
      </c>
      <c r="AG49" s="24">
        <v>0</v>
      </c>
      <c r="AH49" s="24">
        <v>0</v>
      </c>
      <c r="AI49" s="48">
        <v>10001</v>
      </c>
      <c r="AJ49" s="48">
        <v>10012</v>
      </c>
      <c r="AK49" s="48">
        <v>10003</v>
      </c>
      <c r="AL49" s="48">
        <v>10004</v>
      </c>
      <c r="AM49" s="48">
        <v>10005</v>
      </c>
      <c r="AN49" s="25">
        <v>0</v>
      </c>
      <c r="AO49" s="49" t="s"/>
      <c r="AP49" s="50">
        <v>50</v>
      </c>
      <c r="AQ49" s="51" t="s">
        <v>1220</v>
      </c>
      <c r="AR49" s="51">
        <f>=F49*247.95</f>
        <v>133149.15</v>
      </c>
      <c r="AS49" s="51">
        <f>=G49*32.6061</f>
        <v>1434.6684</v>
      </c>
      <c r="AT49" s="51">
        <f>=J49*2.35</f>
        <v>634.5</v>
      </c>
      <c r="AU49" s="47">
        <f>=H49*15.88</f>
        <v>682.84</v>
      </c>
    </row>
    <row r="50" spans="1:47">
      <c r="A50" s="24" t="s">
        <v>1144</v>
      </c>
      <c r="B50" s="24">
        <v>11096</v>
      </c>
      <c r="C50" s="24" t="s">
        <v>1145</v>
      </c>
      <c r="D50" s="24" t="s">
        <v>1146</v>
      </c>
      <c r="E50" s="24">
        <v>900011096</v>
      </c>
      <c r="F50" s="24">
        <v>1123</v>
      </c>
      <c r="G50" s="24">
        <v>66</v>
      </c>
      <c r="H50" s="24">
        <v>36</v>
      </c>
      <c r="I50" s="25">
        <v>0.5</v>
      </c>
      <c r="J50" s="24">
        <v>600</v>
      </c>
      <c r="K50" s="24" t="b">
        <v>1</v>
      </c>
      <c r="L50" s="25">
        <v>0</v>
      </c>
      <c r="M50" s="47">
        <v>0</v>
      </c>
      <c r="N50" s="25">
        <v>0.1538</v>
      </c>
      <c r="O50" s="47">
        <v>6.501951</v>
      </c>
      <c r="P50" s="25">
        <v>0.5</v>
      </c>
      <c r="Q50" s="24">
        <v>1</v>
      </c>
      <c r="R50" s="24">
        <v>1</v>
      </c>
      <c r="S50" s="25">
        <v>0</v>
      </c>
      <c r="T50" s="24">
        <v>-0.2</v>
      </c>
      <c r="U50" s="24">
        <v>0</v>
      </c>
      <c r="V50" s="24">
        <v>0</v>
      </c>
      <c r="W50" s="24">
        <v>0</v>
      </c>
      <c r="X50" s="24">
        <v>-0.2</v>
      </c>
      <c r="Y50" s="24">
        <v>-0.2</v>
      </c>
      <c r="Z50" s="24">
        <v>0</v>
      </c>
      <c r="AA50" s="24">
        <v>0</v>
      </c>
      <c r="AB50" s="24">
        <v>0</v>
      </c>
      <c r="AC50" s="24">
        <v>-0.2</v>
      </c>
      <c r="AD50" s="24">
        <v>-0.2</v>
      </c>
      <c r="AE50" s="24">
        <v>0</v>
      </c>
      <c r="AF50" s="24">
        <v>0</v>
      </c>
      <c r="AG50" s="24">
        <v>0</v>
      </c>
      <c r="AH50" s="24">
        <v>-0.2</v>
      </c>
      <c r="AI50" s="48">
        <v>10001</v>
      </c>
      <c r="AJ50" s="48">
        <v>10002</v>
      </c>
      <c r="AK50" s="48">
        <v>10003</v>
      </c>
      <c r="AL50" s="48">
        <v>10004</v>
      </c>
      <c r="AM50" s="48">
        <v>10015</v>
      </c>
      <c r="AN50" s="25">
        <v>0</v>
      </c>
      <c r="AO50" s="49" t="s"/>
      <c r="AP50" s="50">
        <v>50</v>
      </c>
      <c r="AQ50" s="51" t="s">
        <v>1147</v>
      </c>
      <c r="AR50" s="51">
        <f>=F50*247.95</f>
        <v>278447.85</v>
      </c>
      <c r="AS50" s="51">
        <f>=G50*32.6061</f>
        <v>2152.0026</v>
      </c>
      <c r="AT50" s="51">
        <f>=J50*2.35</f>
        <v>1410</v>
      </c>
      <c r="AU50" s="47">
        <f>=H50*15.88</f>
        <v>571.68</v>
      </c>
    </row>
    <row r="51" spans="1:47">
      <c r="A51" s="24" t="s">
        <v>1144</v>
      </c>
      <c r="B51" s="24">
        <v>11097</v>
      </c>
      <c r="C51" s="24" t="s">
        <v>1145</v>
      </c>
      <c r="D51" s="24" t="s">
        <v>1146</v>
      </c>
      <c r="E51" s="24">
        <v>900011097</v>
      </c>
      <c r="F51" s="24">
        <v>1373</v>
      </c>
      <c r="G51" s="24">
        <v>66</v>
      </c>
      <c r="H51" s="24">
        <v>36</v>
      </c>
      <c r="I51" s="25">
        <v>0.5</v>
      </c>
      <c r="J51" s="24">
        <v>900</v>
      </c>
      <c r="K51" s="24" t="b">
        <v>1</v>
      </c>
      <c r="L51" s="25">
        <v>0</v>
      </c>
      <c r="M51" s="47">
        <v>0</v>
      </c>
      <c r="N51" s="25">
        <v>0.1538</v>
      </c>
      <c r="O51" s="47">
        <v>6.501951</v>
      </c>
      <c r="P51" s="25">
        <v>0.5</v>
      </c>
      <c r="Q51" s="24">
        <v>1</v>
      </c>
      <c r="R51" s="24">
        <v>1</v>
      </c>
      <c r="S51" s="25">
        <v>0</v>
      </c>
      <c r="T51" s="24">
        <v>-0.2</v>
      </c>
      <c r="U51" s="24">
        <v>0</v>
      </c>
      <c r="V51" s="24">
        <v>0</v>
      </c>
      <c r="W51" s="24">
        <v>0</v>
      </c>
      <c r="X51" s="24">
        <v>-0.2</v>
      </c>
      <c r="Y51" s="24">
        <v>-0.2</v>
      </c>
      <c r="Z51" s="24">
        <v>0</v>
      </c>
      <c r="AA51" s="24">
        <v>0</v>
      </c>
      <c r="AB51" s="24">
        <v>0</v>
      </c>
      <c r="AC51" s="24">
        <v>-0.2</v>
      </c>
      <c r="AD51" s="24">
        <v>-0.2</v>
      </c>
      <c r="AE51" s="24">
        <v>0</v>
      </c>
      <c r="AF51" s="24">
        <v>0</v>
      </c>
      <c r="AG51" s="24">
        <v>0</v>
      </c>
      <c r="AH51" s="24">
        <v>-0.2</v>
      </c>
      <c r="AI51" s="48">
        <v>10001</v>
      </c>
      <c r="AJ51" s="48">
        <v>10002</v>
      </c>
      <c r="AK51" s="48">
        <v>10003</v>
      </c>
      <c r="AL51" s="48">
        <v>10004</v>
      </c>
      <c r="AM51" s="48">
        <v>10015</v>
      </c>
      <c r="AN51" s="25">
        <v>0</v>
      </c>
      <c r="AO51" s="49" t="s"/>
      <c r="AP51" s="50">
        <v>50</v>
      </c>
      <c r="AQ51" s="51" t="s">
        <v>1215</v>
      </c>
      <c r="AR51" s="51">
        <f>=F51*247.95</f>
        <v>340435.35</v>
      </c>
      <c r="AS51" s="51">
        <f>=G51*32.6061</f>
        <v>2152.0026</v>
      </c>
      <c r="AT51" s="51">
        <f>=J51*2.35</f>
        <v>2115</v>
      </c>
      <c r="AU51" s="47">
        <f>=H51*15.88</f>
        <v>571.68</v>
      </c>
    </row>
    <row r="52" spans="1:47">
      <c r="A52" s="24" t="s">
        <v>1221</v>
      </c>
      <c r="B52" s="24">
        <v>11098</v>
      </c>
      <c r="C52" s="24" t="s">
        <v>1222</v>
      </c>
      <c r="D52" s="24" t="s">
        <v>1223</v>
      </c>
      <c r="E52" s="24">
        <v>900011098</v>
      </c>
      <c r="F52" s="24">
        <v>1123</v>
      </c>
      <c r="G52" s="24">
        <v>66</v>
      </c>
      <c r="H52" s="24">
        <v>36</v>
      </c>
      <c r="I52" s="25">
        <v>0.5</v>
      </c>
      <c r="J52" s="24">
        <v>600</v>
      </c>
      <c r="K52" s="24" t="b">
        <v>1</v>
      </c>
      <c r="L52" s="25">
        <v>0</v>
      </c>
      <c r="M52" s="47">
        <v>0</v>
      </c>
      <c r="N52" s="25">
        <v>0.1538</v>
      </c>
      <c r="O52" s="47">
        <v>6.501951</v>
      </c>
      <c r="P52" s="25">
        <v>0.5</v>
      </c>
      <c r="Q52" s="24">
        <v>1</v>
      </c>
      <c r="R52" s="24">
        <v>1</v>
      </c>
      <c r="S52" s="25">
        <v>0</v>
      </c>
      <c r="T52" s="24">
        <v>0</v>
      </c>
      <c r="U52" s="24">
        <v>-0.2</v>
      </c>
      <c r="V52" s="24">
        <v>0</v>
      </c>
      <c r="W52" s="24">
        <v>0</v>
      </c>
      <c r="X52" s="24">
        <v>0</v>
      </c>
      <c r="Y52" s="24">
        <v>0</v>
      </c>
      <c r="Z52" s="24">
        <v>-0.2</v>
      </c>
      <c r="AA52" s="24">
        <v>0</v>
      </c>
      <c r="AB52" s="24">
        <v>0</v>
      </c>
      <c r="AC52" s="24">
        <v>0</v>
      </c>
      <c r="AD52" s="24">
        <v>0</v>
      </c>
      <c r="AE52" s="24">
        <v>-0.2</v>
      </c>
      <c r="AF52" s="24">
        <v>0</v>
      </c>
      <c r="AG52" s="24">
        <v>0</v>
      </c>
      <c r="AH52" s="24">
        <v>0</v>
      </c>
      <c r="AI52" s="48">
        <v>10001</v>
      </c>
      <c r="AJ52" s="48">
        <v>10012</v>
      </c>
      <c r="AK52" s="48">
        <v>10003</v>
      </c>
      <c r="AL52" s="48">
        <v>10004</v>
      </c>
      <c r="AM52" s="48">
        <v>10005</v>
      </c>
      <c r="AN52" s="25">
        <v>0</v>
      </c>
      <c r="AO52" s="49" t="s"/>
      <c r="AP52" s="50">
        <v>50</v>
      </c>
      <c r="AQ52" s="51" t="s">
        <v>1219</v>
      </c>
      <c r="AR52" s="51">
        <f>=F52*247.95</f>
        <v>278447.85</v>
      </c>
      <c r="AS52" s="51">
        <f>=G52*32.6061</f>
        <v>2152.0026</v>
      </c>
      <c r="AT52" s="51">
        <f>=J52*2.35</f>
        <v>1410</v>
      </c>
      <c r="AU52" s="47">
        <f>=H52*15.88</f>
        <v>571.68</v>
      </c>
    </row>
    <row r="53" spans="1:47">
      <c r="A53" s="24" t="s">
        <v>1221</v>
      </c>
      <c r="B53" s="24">
        <v>11099</v>
      </c>
      <c r="C53" s="24" t="s">
        <v>1222</v>
      </c>
      <c r="D53" s="24" t="s">
        <v>1223</v>
      </c>
      <c r="E53" s="24">
        <v>900011099</v>
      </c>
      <c r="F53" s="24">
        <v>1373</v>
      </c>
      <c r="G53" s="24">
        <v>66</v>
      </c>
      <c r="H53" s="24">
        <v>36</v>
      </c>
      <c r="I53" s="25">
        <v>0.5</v>
      </c>
      <c r="J53" s="24">
        <v>900</v>
      </c>
      <c r="K53" s="24" t="b">
        <v>1</v>
      </c>
      <c r="L53" s="25">
        <v>0</v>
      </c>
      <c r="M53" s="47">
        <v>0</v>
      </c>
      <c r="N53" s="25">
        <v>0.1538</v>
      </c>
      <c r="O53" s="47">
        <v>6.501951</v>
      </c>
      <c r="P53" s="25">
        <v>0.5</v>
      </c>
      <c r="Q53" s="24">
        <v>1</v>
      </c>
      <c r="R53" s="24">
        <v>1</v>
      </c>
      <c r="S53" s="25">
        <v>0</v>
      </c>
      <c r="T53" s="24">
        <v>0</v>
      </c>
      <c r="U53" s="24">
        <v>-0.2</v>
      </c>
      <c r="V53" s="24">
        <v>0</v>
      </c>
      <c r="W53" s="24">
        <v>0</v>
      </c>
      <c r="X53" s="24">
        <v>0</v>
      </c>
      <c r="Y53" s="24">
        <v>0</v>
      </c>
      <c r="Z53" s="24">
        <v>-0.2</v>
      </c>
      <c r="AA53" s="24">
        <v>0</v>
      </c>
      <c r="AB53" s="24">
        <v>0</v>
      </c>
      <c r="AC53" s="24">
        <v>0</v>
      </c>
      <c r="AD53" s="24">
        <v>0</v>
      </c>
      <c r="AE53" s="24">
        <v>-0.2</v>
      </c>
      <c r="AF53" s="24">
        <v>0</v>
      </c>
      <c r="AG53" s="24">
        <v>0</v>
      </c>
      <c r="AH53" s="24">
        <v>0</v>
      </c>
      <c r="AI53" s="48">
        <v>10001</v>
      </c>
      <c r="AJ53" s="48">
        <v>10012</v>
      </c>
      <c r="AK53" s="48">
        <v>10003</v>
      </c>
      <c r="AL53" s="48">
        <v>10004</v>
      </c>
      <c r="AM53" s="48">
        <v>10005</v>
      </c>
      <c r="AN53" s="25">
        <v>0</v>
      </c>
      <c r="AO53" s="49" t="s"/>
      <c r="AP53" s="50">
        <v>50</v>
      </c>
      <c r="AQ53" s="51" t="s">
        <v>1220</v>
      </c>
      <c r="AR53" s="51">
        <f>=F53*247.95</f>
        <v>340435.35</v>
      </c>
      <c r="AS53" s="51">
        <f>=G53*32.6061</f>
        <v>2152.0026</v>
      </c>
      <c r="AT53" s="51">
        <f>=J53*2.35</f>
        <v>2115</v>
      </c>
      <c r="AU53" s="47">
        <f>=H53*15.88</f>
        <v>571.68</v>
      </c>
    </row>
    <row r="54" spans="1:47">
      <c r="A54" s="24" t="s">
        <v>1148</v>
      </c>
      <c r="B54" s="24">
        <v>11103</v>
      </c>
      <c r="C54" s="24" t="s">
        <v>1149</v>
      </c>
      <c r="D54" s="24" t="s">
        <v>1150</v>
      </c>
      <c r="E54" s="24">
        <v>900011103</v>
      </c>
      <c r="F54" s="24">
        <v>1123</v>
      </c>
      <c r="G54" s="24">
        <v>54</v>
      </c>
      <c r="H54" s="24">
        <v>36</v>
      </c>
      <c r="I54" s="25">
        <v>0.5</v>
      </c>
      <c r="J54" s="24">
        <v>600</v>
      </c>
      <c r="K54" s="24" t="b">
        <v>1</v>
      </c>
      <c r="L54" s="25">
        <v>0</v>
      </c>
      <c r="M54" s="47">
        <v>0</v>
      </c>
      <c r="N54" s="25">
        <v>0.1538</v>
      </c>
      <c r="O54" s="47">
        <v>6.501951</v>
      </c>
      <c r="P54" s="25">
        <v>0.5</v>
      </c>
      <c r="Q54" s="24">
        <v>1</v>
      </c>
      <c r="R54" s="24">
        <v>1</v>
      </c>
      <c r="S54" s="25">
        <v>0</v>
      </c>
      <c r="T54" s="24">
        <v>-0.2</v>
      </c>
      <c r="U54" s="24">
        <v>0</v>
      </c>
      <c r="V54" s="24">
        <v>0</v>
      </c>
      <c r="W54" s="24">
        <v>0</v>
      </c>
      <c r="X54" s="24">
        <v>-0.2</v>
      </c>
      <c r="Y54" s="24">
        <v>-0.2</v>
      </c>
      <c r="Z54" s="24">
        <v>0</v>
      </c>
      <c r="AA54" s="24">
        <v>0</v>
      </c>
      <c r="AB54" s="24">
        <v>0</v>
      </c>
      <c r="AC54" s="24">
        <v>-0.2</v>
      </c>
      <c r="AD54" s="24">
        <v>-0.2</v>
      </c>
      <c r="AE54" s="24">
        <v>0</v>
      </c>
      <c r="AF54" s="24">
        <v>0</v>
      </c>
      <c r="AG54" s="24">
        <v>0</v>
      </c>
      <c r="AH54" s="24">
        <v>-0.2</v>
      </c>
      <c r="AI54" s="48">
        <v>10001</v>
      </c>
      <c r="AJ54" s="48">
        <v>10002</v>
      </c>
      <c r="AK54" s="48">
        <v>10003</v>
      </c>
      <c r="AL54" s="48">
        <v>10004</v>
      </c>
      <c r="AM54" s="48">
        <v>10015</v>
      </c>
      <c r="AN54" s="25">
        <v>0</v>
      </c>
      <c r="AO54" s="49" t="s"/>
      <c r="AP54" s="50">
        <v>50</v>
      </c>
      <c r="AQ54" s="51" t="s">
        <v>1147</v>
      </c>
      <c r="AR54" s="51">
        <f>=F54*247.95</f>
        <v>278447.85</v>
      </c>
      <c r="AS54" s="51">
        <f>=G54*32.6061</f>
        <v>1760.7294</v>
      </c>
      <c r="AT54" s="51">
        <f>=J54*2.35</f>
        <v>1410</v>
      </c>
      <c r="AU54" s="47">
        <f>=H54*15.88</f>
        <v>571.68</v>
      </c>
    </row>
    <row r="55" spans="1:47">
      <c r="A55" s="24" t="s">
        <v>1148</v>
      </c>
      <c r="B55" s="24">
        <v>11104</v>
      </c>
      <c r="C55" s="24" t="s">
        <v>1149</v>
      </c>
      <c r="D55" s="24" t="s">
        <v>1150</v>
      </c>
      <c r="E55" s="24">
        <v>900011104</v>
      </c>
      <c r="F55" s="24">
        <v>1373</v>
      </c>
      <c r="G55" s="24">
        <v>54</v>
      </c>
      <c r="H55" s="24">
        <v>36</v>
      </c>
      <c r="I55" s="25">
        <v>0.5</v>
      </c>
      <c r="J55" s="24">
        <v>900</v>
      </c>
      <c r="K55" s="24" t="b">
        <v>1</v>
      </c>
      <c r="L55" s="25">
        <v>0</v>
      </c>
      <c r="M55" s="47">
        <v>0</v>
      </c>
      <c r="N55" s="25">
        <v>0.1538</v>
      </c>
      <c r="O55" s="47">
        <v>6.501951</v>
      </c>
      <c r="P55" s="25">
        <v>0.5</v>
      </c>
      <c r="Q55" s="24">
        <v>1</v>
      </c>
      <c r="R55" s="24">
        <v>1</v>
      </c>
      <c r="S55" s="25">
        <v>0</v>
      </c>
      <c r="T55" s="24">
        <v>-0.2</v>
      </c>
      <c r="U55" s="24">
        <v>0</v>
      </c>
      <c r="V55" s="24">
        <v>0</v>
      </c>
      <c r="W55" s="24">
        <v>0</v>
      </c>
      <c r="X55" s="24">
        <v>-0.2</v>
      </c>
      <c r="Y55" s="24">
        <v>-0.2</v>
      </c>
      <c r="Z55" s="24">
        <v>0</v>
      </c>
      <c r="AA55" s="24">
        <v>0</v>
      </c>
      <c r="AB55" s="24">
        <v>0</v>
      </c>
      <c r="AC55" s="24">
        <v>-0.2</v>
      </c>
      <c r="AD55" s="24">
        <v>-0.2</v>
      </c>
      <c r="AE55" s="24">
        <v>0</v>
      </c>
      <c r="AF55" s="24">
        <v>0</v>
      </c>
      <c r="AG55" s="24">
        <v>0</v>
      </c>
      <c r="AH55" s="24">
        <v>-0.2</v>
      </c>
      <c r="AI55" s="48">
        <v>10001</v>
      </c>
      <c r="AJ55" s="48">
        <v>10002</v>
      </c>
      <c r="AK55" s="48">
        <v>10003</v>
      </c>
      <c r="AL55" s="48">
        <v>10004</v>
      </c>
      <c r="AM55" s="48">
        <v>10015</v>
      </c>
      <c r="AN55" s="25">
        <v>0</v>
      </c>
      <c r="AO55" s="49" t="s"/>
      <c r="AP55" s="50">
        <v>50</v>
      </c>
      <c r="AQ55" s="51" t="s">
        <v>1215</v>
      </c>
      <c r="AR55" s="51">
        <f>=F55*247.95</f>
        <v>340435.35</v>
      </c>
      <c r="AS55" s="51">
        <f>=G55*32.6061</f>
        <v>1760.7294</v>
      </c>
      <c r="AT55" s="51">
        <f>=J55*2.35</f>
        <v>2115</v>
      </c>
      <c r="AU55" s="47">
        <f>=H55*15.88</f>
        <v>571.68</v>
      </c>
    </row>
    <row r="56" spans="1:47">
      <c r="A56" s="24" t="s">
        <v>1224</v>
      </c>
      <c r="B56" s="24">
        <v>11105</v>
      </c>
      <c r="C56" s="24" t="s">
        <v>1225</v>
      </c>
      <c r="D56" s="24" t="s">
        <v>1226</v>
      </c>
      <c r="E56" s="24">
        <v>900011105</v>
      </c>
      <c r="F56" s="24">
        <v>1123</v>
      </c>
      <c r="G56" s="24">
        <v>54</v>
      </c>
      <c r="H56" s="24">
        <v>36</v>
      </c>
      <c r="I56" s="25">
        <v>0.5</v>
      </c>
      <c r="J56" s="24">
        <v>600</v>
      </c>
      <c r="K56" s="24" t="b">
        <v>1</v>
      </c>
      <c r="L56" s="25">
        <v>0</v>
      </c>
      <c r="M56" s="47">
        <v>0</v>
      </c>
      <c r="N56" s="25">
        <v>0.1538</v>
      </c>
      <c r="O56" s="47">
        <v>6.501951</v>
      </c>
      <c r="P56" s="25">
        <v>0.5</v>
      </c>
      <c r="Q56" s="24">
        <v>1</v>
      </c>
      <c r="R56" s="24">
        <v>1</v>
      </c>
      <c r="S56" s="25">
        <v>0</v>
      </c>
      <c r="T56" s="24">
        <v>0</v>
      </c>
      <c r="U56" s="24">
        <v>-0.2</v>
      </c>
      <c r="V56" s="24">
        <v>0</v>
      </c>
      <c r="W56" s="24">
        <v>0</v>
      </c>
      <c r="X56" s="24">
        <v>0</v>
      </c>
      <c r="Y56" s="24">
        <v>0</v>
      </c>
      <c r="Z56" s="24">
        <v>-0.2</v>
      </c>
      <c r="AA56" s="24">
        <v>0</v>
      </c>
      <c r="AB56" s="24">
        <v>0</v>
      </c>
      <c r="AC56" s="24">
        <v>0</v>
      </c>
      <c r="AD56" s="24">
        <v>0</v>
      </c>
      <c r="AE56" s="24">
        <v>-0.2</v>
      </c>
      <c r="AF56" s="24">
        <v>0</v>
      </c>
      <c r="AG56" s="24">
        <v>0</v>
      </c>
      <c r="AH56" s="24">
        <v>0</v>
      </c>
      <c r="AI56" s="48">
        <v>10001</v>
      </c>
      <c r="AJ56" s="48">
        <v>10012</v>
      </c>
      <c r="AK56" s="48">
        <v>10003</v>
      </c>
      <c r="AL56" s="48">
        <v>10004</v>
      </c>
      <c r="AM56" s="48">
        <v>10005</v>
      </c>
      <c r="AN56" s="25">
        <v>0</v>
      </c>
      <c r="AO56" s="49" t="s"/>
      <c r="AP56" s="50">
        <v>50</v>
      </c>
      <c r="AQ56" s="51" t="s">
        <v>1219</v>
      </c>
      <c r="AR56" s="51">
        <f>=F56*247.95</f>
        <v>278447.85</v>
      </c>
      <c r="AS56" s="51">
        <f>=G56*32.6061</f>
        <v>1760.7294</v>
      </c>
      <c r="AT56" s="51">
        <f>=J56*2.35</f>
        <v>1410</v>
      </c>
      <c r="AU56" s="47">
        <f>=H56*15.88</f>
        <v>571.68</v>
      </c>
    </row>
    <row r="57" spans="1:47">
      <c r="A57" s="24" t="s">
        <v>1224</v>
      </c>
      <c r="B57" s="24">
        <v>11106</v>
      </c>
      <c r="C57" s="24" t="s">
        <v>1225</v>
      </c>
      <c r="D57" s="24" t="s">
        <v>1226</v>
      </c>
      <c r="E57" s="24">
        <v>900011106</v>
      </c>
      <c r="F57" s="24">
        <v>1373</v>
      </c>
      <c r="G57" s="24">
        <v>54</v>
      </c>
      <c r="H57" s="24">
        <v>36</v>
      </c>
      <c r="I57" s="25">
        <v>0.5</v>
      </c>
      <c r="J57" s="24">
        <v>900</v>
      </c>
      <c r="K57" s="24" t="b">
        <v>1</v>
      </c>
      <c r="L57" s="25">
        <v>0</v>
      </c>
      <c r="M57" s="47">
        <v>0</v>
      </c>
      <c r="N57" s="25">
        <v>0.1538</v>
      </c>
      <c r="O57" s="47">
        <v>6.501951</v>
      </c>
      <c r="P57" s="25">
        <v>0.5</v>
      </c>
      <c r="Q57" s="24">
        <v>1</v>
      </c>
      <c r="R57" s="24">
        <v>1</v>
      </c>
      <c r="S57" s="25">
        <v>0</v>
      </c>
      <c r="T57" s="24">
        <v>0</v>
      </c>
      <c r="U57" s="24">
        <v>-0.2</v>
      </c>
      <c r="V57" s="24">
        <v>0</v>
      </c>
      <c r="W57" s="24">
        <v>0</v>
      </c>
      <c r="X57" s="24">
        <v>0</v>
      </c>
      <c r="Y57" s="24">
        <v>0</v>
      </c>
      <c r="Z57" s="24">
        <v>-0.2</v>
      </c>
      <c r="AA57" s="24">
        <v>0</v>
      </c>
      <c r="AB57" s="24">
        <v>0</v>
      </c>
      <c r="AC57" s="24">
        <v>0</v>
      </c>
      <c r="AD57" s="24">
        <v>0</v>
      </c>
      <c r="AE57" s="24">
        <v>-0.2</v>
      </c>
      <c r="AF57" s="24">
        <v>0</v>
      </c>
      <c r="AG57" s="24">
        <v>0</v>
      </c>
      <c r="AH57" s="24">
        <v>0</v>
      </c>
      <c r="AI57" s="48">
        <v>10001</v>
      </c>
      <c r="AJ57" s="48">
        <v>10012</v>
      </c>
      <c r="AK57" s="48">
        <v>10003</v>
      </c>
      <c r="AL57" s="48">
        <v>10004</v>
      </c>
      <c r="AM57" s="48">
        <v>10005</v>
      </c>
      <c r="AN57" s="25">
        <v>0</v>
      </c>
      <c r="AO57" s="49" t="s"/>
      <c r="AP57" s="50">
        <v>50</v>
      </c>
      <c r="AQ57" s="51" t="s">
        <v>1220</v>
      </c>
      <c r="AR57" s="51">
        <f>=F57*247.95</f>
        <v>340435.35</v>
      </c>
      <c r="AS57" s="51">
        <f>=G57*32.6061</f>
        <v>1760.7294</v>
      </c>
      <c r="AT57" s="51">
        <f>=J57*2.35</f>
        <v>2115</v>
      </c>
      <c r="AU57" s="47">
        <f>=H57*15.88</f>
        <v>571.68</v>
      </c>
    </row>
    <row r="58" spans="1:47">
      <c r="A58" s="24" t="s">
        <v>1227</v>
      </c>
      <c r="B58" s="24">
        <v>11114</v>
      </c>
      <c r="C58" s="24" t="s">
        <v>1228</v>
      </c>
      <c r="D58" s="24" t="s">
        <v>1229</v>
      </c>
      <c r="E58" s="24">
        <v>900011114</v>
      </c>
      <c r="F58" s="24">
        <v>8417</v>
      </c>
      <c r="G58" s="24">
        <v>92</v>
      </c>
      <c r="H58" s="24">
        <v>54</v>
      </c>
      <c r="I58" s="25">
        <v>0.5</v>
      </c>
      <c r="J58" s="24">
        <v>4161</v>
      </c>
      <c r="K58" s="24" t="b">
        <v>1</v>
      </c>
      <c r="L58" s="25">
        <v>0</v>
      </c>
      <c r="M58" s="47">
        <v>0</v>
      </c>
      <c r="N58" s="25">
        <v>0.0769</v>
      </c>
      <c r="O58" s="47">
        <v>13.0039</v>
      </c>
      <c r="P58" s="25">
        <v>0.5</v>
      </c>
      <c r="Q58" s="24">
        <v>2</v>
      </c>
      <c r="R58" s="24">
        <v>5</v>
      </c>
      <c r="S58" s="25">
        <v>0.5</v>
      </c>
      <c r="T58" s="24">
        <v>-0.2</v>
      </c>
      <c r="U58" s="24">
        <v>0</v>
      </c>
      <c r="V58" s="24">
        <v>0</v>
      </c>
      <c r="W58" s="24">
        <v>0</v>
      </c>
      <c r="X58" s="24">
        <v>-0.2</v>
      </c>
      <c r="Y58" s="24">
        <v>-0.2</v>
      </c>
      <c r="Z58" s="24">
        <v>0</v>
      </c>
      <c r="AA58" s="24">
        <v>0</v>
      </c>
      <c r="AB58" s="24">
        <v>0</v>
      </c>
      <c r="AC58" s="24">
        <v>-0.2</v>
      </c>
      <c r="AD58" s="24">
        <v>-0.2</v>
      </c>
      <c r="AE58" s="24">
        <v>0</v>
      </c>
      <c r="AF58" s="24">
        <v>0</v>
      </c>
      <c r="AG58" s="24">
        <v>0</v>
      </c>
      <c r="AH58" s="24">
        <v>-0.2</v>
      </c>
      <c r="AI58" s="48">
        <v>20001</v>
      </c>
      <c r="AJ58" s="48">
        <v>20002</v>
      </c>
      <c r="AK58" s="48">
        <v>20003</v>
      </c>
      <c r="AL58" s="48">
        <v>20004</v>
      </c>
      <c r="AM58" s="48">
        <v>20015</v>
      </c>
      <c r="AN58" s="25">
        <v>0</v>
      </c>
      <c r="AO58" s="49">
        <v>3</v>
      </c>
      <c r="AP58" s="50">
        <v>75</v>
      </c>
      <c r="AQ58" s="51" t="s">
        <v>1230</v>
      </c>
      <c r="AR58" s="51">
        <f>=F58*247.95</f>
        <v>2086995.15</v>
      </c>
      <c r="AS58" s="51">
        <f>=G58*32.6061</f>
        <v>2999.7612</v>
      </c>
      <c r="AT58" s="51">
        <f>=J58*2.35</f>
        <v>9778.35</v>
      </c>
      <c r="AU58" s="47">
        <f>=H58*15.88</f>
        <v>857.52</v>
      </c>
    </row>
    <row r="59" spans="1:47">
      <c r="A59" s="24" t="s">
        <v>1227</v>
      </c>
      <c r="B59" s="24">
        <v>11115</v>
      </c>
      <c r="C59" s="24" t="s">
        <v>1228</v>
      </c>
      <c r="D59" s="24" t="s">
        <v>1229</v>
      </c>
      <c r="E59" s="24">
        <v>900011115</v>
      </c>
      <c r="F59" s="24">
        <v>8736</v>
      </c>
      <c r="G59" s="24">
        <v>106</v>
      </c>
      <c r="H59" s="24">
        <v>54</v>
      </c>
      <c r="I59" s="25">
        <v>0.5</v>
      </c>
      <c r="J59" s="24">
        <v>4753</v>
      </c>
      <c r="K59" s="24" t="b">
        <v>1</v>
      </c>
      <c r="L59" s="25">
        <v>0</v>
      </c>
      <c r="M59" s="47">
        <v>0</v>
      </c>
      <c r="N59" s="25">
        <v>0.0769</v>
      </c>
      <c r="O59" s="47">
        <v>13.0039</v>
      </c>
      <c r="P59" s="25">
        <v>0.5</v>
      </c>
      <c r="Q59" s="24">
        <v>2</v>
      </c>
      <c r="R59" s="24">
        <v>5</v>
      </c>
      <c r="S59" s="25">
        <v>0.5</v>
      </c>
      <c r="T59" s="24">
        <v>-0.2</v>
      </c>
      <c r="U59" s="24">
        <v>0</v>
      </c>
      <c r="V59" s="24">
        <v>0</v>
      </c>
      <c r="W59" s="24">
        <v>0</v>
      </c>
      <c r="X59" s="24">
        <v>-0.2</v>
      </c>
      <c r="Y59" s="24">
        <v>-0.2</v>
      </c>
      <c r="Z59" s="24">
        <v>0</v>
      </c>
      <c r="AA59" s="24">
        <v>0</v>
      </c>
      <c r="AB59" s="24">
        <v>0</v>
      </c>
      <c r="AC59" s="24">
        <v>-0.2</v>
      </c>
      <c r="AD59" s="24">
        <v>-0.2</v>
      </c>
      <c r="AE59" s="24">
        <v>0</v>
      </c>
      <c r="AF59" s="24">
        <v>0</v>
      </c>
      <c r="AG59" s="24">
        <v>0</v>
      </c>
      <c r="AH59" s="24">
        <v>-0.2</v>
      </c>
      <c r="AI59" s="48">
        <v>20001</v>
      </c>
      <c r="AJ59" s="48">
        <v>20002</v>
      </c>
      <c r="AK59" s="48">
        <v>20003</v>
      </c>
      <c r="AL59" s="48">
        <v>20004</v>
      </c>
      <c r="AM59" s="48">
        <v>20015</v>
      </c>
      <c r="AN59" s="25">
        <v>0</v>
      </c>
      <c r="AO59" s="49">
        <v>3</v>
      </c>
      <c r="AP59" s="50">
        <v>75</v>
      </c>
      <c r="AQ59" s="51" t="s">
        <v>1231</v>
      </c>
      <c r="AR59" s="51">
        <f>=F59*247.95</f>
        <v>2166091.2</v>
      </c>
      <c r="AS59" s="51">
        <f>=G59*32.6061</f>
        <v>3456.2466</v>
      </c>
      <c r="AT59" s="51">
        <f>=J59*2.35</f>
        <v>11169.55</v>
      </c>
      <c r="AU59" s="47">
        <f>=H59*15.88</f>
        <v>857.52</v>
      </c>
    </row>
    <row r="60" spans="1:47">
      <c r="A60" s="24" t="s">
        <v>1232</v>
      </c>
      <c r="B60" s="24">
        <v>11116</v>
      </c>
      <c r="C60" s="24" t="s">
        <v>1233</v>
      </c>
      <c r="D60" s="24" t="s">
        <v>1234</v>
      </c>
      <c r="E60" s="24">
        <v>900011116</v>
      </c>
      <c r="F60" s="24">
        <v>8417</v>
      </c>
      <c r="G60" s="24">
        <v>92</v>
      </c>
      <c r="H60" s="24">
        <v>54</v>
      </c>
      <c r="I60" s="25">
        <v>0.5</v>
      </c>
      <c r="J60" s="24">
        <v>4161</v>
      </c>
      <c r="K60" s="24" t="b">
        <v>1</v>
      </c>
      <c r="L60" s="25">
        <v>0</v>
      </c>
      <c r="M60" s="47">
        <v>0</v>
      </c>
      <c r="N60" s="25">
        <v>0.0769</v>
      </c>
      <c r="O60" s="47">
        <v>13.0039</v>
      </c>
      <c r="P60" s="25">
        <v>0.5</v>
      </c>
      <c r="Q60" s="24">
        <v>2</v>
      </c>
      <c r="R60" s="24">
        <v>5</v>
      </c>
      <c r="S60" s="25">
        <v>0.5</v>
      </c>
      <c r="T60" s="24">
        <v>0</v>
      </c>
      <c r="U60" s="24">
        <v>-0.2</v>
      </c>
      <c r="V60" s="24">
        <v>0.2</v>
      </c>
      <c r="W60" s="24">
        <v>0</v>
      </c>
      <c r="X60" s="24">
        <v>0</v>
      </c>
      <c r="Y60" s="24">
        <v>0</v>
      </c>
      <c r="Z60" s="24">
        <v>-0.2</v>
      </c>
      <c r="AA60" s="24">
        <v>0.2</v>
      </c>
      <c r="AB60" s="24">
        <v>0</v>
      </c>
      <c r="AC60" s="24">
        <v>0</v>
      </c>
      <c r="AD60" s="24">
        <v>0</v>
      </c>
      <c r="AE60" s="24">
        <v>-0.2</v>
      </c>
      <c r="AF60" s="24">
        <v>0.2</v>
      </c>
      <c r="AG60" s="24">
        <v>0</v>
      </c>
      <c r="AH60" s="24">
        <v>0</v>
      </c>
      <c r="AI60" s="48">
        <v>20001</v>
      </c>
      <c r="AJ60" s="48">
        <v>20012</v>
      </c>
      <c r="AK60" s="48">
        <v>20003</v>
      </c>
      <c r="AL60" s="48">
        <v>20004</v>
      </c>
      <c r="AM60" s="48">
        <v>20005</v>
      </c>
      <c r="AN60" s="25">
        <v>0</v>
      </c>
      <c r="AO60" s="49">
        <v>3</v>
      </c>
      <c r="AP60" s="50">
        <v>75</v>
      </c>
      <c r="AQ60" s="51" t="s">
        <v>1235</v>
      </c>
      <c r="AR60" s="51">
        <f>=F60*247.95</f>
        <v>2086995.15</v>
      </c>
      <c r="AS60" s="51">
        <f>=G60*32.6061</f>
        <v>2999.7612</v>
      </c>
      <c r="AT60" s="51">
        <f>=J60*2.35</f>
        <v>9778.35</v>
      </c>
      <c r="AU60" s="47">
        <f>=H60*15.88</f>
        <v>857.52</v>
      </c>
    </row>
    <row r="61" spans="1:47">
      <c r="A61" s="24" t="s">
        <v>1232</v>
      </c>
      <c r="B61" s="24">
        <v>11117</v>
      </c>
      <c r="C61" s="24" t="s">
        <v>1233</v>
      </c>
      <c r="D61" s="24" t="s">
        <v>1234</v>
      </c>
      <c r="E61" s="24">
        <v>900011117</v>
      </c>
      <c r="F61" s="24">
        <v>8736</v>
      </c>
      <c r="G61" s="24">
        <v>106</v>
      </c>
      <c r="H61" s="24">
        <v>54</v>
      </c>
      <c r="I61" s="25">
        <v>0.5</v>
      </c>
      <c r="J61" s="24">
        <v>4753</v>
      </c>
      <c r="K61" s="24" t="b">
        <v>1</v>
      </c>
      <c r="L61" s="25">
        <v>0</v>
      </c>
      <c r="M61" s="47">
        <v>0</v>
      </c>
      <c r="N61" s="25">
        <v>0.0769</v>
      </c>
      <c r="O61" s="47">
        <v>13.0039</v>
      </c>
      <c r="P61" s="25">
        <v>0.5</v>
      </c>
      <c r="Q61" s="24">
        <v>2</v>
      </c>
      <c r="R61" s="24">
        <v>5</v>
      </c>
      <c r="S61" s="25">
        <v>0.5</v>
      </c>
      <c r="T61" s="24">
        <v>0</v>
      </c>
      <c r="U61" s="24">
        <v>-0.2</v>
      </c>
      <c r="V61" s="24">
        <v>0.2</v>
      </c>
      <c r="W61" s="24">
        <v>0</v>
      </c>
      <c r="X61" s="24">
        <v>0</v>
      </c>
      <c r="Y61" s="24">
        <v>0</v>
      </c>
      <c r="Z61" s="24">
        <v>-0.2</v>
      </c>
      <c r="AA61" s="24">
        <v>0.2</v>
      </c>
      <c r="AB61" s="24">
        <v>0</v>
      </c>
      <c r="AC61" s="24">
        <v>0</v>
      </c>
      <c r="AD61" s="24">
        <v>0</v>
      </c>
      <c r="AE61" s="24">
        <v>-0.2</v>
      </c>
      <c r="AF61" s="24">
        <v>0.2</v>
      </c>
      <c r="AG61" s="24">
        <v>0</v>
      </c>
      <c r="AH61" s="24">
        <v>0</v>
      </c>
      <c r="AI61" s="48">
        <v>20001</v>
      </c>
      <c r="AJ61" s="48">
        <v>20012</v>
      </c>
      <c r="AK61" s="48">
        <v>20003</v>
      </c>
      <c r="AL61" s="48">
        <v>20004</v>
      </c>
      <c r="AM61" s="48">
        <v>20005</v>
      </c>
      <c r="AN61" s="25">
        <v>0</v>
      </c>
      <c r="AO61" s="49">
        <v>3</v>
      </c>
      <c r="AP61" s="50">
        <v>75</v>
      </c>
      <c r="AQ61" s="51" t="s">
        <v>1236</v>
      </c>
      <c r="AR61" s="51">
        <f>=F61*247.95</f>
        <v>2166091.2</v>
      </c>
      <c r="AS61" s="51">
        <f>=G61*32.6061</f>
        <v>3456.2466</v>
      </c>
      <c r="AT61" s="51">
        <f>=J61*2.35</f>
        <v>11169.55</v>
      </c>
      <c r="AU61" s="47">
        <f>=H61*15.88</f>
        <v>857.52</v>
      </c>
    </row>
    <row r="62" spans="1:47">
      <c r="A62" s="24" t="s">
        <v>1237</v>
      </c>
      <c r="B62" s="24">
        <v>11123</v>
      </c>
      <c r="C62" s="24" t="s">
        <v>1238</v>
      </c>
      <c r="D62" s="24" t="s">
        <v>1239</v>
      </c>
      <c r="E62" s="24">
        <v>900011123</v>
      </c>
      <c r="F62" s="24">
        <v>5890</v>
      </c>
      <c r="G62" s="24">
        <v>92</v>
      </c>
      <c r="H62" s="24">
        <v>54</v>
      </c>
      <c r="I62" s="25">
        <v>0.5</v>
      </c>
      <c r="J62" s="24">
        <v>2168</v>
      </c>
      <c r="K62" s="24" t="b">
        <v>1</v>
      </c>
      <c r="L62" s="25">
        <v>0</v>
      </c>
      <c r="M62" s="47">
        <v>0</v>
      </c>
      <c r="N62" s="25">
        <v>0.1</v>
      </c>
      <c r="O62" s="47">
        <v>10</v>
      </c>
      <c r="P62" s="25">
        <v>1</v>
      </c>
      <c r="Q62" s="24">
        <v>2</v>
      </c>
      <c r="R62" s="24">
        <v>3</v>
      </c>
      <c r="S62" s="25">
        <v>0.5</v>
      </c>
      <c r="T62" s="24">
        <v>-0.2</v>
      </c>
      <c r="U62" s="24">
        <v>0</v>
      </c>
      <c r="V62" s="24">
        <v>0</v>
      </c>
      <c r="W62" s="24">
        <v>0</v>
      </c>
      <c r="X62" s="24">
        <v>-0.2</v>
      </c>
      <c r="Y62" s="24">
        <v>-0.2</v>
      </c>
      <c r="Z62" s="24">
        <v>0</v>
      </c>
      <c r="AA62" s="24">
        <v>0</v>
      </c>
      <c r="AB62" s="24">
        <v>0</v>
      </c>
      <c r="AC62" s="24">
        <v>-0.2</v>
      </c>
      <c r="AD62" s="24">
        <v>-0.2</v>
      </c>
      <c r="AE62" s="24">
        <v>0</v>
      </c>
      <c r="AF62" s="24">
        <v>0</v>
      </c>
      <c r="AG62" s="24">
        <v>0</v>
      </c>
      <c r="AH62" s="24">
        <v>-0.2</v>
      </c>
      <c r="AI62" s="48">
        <v>20001</v>
      </c>
      <c r="AJ62" s="48">
        <v>20002</v>
      </c>
      <c r="AK62" s="48">
        <v>20003</v>
      </c>
      <c r="AL62" s="48">
        <v>20004</v>
      </c>
      <c r="AM62" s="48">
        <v>20015</v>
      </c>
      <c r="AN62" s="25">
        <v>0</v>
      </c>
      <c r="AO62" s="49">
        <v>3</v>
      </c>
      <c r="AP62" s="50">
        <v>75</v>
      </c>
      <c r="AQ62" s="51" t="s">
        <v>1240</v>
      </c>
      <c r="AR62" s="51">
        <f>=F62*247.95</f>
        <v>1460425.5</v>
      </c>
      <c r="AS62" s="51">
        <f>=G62*32.6061</f>
        <v>2999.7612</v>
      </c>
      <c r="AT62" s="51">
        <f>=J62*2.35</f>
        <v>5094.8</v>
      </c>
      <c r="AU62" s="47">
        <f>=H62*15.88</f>
        <v>857.52</v>
      </c>
    </row>
    <row r="63" spans="1:47">
      <c r="A63" s="24" t="s">
        <v>1237</v>
      </c>
      <c r="B63" s="24">
        <v>11124</v>
      </c>
      <c r="C63" s="24" t="s">
        <v>1238</v>
      </c>
      <c r="D63" s="24" t="s">
        <v>1239</v>
      </c>
      <c r="E63" s="24">
        <v>900011124</v>
      </c>
      <c r="F63" s="24">
        <v>6059</v>
      </c>
      <c r="G63" s="24">
        <v>106</v>
      </c>
      <c r="H63" s="24">
        <v>54</v>
      </c>
      <c r="I63" s="25">
        <v>0.5</v>
      </c>
      <c r="J63" s="24">
        <v>2459</v>
      </c>
      <c r="K63" s="24" t="b">
        <v>1</v>
      </c>
      <c r="L63" s="25">
        <v>0</v>
      </c>
      <c r="M63" s="47">
        <v>0</v>
      </c>
      <c r="N63" s="25">
        <v>0.1</v>
      </c>
      <c r="O63" s="47">
        <v>10</v>
      </c>
      <c r="P63" s="25">
        <v>1</v>
      </c>
      <c r="Q63" s="24">
        <v>2</v>
      </c>
      <c r="R63" s="24">
        <v>3</v>
      </c>
      <c r="S63" s="25">
        <v>0.5</v>
      </c>
      <c r="T63" s="24">
        <v>-0.2</v>
      </c>
      <c r="U63" s="24">
        <v>0</v>
      </c>
      <c r="V63" s="24">
        <v>0</v>
      </c>
      <c r="W63" s="24">
        <v>0</v>
      </c>
      <c r="X63" s="24">
        <v>-0.2</v>
      </c>
      <c r="Y63" s="24">
        <v>-0.2</v>
      </c>
      <c r="Z63" s="24">
        <v>0</v>
      </c>
      <c r="AA63" s="24">
        <v>0</v>
      </c>
      <c r="AB63" s="24">
        <v>0</v>
      </c>
      <c r="AC63" s="24">
        <v>-0.2</v>
      </c>
      <c r="AD63" s="24">
        <v>-0.2</v>
      </c>
      <c r="AE63" s="24">
        <v>0</v>
      </c>
      <c r="AF63" s="24">
        <v>0</v>
      </c>
      <c r="AG63" s="24">
        <v>0</v>
      </c>
      <c r="AH63" s="24">
        <v>-0.2</v>
      </c>
      <c r="AI63" s="48">
        <v>20001</v>
      </c>
      <c r="AJ63" s="48">
        <v>20002</v>
      </c>
      <c r="AK63" s="48">
        <v>20003</v>
      </c>
      <c r="AL63" s="48">
        <v>20004</v>
      </c>
      <c r="AM63" s="48">
        <v>20015</v>
      </c>
      <c r="AN63" s="25">
        <v>0</v>
      </c>
      <c r="AO63" s="49">
        <v>3</v>
      </c>
      <c r="AP63" s="50">
        <v>75</v>
      </c>
      <c r="AQ63" s="51" t="s">
        <v>1241</v>
      </c>
      <c r="AR63" s="51">
        <f>=F63*247.95</f>
        <v>1502329.05</v>
      </c>
      <c r="AS63" s="51">
        <f>=G63*32.6061</f>
        <v>3456.2466</v>
      </c>
      <c r="AT63" s="51">
        <f>=J63*2.35</f>
        <v>5778.65</v>
      </c>
      <c r="AU63" s="47">
        <f>=H63*15.88</f>
        <v>857.52</v>
      </c>
    </row>
    <row r="64" spans="1:47">
      <c r="A64" s="24" t="s">
        <v>1242</v>
      </c>
      <c r="B64" s="24">
        <v>11125</v>
      </c>
      <c r="C64" s="24" t="s">
        <v>1243</v>
      </c>
      <c r="D64" s="24" t="s">
        <v>1244</v>
      </c>
      <c r="E64" s="24">
        <v>900011125</v>
      </c>
      <c r="F64" s="24">
        <v>5890</v>
      </c>
      <c r="G64" s="24">
        <v>92</v>
      </c>
      <c r="H64" s="24">
        <v>54</v>
      </c>
      <c r="I64" s="25">
        <v>0.5</v>
      </c>
      <c r="J64" s="24">
        <v>2168</v>
      </c>
      <c r="K64" s="24" t="b">
        <v>1</v>
      </c>
      <c r="L64" s="25">
        <v>0</v>
      </c>
      <c r="M64" s="47">
        <v>0</v>
      </c>
      <c r="N64" s="25">
        <v>0.1</v>
      </c>
      <c r="O64" s="47">
        <v>10</v>
      </c>
      <c r="P64" s="25">
        <v>1</v>
      </c>
      <c r="Q64" s="24">
        <v>2</v>
      </c>
      <c r="R64" s="24">
        <v>3</v>
      </c>
      <c r="S64" s="25">
        <v>0.5</v>
      </c>
      <c r="T64" s="24">
        <v>0</v>
      </c>
      <c r="U64" s="24">
        <v>-0.2</v>
      </c>
      <c r="V64" s="24">
        <v>0.2</v>
      </c>
      <c r="W64" s="24">
        <v>0</v>
      </c>
      <c r="X64" s="24">
        <v>0</v>
      </c>
      <c r="Y64" s="24">
        <v>0</v>
      </c>
      <c r="Z64" s="24">
        <v>-0.2</v>
      </c>
      <c r="AA64" s="24">
        <v>0.2</v>
      </c>
      <c r="AB64" s="24">
        <v>0</v>
      </c>
      <c r="AC64" s="24">
        <v>0</v>
      </c>
      <c r="AD64" s="24">
        <v>0</v>
      </c>
      <c r="AE64" s="24">
        <v>-0.2</v>
      </c>
      <c r="AF64" s="24">
        <v>0.2</v>
      </c>
      <c r="AG64" s="24">
        <v>0</v>
      </c>
      <c r="AH64" s="24">
        <v>0</v>
      </c>
      <c r="AI64" s="48">
        <v>20001</v>
      </c>
      <c r="AJ64" s="48">
        <v>20012</v>
      </c>
      <c r="AK64" s="48">
        <v>20003</v>
      </c>
      <c r="AL64" s="48">
        <v>20004</v>
      </c>
      <c r="AM64" s="48">
        <v>20005</v>
      </c>
      <c r="AN64" s="25">
        <v>0</v>
      </c>
      <c r="AO64" s="49">
        <v>3</v>
      </c>
      <c r="AP64" s="50">
        <v>75</v>
      </c>
      <c r="AQ64" s="51" t="s">
        <v>1245</v>
      </c>
      <c r="AR64" s="51">
        <f>=F64*247.95</f>
        <v>1460425.5</v>
      </c>
      <c r="AS64" s="51">
        <f>=G64*32.6061</f>
        <v>2999.7612</v>
      </c>
      <c r="AT64" s="51">
        <f>=J64*2.35</f>
        <v>5094.8</v>
      </c>
      <c r="AU64" s="47">
        <f>=H64*15.88</f>
        <v>857.52</v>
      </c>
    </row>
    <row r="65" spans="1:47">
      <c r="A65" s="24" t="s">
        <v>1242</v>
      </c>
      <c r="B65" s="24">
        <v>11126</v>
      </c>
      <c r="C65" s="24" t="s">
        <v>1243</v>
      </c>
      <c r="D65" s="24" t="s">
        <v>1244</v>
      </c>
      <c r="E65" s="24">
        <v>900011126</v>
      </c>
      <c r="F65" s="24">
        <v>6059</v>
      </c>
      <c r="G65" s="24">
        <v>106</v>
      </c>
      <c r="H65" s="24">
        <v>54</v>
      </c>
      <c r="I65" s="25">
        <v>0.5</v>
      </c>
      <c r="J65" s="24">
        <v>2459</v>
      </c>
      <c r="K65" s="24" t="b">
        <v>1</v>
      </c>
      <c r="L65" s="25">
        <v>0</v>
      </c>
      <c r="M65" s="47">
        <v>0</v>
      </c>
      <c r="N65" s="25">
        <v>0.1</v>
      </c>
      <c r="O65" s="47">
        <v>10</v>
      </c>
      <c r="P65" s="25">
        <v>1</v>
      </c>
      <c r="Q65" s="24">
        <v>2</v>
      </c>
      <c r="R65" s="24">
        <v>3</v>
      </c>
      <c r="S65" s="25">
        <v>0.5</v>
      </c>
      <c r="T65" s="24">
        <v>0</v>
      </c>
      <c r="U65" s="24">
        <v>-0.2</v>
      </c>
      <c r="V65" s="24">
        <v>0.2</v>
      </c>
      <c r="W65" s="24">
        <v>0</v>
      </c>
      <c r="X65" s="24">
        <v>0</v>
      </c>
      <c r="Y65" s="24">
        <v>0</v>
      </c>
      <c r="Z65" s="24">
        <v>-0.2</v>
      </c>
      <c r="AA65" s="24">
        <v>0.2</v>
      </c>
      <c r="AB65" s="24">
        <v>0</v>
      </c>
      <c r="AC65" s="24">
        <v>0</v>
      </c>
      <c r="AD65" s="24">
        <v>0</v>
      </c>
      <c r="AE65" s="24">
        <v>-0.2</v>
      </c>
      <c r="AF65" s="24">
        <v>0.2</v>
      </c>
      <c r="AG65" s="24">
        <v>0</v>
      </c>
      <c r="AH65" s="24">
        <v>0</v>
      </c>
      <c r="AI65" s="48">
        <v>20001</v>
      </c>
      <c r="AJ65" s="48">
        <v>20012</v>
      </c>
      <c r="AK65" s="48">
        <v>20003</v>
      </c>
      <c r="AL65" s="48">
        <v>20004</v>
      </c>
      <c r="AM65" s="48">
        <v>20005</v>
      </c>
      <c r="AN65" s="25">
        <v>0</v>
      </c>
      <c r="AO65" s="49">
        <v>3</v>
      </c>
      <c r="AP65" s="50">
        <v>75</v>
      </c>
      <c r="AQ65" s="51" t="s">
        <v>1246</v>
      </c>
      <c r="AR65" s="51">
        <f>=F65*247.95</f>
        <v>1502329.05</v>
      </c>
      <c r="AS65" s="51">
        <f>=G65*32.6061</f>
        <v>3456.2466</v>
      </c>
      <c r="AT65" s="51">
        <f>=J65*2.35</f>
        <v>5778.65</v>
      </c>
      <c r="AU65" s="47">
        <f>=H65*15.88</f>
        <v>857.52</v>
      </c>
    </row>
    <row r="66" spans="1:47">
      <c r="A66" s="24" t="s">
        <v>1247</v>
      </c>
      <c r="B66" s="24">
        <v>11127</v>
      </c>
      <c r="C66" s="24" t="s">
        <v>1248</v>
      </c>
      <c r="D66" s="24" t="s">
        <v>1249</v>
      </c>
      <c r="E66" s="24">
        <v>900011127</v>
      </c>
      <c r="F66" s="24">
        <v>20548</v>
      </c>
      <c r="G66" s="24">
        <v>132</v>
      </c>
      <c r="H66" s="24">
        <v>60</v>
      </c>
      <c r="I66" s="25">
        <v>0.5</v>
      </c>
      <c r="J66" s="24">
        <v>5543</v>
      </c>
      <c r="K66" s="24" t="b">
        <v>1</v>
      </c>
      <c r="L66" s="25">
        <v>0</v>
      </c>
      <c r="M66" s="47">
        <v>0</v>
      </c>
      <c r="N66" s="25">
        <v>0.0833</v>
      </c>
      <c r="O66" s="47">
        <v>12.0048</v>
      </c>
      <c r="P66" s="25">
        <v>0.5</v>
      </c>
      <c r="Q66" s="24">
        <v>3</v>
      </c>
      <c r="R66" s="24">
        <v>5</v>
      </c>
      <c r="S66" s="25">
        <v>0.75</v>
      </c>
      <c r="T66" s="24">
        <v>0</v>
      </c>
      <c r="U66" s="24">
        <v>-0.2</v>
      </c>
      <c r="V66" s="24">
        <v>0.2</v>
      </c>
      <c r="W66" s="24">
        <v>0</v>
      </c>
      <c r="X66" s="24">
        <v>0</v>
      </c>
      <c r="Y66" s="24">
        <v>0</v>
      </c>
      <c r="Z66" s="24">
        <v>-0.2</v>
      </c>
      <c r="AA66" s="24">
        <v>0.2</v>
      </c>
      <c r="AB66" s="24">
        <v>0</v>
      </c>
      <c r="AC66" s="24">
        <v>0</v>
      </c>
      <c r="AD66" s="24">
        <v>0</v>
      </c>
      <c r="AE66" s="24">
        <v>-0.2</v>
      </c>
      <c r="AF66" s="24">
        <v>0.2</v>
      </c>
      <c r="AG66" s="24">
        <v>0</v>
      </c>
      <c r="AH66" s="24">
        <v>0</v>
      </c>
      <c r="AI66" s="48">
        <v>30001</v>
      </c>
      <c r="AJ66" s="48">
        <v>30012</v>
      </c>
      <c r="AK66" s="48">
        <v>30003</v>
      </c>
      <c r="AL66" s="48">
        <v>30004</v>
      </c>
      <c r="AM66" s="48">
        <v>30005</v>
      </c>
      <c r="AN66" s="25">
        <v>0</v>
      </c>
      <c r="AO66" s="49">
        <v>5</v>
      </c>
      <c r="AP66" s="50">
        <v>100</v>
      </c>
      <c r="AQ66" s="51" t="s">
        <v>1250</v>
      </c>
      <c r="AR66" s="51">
        <f>=F66*247.95</f>
        <v>5094876.6</v>
      </c>
      <c r="AS66" s="51">
        <f>=G66*32.6061</f>
        <v>4304.0052</v>
      </c>
      <c r="AT66" s="51">
        <f>=J66*2.35</f>
        <v>13026.05</v>
      </c>
      <c r="AU66" s="47">
        <f>=H66*15.88</f>
        <v>952.8</v>
      </c>
    </row>
    <row r="67" spans="1:47" ht="18" customHeight="1">
      <c r="A67" s="24" t="s">
        <v>1242</v>
      </c>
      <c r="B67" s="24">
        <v>11128</v>
      </c>
      <c r="C67" s="24" t="s">
        <v>1243</v>
      </c>
      <c r="D67" s="24" t="s">
        <v>1244</v>
      </c>
      <c r="E67" s="24">
        <v>900011128</v>
      </c>
      <c r="F67" s="24">
        <v>6059</v>
      </c>
      <c r="G67" s="24">
        <v>106</v>
      </c>
      <c r="H67" s="24">
        <v>54</v>
      </c>
      <c r="I67" s="25">
        <v>0.5</v>
      </c>
      <c r="J67" s="24">
        <v>2459</v>
      </c>
      <c r="K67" s="24" t="b">
        <v>1</v>
      </c>
      <c r="L67" s="25">
        <v>0</v>
      </c>
      <c r="M67" s="47">
        <v>0</v>
      </c>
      <c r="N67" s="25">
        <v>0.1</v>
      </c>
      <c r="O67" s="47">
        <v>10</v>
      </c>
      <c r="P67" s="25">
        <v>1</v>
      </c>
      <c r="Q67" s="24">
        <v>2</v>
      </c>
      <c r="R67" s="24">
        <v>3</v>
      </c>
      <c r="S67" s="25">
        <v>0.5</v>
      </c>
      <c r="T67" s="24">
        <v>0</v>
      </c>
      <c r="U67" s="24">
        <v>-0.2</v>
      </c>
      <c r="V67" s="24">
        <v>0.2</v>
      </c>
      <c r="W67" s="24">
        <v>0</v>
      </c>
      <c r="X67" s="24">
        <v>0</v>
      </c>
      <c r="Y67" s="24">
        <v>0</v>
      </c>
      <c r="Z67" s="24">
        <v>-0.2</v>
      </c>
      <c r="AA67" s="24">
        <v>0.2</v>
      </c>
      <c r="AB67" s="24">
        <v>0</v>
      </c>
      <c r="AC67" s="24">
        <v>0</v>
      </c>
      <c r="AD67" s="24">
        <v>0</v>
      </c>
      <c r="AE67" s="24">
        <v>-0.2</v>
      </c>
      <c r="AF67" s="24">
        <v>0.2</v>
      </c>
      <c r="AG67" s="24">
        <v>0</v>
      </c>
      <c r="AH67" s="24">
        <v>0</v>
      </c>
      <c r="AI67" s="48">
        <v>20001</v>
      </c>
      <c r="AJ67" s="48">
        <v>20012</v>
      </c>
      <c r="AK67" s="48">
        <v>20003</v>
      </c>
      <c r="AL67" s="48">
        <v>20004</v>
      </c>
      <c r="AM67" s="48">
        <v>20005</v>
      </c>
      <c r="AN67" s="25">
        <v>0</v>
      </c>
      <c r="AO67" s="49">
        <v>3</v>
      </c>
      <c r="AP67" s="50">
        <v>75</v>
      </c>
      <c r="AQ67" s="51" t="s">
        <v>1251</v>
      </c>
      <c r="AR67" s="51">
        <f>=F67*247.95</f>
        <v>1502329.05</v>
      </c>
      <c r="AS67" s="51">
        <f>=G67*32.6061</f>
        <v>3456.2466</v>
      </c>
      <c r="AT67" s="51">
        <f>=J67*2.35</f>
        <v>5778.65</v>
      </c>
      <c r="AU67" s="47">
        <f>=H67*15.88</f>
        <v>857.52</v>
      </c>
    </row>
    <row r="68" spans="1:47">
      <c r="A68" s="24" t="s">
        <v>1252</v>
      </c>
      <c r="B68" s="24">
        <v>11141</v>
      </c>
      <c r="C68" s="24" t="s">
        <v>1253</v>
      </c>
      <c r="D68" s="24" t="s">
        <v>1254</v>
      </c>
      <c r="E68" s="24">
        <v>900011141</v>
      </c>
      <c r="F68" s="24">
        <v>1123</v>
      </c>
      <c r="G68" s="24">
        <v>66</v>
      </c>
      <c r="H68" s="24">
        <v>36</v>
      </c>
      <c r="I68" s="25">
        <v>0.5</v>
      </c>
      <c r="J68" s="24">
        <v>600</v>
      </c>
      <c r="K68" s="24" t="b">
        <v>1</v>
      </c>
      <c r="L68" s="25">
        <v>0</v>
      </c>
      <c r="M68" s="47">
        <v>0</v>
      </c>
      <c r="N68" s="25">
        <v>0.1538</v>
      </c>
      <c r="O68" s="47">
        <v>6.501951</v>
      </c>
      <c r="P68" s="25">
        <v>0.5</v>
      </c>
      <c r="Q68" s="24">
        <v>1</v>
      </c>
      <c r="R68" s="24">
        <v>1</v>
      </c>
      <c r="S68" s="25">
        <v>0</v>
      </c>
      <c r="T68" s="24">
        <v>-0.2</v>
      </c>
      <c r="U68" s="24">
        <v>0</v>
      </c>
      <c r="V68" s="24">
        <v>0</v>
      </c>
      <c r="W68" s="24">
        <v>0</v>
      </c>
      <c r="X68" s="24">
        <v>-0.2</v>
      </c>
      <c r="Y68" s="24">
        <v>-0.2</v>
      </c>
      <c r="Z68" s="24">
        <v>0</v>
      </c>
      <c r="AA68" s="24">
        <v>0</v>
      </c>
      <c r="AB68" s="24">
        <v>0</v>
      </c>
      <c r="AC68" s="24">
        <v>-0.2</v>
      </c>
      <c r="AD68" s="24">
        <v>-0.2</v>
      </c>
      <c r="AE68" s="24">
        <v>0</v>
      </c>
      <c r="AF68" s="24">
        <v>0</v>
      </c>
      <c r="AG68" s="24">
        <v>0</v>
      </c>
      <c r="AH68" s="24">
        <v>-0.2</v>
      </c>
      <c r="AI68" s="48">
        <v>10001</v>
      </c>
      <c r="AJ68" s="48">
        <v>10002</v>
      </c>
      <c r="AK68" s="48">
        <v>10003</v>
      </c>
      <c r="AL68" s="48">
        <v>10004</v>
      </c>
      <c r="AM68" s="48">
        <v>10015</v>
      </c>
      <c r="AN68" s="25">
        <v>0</v>
      </c>
      <c r="AO68" s="49" t="s"/>
      <c r="AP68" s="50">
        <v>50</v>
      </c>
      <c r="AQ68" s="51" t="s">
        <v>1255</v>
      </c>
      <c r="AR68" s="51">
        <f>=F68*247.95</f>
        <v>278447.85</v>
      </c>
      <c r="AS68" s="51">
        <f>=G68*32.6061</f>
        <v>2152.0026</v>
      </c>
      <c r="AT68" s="51">
        <f>=J68*2.35</f>
        <v>1410</v>
      </c>
      <c r="AU68" s="47">
        <f>=H68*15.88</f>
        <v>571.68</v>
      </c>
    </row>
    <row r="69" spans="1:47">
      <c r="A69" s="24" t="s">
        <v>1252</v>
      </c>
      <c r="B69" s="24">
        <v>11142</v>
      </c>
      <c r="C69" s="24" t="s">
        <v>1253</v>
      </c>
      <c r="D69" s="24" t="s">
        <v>1254</v>
      </c>
      <c r="E69" s="24">
        <v>900011142</v>
      </c>
      <c r="F69" s="24">
        <v>1373</v>
      </c>
      <c r="G69" s="24">
        <v>66</v>
      </c>
      <c r="H69" s="24">
        <v>36</v>
      </c>
      <c r="I69" s="25">
        <v>0.5</v>
      </c>
      <c r="J69" s="24">
        <v>900</v>
      </c>
      <c r="K69" s="24" t="b">
        <v>1</v>
      </c>
      <c r="L69" s="25">
        <v>0</v>
      </c>
      <c r="M69" s="47">
        <v>0</v>
      </c>
      <c r="N69" s="25">
        <v>0.1538</v>
      </c>
      <c r="O69" s="47">
        <v>6.501951</v>
      </c>
      <c r="P69" s="25">
        <v>0.5</v>
      </c>
      <c r="Q69" s="24">
        <v>1</v>
      </c>
      <c r="R69" s="24">
        <v>1</v>
      </c>
      <c r="S69" s="25">
        <v>0</v>
      </c>
      <c r="T69" s="24">
        <v>-0.2</v>
      </c>
      <c r="U69" s="24">
        <v>0</v>
      </c>
      <c r="V69" s="24">
        <v>0</v>
      </c>
      <c r="W69" s="24">
        <v>0</v>
      </c>
      <c r="X69" s="24">
        <v>-0.2</v>
      </c>
      <c r="Y69" s="24">
        <v>-0.2</v>
      </c>
      <c r="Z69" s="24">
        <v>0</v>
      </c>
      <c r="AA69" s="24">
        <v>0</v>
      </c>
      <c r="AB69" s="24">
        <v>0</v>
      </c>
      <c r="AC69" s="24">
        <v>-0.2</v>
      </c>
      <c r="AD69" s="24">
        <v>-0.2</v>
      </c>
      <c r="AE69" s="24">
        <v>0</v>
      </c>
      <c r="AF69" s="24">
        <v>0</v>
      </c>
      <c r="AG69" s="24">
        <v>0</v>
      </c>
      <c r="AH69" s="24">
        <v>-0.2</v>
      </c>
      <c r="AI69" s="48">
        <v>10001</v>
      </c>
      <c r="AJ69" s="48">
        <v>10002</v>
      </c>
      <c r="AK69" s="48">
        <v>10003</v>
      </c>
      <c r="AL69" s="48">
        <v>10004</v>
      </c>
      <c r="AM69" s="48">
        <v>10015</v>
      </c>
      <c r="AN69" s="25">
        <v>0</v>
      </c>
      <c r="AO69" s="49" t="s"/>
      <c r="AP69" s="50">
        <v>50</v>
      </c>
      <c r="AQ69" s="51" t="s">
        <v>1256</v>
      </c>
      <c r="AR69" s="51">
        <f>=F69*247.95</f>
        <v>340435.35</v>
      </c>
      <c r="AS69" s="51">
        <f>=G69*32.6061</f>
        <v>2152.0026</v>
      </c>
      <c r="AT69" s="51">
        <f>=J69*2.35</f>
        <v>2115</v>
      </c>
      <c r="AU69" s="47">
        <f>=H69*15.88</f>
        <v>571.68</v>
      </c>
    </row>
    <row r="70" spans="1:47">
      <c r="A70" s="24" t="s">
        <v>1257</v>
      </c>
      <c r="B70" s="24">
        <v>11143</v>
      </c>
      <c r="C70" s="24" t="s">
        <v>1258</v>
      </c>
      <c r="D70" s="24" t="s">
        <v>1259</v>
      </c>
      <c r="E70" s="24">
        <v>900011143</v>
      </c>
      <c r="F70" s="24">
        <v>1123</v>
      </c>
      <c r="G70" s="24">
        <v>66</v>
      </c>
      <c r="H70" s="24">
        <v>36</v>
      </c>
      <c r="I70" s="25">
        <v>0.5</v>
      </c>
      <c r="J70" s="24">
        <v>600</v>
      </c>
      <c r="K70" s="24" t="b">
        <v>1</v>
      </c>
      <c r="L70" s="25">
        <v>0</v>
      </c>
      <c r="M70" s="47">
        <v>0</v>
      </c>
      <c r="N70" s="25">
        <v>0.1538</v>
      </c>
      <c r="O70" s="47">
        <v>6.501951</v>
      </c>
      <c r="P70" s="25">
        <v>0.5</v>
      </c>
      <c r="Q70" s="24">
        <v>1</v>
      </c>
      <c r="R70" s="24">
        <v>1</v>
      </c>
      <c r="S70" s="25">
        <v>0</v>
      </c>
      <c r="T70" s="24">
        <v>0</v>
      </c>
      <c r="U70" s="24">
        <v>-0.2</v>
      </c>
      <c r="V70" s="24">
        <v>0</v>
      </c>
      <c r="W70" s="24">
        <v>0</v>
      </c>
      <c r="X70" s="24">
        <v>0</v>
      </c>
      <c r="Y70" s="24">
        <v>0</v>
      </c>
      <c r="Z70" s="24">
        <v>-0.2</v>
      </c>
      <c r="AA70" s="24">
        <v>0</v>
      </c>
      <c r="AB70" s="24">
        <v>0</v>
      </c>
      <c r="AC70" s="24">
        <v>0</v>
      </c>
      <c r="AD70" s="24">
        <v>0</v>
      </c>
      <c r="AE70" s="24">
        <v>-0.2</v>
      </c>
      <c r="AF70" s="24">
        <v>0</v>
      </c>
      <c r="AG70" s="24">
        <v>0</v>
      </c>
      <c r="AH70" s="24">
        <v>0</v>
      </c>
      <c r="AI70" s="48">
        <v>10001</v>
      </c>
      <c r="AJ70" s="48">
        <v>10012</v>
      </c>
      <c r="AK70" s="48">
        <v>10003</v>
      </c>
      <c r="AL70" s="48">
        <v>10004</v>
      </c>
      <c r="AM70" s="48">
        <v>10005</v>
      </c>
      <c r="AN70" s="25">
        <v>0</v>
      </c>
      <c r="AO70" s="49" t="s"/>
      <c r="AP70" s="50">
        <v>50</v>
      </c>
      <c r="AQ70" s="51" t="s">
        <v>1219</v>
      </c>
      <c r="AR70" s="51">
        <f>=F70*247.95</f>
        <v>278447.85</v>
      </c>
      <c r="AS70" s="51">
        <f>=G70*32.6061</f>
        <v>2152.0026</v>
      </c>
      <c r="AT70" s="51">
        <f>=J70*2.35</f>
        <v>1410</v>
      </c>
      <c r="AU70" s="47">
        <f>=H70*15.88</f>
        <v>571.68</v>
      </c>
    </row>
    <row r="71" spans="1:47">
      <c r="A71" s="24" t="s">
        <v>1257</v>
      </c>
      <c r="B71" s="24">
        <v>11144</v>
      </c>
      <c r="C71" s="24" t="s">
        <v>1258</v>
      </c>
      <c r="D71" s="24" t="s">
        <v>1259</v>
      </c>
      <c r="E71" s="24">
        <v>900011144</v>
      </c>
      <c r="F71" s="24">
        <v>1373</v>
      </c>
      <c r="G71" s="24">
        <v>66</v>
      </c>
      <c r="H71" s="24">
        <v>36</v>
      </c>
      <c r="I71" s="25">
        <v>0.5</v>
      </c>
      <c r="J71" s="24">
        <v>900</v>
      </c>
      <c r="K71" s="24" t="b">
        <v>1</v>
      </c>
      <c r="L71" s="25">
        <v>0</v>
      </c>
      <c r="M71" s="47">
        <v>0</v>
      </c>
      <c r="N71" s="25">
        <v>0.1538</v>
      </c>
      <c r="O71" s="47">
        <v>6.501951</v>
      </c>
      <c r="P71" s="25">
        <v>0.5</v>
      </c>
      <c r="Q71" s="24">
        <v>1</v>
      </c>
      <c r="R71" s="24">
        <v>1</v>
      </c>
      <c r="S71" s="25">
        <v>0</v>
      </c>
      <c r="T71" s="24">
        <v>0</v>
      </c>
      <c r="U71" s="24">
        <v>-0.2</v>
      </c>
      <c r="V71" s="24">
        <v>0</v>
      </c>
      <c r="W71" s="24">
        <v>0</v>
      </c>
      <c r="X71" s="24">
        <v>0</v>
      </c>
      <c r="Y71" s="24">
        <v>0</v>
      </c>
      <c r="Z71" s="24">
        <v>-0.2</v>
      </c>
      <c r="AA71" s="24">
        <v>0</v>
      </c>
      <c r="AB71" s="24">
        <v>0</v>
      </c>
      <c r="AC71" s="24">
        <v>0</v>
      </c>
      <c r="AD71" s="24">
        <v>0</v>
      </c>
      <c r="AE71" s="24">
        <v>-0.2</v>
      </c>
      <c r="AF71" s="24">
        <v>0</v>
      </c>
      <c r="AG71" s="24">
        <v>0</v>
      </c>
      <c r="AH71" s="24">
        <v>0</v>
      </c>
      <c r="AI71" s="48">
        <v>10001</v>
      </c>
      <c r="AJ71" s="48">
        <v>10012</v>
      </c>
      <c r="AK71" s="48">
        <v>10003</v>
      </c>
      <c r="AL71" s="48">
        <v>10004</v>
      </c>
      <c r="AM71" s="48">
        <v>10005</v>
      </c>
      <c r="AN71" s="25">
        <v>0</v>
      </c>
      <c r="AO71" s="49" t="s"/>
      <c r="AP71" s="50">
        <v>50</v>
      </c>
      <c r="AQ71" s="51" t="s">
        <v>1220</v>
      </c>
      <c r="AR71" s="51">
        <f>=F71*247.95</f>
        <v>340435.35</v>
      </c>
      <c r="AS71" s="51">
        <f>=G71*32.6061</f>
        <v>2152.0026</v>
      </c>
      <c r="AT71" s="51">
        <f>=J71*2.35</f>
        <v>2115</v>
      </c>
      <c r="AU71" s="47">
        <f>=H71*15.88</f>
        <v>571.68</v>
      </c>
    </row>
    <row r="72" spans="1:47">
      <c r="A72" s="24" t="s">
        <v>1260</v>
      </c>
      <c r="B72" s="24">
        <v>11152</v>
      </c>
      <c r="C72" s="24" t="s">
        <v>1261</v>
      </c>
      <c r="D72" s="24" t="s">
        <v>1262</v>
      </c>
      <c r="E72" s="24">
        <v>900011152</v>
      </c>
      <c r="F72" s="24">
        <v>16778</v>
      </c>
      <c r="G72" s="24">
        <v>120</v>
      </c>
      <c r="H72" s="24">
        <v>60</v>
      </c>
      <c r="I72" s="25">
        <v>0.5</v>
      </c>
      <c r="J72" s="24">
        <v>5543</v>
      </c>
      <c r="K72" s="24" t="b">
        <v>1</v>
      </c>
      <c r="L72" s="25">
        <v>0</v>
      </c>
      <c r="M72" s="47">
        <v>0</v>
      </c>
      <c r="N72" s="25">
        <v>0.0833</v>
      </c>
      <c r="O72" s="47">
        <v>12.0048</v>
      </c>
      <c r="P72" s="25">
        <v>0.5</v>
      </c>
      <c r="Q72" s="24">
        <v>3</v>
      </c>
      <c r="R72" s="24">
        <v>5</v>
      </c>
      <c r="S72" s="25">
        <v>0.75</v>
      </c>
      <c r="T72" s="24">
        <v>-0.2</v>
      </c>
      <c r="U72" s="24">
        <v>0</v>
      </c>
      <c r="V72" s="24">
        <v>0</v>
      </c>
      <c r="W72" s="24">
        <v>0</v>
      </c>
      <c r="X72" s="24">
        <v>-0.2</v>
      </c>
      <c r="Y72" s="24">
        <v>-0.2</v>
      </c>
      <c r="Z72" s="24">
        <v>0</v>
      </c>
      <c r="AA72" s="24">
        <v>0</v>
      </c>
      <c r="AB72" s="24">
        <v>0</v>
      </c>
      <c r="AC72" s="24">
        <v>-0.2</v>
      </c>
      <c r="AD72" s="24">
        <v>-0.2</v>
      </c>
      <c r="AE72" s="24">
        <v>0</v>
      </c>
      <c r="AF72" s="24">
        <v>0</v>
      </c>
      <c r="AG72" s="24">
        <v>0</v>
      </c>
      <c r="AH72" s="24">
        <v>-0.2</v>
      </c>
      <c r="AI72" s="48">
        <v>30001</v>
      </c>
      <c r="AJ72" s="48">
        <v>30002</v>
      </c>
      <c r="AK72" s="48">
        <v>30003</v>
      </c>
      <c r="AL72" s="48">
        <v>30004</v>
      </c>
      <c r="AM72" s="48">
        <v>30015</v>
      </c>
      <c r="AN72" s="25">
        <v>0</v>
      </c>
      <c r="AO72" s="49">
        <v>5</v>
      </c>
      <c r="AP72" s="50">
        <v>100</v>
      </c>
      <c r="AQ72" s="51" t="s">
        <v>1263</v>
      </c>
      <c r="AR72" s="51">
        <f>=F72*247.95</f>
        <v>4160105.1</v>
      </c>
      <c r="AS72" s="51">
        <f>=G72*32.6061</f>
        <v>3912.732</v>
      </c>
      <c r="AT72" s="51">
        <f>=J72*2.35</f>
        <v>13026.05</v>
      </c>
      <c r="AU72" s="47">
        <f>=H72*15.88</f>
        <v>952.8</v>
      </c>
    </row>
    <row r="73" spans="1:47">
      <c r="A73" s="24" t="s">
        <v>1264</v>
      </c>
      <c r="B73" s="24">
        <v>11154</v>
      </c>
      <c r="C73" s="24" t="s">
        <v>1265</v>
      </c>
      <c r="D73" s="24" t="s">
        <v>1266</v>
      </c>
      <c r="E73" s="24">
        <v>900011154</v>
      </c>
      <c r="F73" s="24">
        <v>7097</v>
      </c>
      <c r="G73" s="24">
        <v>97</v>
      </c>
      <c r="H73" s="24">
        <v>58</v>
      </c>
      <c r="I73" s="25">
        <v>0.5</v>
      </c>
      <c r="J73" s="24">
        <v>3502</v>
      </c>
      <c r="K73" s="24" t="b">
        <v>1</v>
      </c>
      <c r="L73" s="25">
        <v>0</v>
      </c>
      <c r="M73" s="47">
        <v>0</v>
      </c>
      <c r="N73" s="25">
        <v>0.1</v>
      </c>
      <c r="O73" s="47">
        <v>10</v>
      </c>
      <c r="P73" s="25">
        <v>0.5</v>
      </c>
      <c r="Q73" s="24">
        <v>2</v>
      </c>
      <c r="R73" s="24">
        <v>3</v>
      </c>
      <c r="S73" s="25">
        <v>0.5</v>
      </c>
      <c r="T73" s="24">
        <v>-0.2</v>
      </c>
      <c r="U73" s="24">
        <v>0</v>
      </c>
      <c r="V73" s="24">
        <v>0</v>
      </c>
      <c r="W73" s="24">
        <v>0</v>
      </c>
      <c r="X73" s="24">
        <v>-0.2</v>
      </c>
      <c r="Y73" s="24">
        <v>-0.2</v>
      </c>
      <c r="Z73" s="24">
        <v>0</v>
      </c>
      <c r="AA73" s="24">
        <v>0</v>
      </c>
      <c r="AB73" s="24">
        <v>0</v>
      </c>
      <c r="AC73" s="24">
        <v>-0.2</v>
      </c>
      <c r="AD73" s="24">
        <v>-0.2</v>
      </c>
      <c r="AE73" s="24">
        <v>0</v>
      </c>
      <c r="AF73" s="24">
        <v>0</v>
      </c>
      <c r="AG73" s="24">
        <v>0</v>
      </c>
      <c r="AH73" s="24">
        <v>-0.2</v>
      </c>
      <c r="AI73" s="48">
        <v>20001</v>
      </c>
      <c r="AJ73" s="48">
        <v>20002</v>
      </c>
      <c r="AK73" s="48">
        <v>20003</v>
      </c>
      <c r="AL73" s="48">
        <v>20004</v>
      </c>
      <c r="AM73" s="48">
        <v>20015</v>
      </c>
      <c r="AN73" s="25">
        <v>0</v>
      </c>
      <c r="AO73" s="49">
        <v>3</v>
      </c>
      <c r="AP73" s="50">
        <v>75</v>
      </c>
      <c r="AQ73" s="51" t="s">
        <v>1267</v>
      </c>
      <c r="AR73" s="51">
        <f>=F73*247.95</f>
        <v>1759701.15</v>
      </c>
      <c r="AS73" s="51">
        <f>=G73*32.6061</f>
        <v>3162.7917</v>
      </c>
      <c r="AT73" s="51">
        <f>=J73*2.35</f>
        <v>8229.7</v>
      </c>
      <c r="AU73" s="47">
        <f>=H73*15.88</f>
        <v>921.04</v>
      </c>
    </row>
    <row r="74" spans="1:47">
      <c r="A74" s="24" t="s">
        <v>1264</v>
      </c>
      <c r="B74" s="24">
        <v>11155</v>
      </c>
      <c r="C74" s="24" t="s">
        <v>1265</v>
      </c>
      <c r="D74" s="24" t="s">
        <v>1266</v>
      </c>
      <c r="E74" s="24">
        <v>900011155</v>
      </c>
      <c r="F74" s="24">
        <v>7351</v>
      </c>
      <c r="G74" s="24">
        <v>111</v>
      </c>
      <c r="H74" s="24">
        <v>58</v>
      </c>
      <c r="I74" s="25">
        <v>0.5</v>
      </c>
      <c r="J74" s="24">
        <v>3972</v>
      </c>
      <c r="K74" s="24" t="b">
        <v>1</v>
      </c>
      <c r="L74" s="25">
        <v>0</v>
      </c>
      <c r="M74" s="47">
        <v>0</v>
      </c>
      <c r="N74" s="25">
        <v>0.1</v>
      </c>
      <c r="O74" s="47">
        <v>10</v>
      </c>
      <c r="P74" s="25">
        <v>0.5</v>
      </c>
      <c r="Q74" s="24">
        <v>2</v>
      </c>
      <c r="R74" s="24">
        <v>5</v>
      </c>
      <c r="S74" s="25">
        <v>0.5</v>
      </c>
      <c r="T74" s="24">
        <v>-0.2</v>
      </c>
      <c r="U74" s="24">
        <v>0</v>
      </c>
      <c r="V74" s="24">
        <v>0</v>
      </c>
      <c r="W74" s="24">
        <v>0</v>
      </c>
      <c r="X74" s="24">
        <v>-0.2</v>
      </c>
      <c r="Y74" s="24">
        <v>-0.2</v>
      </c>
      <c r="Z74" s="24">
        <v>0</v>
      </c>
      <c r="AA74" s="24">
        <v>0</v>
      </c>
      <c r="AB74" s="24">
        <v>0</v>
      </c>
      <c r="AC74" s="24">
        <v>-0.2</v>
      </c>
      <c r="AD74" s="24">
        <v>-0.2</v>
      </c>
      <c r="AE74" s="24">
        <v>0</v>
      </c>
      <c r="AF74" s="24">
        <v>0</v>
      </c>
      <c r="AG74" s="24">
        <v>0</v>
      </c>
      <c r="AH74" s="24">
        <v>-0.2</v>
      </c>
      <c r="AI74" s="48">
        <v>20001</v>
      </c>
      <c r="AJ74" s="48">
        <v>20002</v>
      </c>
      <c r="AK74" s="48">
        <v>20003</v>
      </c>
      <c r="AL74" s="48">
        <v>20004</v>
      </c>
      <c r="AM74" s="48">
        <v>20015</v>
      </c>
      <c r="AN74" s="25">
        <v>0</v>
      </c>
      <c r="AO74" s="49">
        <v>3</v>
      </c>
      <c r="AP74" s="50">
        <v>75</v>
      </c>
      <c r="AQ74" s="51" t="s">
        <v>1268</v>
      </c>
      <c r="AR74" s="51">
        <f>=F74*247.95</f>
        <v>1822680.45</v>
      </c>
      <c r="AS74" s="51">
        <f>=G74*32.6061</f>
        <v>3619.2771</v>
      </c>
      <c r="AT74" s="51">
        <f>=J74*2.35</f>
        <v>9334.2</v>
      </c>
      <c r="AU74" s="47">
        <f>=H74*15.88</f>
        <v>921.04</v>
      </c>
    </row>
    <row r="75" spans="1:47">
      <c r="A75" s="24" t="s">
        <v>1132</v>
      </c>
      <c r="B75" s="24">
        <v>11156</v>
      </c>
      <c r="C75" s="24" t="s">
        <v>1133</v>
      </c>
      <c r="D75" s="24" t="s">
        <v>1134</v>
      </c>
      <c r="E75" s="24">
        <v>900011156</v>
      </c>
      <c r="F75" s="24">
        <v>16778</v>
      </c>
      <c r="G75" s="24">
        <v>120</v>
      </c>
      <c r="H75" s="24">
        <v>60</v>
      </c>
      <c r="I75" s="25">
        <v>0.5</v>
      </c>
      <c r="J75" s="24">
        <v>5543</v>
      </c>
      <c r="K75" s="24" t="b">
        <v>1</v>
      </c>
      <c r="L75" s="25">
        <v>0</v>
      </c>
      <c r="M75" s="47">
        <v>0</v>
      </c>
      <c r="N75" s="25">
        <v>0.0833</v>
      </c>
      <c r="O75" s="47">
        <v>12.0048</v>
      </c>
      <c r="P75" s="25">
        <v>0.5</v>
      </c>
      <c r="Q75" s="24">
        <v>3</v>
      </c>
      <c r="R75" s="24">
        <v>5</v>
      </c>
      <c r="S75" s="25">
        <v>0.75</v>
      </c>
      <c r="T75" s="24">
        <v>-0.2</v>
      </c>
      <c r="U75" s="24">
        <v>0</v>
      </c>
      <c r="V75" s="24">
        <v>0</v>
      </c>
      <c r="W75" s="24">
        <v>0</v>
      </c>
      <c r="X75" s="24">
        <v>-0.2</v>
      </c>
      <c r="Y75" s="24">
        <v>-0.2</v>
      </c>
      <c r="Z75" s="24">
        <v>0</v>
      </c>
      <c r="AA75" s="24">
        <v>0</v>
      </c>
      <c r="AB75" s="24">
        <v>0</v>
      </c>
      <c r="AC75" s="24">
        <v>-0.2</v>
      </c>
      <c r="AD75" s="24">
        <v>-0.2</v>
      </c>
      <c r="AE75" s="24">
        <v>0</v>
      </c>
      <c r="AF75" s="24">
        <v>0</v>
      </c>
      <c r="AG75" s="24">
        <v>0</v>
      </c>
      <c r="AH75" s="24">
        <v>-0.2</v>
      </c>
      <c r="AI75" s="48">
        <v>30001</v>
      </c>
      <c r="AJ75" s="48">
        <v>30002</v>
      </c>
      <c r="AK75" s="48">
        <v>30003</v>
      </c>
      <c r="AL75" s="48">
        <v>30004</v>
      </c>
      <c r="AM75" s="48">
        <v>30015</v>
      </c>
      <c r="AN75" s="25">
        <v>0</v>
      </c>
      <c r="AO75" s="49">
        <v>5</v>
      </c>
      <c r="AP75" s="50">
        <v>100</v>
      </c>
      <c r="AQ75" s="51" t="s">
        <v>1135</v>
      </c>
      <c r="AR75" s="51">
        <f>=F75*247.95</f>
        <v>4160105.1</v>
      </c>
      <c r="AS75" s="51">
        <f>=G75*32.6061</f>
        <v>3912.732</v>
      </c>
      <c r="AT75" s="51">
        <f>=J75*2.35</f>
        <v>13026.05</v>
      </c>
      <c r="AU75" s="47">
        <f>=H75*15.88</f>
        <v>952.8</v>
      </c>
    </row>
    <row r="76" spans="1:47">
      <c r="A76" s="24" t="s">
        <v>1269</v>
      </c>
      <c r="B76" s="24">
        <v>11157</v>
      </c>
      <c r="C76" s="24" t="s">
        <v>1270</v>
      </c>
      <c r="D76" s="24" t="s">
        <v>1271</v>
      </c>
      <c r="E76" s="24">
        <v>900011157</v>
      </c>
      <c r="F76" s="24">
        <v>7097</v>
      </c>
      <c r="G76" s="24">
        <v>97</v>
      </c>
      <c r="H76" s="24">
        <v>58</v>
      </c>
      <c r="I76" s="25">
        <v>0.5</v>
      </c>
      <c r="J76" s="24">
        <v>3502</v>
      </c>
      <c r="K76" s="24" t="b">
        <v>1</v>
      </c>
      <c r="L76" s="25">
        <v>0</v>
      </c>
      <c r="M76" s="47">
        <v>0</v>
      </c>
      <c r="N76" s="25">
        <v>0.1</v>
      </c>
      <c r="O76" s="47">
        <v>10</v>
      </c>
      <c r="P76" s="25">
        <v>0.5</v>
      </c>
      <c r="Q76" s="24">
        <v>2</v>
      </c>
      <c r="R76" s="24">
        <v>3</v>
      </c>
      <c r="S76" s="25">
        <v>0.5</v>
      </c>
      <c r="T76" s="24">
        <v>0</v>
      </c>
      <c r="U76" s="24">
        <v>-0.2</v>
      </c>
      <c r="V76" s="24">
        <v>0.2</v>
      </c>
      <c r="W76" s="24">
        <v>0</v>
      </c>
      <c r="X76" s="24">
        <v>0</v>
      </c>
      <c r="Y76" s="24">
        <v>0</v>
      </c>
      <c r="Z76" s="24">
        <v>-0.2</v>
      </c>
      <c r="AA76" s="24">
        <v>0.2</v>
      </c>
      <c r="AB76" s="24">
        <v>0</v>
      </c>
      <c r="AC76" s="24">
        <v>0</v>
      </c>
      <c r="AD76" s="24">
        <v>0</v>
      </c>
      <c r="AE76" s="24">
        <v>-0.2</v>
      </c>
      <c r="AF76" s="24">
        <v>0.2</v>
      </c>
      <c r="AG76" s="24">
        <v>0</v>
      </c>
      <c r="AH76" s="24">
        <v>0</v>
      </c>
      <c r="AI76" s="48">
        <v>20001</v>
      </c>
      <c r="AJ76" s="48">
        <v>20012</v>
      </c>
      <c r="AK76" s="48">
        <v>20003</v>
      </c>
      <c r="AL76" s="48">
        <v>20004</v>
      </c>
      <c r="AM76" s="48">
        <v>20005</v>
      </c>
      <c r="AN76" s="25">
        <v>0</v>
      </c>
      <c r="AO76" s="49">
        <v>3</v>
      </c>
      <c r="AP76" s="50">
        <v>75</v>
      </c>
      <c r="AQ76" s="51" t="s">
        <v>1272</v>
      </c>
      <c r="AR76" s="51">
        <f>=F76*247.95</f>
        <v>1759701.15</v>
      </c>
      <c r="AS76" s="51">
        <f>=G76*32.6061</f>
        <v>3162.7917</v>
      </c>
      <c r="AT76" s="51">
        <f>=J76*2.35</f>
        <v>8229.7</v>
      </c>
      <c r="AU76" s="47">
        <f>=H76*15.88</f>
        <v>921.04</v>
      </c>
    </row>
    <row r="77" spans="1:47">
      <c r="A77" s="24" t="s">
        <v>1269</v>
      </c>
      <c r="B77" s="24">
        <v>11158</v>
      </c>
      <c r="C77" s="24" t="s">
        <v>1270</v>
      </c>
      <c r="D77" s="24" t="s">
        <v>1271</v>
      </c>
      <c r="E77" s="24">
        <v>900011158</v>
      </c>
      <c r="F77" s="24">
        <v>7351</v>
      </c>
      <c r="G77" s="24">
        <v>111</v>
      </c>
      <c r="H77" s="24">
        <v>58</v>
      </c>
      <c r="I77" s="25">
        <v>0.5</v>
      </c>
      <c r="J77" s="24">
        <v>3972</v>
      </c>
      <c r="K77" s="24" t="b">
        <v>1</v>
      </c>
      <c r="L77" s="25">
        <v>0</v>
      </c>
      <c r="M77" s="47">
        <v>0</v>
      </c>
      <c r="N77" s="25">
        <v>0.1</v>
      </c>
      <c r="O77" s="47">
        <v>10</v>
      </c>
      <c r="P77" s="25">
        <v>0.5</v>
      </c>
      <c r="Q77" s="24">
        <v>2</v>
      </c>
      <c r="R77" s="24">
        <v>5</v>
      </c>
      <c r="S77" s="25">
        <v>0.5</v>
      </c>
      <c r="T77" s="24">
        <v>0</v>
      </c>
      <c r="U77" s="24">
        <v>-0.2</v>
      </c>
      <c r="V77" s="24">
        <v>0.2</v>
      </c>
      <c r="W77" s="24">
        <v>0</v>
      </c>
      <c r="X77" s="24">
        <v>0</v>
      </c>
      <c r="Y77" s="24">
        <v>0</v>
      </c>
      <c r="Z77" s="24">
        <v>-0.2</v>
      </c>
      <c r="AA77" s="24">
        <v>0.2</v>
      </c>
      <c r="AB77" s="24">
        <v>0</v>
      </c>
      <c r="AC77" s="24">
        <v>0</v>
      </c>
      <c r="AD77" s="24">
        <v>0</v>
      </c>
      <c r="AE77" s="24">
        <v>-0.2</v>
      </c>
      <c r="AF77" s="24">
        <v>0.2</v>
      </c>
      <c r="AG77" s="24">
        <v>0</v>
      </c>
      <c r="AH77" s="24">
        <v>0</v>
      </c>
      <c r="AI77" s="48">
        <v>20001</v>
      </c>
      <c r="AJ77" s="48">
        <v>20012</v>
      </c>
      <c r="AK77" s="48">
        <v>20003</v>
      </c>
      <c r="AL77" s="48">
        <v>20004</v>
      </c>
      <c r="AM77" s="48">
        <v>20005</v>
      </c>
      <c r="AN77" s="25">
        <v>0</v>
      </c>
      <c r="AO77" s="49">
        <v>3</v>
      </c>
      <c r="AP77" s="50">
        <v>75</v>
      </c>
      <c r="AQ77" s="51" t="s">
        <v>1273</v>
      </c>
      <c r="AR77" s="51">
        <f>=F77*247.95</f>
        <v>1822680.45</v>
      </c>
      <c r="AS77" s="51">
        <f>=G77*32.6061</f>
        <v>3619.2771</v>
      </c>
      <c r="AT77" s="51">
        <f>=J77*2.35</f>
        <v>9334.2</v>
      </c>
      <c r="AU77" s="47">
        <f>=H77*15.88</f>
        <v>921.04</v>
      </c>
    </row>
    <row r="78" spans="1:47">
      <c r="A78" s="24" t="s">
        <v>1274</v>
      </c>
      <c r="B78" s="24">
        <v>11161</v>
      </c>
      <c r="C78" s="24" t="s">
        <v>1275</v>
      </c>
      <c r="D78" s="24" t="s">
        <v>1276</v>
      </c>
      <c r="E78" s="24">
        <v>900011161</v>
      </c>
      <c r="F78" s="24">
        <v>1240</v>
      </c>
      <c r="G78" s="24">
        <v>66</v>
      </c>
      <c r="H78" s="24">
        <v>40</v>
      </c>
      <c r="I78" s="25">
        <v>0.5</v>
      </c>
      <c r="J78" s="24">
        <v>600</v>
      </c>
      <c r="K78" s="24" t="b">
        <v>1</v>
      </c>
      <c r="L78" s="25">
        <v>0</v>
      </c>
      <c r="M78" s="47">
        <v>0</v>
      </c>
      <c r="N78" s="25">
        <v>0.5</v>
      </c>
      <c r="O78" s="47">
        <v>2</v>
      </c>
      <c r="P78" s="25">
        <v>1</v>
      </c>
      <c r="Q78" s="24">
        <v>1</v>
      </c>
      <c r="R78" s="24">
        <v>1</v>
      </c>
      <c r="S78" s="25">
        <v>0</v>
      </c>
      <c r="T78" s="24">
        <v>0</v>
      </c>
      <c r="U78" s="24">
        <v>0</v>
      </c>
      <c r="V78" s="24">
        <v>-0.2</v>
      </c>
      <c r="W78" s="24">
        <v>0</v>
      </c>
      <c r="X78" s="24">
        <v>0</v>
      </c>
      <c r="Y78" s="24">
        <v>0</v>
      </c>
      <c r="Z78" s="24">
        <v>0</v>
      </c>
      <c r="AA78" s="24">
        <v>-0.2</v>
      </c>
      <c r="AB78" s="24">
        <v>0</v>
      </c>
      <c r="AC78" s="24">
        <v>0</v>
      </c>
      <c r="AD78" s="24">
        <v>0</v>
      </c>
      <c r="AE78" s="24">
        <v>0</v>
      </c>
      <c r="AF78" s="24">
        <v>-0.2</v>
      </c>
      <c r="AG78" s="24">
        <v>0</v>
      </c>
      <c r="AH78" s="24">
        <v>0</v>
      </c>
      <c r="AI78" s="48">
        <v>10001</v>
      </c>
      <c r="AJ78" s="48">
        <v>10002</v>
      </c>
      <c r="AK78" s="48">
        <v>10013</v>
      </c>
      <c r="AL78" s="48">
        <v>10004</v>
      </c>
      <c r="AM78" s="48">
        <v>10005</v>
      </c>
      <c r="AN78" s="25">
        <v>0</v>
      </c>
      <c r="AO78" s="49" t="s"/>
      <c r="AP78" s="50">
        <v>50</v>
      </c>
      <c r="AQ78" s="51" t="s">
        <v>1277</v>
      </c>
      <c r="AR78" s="51">
        <f>=F78*247.95</f>
        <v>307458</v>
      </c>
      <c r="AS78" s="51">
        <f>=G78*32.6061</f>
        <v>2152.0026</v>
      </c>
      <c r="AT78" s="51">
        <f>=J78*2.35</f>
        <v>1410</v>
      </c>
      <c r="AU78" s="47">
        <f>=H78*15.88</f>
        <v>635.2</v>
      </c>
    </row>
    <row r="79" spans="1:47">
      <c r="A79" s="24" t="s">
        <v>1274</v>
      </c>
      <c r="B79" s="24">
        <v>11162</v>
      </c>
      <c r="C79" s="24" t="s">
        <v>1275</v>
      </c>
      <c r="D79" s="24" t="s">
        <v>1276</v>
      </c>
      <c r="E79" s="24">
        <v>900011162</v>
      </c>
      <c r="F79" s="24">
        <v>1615</v>
      </c>
      <c r="G79" s="24">
        <v>66</v>
      </c>
      <c r="H79" s="24">
        <v>40</v>
      </c>
      <c r="I79" s="25">
        <v>0.5</v>
      </c>
      <c r="J79" s="24">
        <v>900</v>
      </c>
      <c r="K79" s="24" t="b">
        <v>1</v>
      </c>
      <c r="L79" s="25">
        <v>0</v>
      </c>
      <c r="M79" s="47">
        <v>0</v>
      </c>
      <c r="N79" s="25">
        <v>0.5</v>
      </c>
      <c r="O79" s="47">
        <v>2</v>
      </c>
      <c r="P79" s="25">
        <v>1</v>
      </c>
      <c r="Q79" s="24">
        <v>1</v>
      </c>
      <c r="R79" s="24">
        <v>1</v>
      </c>
      <c r="S79" s="25">
        <v>0</v>
      </c>
      <c r="T79" s="24">
        <v>0</v>
      </c>
      <c r="U79" s="24">
        <v>0</v>
      </c>
      <c r="V79" s="24">
        <v>-0.2</v>
      </c>
      <c r="W79" s="24">
        <v>0</v>
      </c>
      <c r="X79" s="24">
        <v>0</v>
      </c>
      <c r="Y79" s="24">
        <v>0</v>
      </c>
      <c r="Z79" s="24">
        <v>0</v>
      </c>
      <c r="AA79" s="24">
        <v>-0.2</v>
      </c>
      <c r="AB79" s="24">
        <v>0</v>
      </c>
      <c r="AC79" s="24">
        <v>0</v>
      </c>
      <c r="AD79" s="24">
        <v>0</v>
      </c>
      <c r="AE79" s="24">
        <v>0</v>
      </c>
      <c r="AF79" s="24">
        <v>-0.2</v>
      </c>
      <c r="AG79" s="24">
        <v>0</v>
      </c>
      <c r="AH79" s="24">
        <v>0</v>
      </c>
      <c r="AI79" s="48">
        <v>10001</v>
      </c>
      <c r="AJ79" s="48">
        <v>10002</v>
      </c>
      <c r="AK79" s="48">
        <v>10013</v>
      </c>
      <c r="AL79" s="48">
        <v>10004</v>
      </c>
      <c r="AM79" s="48">
        <v>10005</v>
      </c>
      <c r="AN79" s="25">
        <v>0</v>
      </c>
      <c r="AO79" s="49" t="s"/>
      <c r="AP79" s="50">
        <v>50</v>
      </c>
      <c r="AQ79" s="51" t="s">
        <v>1278</v>
      </c>
      <c r="AR79" s="51">
        <f>=F79*247.95</f>
        <v>400439.25</v>
      </c>
      <c r="AS79" s="51">
        <f>=G79*32.6061</f>
        <v>2152.0026</v>
      </c>
      <c r="AT79" s="51">
        <f>=J79*2.35</f>
        <v>2115</v>
      </c>
      <c r="AU79" s="47">
        <f>=H79*15.88</f>
        <v>635.2</v>
      </c>
    </row>
    <row r="80" spans="1:47">
      <c r="A80" s="24" t="s">
        <v>1164</v>
      </c>
      <c r="B80" s="24">
        <v>11163</v>
      </c>
      <c r="C80" s="24" t="s">
        <v>1165</v>
      </c>
      <c r="D80" s="24" t="s">
        <v>1166</v>
      </c>
      <c r="E80" s="24">
        <v>900011163</v>
      </c>
      <c r="F80" s="24">
        <v>1240</v>
      </c>
      <c r="G80" s="24">
        <v>66</v>
      </c>
      <c r="H80" s="24">
        <v>40</v>
      </c>
      <c r="I80" s="25">
        <v>0.5</v>
      </c>
      <c r="J80" s="24">
        <v>600</v>
      </c>
      <c r="K80" s="24" t="b">
        <v>1</v>
      </c>
      <c r="L80" s="25">
        <v>0</v>
      </c>
      <c r="M80" s="47">
        <v>0</v>
      </c>
      <c r="N80" s="25">
        <v>0.5</v>
      </c>
      <c r="O80" s="47">
        <v>2</v>
      </c>
      <c r="P80" s="25">
        <v>1</v>
      </c>
      <c r="Q80" s="24">
        <v>1</v>
      </c>
      <c r="R80" s="24">
        <v>1</v>
      </c>
      <c r="S80" s="25">
        <v>0</v>
      </c>
      <c r="T80" s="24">
        <v>0</v>
      </c>
      <c r="U80" s="24">
        <v>-0.2</v>
      </c>
      <c r="V80" s="24">
        <v>0</v>
      </c>
      <c r="W80" s="24">
        <v>-0.2</v>
      </c>
      <c r="X80" s="24">
        <v>0</v>
      </c>
      <c r="Y80" s="24">
        <v>0</v>
      </c>
      <c r="Z80" s="24">
        <v>-0.2</v>
      </c>
      <c r="AA80" s="24">
        <v>0</v>
      </c>
      <c r="AB80" s="24">
        <v>-0.2</v>
      </c>
      <c r="AC80" s="24">
        <v>0</v>
      </c>
      <c r="AD80" s="24">
        <v>0</v>
      </c>
      <c r="AE80" s="24">
        <v>-0.2</v>
      </c>
      <c r="AF80" s="24">
        <v>0</v>
      </c>
      <c r="AG80" s="24">
        <v>-0.2</v>
      </c>
      <c r="AH80" s="24">
        <v>0</v>
      </c>
      <c r="AI80" s="48">
        <v>10001</v>
      </c>
      <c r="AJ80" s="48">
        <v>10012</v>
      </c>
      <c r="AK80" s="48">
        <v>10003</v>
      </c>
      <c r="AL80" s="48">
        <v>10004</v>
      </c>
      <c r="AM80" s="48">
        <v>10005</v>
      </c>
      <c r="AN80" s="25">
        <v>0</v>
      </c>
      <c r="AO80" s="49" t="s"/>
      <c r="AP80" s="50">
        <v>50</v>
      </c>
      <c r="AQ80" s="51" t="s">
        <v>1167</v>
      </c>
      <c r="AR80" s="51">
        <f>=F80*247.95</f>
        <v>307458</v>
      </c>
      <c r="AS80" s="51">
        <f>=G80*32.6061</f>
        <v>2152.0026</v>
      </c>
      <c r="AT80" s="51">
        <f>=J80*2.35</f>
        <v>1410</v>
      </c>
      <c r="AU80" s="47">
        <f>=H80*15.88</f>
        <v>635.2</v>
      </c>
    </row>
    <row r="81" spans="1:47">
      <c r="A81" s="24" t="s">
        <v>1164</v>
      </c>
      <c r="B81" s="24">
        <v>11164</v>
      </c>
      <c r="C81" s="24" t="s">
        <v>1165</v>
      </c>
      <c r="D81" s="24" t="s">
        <v>1166</v>
      </c>
      <c r="E81" s="24">
        <v>900011164</v>
      </c>
      <c r="F81" s="24">
        <v>1615</v>
      </c>
      <c r="G81" s="24">
        <v>66</v>
      </c>
      <c r="H81" s="24">
        <v>40</v>
      </c>
      <c r="I81" s="25">
        <v>0.5</v>
      </c>
      <c r="J81" s="24">
        <v>900</v>
      </c>
      <c r="K81" s="24" t="b">
        <v>1</v>
      </c>
      <c r="L81" s="25">
        <v>0</v>
      </c>
      <c r="M81" s="47">
        <v>0</v>
      </c>
      <c r="N81" s="25">
        <v>0.5</v>
      </c>
      <c r="O81" s="47">
        <v>2</v>
      </c>
      <c r="P81" s="25">
        <v>1</v>
      </c>
      <c r="Q81" s="24">
        <v>1</v>
      </c>
      <c r="R81" s="24">
        <v>1</v>
      </c>
      <c r="S81" s="25">
        <v>0</v>
      </c>
      <c r="T81" s="24">
        <v>0</v>
      </c>
      <c r="U81" s="24">
        <v>-0.2</v>
      </c>
      <c r="V81" s="24">
        <v>0</v>
      </c>
      <c r="W81" s="24">
        <v>-0.2</v>
      </c>
      <c r="X81" s="24">
        <v>0</v>
      </c>
      <c r="Y81" s="24">
        <v>0</v>
      </c>
      <c r="Z81" s="24">
        <v>-0.2</v>
      </c>
      <c r="AA81" s="24">
        <v>0</v>
      </c>
      <c r="AB81" s="24">
        <v>-0.2</v>
      </c>
      <c r="AC81" s="24">
        <v>0</v>
      </c>
      <c r="AD81" s="24">
        <v>0</v>
      </c>
      <c r="AE81" s="24">
        <v>-0.2</v>
      </c>
      <c r="AF81" s="24">
        <v>0</v>
      </c>
      <c r="AG81" s="24">
        <v>-0.2</v>
      </c>
      <c r="AH81" s="24">
        <v>0</v>
      </c>
      <c r="AI81" s="48">
        <v>10001</v>
      </c>
      <c r="AJ81" s="48">
        <v>10012</v>
      </c>
      <c r="AK81" s="48">
        <v>10003</v>
      </c>
      <c r="AL81" s="48">
        <v>10004</v>
      </c>
      <c r="AM81" s="48">
        <v>10005</v>
      </c>
      <c r="AN81" s="25">
        <v>0</v>
      </c>
      <c r="AO81" s="49" t="s"/>
      <c r="AP81" s="50">
        <v>50</v>
      </c>
      <c r="AQ81" s="51" t="s">
        <v>1279</v>
      </c>
      <c r="AR81" s="51">
        <f>=F81*247.95</f>
        <v>400439.25</v>
      </c>
      <c r="AS81" s="51">
        <f>=G81*32.6061</f>
        <v>2152.0026</v>
      </c>
      <c r="AT81" s="51">
        <f>=J81*2.35</f>
        <v>2115</v>
      </c>
      <c r="AU81" s="47">
        <f>=H81*15.88</f>
        <v>635.2</v>
      </c>
    </row>
    <row r="82" spans="1:47">
      <c r="A82" s="24" t="s">
        <v>1280</v>
      </c>
      <c r="B82" s="24">
        <v>11181</v>
      </c>
      <c r="C82" s="24" t="s">
        <v>1281</v>
      </c>
      <c r="D82" s="24" t="s">
        <v>1282</v>
      </c>
      <c r="E82" s="24">
        <v>900011181</v>
      </c>
      <c r="F82" s="24">
        <v>18493</v>
      </c>
      <c r="G82" s="24">
        <v>120</v>
      </c>
      <c r="H82" s="24">
        <v>60</v>
      </c>
      <c r="I82" s="25">
        <v>0.5</v>
      </c>
      <c r="J82" s="24">
        <v>3880</v>
      </c>
      <c r="K82" s="24" t="b">
        <v>1</v>
      </c>
      <c r="L82" s="25">
        <v>0</v>
      </c>
      <c r="M82" s="47">
        <v>0</v>
      </c>
      <c r="N82" s="25">
        <v>0.0833</v>
      </c>
      <c r="O82" s="47">
        <v>12.0048</v>
      </c>
      <c r="P82" s="25">
        <v>0.5</v>
      </c>
      <c r="Q82" s="24">
        <v>3</v>
      </c>
      <c r="R82" s="24">
        <v>5</v>
      </c>
      <c r="S82" s="25">
        <v>0.75</v>
      </c>
      <c r="T82" s="24">
        <v>-0.2</v>
      </c>
      <c r="U82" s="24">
        <v>0</v>
      </c>
      <c r="V82" s="24">
        <v>0</v>
      </c>
      <c r="W82" s="24">
        <v>0</v>
      </c>
      <c r="X82" s="24">
        <v>-0.2</v>
      </c>
      <c r="Y82" s="24">
        <v>-0.2</v>
      </c>
      <c r="Z82" s="24">
        <v>0</v>
      </c>
      <c r="AA82" s="24">
        <v>0</v>
      </c>
      <c r="AB82" s="24">
        <v>0</v>
      </c>
      <c r="AC82" s="24">
        <v>-0.2</v>
      </c>
      <c r="AD82" s="24">
        <v>-0.2</v>
      </c>
      <c r="AE82" s="24">
        <v>0</v>
      </c>
      <c r="AF82" s="24">
        <v>0</v>
      </c>
      <c r="AG82" s="24">
        <v>0</v>
      </c>
      <c r="AH82" s="24">
        <v>-0.2</v>
      </c>
      <c r="AI82" s="48">
        <v>30001</v>
      </c>
      <c r="AJ82" s="48">
        <v>30002</v>
      </c>
      <c r="AK82" s="48">
        <v>30003</v>
      </c>
      <c r="AL82" s="48">
        <v>30004</v>
      </c>
      <c r="AM82" s="48">
        <v>30015</v>
      </c>
      <c r="AN82" s="25">
        <v>0</v>
      </c>
      <c r="AO82" s="49">
        <v>5</v>
      </c>
      <c r="AP82" s="50">
        <v>100</v>
      </c>
      <c r="AQ82" s="51" t="s">
        <v>1135</v>
      </c>
      <c r="AR82" s="51">
        <f>=F82*247.95</f>
        <v>4585339.35</v>
      </c>
      <c r="AS82" s="51">
        <f>=G82*32.6061</f>
        <v>3912.732</v>
      </c>
      <c r="AT82" s="51">
        <f>=J82*2.35</f>
        <v>9118</v>
      </c>
      <c r="AU82" s="47">
        <f>=H82*15.88</f>
        <v>952.8</v>
      </c>
    </row>
    <row r="83" spans="1:47">
      <c r="A83" s="24" t="s">
        <v>1283</v>
      </c>
      <c r="B83" s="24">
        <v>11184</v>
      </c>
      <c r="C83" s="24" t="s">
        <v>1284</v>
      </c>
      <c r="D83" s="24" t="s">
        <v>1285</v>
      </c>
      <c r="E83" s="24">
        <v>900011184</v>
      </c>
      <c r="F83" s="24">
        <v>7951</v>
      </c>
      <c r="G83" s="24">
        <v>97</v>
      </c>
      <c r="H83" s="24">
        <v>45</v>
      </c>
      <c r="I83" s="25">
        <v>0.5</v>
      </c>
      <c r="J83" s="24">
        <v>2451</v>
      </c>
      <c r="K83" s="24" t="b">
        <v>1</v>
      </c>
      <c r="L83" s="25">
        <v>0</v>
      </c>
      <c r="M83" s="47">
        <v>0</v>
      </c>
      <c r="N83" s="25">
        <v>0.1</v>
      </c>
      <c r="O83" s="47">
        <v>10</v>
      </c>
      <c r="P83" s="25">
        <v>1</v>
      </c>
      <c r="Q83" s="24">
        <v>2</v>
      </c>
      <c r="R83" s="24">
        <v>3</v>
      </c>
      <c r="S83" s="25">
        <v>0.5</v>
      </c>
      <c r="T83" s="24">
        <v>-0.2</v>
      </c>
      <c r="U83" s="24">
        <v>0</v>
      </c>
      <c r="V83" s="24">
        <v>0</v>
      </c>
      <c r="W83" s="24">
        <v>0</v>
      </c>
      <c r="X83" s="24">
        <v>-0.2</v>
      </c>
      <c r="Y83" s="24">
        <v>-0.2</v>
      </c>
      <c r="Z83" s="24">
        <v>0</v>
      </c>
      <c r="AA83" s="24">
        <v>0</v>
      </c>
      <c r="AB83" s="24">
        <v>0</v>
      </c>
      <c r="AC83" s="24">
        <v>-0.2</v>
      </c>
      <c r="AD83" s="24">
        <v>-0.2</v>
      </c>
      <c r="AE83" s="24">
        <v>0</v>
      </c>
      <c r="AF83" s="24">
        <v>0</v>
      </c>
      <c r="AG83" s="24">
        <v>0</v>
      </c>
      <c r="AH83" s="24">
        <v>-0.2</v>
      </c>
      <c r="AI83" s="48">
        <v>20001</v>
      </c>
      <c r="AJ83" s="48">
        <v>20002</v>
      </c>
      <c r="AK83" s="48">
        <v>20003</v>
      </c>
      <c r="AL83" s="48">
        <v>20004</v>
      </c>
      <c r="AM83" s="48">
        <v>20015</v>
      </c>
      <c r="AN83" s="25">
        <v>0</v>
      </c>
      <c r="AO83" s="49">
        <v>3</v>
      </c>
      <c r="AP83" s="50">
        <v>75</v>
      </c>
      <c r="AQ83" s="51" t="s">
        <v>1267</v>
      </c>
      <c r="AR83" s="51">
        <f>=F83*247.95</f>
        <v>1971450.45</v>
      </c>
      <c r="AS83" s="51">
        <f>=G83*32.6061</f>
        <v>3162.7917</v>
      </c>
      <c r="AT83" s="51">
        <f>=J83*2.35</f>
        <v>5759.85</v>
      </c>
      <c r="AU83" s="47">
        <f>=H83*15.88</f>
        <v>714.6</v>
      </c>
    </row>
    <row r="84" spans="1:47">
      <c r="A84" s="24" t="s">
        <v>1283</v>
      </c>
      <c r="B84" s="24">
        <v>11185</v>
      </c>
      <c r="C84" s="24" t="s">
        <v>1284</v>
      </c>
      <c r="D84" s="24" t="s">
        <v>1285</v>
      </c>
      <c r="E84" s="24">
        <v>900011185</v>
      </c>
      <c r="F84" s="24">
        <v>8179</v>
      </c>
      <c r="G84" s="24">
        <v>101</v>
      </c>
      <c r="H84" s="24">
        <v>54</v>
      </c>
      <c r="I84" s="25">
        <v>0.5</v>
      </c>
      <c r="J84" s="24">
        <v>2781</v>
      </c>
      <c r="K84" s="24" t="b">
        <v>1</v>
      </c>
      <c r="L84" s="25">
        <v>0</v>
      </c>
      <c r="M84" s="47">
        <v>0</v>
      </c>
      <c r="N84" s="25">
        <v>0.1</v>
      </c>
      <c r="O84" s="47">
        <v>10</v>
      </c>
      <c r="P84" s="25">
        <v>1</v>
      </c>
      <c r="Q84" s="24">
        <v>2</v>
      </c>
      <c r="R84" s="24">
        <v>5</v>
      </c>
      <c r="S84" s="25">
        <v>0.5</v>
      </c>
      <c r="T84" s="24">
        <v>-0.2</v>
      </c>
      <c r="U84" s="24">
        <v>0</v>
      </c>
      <c r="V84" s="24">
        <v>0</v>
      </c>
      <c r="W84" s="24">
        <v>0</v>
      </c>
      <c r="X84" s="24">
        <v>-0.2</v>
      </c>
      <c r="Y84" s="24">
        <v>-0.2</v>
      </c>
      <c r="Z84" s="24">
        <v>0</v>
      </c>
      <c r="AA84" s="24">
        <v>0</v>
      </c>
      <c r="AB84" s="24">
        <v>0</v>
      </c>
      <c r="AC84" s="24">
        <v>-0.2</v>
      </c>
      <c r="AD84" s="24">
        <v>-0.2</v>
      </c>
      <c r="AE84" s="24">
        <v>0</v>
      </c>
      <c r="AF84" s="24">
        <v>0</v>
      </c>
      <c r="AG84" s="24">
        <v>0</v>
      </c>
      <c r="AH84" s="24">
        <v>-0.2</v>
      </c>
      <c r="AI84" s="48">
        <v>20001</v>
      </c>
      <c r="AJ84" s="48">
        <v>20002</v>
      </c>
      <c r="AK84" s="48">
        <v>20003</v>
      </c>
      <c r="AL84" s="48">
        <v>20004</v>
      </c>
      <c r="AM84" s="48">
        <v>20015</v>
      </c>
      <c r="AN84" s="25">
        <v>0</v>
      </c>
      <c r="AO84" s="49">
        <v>3</v>
      </c>
      <c r="AP84" s="50">
        <v>75</v>
      </c>
      <c r="AQ84" s="51" t="s">
        <v>1268</v>
      </c>
      <c r="AR84" s="51">
        <f>=F84*247.95</f>
        <v>2027983.05</v>
      </c>
      <c r="AS84" s="51">
        <f>=G84*32.6061</f>
        <v>3293.2161</v>
      </c>
      <c r="AT84" s="51">
        <f>=J84*2.35</f>
        <v>6535.35</v>
      </c>
      <c r="AU84" s="47">
        <f>=H84*15.88</f>
        <v>857.52</v>
      </c>
    </row>
    <row r="85" spans="1:47">
      <c r="A85" s="24" t="s">
        <v>1286</v>
      </c>
      <c r="B85" s="24">
        <v>11186</v>
      </c>
      <c r="C85" s="24" t="s">
        <v>1287</v>
      </c>
      <c r="D85" s="24" t="s">
        <v>1288</v>
      </c>
      <c r="E85" s="24">
        <v>900011186</v>
      </c>
      <c r="F85" s="24">
        <v>7951</v>
      </c>
      <c r="G85" s="24">
        <v>88</v>
      </c>
      <c r="H85" s="24">
        <v>54</v>
      </c>
      <c r="I85" s="25">
        <v>0.5</v>
      </c>
      <c r="J85" s="24">
        <v>2451</v>
      </c>
      <c r="K85" s="24" t="b">
        <v>1</v>
      </c>
      <c r="L85" s="25">
        <v>0</v>
      </c>
      <c r="M85" s="47">
        <v>0</v>
      </c>
      <c r="N85" s="25">
        <v>0.1</v>
      </c>
      <c r="O85" s="47">
        <v>10</v>
      </c>
      <c r="P85" s="25">
        <v>1</v>
      </c>
      <c r="Q85" s="24">
        <v>2</v>
      </c>
      <c r="R85" s="24">
        <v>3</v>
      </c>
      <c r="S85" s="25">
        <v>0.5</v>
      </c>
      <c r="T85" s="24">
        <v>0</v>
      </c>
      <c r="U85" s="24">
        <v>-0.2</v>
      </c>
      <c r="V85" s="24">
        <v>0.2</v>
      </c>
      <c r="W85" s="24">
        <v>0</v>
      </c>
      <c r="X85" s="24">
        <v>0</v>
      </c>
      <c r="Y85" s="24">
        <v>0</v>
      </c>
      <c r="Z85" s="24">
        <v>-0.2</v>
      </c>
      <c r="AA85" s="24">
        <v>0.2</v>
      </c>
      <c r="AB85" s="24">
        <v>0</v>
      </c>
      <c r="AC85" s="24">
        <v>0</v>
      </c>
      <c r="AD85" s="24">
        <v>0</v>
      </c>
      <c r="AE85" s="24">
        <v>-0.2</v>
      </c>
      <c r="AF85" s="24">
        <v>0.2</v>
      </c>
      <c r="AG85" s="24">
        <v>0</v>
      </c>
      <c r="AH85" s="24">
        <v>0</v>
      </c>
      <c r="AI85" s="48">
        <v>20001</v>
      </c>
      <c r="AJ85" s="48">
        <v>20012</v>
      </c>
      <c r="AK85" s="48">
        <v>20003</v>
      </c>
      <c r="AL85" s="48">
        <v>20004</v>
      </c>
      <c r="AM85" s="48">
        <v>20005</v>
      </c>
      <c r="AN85" s="25">
        <v>0</v>
      </c>
      <c r="AO85" s="49">
        <v>3</v>
      </c>
      <c r="AP85" s="50">
        <v>75</v>
      </c>
      <c r="AQ85" s="51" t="s">
        <v>1272</v>
      </c>
      <c r="AR85" s="51">
        <f>=F85*247.95</f>
        <v>1971450.45</v>
      </c>
      <c r="AS85" s="51">
        <f>=G85*32.6061</f>
        <v>2869.3368</v>
      </c>
      <c r="AT85" s="51">
        <f>=J85*2.35</f>
        <v>5759.85</v>
      </c>
      <c r="AU85" s="47">
        <f>=H85*15.88</f>
        <v>857.52</v>
      </c>
    </row>
    <row r="86" spans="1:47">
      <c r="A86" s="24" t="s">
        <v>1286</v>
      </c>
      <c r="B86" s="24">
        <v>11187</v>
      </c>
      <c r="C86" s="24" t="s">
        <v>1287</v>
      </c>
      <c r="D86" s="24" t="s">
        <v>1288</v>
      </c>
      <c r="E86" s="24">
        <v>900011187</v>
      </c>
      <c r="F86" s="24">
        <v>8179</v>
      </c>
      <c r="G86" s="24">
        <v>101</v>
      </c>
      <c r="H86" s="24">
        <v>54</v>
      </c>
      <c r="I86" s="25">
        <v>0.5</v>
      </c>
      <c r="J86" s="24">
        <v>2781</v>
      </c>
      <c r="K86" s="24" t="b">
        <v>1</v>
      </c>
      <c r="L86" s="25">
        <v>0</v>
      </c>
      <c r="M86" s="47">
        <v>0</v>
      </c>
      <c r="N86" s="25">
        <v>0.1</v>
      </c>
      <c r="O86" s="47">
        <v>10</v>
      </c>
      <c r="P86" s="25">
        <v>1</v>
      </c>
      <c r="Q86" s="24">
        <v>2</v>
      </c>
      <c r="R86" s="24">
        <v>5</v>
      </c>
      <c r="S86" s="25">
        <v>0.5</v>
      </c>
      <c r="T86" s="24">
        <v>0</v>
      </c>
      <c r="U86" s="24">
        <v>-0.2</v>
      </c>
      <c r="V86" s="24">
        <v>0.2</v>
      </c>
      <c r="W86" s="24">
        <v>0</v>
      </c>
      <c r="X86" s="24">
        <v>0</v>
      </c>
      <c r="Y86" s="24">
        <v>0</v>
      </c>
      <c r="Z86" s="24">
        <v>-0.2</v>
      </c>
      <c r="AA86" s="24">
        <v>0.2</v>
      </c>
      <c r="AB86" s="24">
        <v>0</v>
      </c>
      <c r="AC86" s="24">
        <v>0</v>
      </c>
      <c r="AD86" s="24">
        <v>0</v>
      </c>
      <c r="AE86" s="24">
        <v>-0.2</v>
      </c>
      <c r="AF86" s="24">
        <v>0.2</v>
      </c>
      <c r="AG86" s="24">
        <v>0</v>
      </c>
      <c r="AH86" s="24">
        <v>0</v>
      </c>
      <c r="AI86" s="48">
        <v>20001</v>
      </c>
      <c r="AJ86" s="48">
        <v>20012</v>
      </c>
      <c r="AK86" s="48">
        <v>20003</v>
      </c>
      <c r="AL86" s="48">
        <v>20004</v>
      </c>
      <c r="AM86" s="48">
        <v>20005</v>
      </c>
      <c r="AN86" s="25">
        <v>0</v>
      </c>
      <c r="AO86" s="49">
        <v>3</v>
      </c>
      <c r="AP86" s="50">
        <v>75</v>
      </c>
      <c r="AQ86" s="51" t="s">
        <v>1273</v>
      </c>
      <c r="AR86" s="51">
        <f>=F86*247.95</f>
        <v>2027983.05</v>
      </c>
      <c r="AS86" s="51">
        <f>=G86*32.6061</f>
        <v>3293.2161</v>
      </c>
      <c r="AT86" s="51">
        <f>=J86*2.35</f>
        <v>6535.35</v>
      </c>
      <c r="AU86" s="47">
        <f>=H86*15.88</f>
        <v>857.52</v>
      </c>
    </row>
    <row r="87" spans="1:47">
      <c r="A87" s="24" t="s">
        <v>1289</v>
      </c>
      <c r="B87" s="24">
        <v>11192</v>
      </c>
      <c r="C87" s="24" t="s">
        <v>1290</v>
      </c>
      <c r="D87" s="24" t="s">
        <v>1291</v>
      </c>
      <c r="E87" s="24">
        <v>900011192</v>
      </c>
      <c r="F87" s="24">
        <v>6491</v>
      </c>
      <c r="G87" s="24">
        <v>116</v>
      </c>
      <c r="H87" s="24">
        <v>54</v>
      </c>
      <c r="I87" s="25">
        <v>0.5</v>
      </c>
      <c r="J87" s="24">
        <v>2648</v>
      </c>
      <c r="K87" s="24" t="b">
        <v>1</v>
      </c>
      <c r="L87" s="25">
        <v>0</v>
      </c>
      <c r="M87" s="47">
        <v>0</v>
      </c>
      <c r="N87" s="25">
        <v>0.1</v>
      </c>
      <c r="O87" s="47">
        <v>10</v>
      </c>
      <c r="P87" s="25">
        <v>1</v>
      </c>
      <c r="Q87" s="24">
        <v>2</v>
      </c>
      <c r="R87" s="24">
        <v>3</v>
      </c>
      <c r="S87" s="25">
        <v>0.5</v>
      </c>
      <c r="T87" s="24">
        <v>-0.2</v>
      </c>
      <c r="U87" s="24">
        <v>0</v>
      </c>
      <c r="V87" s="24">
        <v>0</v>
      </c>
      <c r="W87" s="24">
        <v>0</v>
      </c>
      <c r="X87" s="24">
        <v>-0.2</v>
      </c>
      <c r="Y87" s="24">
        <v>-0.2</v>
      </c>
      <c r="Z87" s="24">
        <v>0</v>
      </c>
      <c r="AA87" s="24">
        <v>0</v>
      </c>
      <c r="AB87" s="24">
        <v>0</v>
      </c>
      <c r="AC87" s="24">
        <v>-0.2</v>
      </c>
      <c r="AD87" s="24">
        <v>-0.2</v>
      </c>
      <c r="AE87" s="24">
        <v>0</v>
      </c>
      <c r="AF87" s="24">
        <v>0</v>
      </c>
      <c r="AG87" s="24">
        <v>0</v>
      </c>
      <c r="AH87" s="24">
        <v>-0.2</v>
      </c>
      <c r="AI87" s="48">
        <v>20001</v>
      </c>
      <c r="AJ87" s="48">
        <v>20002</v>
      </c>
      <c r="AK87" s="48">
        <v>20003</v>
      </c>
      <c r="AL87" s="48">
        <v>20004</v>
      </c>
      <c r="AM87" s="48">
        <v>20015</v>
      </c>
      <c r="AN87" s="25">
        <v>0</v>
      </c>
      <c r="AO87" s="49">
        <v>3</v>
      </c>
      <c r="AP87" s="50">
        <v>75</v>
      </c>
      <c r="AQ87" s="51" t="s">
        <v>1292</v>
      </c>
      <c r="AR87" s="51">
        <f>=F87*247.95</f>
        <v>1609443.45</v>
      </c>
      <c r="AS87" s="51">
        <f>=G87*32.6061</f>
        <v>3782.3076</v>
      </c>
      <c r="AT87" s="51">
        <f>=J87*2.35</f>
        <v>6222.8</v>
      </c>
      <c r="AU87" s="47">
        <f>=H87*15.88</f>
        <v>857.52</v>
      </c>
    </row>
    <row r="88" spans="1:47">
      <c r="A88" s="24" t="s">
        <v>1289</v>
      </c>
      <c r="B88" s="24">
        <v>11194</v>
      </c>
      <c r="C88" s="24" t="s">
        <v>1290</v>
      </c>
      <c r="D88" s="24" t="s">
        <v>1291</v>
      </c>
      <c r="E88" s="24">
        <v>900011194</v>
      </c>
      <c r="F88" s="24">
        <v>6491</v>
      </c>
      <c r="G88" s="24">
        <v>116</v>
      </c>
      <c r="H88" s="24">
        <v>54</v>
      </c>
      <c r="I88" s="25">
        <v>0.5</v>
      </c>
      <c r="J88" s="24">
        <v>2648</v>
      </c>
      <c r="K88" s="24" t="b">
        <v>1</v>
      </c>
      <c r="L88" s="25">
        <v>0</v>
      </c>
      <c r="M88" s="47">
        <v>0</v>
      </c>
      <c r="N88" s="25">
        <v>0.1</v>
      </c>
      <c r="O88" s="47">
        <v>10</v>
      </c>
      <c r="P88" s="25">
        <v>1</v>
      </c>
      <c r="Q88" s="24">
        <v>2</v>
      </c>
      <c r="R88" s="24">
        <v>5</v>
      </c>
      <c r="S88" s="25">
        <v>0.5</v>
      </c>
      <c r="T88" s="24">
        <v>-0.2</v>
      </c>
      <c r="U88" s="24">
        <v>0</v>
      </c>
      <c r="V88" s="24">
        <v>0</v>
      </c>
      <c r="W88" s="24">
        <v>0</v>
      </c>
      <c r="X88" s="24">
        <v>-0.2</v>
      </c>
      <c r="Y88" s="24">
        <v>-0.2</v>
      </c>
      <c r="Z88" s="24">
        <v>0</v>
      </c>
      <c r="AA88" s="24">
        <v>0</v>
      </c>
      <c r="AB88" s="24">
        <v>0</v>
      </c>
      <c r="AC88" s="24">
        <v>-0.2</v>
      </c>
      <c r="AD88" s="24">
        <v>-0.2</v>
      </c>
      <c r="AE88" s="24">
        <v>0</v>
      </c>
      <c r="AF88" s="24">
        <v>0</v>
      </c>
      <c r="AG88" s="24">
        <v>0</v>
      </c>
      <c r="AH88" s="24">
        <v>-0.2</v>
      </c>
      <c r="AI88" s="48">
        <v>20001</v>
      </c>
      <c r="AJ88" s="48">
        <v>20002</v>
      </c>
      <c r="AK88" s="48">
        <v>20003</v>
      </c>
      <c r="AL88" s="48">
        <v>20004</v>
      </c>
      <c r="AM88" s="48">
        <v>20015</v>
      </c>
      <c r="AN88" s="25">
        <v>0</v>
      </c>
      <c r="AO88" s="49">
        <v>3</v>
      </c>
      <c r="AP88" s="50">
        <v>75</v>
      </c>
      <c r="AQ88" s="51" t="s">
        <v>1293</v>
      </c>
      <c r="AR88" s="51">
        <f>=F88*247.95</f>
        <v>1609443.45</v>
      </c>
      <c r="AS88" s="51">
        <f>=G88*32.6061</f>
        <v>3782.3076</v>
      </c>
      <c r="AT88" s="51">
        <f>=J88*2.35</f>
        <v>6222.8</v>
      </c>
      <c r="AU88" s="47">
        <f>=H88*15.88</f>
        <v>857.52</v>
      </c>
    </row>
    <row r="89" spans="1:47">
      <c r="A89" s="24" t="s">
        <v>1294</v>
      </c>
      <c r="B89" s="24">
        <v>11195</v>
      </c>
      <c r="C89" s="24" t="s">
        <v>1295</v>
      </c>
      <c r="D89" s="24" t="s">
        <v>1296</v>
      </c>
      <c r="E89" s="24">
        <v>900011195</v>
      </c>
      <c r="F89" s="24">
        <v>15411</v>
      </c>
      <c r="G89" s="24">
        <v>120</v>
      </c>
      <c r="H89" s="24">
        <v>60</v>
      </c>
      <c r="I89" s="25">
        <v>0.5</v>
      </c>
      <c r="J89" s="24">
        <v>3880</v>
      </c>
      <c r="K89" s="24" t="b">
        <v>1</v>
      </c>
      <c r="L89" s="25">
        <v>0</v>
      </c>
      <c r="M89" s="47">
        <v>0</v>
      </c>
      <c r="N89" s="25">
        <v>0.0833</v>
      </c>
      <c r="O89" s="47">
        <v>12.0048</v>
      </c>
      <c r="P89" s="25">
        <v>0.5</v>
      </c>
      <c r="Q89" s="24">
        <v>3</v>
      </c>
      <c r="R89" s="24">
        <v>5</v>
      </c>
      <c r="S89" s="25">
        <v>0.75</v>
      </c>
      <c r="T89" s="24">
        <v>-0.2</v>
      </c>
      <c r="U89" s="24">
        <v>0</v>
      </c>
      <c r="V89" s="24">
        <v>0</v>
      </c>
      <c r="W89" s="24">
        <v>0</v>
      </c>
      <c r="X89" s="24">
        <v>-0.2</v>
      </c>
      <c r="Y89" s="24">
        <v>-0.2</v>
      </c>
      <c r="Z89" s="24">
        <v>0</v>
      </c>
      <c r="AA89" s="24">
        <v>0</v>
      </c>
      <c r="AB89" s="24">
        <v>0</v>
      </c>
      <c r="AC89" s="24">
        <v>-0.2</v>
      </c>
      <c r="AD89" s="24">
        <v>-0.2</v>
      </c>
      <c r="AE89" s="24">
        <v>0</v>
      </c>
      <c r="AF89" s="24">
        <v>0</v>
      </c>
      <c r="AG89" s="24">
        <v>0</v>
      </c>
      <c r="AH89" s="24">
        <v>-0.2</v>
      </c>
      <c r="AI89" s="48">
        <v>30001</v>
      </c>
      <c r="AJ89" s="48">
        <v>30002</v>
      </c>
      <c r="AK89" s="48">
        <v>30003</v>
      </c>
      <c r="AL89" s="48">
        <v>30004</v>
      </c>
      <c r="AM89" s="48">
        <v>30015</v>
      </c>
      <c r="AN89" s="25">
        <v>0</v>
      </c>
      <c r="AO89" s="49">
        <v>5</v>
      </c>
      <c r="AP89" s="50">
        <v>100</v>
      </c>
      <c r="AQ89" s="51" t="s">
        <v>1297</v>
      </c>
      <c r="AR89" s="51">
        <f>=F89*247.95</f>
        <v>3821157.45</v>
      </c>
      <c r="AS89" s="51">
        <f>=G89*32.6061</f>
        <v>3912.732</v>
      </c>
      <c r="AT89" s="51">
        <f>=J89*2.35</f>
        <v>9118</v>
      </c>
      <c r="AU89" s="47">
        <f>=H89*15.88</f>
        <v>952.8</v>
      </c>
    </row>
    <row r="90" spans="1:47">
      <c r="A90" s="24" t="s">
        <v>1298</v>
      </c>
      <c r="B90" s="24">
        <v>11196</v>
      </c>
      <c r="C90" s="24" t="s">
        <v>1299</v>
      </c>
      <c r="D90" s="24" t="s">
        <v>1300</v>
      </c>
      <c r="E90" s="24">
        <v>900011196</v>
      </c>
      <c r="F90" s="24">
        <v>6311</v>
      </c>
      <c r="G90" s="24">
        <v>102</v>
      </c>
      <c r="H90" s="24">
        <v>54</v>
      </c>
      <c r="I90" s="25">
        <v>0.5</v>
      </c>
      <c r="J90" s="24">
        <v>2335</v>
      </c>
      <c r="K90" s="24" t="b">
        <v>1</v>
      </c>
      <c r="L90" s="25">
        <v>0</v>
      </c>
      <c r="M90" s="47">
        <v>0</v>
      </c>
      <c r="N90" s="25">
        <v>0.1</v>
      </c>
      <c r="O90" s="47">
        <v>10</v>
      </c>
      <c r="P90" s="25">
        <v>1</v>
      </c>
      <c r="Q90" s="24">
        <v>2</v>
      </c>
      <c r="R90" s="24">
        <v>3</v>
      </c>
      <c r="S90" s="25">
        <v>0.5</v>
      </c>
      <c r="T90" s="24">
        <v>0</v>
      </c>
      <c r="U90" s="24">
        <v>-0.2</v>
      </c>
      <c r="V90" s="24">
        <v>0.2</v>
      </c>
      <c r="W90" s="24">
        <v>0</v>
      </c>
      <c r="X90" s="24">
        <v>0</v>
      </c>
      <c r="Y90" s="24">
        <v>0</v>
      </c>
      <c r="Z90" s="24">
        <v>-0.2</v>
      </c>
      <c r="AA90" s="24">
        <v>0.2</v>
      </c>
      <c r="AB90" s="24">
        <v>0</v>
      </c>
      <c r="AC90" s="24">
        <v>0</v>
      </c>
      <c r="AD90" s="24">
        <v>0</v>
      </c>
      <c r="AE90" s="24">
        <v>-0.2</v>
      </c>
      <c r="AF90" s="24">
        <v>0.2</v>
      </c>
      <c r="AG90" s="24">
        <v>0</v>
      </c>
      <c r="AH90" s="24">
        <v>0</v>
      </c>
      <c r="AI90" s="48">
        <v>20001</v>
      </c>
      <c r="AJ90" s="48">
        <v>20012</v>
      </c>
      <c r="AK90" s="48">
        <v>20003</v>
      </c>
      <c r="AL90" s="48">
        <v>20004</v>
      </c>
      <c r="AM90" s="48">
        <v>20005</v>
      </c>
      <c r="AN90" s="25">
        <v>0</v>
      </c>
      <c r="AO90" s="49">
        <v>3</v>
      </c>
      <c r="AP90" s="50">
        <v>75</v>
      </c>
      <c r="AQ90" s="51" t="s">
        <v>1301</v>
      </c>
      <c r="AR90" s="51">
        <f>=F90*247.95</f>
        <v>1564812.45</v>
      </c>
      <c r="AS90" s="51">
        <f>=G90*32.6061</f>
        <v>3325.8222</v>
      </c>
      <c r="AT90" s="51">
        <f>=J90*2.35</f>
        <v>5487.25</v>
      </c>
      <c r="AU90" s="47">
        <f>=H90*15.88</f>
        <v>857.52</v>
      </c>
    </row>
    <row r="91" spans="1:47">
      <c r="A91" s="24" t="s">
        <v>1298</v>
      </c>
      <c r="B91" s="24">
        <v>11197</v>
      </c>
      <c r="C91" s="24" t="s">
        <v>1299</v>
      </c>
      <c r="D91" s="24" t="s">
        <v>1300</v>
      </c>
      <c r="E91" s="24">
        <v>900011197</v>
      </c>
      <c r="F91" s="24">
        <v>6491</v>
      </c>
      <c r="G91" s="24">
        <v>116</v>
      </c>
      <c r="H91" s="24">
        <v>54</v>
      </c>
      <c r="I91" s="25">
        <v>0.5</v>
      </c>
      <c r="J91" s="24">
        <v>2648</v>
      </c>
      <c r="K91" s="24" t="b">
        <v>1</v>
      </c>
      <c r="L91" s="25">
        <v>0</v>
      </c>
      <c r="M91" s="47">
        <v>0</v>
      </c>
      <c r="N91" s="25">
        <v>0.1</v>
      </c>
      <c r="O91" s="47">
        <v>10</v>
      </c>
      <c r="P91" s="25">
        <v>1</v>
      </c>
      <c r="Q91" s="24">
        <v>2</v>
      </c>
      <c r="R91" s="24">
        <v>5</v>
      </c>
      <c r="S91" s="25">
        <v>0.5</v>
      </c>
      <c r="T91" s="24">
        <v>0</v>
      </c>
      <c r="U91" s="24">
        <v>-0.2</v>
      </c>
      <c r="V91" s="24">
        <v>0.2</v>
      </c>
      <c r="W91" s="24">
        <v>0</v>
      </c>
      <c r="X91" s="24">
        <v>0</v>
      </c>
      <c r="Y91" s="24">
        <v>0</v>
      </c>
      <c r="Z91" s="24">
        <v>-0.2</v>
      </c>
      <c r="AA91" s="24">
        <v>0.2</v>
      </c>
      <c r="AB91" s="24">
        <v>0</v>
      </c>
      <c r="AC91" s="24">
        <v>0</v>
      </c>
      <c r="AD91" s="24">
        <v>0</v>
      </c>
      <c r="AE91" s="24">
        <v>-0.2</v>
      </c>
      <c r="AF91" s="24">
        <v>0.2</v>
      </c>
      <c r="AG91" s="24">
        <v>0</v>
      </c>
      <c r="AH91" s="24">
        <v>0</v>
      </c>
      <c r="AI91" s="48">
        <v>20001</v>
      </c>
      <c r="AJ91" s="48">
        <v>20012</v>
      </c>
      <c r="AK91" s="48">
        <v>20003</v>
      </c>
      <c r="AL91" s="48">
        <v>20004</v>
      </c>
      <c r="AM91" s="48">
        <v>20005</v>
      </c>
      <c r="AN91" s="25">
        <v>0</v>
      </c>
      <c r="AO91" s="49">
        <v>3</v>
      </c>
      <c r="AP91" s="50">
        <v>75</v>
      </c>
      <c r="AQ91" s="51" t="s">
        <v>1302</v>
      </c>
      <c r="AR91" s="51">
        <f>=F91*247.95</f>
        <v>1609443.45</v>
      </c>
      <c r="AS91" s="51">
        <f>=G91*32.6061</f>
        <v>3782.3076</v>
      </c>
      <c r="AT91" s="51">
        <f>=J91*2.35</f>
        <v>6222.8</v>
      </c>
      <c r="AU91" s="47">
        <f>=H91*15.88</f>
        <v>857.52</v>
      </c>
    </row>
    <row r="92" spans="1:47">
      <c r="A92" s="24" t="s">
        <v>1303</v>
      </c>
      <c r="B92" s="24">
        <v>11203</v>
      </c>
      <c r="C92" s="24" t="s">
        <v>1304</v>
      </c>
      <c r="D92" s="24" t="s">
        <v>1305</v>
      </c>
      <c r="E92" s="24">
        <v>900011203</v>
      </c>
      <c r="F92" s="24">
        <v>1123</v>
      </c>
      <c r="G92" s="24">
        <v>60</v>
      </c>
      <c r="H92" s="24">
        <v>46</v>
      </c>
      <c r="I92" s="25">
        <v>0.5</v>
      </c>
      <c r="J92" s="24">
        <v>600</v>
      </c>
      <c r="K92" s="24" t="b">
        <v>1</v>
      </c>
      <c r="L92" s="25">
        <v>0</v>
      </c>
      <c r="M92" s="47">
        <v>0</v>
      </c>
      <c r="N92" s="25">
        <v>0.1538</v>
      </c>
      <c r="O92" s="47">
        <v>6.501951</v>
      </c>
      <c r="P92" s="25">
        <v>0.25</v>
      </c>
      <c r="Q92" s="24">
        <v>1</v>
      </c>
      <c r="R92" s="24">
        <v>1</v>
      </c>
      <c r="S92" s="25">
        <v>0</v>
      </c>
      <c r="T92" s="24">
        <v>-0.2</v>
      </c>
      <c r="U92" s="24">
        <v>0</v>
      </c>
      <c r="V92" s="24">
        <v>0</v>
      </c>
      <c r="W92" s="24">
        <v>0</v>
      </c>
      <c r="X92" s="24">
        <v>-0.2</v>
      </c>
      <c r="Y92" s="24">
        <v>-0.2</v>
      </c>
      <c r="Z92" s="24">
        <v>0</v>
      </c>
      <c r="AA92" s="24">
        <v>0</v>
      </c>
      <c r="AB92" s="24">
        <v>0</v>
      </c>
      <c r="AC92" s="24">
        <v>-0.2</v>
      </c>
      <c r="AD92" s="24">
        <v>-0.2</v>
      </c>
      <c r="AE92" s="24">
        <v>0</v>
      </c>
      <c r="AF92" s="24">
        <v>0</v>
      </c>
      <c r="AG92" s="24">
        <v>0</v>
      </c>
      <c r="AH92" s="24">
        <v>-0.2</v>
      </c>
      <c r="AI92" s="48">
        <v>10001</v>
      </c>
      <c r="AJ92" s="48">
        <v>10002</v>
      </c>
      <c r="AK92" s="48">
        <v>10003</v>
      </c>
      <c r="AL92" s="48">
        <v>10004</v>
      </c>
      <c r="AM92" s="48">
        <v>10015</v>
      </c>
      <c r="AN92" s="25">
        <v>0</v>
      </c>
      <c r="AO92" s="49" t="s"/>
      <c r="AP92" s="50">
        <v>50</v>
      </c>
      <c r="AQ92" s="51" t="s">
        <v>1147</v>
      </c>
      <c r="AR92" s="51">
        <f>=F92*247.95</f>
        <v>278447.85</v>
      </c>
      <c r="AS92" s="51">
        <f>=G92*32.6061</f>
        <v>1956.366</v>
      </c>
      <c r="AT92" s="51">
        <f>=J92*2.35</f>
        <v>1410</v>
      </c>
      <c r="AU92" s="47">
        <f>=H92*15.88</f>
        <v>730.48</v>
      </c>
    </row>
    <row r="93" spans="1:47">
      <c r="A93" s="24" t="s">
        <v>1303</v>
      </c>
      <c r="B93" s="24">
        <v>11204</v>
      </c>
      <c r="C93" s="24" t="s">
        <v>1304</v>
      </c>
      <c r="D93" s="24" t="s">
        <v>1305</v>
      </c>
      <c r="E93" s="24">
        <v>900011204</v>
      </c>
      <c r="F93" s="24">
        <v>1373</v>
      </c>
      <c r="G93" s="24">
        <v>60</v>
      </c>
      <c r="H93" s="24">
        <v>46</v>
      </c>
      <c r="I93" s="25">
        <v>0.5</v>
      </c>
      <c r="J93" s="24">
        <v>900</v>
      </c>
      <c r="K93" s="24" t="b">
        <v>1</v>
      </c>
      <c r="L93" s="25">
        <v>0</v>
      </c>
      <c r="M93" s="47">
        <v>0</v>
      </c>
      <c r="N93" s="25">
        <v>0.1538</v>
      </c>
      <c r="O93" s="47">
        <v>6.501951</v>
      </c>
      <c r="P93" s="25">
        <v>0.25</v>
      </c>
      <c r="Q93" s="24">
        <v>1</v>
      </c>
      <c r="R93" s="24">
        <v>1</v>
      </c>
      <c r="S93" s="25">
        <v>0</v>
      </c>
      <c r="T93" s="24">
        <v>-0.2</v>
      </c>
      <c r="U93" s="24">
        <v>0</v>
      </c>
      <c r="V93" s="24">
        <v>0</v>
      </c>
      <c r="W93" s="24">
        <v>0</v>
      </c>
      <c r="X93" s="24">
        <v>-0.2</v>
      </c>
      <c r="Y93" s="24">
        <v>-0.2</v>
      </c>
      <c r="Z93" s="24">
        <v>0</v>
      </c>
      <c r="AA93" s="24">
        <v>0</v>
      </c>
      <c r="AB93" s="24">
        <v>0</v>
      </c>
      <c r="AC93" s="24">
        <v>-0.2</v>
      </c>
      <c r="AD93" s="24">
        <v>-0.2</v>
      </c>
      <c r="AE93" s="24">
        <v>0</v>
      </c>
      <c r="AF93" s="24">
        <v>0</v>
      </c>
      <c r="AG93" s="24">
        <v>0</v>
      </c>
      <c r="AH93" s="24">
        <v>-0.2</v>
      </c>
      <c r="AI93" s="48">
        <v>10001</v>
      </c>
      <c r="AJ93" s="48">
        <v>10002</v>
      </c>
      <c r="AK93" s="48">
        <v>10003</v>
      </c>
      <c r="AL93" s="48">
        <v>10004</v>
      </c>
      <c r="AM93" s="48">
        <v>10015</v>
      </c>
      <c r="AN93" s="25">
        <v>0</v>
      </c>
      <c r="AO93" s="49" t="s"/>
      <c r="AP93" s="50">
        <v>50</v>
      </c>
      <c r="AQ93" s="51" t="s">
        <v>1215</v>
      </c>
      <c r="AR93" s="51">
        <f>=F93*247.95</f>
        <v>340435.35</v>
      </c>
      <c r="AS93" s="51">
        <f>=G93*32.6061</f>
        <v>1956.366</v>
      </c>
      <c r="AT93" s="51">
        <f>=J93*2.35</f>
        <v>2115</v>
      </c>
      <c r="AU93" s="47">
        <f>=H93*15.88</f>
        <v>730.48</v>
      </c>
    </row>
    <row r="94" spans="1:47">
      <c r="A94" s="24" t="s">
        <v>1306</v>
      </c>
      <c r="B94" s="24">
        <v>11205</v>
      </c>
      <c r="C94" s="24" t="s">
        <v>1307</v>
      </c>
      <c r="D94" s="24" t="s">
        <v>1308</v>
      </c>
      <c r="E94" s="24">
        <v>900011205</v>
      </c>
      <c r="F94" s="24">
        <v>1123</v>
      </c>
      <c r="G94" s="24">
        <v>60</v>
      </c>
      <c r="H94" s="24">
        <v>46</v>
      </c>
      <c r="I94" s="25">
        <v>0.5</v>
      </c>
      <c r="J94" s="24">
        <v>600</v>
      </c>
      <c r="K94" s="24" t="b">
        <v>1</v>
      </c>
      <c r="L94" s="25">
        <v>0</v>
      </c>
      <c r="M94" s="47">
        <v>0</v>
      </c>
      <c r="N94" s="25">
        <v>0.1538</v>
      </c>
      <c r="O94" s="47">
        <v>6.501951</v>
      </c>
      <c r="P94" s="25">
        <v>0.25</v>
      </c>
      <c r="Q94" s="24">
        <v>1</v>
      </c>
      <c r="R94" s="24">
        <v>1</v>
      </c>
      <c r="S94" s="25">
        <v>0</v>
      </c>
      <c r="T94" s="24">
        <v>0</v>
      </c>
      <c r="U94" s="24">
        <v>-0.2</v>
      </c>
      <c r="V94" s="24">
        <v>0</v>
      </c>
      <c r="W94" s="24">
        <v>0</v>
      </c>
      <c r="X94" s="24">
        <v>0</v>
      </c>
      <c r="Y94" s="24">
        <v>0</v>
      </c>
      <c r="Z94" s="24">
        <v>-0.2</v>
      </c>
      <c r="AA94" s="24">
        <v>0</v>
      </c>
      <c r="AB94" s="24">
        <v>0</v>
      </c>
      <c r="AC94" s="24">
        <v>0</v>
      </c>
      <c r="AD94" s="24">
        <v>0</v>
      </c>
      <c r="AE94" s="24">
        <v>-0.2</v>
      </c>
      <c r="AF94" s="24">
        <v>0</v>
      </c>
      <c r="AG94" s="24">
        <v>0</v>
      </c>
      <c r="AH94" s="24">
        <v>0</v>
      </c>
      <c r="AI94" s="48">
        <v>10001</v>
      </c>
      <c r="AJ94" s="48">
        <v>10012</v>
      </c>
      <c r="AK94" s="48">
        <v>10003</v>
      </c>
      <c r="AL94" s="48">
        <v>10004</v>
      </c>
      <c r="AM94" s="48">
        <v>10005</v>
      </c>
      <c r="AN94" s="25">
        <v>0</v>
      </c>
      <c r="AO94" s="49" t="s"/>
      <c r="AP94" s="50">
        <v>50</v>
      </c>
      <c r="AQ94" s="51" t="s">
        <v>1219</v>
      </c>
      <c r="AR94" s="51">
        <f>=F94*247.95</f>
        <v>278447.85</v>
      </c>
      <c r="AS94" s="51">
        <f>=G94*32.6061</f>
        <v>1956.366</v>
      </c>
      <c r="AT94" s="51">
        <f>=J94*2.35</f>
        <v>1410</v>
      </c>
      <c r="AU94" s="47">
        <f>=H94*15.88</f>
        <v>730.48</v>
      </c>
    </row>
    <row r="95" spans="1:47">
      <c r="A95" s="24" t="s">
        <v>1306</v>
      </c>
      <c r="B95" s="24">
        <v>11206</v>
      </c>
      <c r="C95" s="24" t="s">
        <v>1307</v>
      </c>
      <c r="D95" s="24" t="s">
        <v>1308</v>
      </c>
      <c r="E95" s="24">
        <v>900011206</v>
      </c>
      <c r="F95" s="24">
        <v>1373</v>
      </c>
      <c r="G95" s="24">
        <v>60</v>
      </c>
      <c r="H95" s="24">
        <v>46</v>
      </c>
      <c r="I95" s="25">
        <v>0.5</v>
      </c>
      <c r="J95" s="24">
        <v>900</v>
      </c>
      <c r="K95" s="24" t="b">
        <v>1</v>
      </c>
      <c r="L95" s="25">
        <v>0</v>
      </c>
      <c r="M95" s="47">
        <v>0</v>
      </c>
      <c r="N95" s="25">
        <v>0.1538</v>
      </c>
      <c r="O95" s="47">
        <v>6.501951</v>
      </c>
      <c r="P95" s="25">
        <v>0.25</v>
      </c>
      <c r="Q95" s="24">
        <v>1</v>
      </c>
      <c r="R95" s="24">
        <v>1</v>
      </c>
      <c r="S95" s="25">
        <v>0</v>
      </c>
      <c r="T95" s="24">
        <v>0</v>
      </c>
      <c r="U95" s="24">
        <v>-0.2</v>
      </c>
      <c r="V95" s="24">
        <v>0</v>
      </c>
      <c r="W95" s="24">
        <v>0</v>
      </c>
      <c r="X95" s="24">
        <v>0</v>
      </c>
      <c r="Y95" s="24">
        <v>0</v>
      </c>
      <c r="Z95" s="24">
        <v>-0.2</v>
      </c>
      <c r="AA95" s="24">
        <v>0</v>
      </c>
      <c r="AB95" s="24">
        <v>0</v>
      </c>
      <c r="AC95" s="24">
        <v>0</v>
      </c>
      <c r="AD95" s="24">
        <v>0</v>
      </c>
      <c r="AE95" s="24">
        <v>-0.2</v>
      </c>
      <c r="AF95" s="24">
        <v>0</v>
      </c>
      <c r="AG95" s="24">
        <v>0</v>
      </c>
      <c r="AH95" s="24">
        <v>0</v>
      </c>
      <c r="AI95" s="48">
        <v>10001</v>
      </c>
      <c r="AJ95" s="48">
        <v>10012</v>
      </c>
      <c r="AK95" s="48">
        <v>10003</v>
      </c>
      <c r="AL95" s="48">
        <v>10004</v>
      </c>
      <c r="AM95" s="48">
        <v>10005</v>
      </c>
      <c r="AN95" s="25">
        <v>0</v>
      </c>
      <c r="AO95" s="49" t="s"/>
      <c r="AP95" s="50">
        <v>50</v>
      </c>
      <c r="AQ95" s="51" t="s">
        <v>1220</v>
      </c>
      <c r="AR95" s="51">
        <f>=F95*247.95</f>
        <v>340435.35</v>
      </c>
      <c r="AS95" s="51">
        <f>=G95*32.6061</f>
        <v>1956.366</v>
      </c>
      <c r="AT95" s="51">
        <f>=J95*2.35</f>
        <v>2115</v>
      </c>
      <c r="AU95" s="47">
        <f>=H95*15.88</f>
        <v>730.48</v>
      </c>
    </row>
    <row r="96" spans="1:47">
      <c r="A96" s="24" t="s">
        <v>1309</v>
      </c>
      <c r="B96" s="24">
        <v>11213</v>
      </c>
      <c r="C96" s="24" t="s">
        <v>1310</v>
      </c>
      <c r="D96" s="24" t="s">
        <v>1311</v>
      </c>
      <c r="E96" s="24">
        <v>900011213</v>
      </c>
      <c r="F96" s="24">
        <v>4905</v>
      </c>
      <c r="G96" s="24">
        <v>53</v>
      </c>
      <c r="H96" s="24">
        <v>45</v>
      </c>
      <c r="I96" s="25">
        <v>0.5</v>
      </c>
      <c r="J96" s="24">
        <v>2335</v>
      </c>
      <c r="K96" s="24" t="b">
        <v>1</v>
      </c>
      <c r="L96" s="25">
        <v>0</v>
      </c>
      <c r="M96" s="47">
        <v>0</v>
      </c>
      <c r="N96" s="25">
        <v>0.1428</v>
      </c>
      <c r="O96" s="47">
        <v>7.002801</v>
      </c>
      <c r="P96" s="25">
        <v>1</v>
      </c>
      <c r="Q96" s="24">
        <v>2</v>
      </c>
      <c r="R96" s="24">
        <v>3</v>
      </c>
      <c r="S96" s="25">
        <v>0.5</v>
      </c>
      <c r="T96" s="24">
        <v>-0.2</v>
      </c>
      <c r="U96" s="24">
        <v>0</v>
      </c>
      <c r="V96" s="24">
        <v>0</v>
      </c>
      <c r="W96" s="24">
        <v>0</v>
      </c>
      <c r="X96" s="24">
        <v>-0.2</v>
      </c>
      <c r="Y96" s="24">
        <v>-0.2</v>
      </c>
      <c r="Z96" s="24">
        <v>0</v>
      </c>
      <c r="AA96" s="24">
        <v>0</v>
      </c>
      <c r="AB96" s="24">
        <v>0</v>
      </c>
      <c r="AC96" s="24">
        <v>-0.2</v>
      </c>
      <c r="AD96" s="24">
        <v>-0.2</v>
      </c>
      <c r="AE96" s="24">
        <v>0</v>
      </c>
      <c r="AF96" s="24">
        <v>0</v>
      </c>
      <c r="AG96" s="24">
        <v>0</v>
      </c>
      <c r="AH96" s="24">
        <v>-0.2</v>
      </c>
      <c r="AI96" s="48">
        <v>20001</v>
      </c>
      <c r="AJ96" s="48">
        <v>20002</v>
      </c>
      <c r="AK96" s="48">
        <v>20003</v>
      </c>
      <c r="AL96" s="48">
        <v>20004</v>
      </c>
      <c r="AM96" s="48">
        <v>20015</v>
      </c>
      <c r="AN96" s="25">
        <v>0</v>
      </c>
      <c r="AO96" s="49">
        <v>3</v>
      </c>
      <c r="AP96" s="50">
        <v>75</v>
      </c>
      <c r="AQ96" s="51" t="s">
        <v>1267</v>
      </c>
      <c r="AR96" s="51">
        <f>=F96*247.95</f>
        <v>1216194.75</v>
      </c>
      <c r="AS96" s="51">
        <f>=G96*32.6061</f>
        <v>1728.1233</v>
      </c>
      <c r="AT96" s="51">
        <f>=J96*2.35</f>
        <v>5487.25</v>
      </c>
      <c r="AU96" s="47">
        <f>=H96*15.88</f>
        <v>714.6</v>
      </c>
    </row>
    <row r="97" spans="1:47">
      <c r="A97" s="24" t="s">
        <v>1309</v>
      </c>
      <c r="B97" s="24">
        <v>11214</v>
      </c>
      <c r="C97" s="24" t="s">
        <v>1310</v>
      </c>
      <c r="D97" s="24" t="s">
        <v>1311</v>
      </c>
      <c r="E97" s="24">
        <v>900011214</v>
      </c>
      <c r="F97" s="24">
        <v>5062</v>
      </c>
      <c r="G97" s="24">
        <v>60</v>
      </c>
      <c r="H97" s="24">
        <v>45</v>
      </c>
      <c r="I97" s="25">
        <v>0.5</v>
      </c>
      <c r="J97" s="24">
        <v>2648</v>
      </c>
      <c r="K97" s="24" t="b">
        <v>1</v>
      </c>
      <c r="L97" s="25">
        <v>0</v>
      </c>
      <c r="M97" s="47">
        <v>0</v>
      </c>
      <c r="N97" s="25">
        <v>0.1428</v>
      </c>
      <c r="O97" s="47">
        <v>7.002801</v>
      </c>
      <c r="P97" s="25">
        <v>1</v>
      </c>
      <c r="Q97" s="24">
        <v>2</v>
      </c>
      <c r="R97" s="24">
        <v>5</v>
      </c>
      <c r="S97" s="25">
        <v>0.5</v>
      </c>
      <c r="T97" s="24">
        <v>-0.2</v>
      </c>
      <c r="U97" s="24">
        <v>0</v>
      </c>
      <c r="V97" s="24">
        <v>0</v>
      </c>
      <c r="W97" s="24">
        <v>0</v>
      </c>
      <c r="X97" s="24">
        <v>-0.2</v>
      </c>
      <c r="Y97" s="24">
        <v>-0.2</v>
      </c>
      <c r="Z97" s="24">
        <v>0</v>
      </c>
      <c r="AA97" s="24">
        <v>0</v>
      </c>
      <c r="AB97" s="24">
        <v>0</v>
      </c>
      <c r="AC97" s="24">
        <v>-0.2</v>
      </c>
      <c r="AD97" s="24">
        <v>-0.2</v>
      </c>
      <c r="AE97" s="24">
        <v>0</v>
      </c>
      <c r="AF97" s="24">
        <v>0</v>
      </c>
      <c r="AG97" s="24">
        <v>0</v>
      </c>
      <c r="AH97" s="24">
        <v>-0.2</v>
      </c>
      <c r="AI97" s="48">
        <v>20001</v>
      </c>
      <c r="AJ97" s="48">
        <v>20002</v>
      </c>
      <c r="AK97" s="48">
        <v>20003</v>
      </c>
      <c r="AL97" s="48">
        <v>20004</v>
      </c>
      <c r="AM97" s="48">
        <v>20015</v>
      </c>
      <c r="AN97" s="25">
        <v>0</v>
      </c>
      <c r="AO97" s="49">
        <v>3</v>
      </c>
      <c r="AP97" s="50">
        <v>75</v>
      </c>
      <c r="AQ97" s="51" t="s">
        <v>1268</v>
      </c>
      <c r="AR97" s="51">
        <f>=F97*247.95</f>
        <v>1255122.9</v>
      </c>
      <c r="AS97" s="51">
        <f>=G97*32.6061</f>
        <v>1956.366</v>
      </c>
      <c r="AT97" s="51">
        <f>=J97*2.35</f>
        <v>6222.8</v>
      </c>
      <c r="AU97" s="47">
        <f>=H97*15.88</f>
        <v>714.6</v>
      </c>
    </row>
    <row r="98" spans="1:47">
      <c r="A98" s="24" t="s">
        <v>1312</v>
      </c>
      <c r="B98" s="24">
        <v>11215</v>
      </c>
      <c r="C98" s="24" t="s">
        <v>1313</v>
      </c>
      <c r="D98" s="24" t="s">
        <v>1314</v>
      </c>
      <c r="E98" s="24">
        <v>900011215</v>
      </c>
      <c r="F98" s="24">
        <v>4905</v>
      </c>
      <c r="G98" s="24">
        <v>53</v>
      </c>
      <c r="H98" s="24">
        <v>45</v>
      </c>
      <c r="I98" s="25">
        <v>0.5</v>
      </c>
      <c r="J98" s="24">
        <v>2335</v>
      </c>
      <c r="K98" s="24" t="b">
        <v>1</v>
      </c>
      <c r="L98" s="25">
        <v>0</v>
      </c>
      <c r="M98" s="47">
        <v>0</v>
      </c>
      <c r="N98" s="25">
        <v>0.1428</v>
      </c>
      <c r="O98" s="47">
        <v>7.002801</v>
      </c>
      <c r="P98" s="25">
        <v>1</v>
      </c>
      <c r="Q98" s="24">
        <v>2</v>
      </c>
      <c r="R98" s="24">
        <v>3</v>
      </c>
      <c r="S98" s="25">
        <v>0.5</v>
      </c>
      <c r="T98" s="24">
        <v>0</v>
      </c>
      <c r="U98" s="24">
        <v>-0.2</v>
      </c>
      <c r="V98" s="24">
        <v>0.2</v>
      </c>
      <c r="W98" s="24">
        <v>0</v>
      </c>
      <c r="X98" s="24">
        <v>0</v>
      </c>
      <c r="Y98" s="24">
        <v>0</v>
      </c>
      <c r="Z98" s="24">
        <v>-0.2</v>
      </c>
      <c r="AA98" s="24">
        <v>0.2</v>
      </c>
      <c r="AB98" s="24">
        <v>0</v>
      </c>
      <c r="AC98" s="24">
        <v>0</v>
      </c>
      <c r="AD98" s="24">
        <v>0</v>
      </c>
      <c r="AE98" s="24">
        <v>-0.2</v>
      </c>
      <c r="AF98" s="24">
        <v>0.2</v>
      </c>
      <c r="AG98" s="24">
        <v>0</v>
      </c>
      <c r="AH98" s="24">
        <v>0</v>
      </c>
      <c r="AI98" s="48">
        <v>20001</v>
      </c>
      <c r="AJ98" s="48">
        <v>20012</v>
      </c>
      <c r="AK98" s="48">
        <v>20003</v>
      </c>
      <c r="AL98" s="48">
        <v>20004</v>
      </c>
      <c r="AM98" s="48">
        <v>20005</v>
      </c>
      <c r="AN98" s="25">
        <v>0</v>
      </c>
      <c r="AO98" s="49">
        <v>3</v>
      </c>
      <c r="AP98" s="50">
        <v>75</v>
      </c>
      <c r="AQ98" s="51" t="s">
        <v>1272</v>
      </c>
      <c r="AR98" s="51">
        <f>=F98*247.95</f>
        <v>1216194.75</v>
      </c>
      <c r="AS98" s="51">
        <f>=G98*32.6061</f>
        <v>1728.1233</v>
      </c>
      <c r="AT98" s="51">
        <f>=J98*2.35</f>
        <v>5487.25</v>
      </c>
      <c r="AU98" s="47">
        <f>=H98*15.88</f>
        <v>714.6</v>
      </c>
    </row>
    <row r="99" spans="1:47">
      <c r="A99" s="24" t="s">
        <v>1312</v>
      </c>
      <c r="B99" s="24">
        <v>11216</v>
      </c>
      <c r="C99" s="24" t="s">
        <v>1313</v>
      </c>
      <c r="D99" s="24" t="s">
        <v>1314</v>
      </c>
      <c r="E99" s="24">
        <v>900011216</v>
      </c>
      <c r="F99" s="24">
        <v>5062</v>
      </c>
      <c r="G99" s="24">
        <v>60</v>
      </c>
      <c r="H99" s="24">
        <v>45</v>
      </c>
      <c r="I99" s="25">
        <v>0.5</v>
      </c>
      <c r="J99" s="24">
        <v>2648</v>
      </c>
      <c r="K99" s="24" t="b">
        <v>1</v>
      </c>
      <c r="L99" s="25">
        <v>0</v>
      </c>
      <c r="M99" s="47">
        <v>0</v>
      </c>
      <c r="N99" s="25">
        <v>0.1428</v>
      </c>
      <c r="O99" s="47">
        <v>7.002801</v>
      </c>
      <c r="P99" s="25">
        <v>1</v>
      </c>
      <c r="Q99" s="24">
        <v>2</v>
      </c>
      <c r="R99" s="24">
        <v>5</v>
      </c>
      <c r="S99" s="25">
        <v>0.5</v>
      </c>
      <c r="T99" s="24">
        <v>0</v>
      </c>
      <c r="U99" s="24">
        <v>-0.2</v>
      </c>
      <c r="V99" s="24">
        <v>0.2</v>
      </c>
      <c r="W99" s="24">
        <v>0</v>
      </c>
      <c r="X99" s="24">
        <v>0</v>
      </c>
      <c r="Y99" s="24">
        <v>0</v>
      </c>
      <c r="Z99" s="24">
        <v>-0.2</v>
      </c>
      <c r="AA99" s="24">
        <v>0.2</v>
      </c>
      <c r="AB99" s="24">
        <v>0</v>
      </c>
      <c r="AC99" s="24">
        <v>0</v>
      </c>
      <c r="AD99" s="24">
        <v>0</v>
      </c>
      <c r="AE99" s="24">
        <v>-0.2</v>
      </c>
      <c r="AF99" s="24">
        <v>0.2</v>
      </c>
      <c r="AG99" s="24">
        <v>0</v>
      </c>
      <c r="AH99" s="24">
        <v>0</v>
      </c>
      <c r="AI99" s="48">
        <v>20001</v>
      </c>
      <c r="AJ99" s="48">
        <v>20012</v>
      </c>
      <c r="AK99" s="48">
        <v>20003</v>
      </c>
      <c r="AL99" s="48">
        <v>20004</v>
      </c>
      <c r="AM99" s="48">
        <v>20005</v>
      </c>
      <c r="AN99" s="25">
        <v>0</v>
      </c>
      <c r="AO99" s="49">
        <v>3</v>
      </c>
      <c r="AP99" s="50">
        <v>75</v>
      </c>
      <c r="AQ99" s="51" t="s">
        <v>1273</v>
      </c>
      <c r="AR99" s="51">
        <f>=F99*247.95</f>
        <v>1255122.9</v>
      </c>
      <c r="AS99" s="51">
        <f>=G99*32.6061</f>
        <v>1956.366</v>
      </c>
      <c r="AT99" s="51">
        <f>=J99*2.35</f>
        <v>6222.8</v>
      </c>
      <c r="AU99" s="47">
        <f>=H99*15.88</f>
        <v>714.6</v>
      </c>
    </row>
    <row r="100" spans="1:47">
      <c r="A100" s="24" t="s">
        <v>1315</v>
      </c>
      <c r="B100" s="24">
        <v>11222</v>
      </c>
      <c r="C100" s="24" t="s">
        <v>1316</v>
      </c>
      <c r="D100" s="24" t="s">
        <v>1317</v>
      </c>
      <c r="E100" s="24">
        <v>900011222</v>
      </c>
      <c r="F100" s="24">
        <v>7097</v>
      </c>
      <c r="G100" s="24">
        <v>97</v>
      </c>
      <c r="H100" s="24">
        <v>45</v>
      </c>
      <c r="I100" s="25">
        <v>0.5</v>
      </c>
      <c r="J100" s="24">
        <v>3502</v>
      </c>
      <c r="K100" s="24" t="b">
        <v>1</v>
      </c>
      <c r="L100" s="25">
        <v>0</v>
      </c>
      <c r="M100" s="47">
        <v>0</v>
      </c>
      <c r="N100" s="25">
        <v>0.1</v>
      </c>
      <c r="O100" s="47">
        <v>10</v>
      </c>
      <c r="P100" s="25">
        <v>0.5</v>
      </c>
      <c r="Q100" s="24">
        <v>2</v>
      </c>
      <c r="R100" s="24">
        <v>3</v>
      </c>
      <c r="S100" s="25">
        <v>0.5</v>
      </c>
      <c r="T100" s="24">
        <v>-0.2</v>
      </c>
      <c r="U100" s="24">
        <v>0</v>
      </c>
      <c r="V100" s="24">
        <v>0</v>
      </c>
      <c r="W100" s="24">
        <v>0</v>
      </c>
      <c r="X100" s="24">
        <v>-0.2</v>
      </c>
      <c r="Y100" s="24">
        <v>-0.2</v>
      </c>
      <c r="Z100" s="24">
        <v>0</v>
      </c>
      <c r="AA100" s="24">
        <v>0</v>
      </c>
      <c r="AB100" s="24">
        <v>0</v>
      </c>
      <c r="AC100" s="24">
        <v>-0.2</v>
      </c>
      <c r="AD100" s="24">
        <v>-0.2</v>
      </c>
      <c r="AE100" s="24">
        <v>0</v>
      </c>
      <c r="AF100" s="24">
        <v>0</v>
      </c>
      <c r="AG100" s="24">
        <v>0</v>
      </c>
      <c r="AH100" s="24">
        <v>-0.2</v>
      </c>
      <c r="AI100" s="48">
        <v>20001</v>
      </c>
      <c r="AJ100" s="48">
        <v>20002</v>
      </c>
      <c r="AK100" s="48">
        <v>20003</v>
      </c>
      <c r="AL100" s="48">
        <v>20004</v>
      </c>
      <c r="AM100" s="48">
        <v>20015</v>
      </c>
      <c r="AN100" s="25">
        <v>0</v>
      </c>
      <c r="AO100" s="49">
        <v>3</v>
      </c>
      <c r="AP100" s="50">
        <v>75</v>
      </c>
      <c r="AQ100" s="51" t="s">
        <v>1318</v>
      </c>
      <c r="AR100" s="51">
        <f>=F100*247.95</f>
        <v>1759701.15</v>
      </c>
      <c r="AS100" s="51">
        <f>=G100*32.6061</f>
        <v>3162.7917</v>
      </c>
      <c r="AT100" s="51">
        <f>=J100*2.35</f>
        <v>8229.7</v>
      </c>
      <c r="AU100" s="47">
        <f>=H100*15.88</f>
        <v>714.6</v>
      </c>
    </row>
    <row r="101" spans="1:47">
      <c r="A101" s="24" t="s">
        <v>1315</v>
      </c>
      <c r="B101" s="24">
        <v>11224</v>
      </c>
      <c r="C101" s="24" t="s">
        <v>1316</v>
      </c>
      <c r="D101" s="24" t="s">
        <v>1317</v>
      </c>
      <c r="E101" s="24">
        <v>900011224</v>
      </c>
      <c r="F101" s="24">
        <v>7351</v>
      </c>
      <c r="G101" s="24">
        <v>111</v>
      </c>
      <c r="H101" s="24">
        <v>45</v>
      </c>
      <c r="I101" s="25">
        <v>0.5</v>
      </c>
      <c r="J101" s="24">
        <v>3972</v>
      </c>
      <c r="K101" s="24" t="b">
        <v>1</v>
      </c>
      <c r="L101" s="25">
        <v>0</v>
      </c>
      <c r="M101" s="47">
        <v>0</v>
      </c>
      <c r="N101" s="25">
        <v>0.1</v>
      </c>
      <c r="O101" s="47">
        <v>10</v>
      </c>
      <c r="P101" s="25">
        <v>0.5</v>
      </c>
      <c r="Q101" s="24">
        <v>2</v>
      </c>
      <c r="R101" s="24">
        <v>5</v>
      </c>
      <c r="S101" s="25">
        <v>0.5</v>
      </c>
      <c r="T101" s="24">
        <v>-0.2</v>
      </c>
      <c r="U101" s="24">
        <v>0</v>
      </c>
      <c r="V101" s="24">
        <v>0</v>
      </c>
      <c r="W101" s="24">
        <v>0</v>
      </c>
      <c r="X101" s="24">
        <v>-0.2</v>
      </c>
      <c r="Y101" s="24">
        <v>-0.2</v>
      </c>
      <c r="Z101" s="24">
        <v>0</v>
      </c>
      <c r="AA101" s="24">
        <v>0</v>
      </c>
      <c r="AB101" s="24">
        <v>0</v>
      </c>
      <c r="AC101" s="24">
        <v>-0.2</v>
      </c>
      <c r="AD101" s="24">
        <v>-0.2</v>
      </c>
      <c r="AE101" s="24">
        <v>0</v>
      </c>
      <c r="AF101" s="24">
        <v>0</v>
      </c>
      <c r="AG101" s="24">
        <v>0</v>
      </c>
      <c r="AH101" s="24">
        <v>-0.2</v>
      </c>
      <c r="AI101" s="48">
        <v>20001</v>
      </c>
      <c r="AJ101" s="48">
        <v>20002</v>
      </c>
      <c r="AK101" s="48">
        <v>20003</v>
      </c>
      <c r="AL101" s="48">
        <v>20004</v>
      </c>
      <c r="AM101" s="48">
        <v>20015</v>
      </c>
      <c r="AN101" s="25">
        <v>0</v>
      </c>
      <c r="AO101" s="49">
        <v>3</v>
      </c>
      <c r="AP101" s="50">
        <v>75</v>
      </c>
      <c r="AQ101" s="51" t="s">
        <v>1319</v>
      </c>
      <c r="AR101" s="51">
        <f>=F101*247.95</f>
        <v>1822680.45</v>
      </c>
      <c r="AS101" s="51">
        <f>=G101*32.6061</f>
        <v>3619.2771</v>
      </c>
      <c r="AT101" s="51">
        <f>=J101*2.35</f>
        <v>9334.2</v>
      </c>
      <c r="AU101" s="47">
        <f>=H101*15.88</f>
        <v>714.6</v>
      </c>
    </row>
    <row r="102" spans="1:47">
      <c r="A102" s="24" t="s">
        <v>1320</v>
      </c>
      <c r="B102" s="24">
        <v>11225</v>
      </c>
      <c r="C102" s="24" t="s">
        <v>1321</v>
      </c>
      <c r="D102" s="24" t="s">
        <v>1322</v>
      </c>
      <c r="E102" s="24">
        <v>900011225</v>
      </c>
      <c r="F102" s="24">
        <v>7097</v>
      </c>
      <c r="G102" s="24">
        <v>97</v>
      </c>
      <c r="H102" s="24">
        <v>45</v>
      </c>
      <c r="I102" s="25">
        <v>0.5</v>
      </c>
      <c r="J102" s="24">
        <v>3502</v>
      </c>
      <c r="K102" s="24" t="b">
        <v>1</v>
      </c>
      <c r="L102" s="25">
        <v>0</v>
      </c>
      <c r="M102" s="47">
        <v>0</v>
      </c>
      <c r="N102" s="25">
        <v>0.1</v>
      </c>
      <c r="O102" s="47">
        <v>10</v>
      </c>
      <c r="P102" s="25">
        <v>0.5</v>
      </c>
      <c r="Q102" s="24">
        <v>2</v>
      </c>
      <c r="R102" s="24">
        <v>3</v>
      </c>
      <c r="S102" s="25">
        <v>0.5</v>
      </c>
      <c r="T102" s="24">
        <v>-0.2</v>
      </c>
      <c r="U102" s="24">
        <v>0</v>
      </c>
      <c r="V102" s="24">
        <v>0</v>
      </c>
      <c r="W102" s="24">
        <v>0</v>
      </c>
      <c r="X102" s="24">
        <v>-0.2</v>
      </c>
      <c r="Y102" s="24">
        <v>-0.2</v>
      </c>
      <c r="Z102" s="24">
        <v>0</v>
      </c>
      <c r="AA102" s="24">
        <v>0</v>
      </c>
      <c r="AB102" s="24">
        <v>0</v>
      </c>
      <c r="AC102" s="24">
        <v>-0.2</v>
      </c>
      <c r="AD102" s="24">
        <v>-0.2</v>
      </c>
      <c r="AE102" s="24">
        <v>0</v>
      </c>
      <c r="AF102" s="24">
        <v>0</v>
      </c>
      <c r="AG102" s="24">
        <v>0</v>
      </c>
      <c r="AH102" s="24">
        <v>-0.2</v>
      </c>
      <c r="AI102" s="48">
        <v>20001</v>
      </c>
      <c r="AJ102" s="48">
        <v>20002</v>
      </c>
      <c r="AK102" s="48">
        <v>20003</v>
      </c>
      <c r="AL102" s="48">
        <v>20004</v>
      </c>
      <c r="AM102" s="48">
        <v>20015</v>
      </c>
      <c r="AN102" s="25">
        <v>0</v>
      </c>
      <c r="AO102" s="49">
        <v>3</v>
      </c>
      <c r="AP102" s="50">
        <v>75</v>
      </c>
      <c r="AQ102" s="51" t="s">
        <v>1323</v>
      </c>
      <c r="AR102" s="51">
        <f>=F102*247.95</f>
        <v>1759701.15</v>
      </c>
      <c r="AS102" s="51">
        <f>=G102*32.6061</f>
        <v>3162.7917</v>
      </c>
      <c r="AT102" s="51">
        <f>=J102*2.35</f>
        <v>8229.7</v>
      </c>
      <c r="AU102" s="47">
        <f>=H102*15.88</f>
        <v>714.6</v>
      </c>
    </row>
    <row r="103" spans="1:47">
      <c r="A103" s="24" t="s">
        <v>1320</v>
      </c>
      <c r="B103" s="24">
        <v>11226</v>
      </c>
      <c r="C103" s="24" t="s">
        <v>1321</v>
      </c>
      <c r="D103" s="24" t="s">
        <v>1322</v>
      </c>
      <c r="E103" s="24">
        <v>900011226</v>
      </c>
      <c r="F103" s="24">
        <v>7351</v>
      </c>
      <c r="G103" s="24">
        <v>111</v>
      </c>
      <c r="H103" s="24">
        <v>45</v>
      </c>
      <c r="I103" s="25">
        <v>0.5</v>
      </c>
      <c r="J103" s="24">
        <v>3972</v>
      </c>
      <c r="K103" s="24" t="b">
        <v>1</v>
      </c>
      <c r="L103" s="25">
        <v>0</v>
      </c>
      <c r="M103" s="47">
        <v>0</v>
      </c>
      <c r="N103" s="25">
        <v>0.1</v>
      </c>
      <c r="O103" s="47">
        <v>10</v>
      </c>
      <c r="P103" s="25">
        <v>0.5</v>
      </c>
      <c r="Q103" s="24">
        <v>2</v>
      </c>
      <c r="R103" s="24">
        <v>5</v>
      </c>
      <c r="S103" s="25">
        <v>0.5</v>
      </c>
      <c r="T103" s="24">
        <v>-0.2</v>
      </c>
      <c r="U103" s="24">
        <v>0</v>
      </c>
      <c r="V103" s="24">
        <v>0</v>
      </c>
      <c r="W103" s="24">
        <v>0</v>
      </c>
      <c r="X103" s="24">
        <v>-0.2</v>
      </c>
      <c r="Y103" s="24">
        <v>-0.2</v>
      </c>
      <c r="Z103" s="24">
        <v>0</v>
      </c>
      <c r="AA103" s="24">
        <v>0</v>
      </c>
      <c r="AB103" s="24">
        <v>0</v>
      </c>
      <c r="AC103" s="24">
        <v>-0.2</v>
      </c>
      <c r="AD103" s="24">
        <v>-0.2</v>
      </c>
      <c r="AE103" s="24">
        <v>0</v>
      </c>
      <c r="AF103" s="24">
        <v>0</v>
      </c>
      <c r="AG103" s="24">
        <v>0</v>
      </c>
      <c r="AH103" s="24">
        <v>-0.2</v>
      </c>
      <c r="AI103" s="48">
        <v>20001</v>
      </c>
      <c r="AJ103" s="48">
        <v>20002</v>
      </c>
      <c r="AK103" s="48">
        <v>20003</v>
      </c>
      <c r="AL103" s="48">
        <v>20004</v>
      </c>
      <c r="AM103" s="48">
        <v>20015</v>
      </c>
      <c r="AN103" s="25">
        <v>0</v>
      </c>
      <c r="AO103" s="49">
        <v>3</v>
      </c>
      <c r="AP103" s="50">
        <v>75</v>
      </c>
      <c r="AQ103" s="51" t="s">
        <v>1324</v>
      </c>
      <c r="AR103" s="51">
        <f>=F103*247.95</f>
        <v>1822680.45</v>
      </c>
      <c r="AS103" s="51">
        <f>=G103*32.6061</f>
        <v>3619.2771</v>
      </c>
      <c r="AT103" s="51">
        <f>=J103*2.35</f>
        <v>9334.2</v>
      </c>
      <c r="AU103" s="47">
        <f>=H103*15.88</f>
        <v>714.6</v>
      </c>
    </row>
    <row r="104" spans="1:47">
      <c r="A104" s="24" t="s">
        <v>1128</v>
      </c>
      <c r="B104" s="24">
        <v>11233</v>
      </c>
      <c r="C104" s="24" t="s">
        <v>1129</v>
      </c>
      <c r="D104" s="24" t="s">
        <v>1130</v>
      </c>
      <c r="E104" s="24">
        <v>900011233</v>
      </c>
      <c r="F104" s="24">
        <v>10086</v>
      </c>
      <c r="G104" s="24">
        <v>120</v>
      </c>
      <c r="H104" s="24">
        <v>60</v>
      </c>
      <c r="I104" s="25">
        <v>0.5</v>
      </c>
      <c r="J104" s="24">
        <v>5991</v>
      </c>
      <c r="K104" s="24" t="b">
        <v>1</v>
      </c>
      <c r="L104" s="25">
        <v>0</v>
      </c>
      <c r="M104" s="47">
        <v>0</v>
      </c>
      <c r="N104" s="25">
        <v>0.0833</v>
      </c>
      <c r="O104" s="47">
        <v>12.0048</v>
      </c>
      <c r="P104" s="25">
        <v>0.5</v>
      </c>
      <c r="Q104" s="24">
        <v>3</v>
      </c>
      <c r="R104" s="24">
        <v>5</v>
      </c>
      <c r="S104" s="25">
        <v>0.75</v>
      </c>
      <c r="T104" s="24">
        <v>-0.2</v>
      </c>
      <c r="U104" s="24">
        <v>0</v>
      </c>
      <c r="V104" s="24">
        <v>0</v>
      </c>
      <c r="W104" s="24">
        <v>0</v>
      </c>
      <c r="X104" s="24">
        <v>-0.2</v>
      </c>
      <c r="Y104" s="24">
        <v>-0.2</v>
      </c>
      <c r="Z104" s="24">
        <v>0</v>
      </c>
      <c r="AA104" s="24">
        <v>0</v>
      </c>
      <c r="AB104" s="24">
        <v>0</v>
      </c>
      <c r="AC104" s="24">
        <v>-0.2</v>
      </c>
      <c r="AD104" s="24">
        <v>-0.2</v>
      </c>
      <c r="AE104" s="24">
        <v>0</v>
      </c>
      <c r="AF104" s="24">
        <v>0</v>
      </c>
      <c r="AG104" s="24">
        <v>0</v>
      </c>
      <c r="AH104" s="24">
        <v>-0.2</v>
      </c>
      <c r="AI104" s="48">
        <v>30001</v>
      </c>
      <c r="AJ104" s="48">
        <v>30002</v>
      </c>
      <c r="AK104" s="48">
        <v>30003</v>
      </c>
      <c r="AL104" s="48">
        <v>30004</v>
      </c>
      <c r="AM104" s="48">
        <v>30015</v>
      </c>
      <c r="AN104" s="25">
        <v>0</v>
      </c>
      <c r="AO104" s="49">
        <v>5</v>
      </c>
      <c r="AP104" s="50">
        <v>100</v>
      </c>
      <c r="AQ104" s="51" t="s">
        <v>1131</v>
      </c>
      <c r="AR104" s="51">
        <f>=F104*247.95</f>
        <v>2500823.7</v>
      </c>
      <c r="AS104" s="51">
        <f>=G104*32.6061</f>
        <v>3912.732</v>
      </c>
      <c r="AT104" s="51">
        <f>=J104*2.35</f>
        <v>14078.85</v>
      </c>
      <c r="AU104" s="47">
        <f>=H104*15.88</f>
        <v>952.8</v>
      </c>
    </row>
    <row r="105" spans="1:47">
      <c r="A105" s="24" t="s">
        <v>1128</v>
      </c>
      <c r="B105" s="24">
        <v>11234</v>
      </c>
      <c r="C105" s="24" t="s">
        <v>1129</v>
      </c>
      <c r="D105" s="24" t="s">
        <v>1130</v>
      </c>
      <c r="E105" s="24">
        <v>900011234</v>
      </c>
      <c r="F105" s="24">
        <v>16778</v>
      </c>
      <c r="G105" s="24">
        <v>120</v>
      </c>
      <c r="H105" s="24">
        <v>60</v>
      </c>
      <c r="I105" s="25">
        <v>0.5</v>
      </c>
      <c r="J105" s="24">
        <v>5543</v>
      </c>
      <c r="K105" s="24" t="b">
        <v>1</v>
      </c>
      <c r="L105" s="25">
        <v>0</v>
      </c>
      <c r="M105" s="47">
        <v>0</v>
      </c>
      <c r="N105" s="25">
        <v>0.0833</v>
      </c>
      <c r="O105" s="47">
        <v>12.0048</v>
      </c>
      <c r="P105" s="25">
        <v>0.5</v>
      </c>
      <c r="Q105" s="24">
        <v>3</v>
      </c>
      <c r="R105" s="24">
        <v>5</v>
      </c>
      <c r="S105" s="25">
        <v>0.75</v>
      </c>
      <c r="T105" s="24">
        <v>-0.2</v>
      </c>
      <c r="U105" s="24">
        <v>0</v>
      </c>
      <c r="V105" s="24">
        <v>0</v>
      </c>
      <c r="W105" s="24">
        <v>0</v>
      </c>
      <c r="X105" s="24">
        <v>-0.2</v>
      </c>
      <c r="Y105" s="24">
        <v>-0.2</v>
      </c>
      <c r="Z105" s="24">
        <v>0</v>
      </c>
      <c r="AA105" s="24">
        <v>0</v>
      </c>
      <c r="AB105" s="24">
        <v>0</v>
      </c>
      <c r="AC105" s="24">
        <v>-0.2</v>
      </c>
      <c r="AD105" s="24">
        <v>-0.2</v>
      </c>
      <c r="AE105" s="24">
        <v>0</v>
      </c>
      <c r="AF105" s="24">
        <v>0</v>
      </c>
      <c r="AG105" s="24">
        <v>0</v>
      </c>
      <c r="AH105" s="24">
        <v>-0.2</v>
      </c>
      <c r="AI105" s="48">
        <v>30001</v>
      </c>
      <c r="AJ105" s="48">
        <v>30002</v>
      </c>
      <c r="AK105" s="48">
        <v>30003</v>
      </c>
      <c r="AL105" s="48">
        <v>30004</v>
      </c>
      <c r="AM105" s="48">
        <v>30015</v>
      </c>
      <c r="AN105" s="25">
        <v>0</v>
      </c>
      <c r="AO105" s="49">
        <v>5</v>
      </c>
      <c r="AP105" s="50">
        <v>100</v>
      </c>
      <c r="AQ105" s="51" t="s">
        <v>1325</v>
      </c>
      <c r="AR105" s="51">
        <f>=F105*247.95</f>
        <v>4160105.1</v>
      </c>
      <c r="AS105" s="51">
        <f>=G105*32.6061</f>
        <v>3912.732</v>
      </c>
      <c r="AT105" s="51">
        <f>=J105*2.35</f>
        <v>13026.05</v>
      </c>
      <c r="AU105" s="47">
        <f>=H105*15.88</f>
        <v>952.8</v>
      </c>
    </row>
    <row r="106" spans="1:47">
      <c r="A106" s="24" t="s">
        <v>1136</v>
      </c>
      <c r="B106" s="24">
        <v>11235</v>
      </c>
      <c r="C106" s="24" t="s">
        <v>1137</v>
      </c>
      <c r="D106" s="24" t="s">
        <v>1138</v>
      </c>
      <c r="E106" s="24">
        <v>900011235</v>
      </c>
      <c r="F106" s="24">
        <v>10086</v>
      </c>
      <c r="G106" s="24">
        <v>120</v>
      </c>
      <c r="H106" s="24">
        <v>60</v>
      </c>
      <c r="I106" s="25">
        <v>0.5</v>
      </c>
      <c r="J106" s="24">
        <v>5991</v>
      </c>
      <c r="K106" s="24" t="b">
        <v>1</v>
      </c>
      <c r="L106" s="25">
        <v>0</v>
      </c>
      <c r="M106" s="47">
        <v>0</v>
      </c>
      <c r="N106" s="25">
        <v>0.0833</v>
      </c>
      <c r="O106" s="47">
        <v>12.0048</v>
      </c>
      <c r="P106" s="25">
        <v>0.5</v>
      </c>
      <c r="Q106" s="24">
        <v>3</v>
      </c>
      <c r="R106" s="24">
        <v>5</v>
      </c>
      <c r="S106" s="25">
        <v>0.75</v>
      </c>
      <c r="T106" s="24">
        <v>-0.2</v>
      </c>
      <c r="U106" s="24">
        <v>0</v>
      </c>
      <c r="V106" s="24">
        <v>0</v>
      </c>
      <c r="W106" s="24">
        <v>0</v>
      </c>
      <c r="X106" s="24">
        <v>-0.2</v>
      </c>
      <c r="Y106" s="24">
        <v>-0.2</v>
      </c>
      <c r="Z106" s="24">
        <v>0</v>
      </c>
      <c r="AA106" s="24">
        <v>0</v>
      </c>
      <c r="AB106" s="24">
        <v>0</v>
      </c>
      <c r="AC106" s="24">
        <v>-0.2</v>
      </c>
      <c r="AD106" s="24">
        <v>-0.2</v>
      </c>
      <c r="AE106" s="24">
        <v>0</v>
      </c>
      <c r="AF106" s="24">
        <v>0</v>
      </c>
      <c r="AG106" s="24">
        <v>0</v>
      </c>
      <c r="AH106" s="24">
        <v>-0.2</v>
      </c>
      <c r="AI106" s="48">
        <v>30001</v>
      </c>
      <c r="AJ106" s="48">
        <v>30002</v>
      </c>
      <c r="AK106" s="48">
        <v>30003</v>
      </c>
      <c r="AL106" s="48">
        <v>30004</v>
      </c>
      <c r="AM106" s="48">
        <v>30015</v>
      </c>
      <c r="AN106" s="25">
        <v>0</v>
      </c>
      <c r="AO106" s="49">
        <v>5</v>
      </c>
      <c r="AP106" s="50">
        <v>100</v>
      </c>
      <c r="AQ106" s="51" t="s">
        <v>1326</v>
      </c>
      <c r="AR106" s="51">
        <f>=F106*247.95</f>
        <v>2500823.7</v>
      </c>
      <c r="AS106" s="51">
        <f>=G106*32.6061</f>
        <v>3912.732</v>
      </c>
      <c r="AT106" s="51">
        <f>=J106*2.35</f>
        <v>14078.85</v>
      </c>
      <c r="AU106" s="47">
        <f>=H106*15.88</f>
        <v>952.8</v>
      </c>
    </row>
    <row r="107" spans="1:47">
      <c r="A107" s="24" t="s">
        <v>1136</v>
      </c>
      <c r="B107" s="24">
        <v>11236</v>
      </c>
      <c r="C107" s="24" t="s">
        <v>1137</v>
      </c>
      <c r="D107" s="24" t="s">
        <v>1138</v>
      </c>
      <c r="E107" s="24">
        <v>900011236</v>
      </c>
      <c r="F107" s="24">
        <v>16778</v>
      </c>
      <c r="G107" s="24">
        <v>120</v>
      </c>
      <c r="H107" s="24">
        <v>60</v>
      </c>
      <c r="I107" s="25">
        <v>0.5</v>
      </c>
      <c r="J107" s="24">
        <v>5543</v>
      </c>
      <c r="K107" s="24" t="b">
        <v>1</v>
      </c>
      <c r="L107" s="25">
        <v>0</v>
      </c>
      <c r="M107" s="47">
        <v>0</v>
      </c>
      <c r="N107" s="25">
        <v>0.0833</v>
      </c>
      <c r="O107" s="47">
        <v>12.0048</v>
      </c>
      <c r="P107" s="25">
        <v>0.5</v>
      </c>
      <c r="Q107" s="24">
        <v>3</v>
      </c>
      <c r="R107" s="24">
        <v>5</v>
      </c>
      <c r="S107" s="25">
        <v>0.75</v>
      </c>
      <c r="T107" s="24">
        <v>-0.2</v>
      </c>
      <c r="U107" s="24">
        <v>0</v>
      </c>
      <c r="V107" s="24">
        <v>0</v>
      </c>
      <c r="W107" s="24">
        <v>0</v>
      </c>
      <c r="X107" s="24">
        <v>-0.2</v>
      </c>
      <c r="Y107" s="24">
        <v>-0.2</v>
      </c>
      <c r="Z107" s="24">
        <v>0</v>
      </c>
      <c r="AA107" s="24">
        <v>0</v>
      </c>
      <c r="AB107" s="24">
        <v>0</v>
      </c>
      <c r="AC107" s="24">
        <v>-0.2</v>
      </c>
      <c r="AD107" s="24">
        <v>-0.2</v>
      </c>
      <c r="AE107" s="24">
        <v>0</v>
      </c>
      <c r="AF107" s="24">
        <v>0</v>
      </c>
      <c r="AG107" s="24">
        <v>0</v>
      </c>
      <c r="AH107" s="24">
        <v>-0.2</v>
      </c>
      <c r="AI107" s="48">
        <v>30001</v>
      </c>
      <c r="AJ107" s="48">
        <v>30002</v>
      </c>
      <c r="AK107" s="48">
        <v>30003</v>
      </c>
      <c r="AL107" s="48">
        <v>30004</v>
      </c>
      <c r="AM107" s="48">
        <v>30015</v>
      </c>
      <c r="AN107" s="25">
        <v>0</v>
      </c>
      <c r="AO107" s="49">
        <v>5</v>
      </c>
      <c r="AP107" s="50">
        <v>100</v>
      </c>
      <c r="AQ107" s="51" t="s">
        <v>1139</v>
      </c>
      <c r="AR107" s="51">
        <f>=F107*247.95</f>
        <v>4160105.1</v>
      </c>
      <c r="AS107" s="51">
        <f>=G107*32.6061</f>
        <v>3912.732</v>
      </c>
      <c r="AT107" s="51">
        <f>=J107*2.35</f>
        <v>13026.05</v>
      </c>
      <c r="AU107" s="47">
        <f>=H107*15.88</f>
        <v>952.8</v>
      </c>
    </row>
    <row r="108" spans="1:47">
      <c r="A108" s="24" t="s">
        <v>1128</v>
      </c>
      <c r="B108" s="24">
        <v>11237</v>
      </c>
      <c r="C108" s="24" t="s">
        <v>1129</v>
      </c>
      <c r="D108" s="24" t="s">
        <v>1130</v>
      </c>
      <c r="E108" s="24">
        <v>900011237</v>
      </c>
      <c r="F108" s="24">
        <v>17218</v>
      </c>
      <c r="G108" s="24">
        <v>120</v>
      </c>
      <c r="H108" s="24">
        <v>60</v>
      </c>
      <c r="I108" s="25">
        <v>0.5</v>
      </c>
      <c r="J108" s="24">
        <v>5991</v>
      </c>
      <c r="K108" s="24" t="b">
        <v>1</v>
      </c>
      <c r="L108" s="25">
        <v>0</v>
      </c>
      <c r="M108" s="47">
        <v>0</v>
      </c>
      <c r="N108" s="25">
        <v>0.0833</v>
      </c>
      <c r="O108" s="47">
        <v>12.0048</v>
      </c>
      <c r="P108" s="25">
        <v>0.5</v>
      </c>
      <c r="Q108" s="24">
        <v>3</v>
      </c>
      <c r="R108" s="24">
        <v>5</v>
      </c>
      <c r="S108" s="25">
        <v>0.75</v>
      </c>
      <c r="T108" s="24">
        <v>-0.2</v>
      </c>
      <c r="U108" s="24">
        <v>0</v>
      </c>
      <c r="V108" s="24">
        <v>0</v>
      </c>
      <c r="W108" s="24">
        <v>0</v>
      </c>
      <c r="X108" s="24">
        <v>-0.2</v>
      </c>
      <c r="Y108" s="24">
        <v>-0.2</v>
      </c>
      <c r="Z108" s="24">
        <v>0</v>
      </c>
      <c r="AA108" s="24">
        <v>0</v>
      </c>
      <c r="AB108" s="24">
        <v>0</v>
      </c>
      <c r="AC108" s="24">
        <v>-0.2</v>
      </c>
      <c r="AD108" s="24">
        <v>-0.2</v>
      </c>
      <c r="AE108" s="24">
        <v>0</v>
      </c>
      <c r="AF108" s="24">
        <v>0</v>
      </c>
      <c r="AG108" s="24">
        <v>0</v>
      </c>
      <c r="AH108" s="24">
        <v>-0.2</v>
      </c>
      <c r="AI108" s="48">
        <v>30001</v>
      </c>
      <c r="AJ108" s="48">
        <v>30002</v>
      </c>
      <c r="AK108" s="48">
        <v>30003</v>
      </c>
      <c r="AL108" s="48">
        <v>30004</v>
      </c>
      <c r="AM108" s="48">
        <v>30015</v>
      </c>
      <c r="AN108" s="25">
        <v>0</v>
      </c>
      <c r="AO108" s="49">
        <v>5</v>
      </c>
      <c r="AP108" s="50">
        <v>100</v>
      </c>
      <c r="AQ108" s="51" t="s">
        <v>1327</v>
      </c>
      <c r="AR108" s="51">
        <f>=F108*247.95</f>
        <v>4269203.1</v>
      </c>
      <c r="AS108" s="51">
        <f>=G108*32.6061</f>
        <v>3912.732</v>
      </c>
      <c r="AT108" s="51">
        <f>=J108*2.35</f>
        <v>14078.85</v>
      </c>
      <c r="AU108" s="47">
        <f>=H108*15.88</f>
        <v>952.8</v>
      </c>
    </row>
    <row r="109" spans="1:47">
      <c r="A109" s="24" t="s">
        <v>1136</v>
      </c>
      <c r="B109" s="24">
        <v>11238</v>
      </c>
      <c r="C109" s="24" t="s">
        <v>1137</v>
      </c>
      <c r="D109" s="24" t="s">
        <v>1138</v>
      </c>
      <c r="E109" s="24">
        <v>900011238</v>
      </c>
      <c r="F109" s="24">
        <v>17218</v>
      </c>
      <c r="G109" s="24">
        <v>120</v>
      </c>
      <c r="H109" s="24">
        <v>60</v>
      </c>
      <c r="I109" s="25">
        <v>0.5</v>
      </c>
      <c r="J109" s="24">
        <v>5991</v>
      </c>
      <c r="K109" s="24" t="b">
        <v>1</v>
      </c>
      <c r="L109" s="25">
        <v>0</v>
      </c>
      <c r="M109" s="47">
        <v>0</v>
      </c>
      <c r="N109" s="25">
        <v>0.0833</v>
      </c>
      <c r="O109" s="47">
        <v>12.0048</v>
      </c>
      <c r="P109" s="25">
        <v>0.5</v>
      </c>
      <c r="Q109" s="24">
        <v>3</v>
      </c>
      <c r="R109" s="24">
        <v>5</v>
      </c>
      <c r="S109" s="25">
        <v>0.75</v>
      </c>
      <c r="T109" s="24">
        <v>-0.2</v>
      </c>
      <c r="U109" s="24">
        <v>0</v>
      </c>
      <c r="V109" s="24">
        <v>0</v>
      </c>
      <c r="W109" s="24">
        <v>0</v>
      </c>
      <c r="X109" s="24">
        <v>-0.2</v>
      </c>
      <c r="Y109" s="24">
        <v>-0.2</v>
      </c>
      <c r="Z109" s="24">
        <v>0</v>
      </c>
      <c r="AA109" s="24">
        <v>0</v>
      </c>
      <c r="AB109" s="24">
        <v>0</v>
      </c>
      <c r="AC109" s="24">
        <v>-0.2</v>
      </c>
      <c r="AD109" s="24">
        <v>-0.2</v>
      </c>
      <c r="AE109" s="24">
        <v>0</v>
      </c>
      <c r="AF109" s="24">
        <v>0</v>
      </c>
      <c r="AG109" s="24">
        <v>0</v>
      </c>
      <c r="AH109" s="24">
        <v>-0.2</v>
      </c>
      <c r="AI109" s="48">
        <v>30001</v>
      </c>
      <c r="AJ109" s="48">
        <v>30002</v>
      </c>
      <c r="AK109" s="48">
        <v>30003</v>
      </c>
      <c r="AL109" s="48">
        <v>30004</v>
      </c>
      <c r="AM109" s="48">
        <v>30015</v>
      </c>
      <c r="AN109" s="25">
        <v>0</v>
      </c>
      <c r="AO109" s="49">
        <v>5</v>
      </c>
      <c r="AP109" s="50">
        <v>100</v>
      </c>
      <c r="AQ109" s="51" t="s">
        <v>1328</v>
      </c>
      <c r="AR109" s="51">
        <f>=F109*247.95</f>
        <v>4269203.1</v>
      </c>
      <c r="AS109" s="51">
        <f>=G109*32.6061</f>
        <v>3912.732</v>
      </c>
      <c r="AT109" s="51">
        <f>=J109*2.35</f>
        <v>14078.85</v>
      </c>
      <c r="AU109" s="47">
        <f>=H109*15.88</f>
        <v>952.8</v>
      </c>
    </row>
    <row r="110" spans="1:47">
      <c r="A110" s="24" t="s">
        <v>1155</v>
      </c>
      <c r="B110" s="24">
        <v>11241</v>
      </c>
      <c r="C110" s="24" t="s">
        <v>1156</v>
      </c>
      <c r="D110" s="24" t="s">
        <v>1157</v>
      </c>
      <c r="E110" s="24">
        <v>900011241</v>
      </c>
      <c r="F110" s="24">
        <v>2704</v>
      </c>
      <c r="G110" s="24">
        <v>34</v>
      </c>
      <c r="H110" s="24">
        <v>45</v>
      </c>
      <c r="I110" s="25">
        <v>0.5</v>
      </c>
      <c r="J110" s="24">
        <v>1334</v>
      </c>
      <c r="K110" s="24" t="b">
        <v>1</v>
      </c>
      <c r="L110" s="25">
        <v>0</v>
      </c>
      <c r="M110" s="47">
        <v>0</v>
      </c>
      <c r="N110" s="25">
        <v>0.1</v>
      </c>
      <c r="O110" s="47">
        <v>10</v>
      </c>
      <c r="P110" s="25">
        <v>0.5</v>
      </c>
      <c r="Q110" s="24">
        <v>2</v>
      </c>
      <c r="R110" s="24">
        <v>1</v>
      </c>
      <c r="S110" s="25">
        <v>0.5</v>
      </c>
      <c r="T110" s="24">
        <v>0</v>
      </c>
      <c r="U110" s="24">
        <v>0</v>
      </c>
      <c r="V110" s="24">
        <v>-0.2</v>
      </c>
      <c r="W110" s="24">
        <v>0.2</v>
      </c>
      <c r="X110" s="24">
        <v>0</v>
      </c>
      <c r="Y110" s="24">
        <v>0</v>
      </c>
      <c r="Z110" s="24">
        <v>0</v>
      </c>
      <c r="AA110" s="24">
        <v>-0.2</v>
      </c>
      <c r="AB110" s="24">
        <v>0.2</v>
      </c>
      <c r="AC110" s="24">
        <v>0</v>
      </c>
      <c r="AD110" s="24">
        <v>0</v>
      </c>
      <c r="AE110" s="24">
        <v>0</v>
      </c>
      <c r="AF110" s="24">
        <v>-0.2</v>
      </c>
      <c r="AG110" s="24">
        <v>0.2</v>
      </c>
      <c r="AH110" s="24">
        <v>0</v>
      </c>
      <c r="AI110" s="48">
        <v>20001</v>
      </c>
      <c r="AJ110" s="48">
        <v>20002</v>
      </c>
      <c r="AK110" s="48">
        <v>20013</v>
      </c>
      <c r="AL110" s="48">
        <v>20004</v>
      </c>
      <c r="AM110" s="48">
        <v>20005</v>
      </c>
      <c r="AN110" s="25">
        <v>0</v>
      </c>
      <c r="AO110" s="49">
        <v>3</v>
      </c>
      <c r="AP110" s="50">
        <v>75</v>
      </c>
      <c r="AQ110" s="51" t="s">
        <v>1158</v>
      </c>
      <c r="AR110" s="51">
        <f>=F110*247.95</f>
        <v>670456.8</v>
      </c>
      <c r="AS110" s="51">
        <f>=G110*32.6061</f>
        <v>1108.6074</v>
      </c>
      <c r="AT110" s="51">
        <f>=J110*2.35</f>
        <v>3134.9</v>
      </c>
      <c r="AU110" s="47">
        <f>=H110*15.88</f>
        <v>714.6</v>
      </c>
    </row>
    <row r="111" spans="1:47">
      <c r="A111" s="24" t="s">
        <v>1155</v>
      </c>
      <c r="B111" s="24">
        <v>11242</v>
      </c>
      <c r="C111" s="24" t="s">
        <v>1156</v>
      </c>
      <c r="D111" s="24" t="s">
        <v>1157</v>
      </c>
      <c r="E111" s="24">
        <v>900011242</v>
      </c>
      <c r="F111" s="24">
        <v>2704</v>
      </c>
      <c r="G111" s="24">
        <v>34</v>
      </c>
      <c r="H111" s="24">
        <v>45</v>
      </c>
      <c r="I111" s="25">
        <v>0.5</v>
      </c>
      <c r="J111" s="24">
        <v>1334</v>
      </c>
      <c r="K111" s="24" t="b">
        <v>1</v>
      </c>
      <c r="L111" s="25">
        <v>0</v>
      </c>
      <c r="M111" s="47">
        <v>0</v>
      </c>
      <c r="N111" s="25">
        <v>0.1</v>
      </c>
      <c r="O111" s="47">
        <v>10</v>
      </c>
      <c r="P111" s="25">
        <v>0.5</v>
      </c>
      <c r="Q111" s="24">
        <v>2</v>
      </c>
      <c r="R111" s="24">
        <v>5</v>
      </c>
      <c r="S111" s="25">
        <v>0.5</v>
      </c>
      <c r="T111" s="24">
        <v>0</v>
      </c>
      <c r="U111" s="24">
        <v>0</v>
      </c>
      <c r="V111" s="24">
        <v>-0.2</v>
      </c>
      <c r="W111" s="24">
        <v>0.2</v>
      </c>
      <c r="X111" s="24">
        <v>0</v>
      </c>
      <c r="Y111" s="24">
        <v>0</v>
      </c>
      <c r="Z111" s="24">
        <v>0</v>
      </c>
      <c r="AA111" s="24">
        <v>-0.2</v>
      </c>
      <c r="AB111" s="24">
        <v>0.2</v>
      </c>
      <c r="AC111" s="24">
        <v>0</v>
      </c>
      <c r="AD111" s="24">
        <v>0</v>
      </c>
      <c r="AE111" s="24">
        <v>0</v>
      </c>
      <c r="AF111" s="24">
        <v>-0.2</v>
      </c>
      <c r="AG111" s="24">
        <v>0.2</v>
      </c>
      <c r="AH111" s="24">
        <v>0</v>
      </c>
      <c r="AI111" s="48">
        <v>20001</v>
      </c>
      <c r="AJ111" s="48">
        <v>20002</v>
      </c>
      <c r="AK111" s="48">
        <v>20013</v>
      </c>
      <c r="AL111" s="48">
        <v>20004</v>
      </c>
      <c r="AM111" s="48">
        <v>20005</v>
      </c>
      <c r="AN111" s="25">
        <v>0</v>
      </c>
      <c r="AO111" s="49">
        <v>3</v>
      </c>
      <c r="AP111" s="50">
        <v>75</v>
      </c>
      <c r="AQ111" s="51" t="s">
        <v>1329</v>
      </c>
      <c r="AR111" s="51">
        <f>=F111*247.95</f>
        <v>670456.8</v>
      </c>
      <c r="AS111" s="51">
        <f>=G111*32.6061</f>
        <v>1108.6074</v>
      </c>
      <c r="AT111" s="51">
        <f>=J111*2.35</f>
        <v>3134.9</v>
      </c>
      <c r="AU111" s="47">
        <f>=H111*15.88</f>
        <v>714.6</v>
      </c>
    </row>
    <row r="112" spans="1:47">
      <c r="A112" s="24" t="s">
        <v>1159</v>
      </c>
      <c r="B112" s="24">
        <v>11245</v>
      </c>
      <c r="C112" s="24" t="s">
        <v>1160</v>
      </c>
      <c r="D112" s="24" t="s">
        <v>1161</v>
      </c>
      <c r="E112" s="24">
        <v>900011245</v>
      </c>
      <c r="F112" s="24">
        <v>2704</v>
      </c>
      <c r="G112" s="24">
        <v>34</v>
      </c>
      <c r="H112" s="24">
        <v>45</v>
      </c>
      <c r="I112" s="25">
        <v>0.5</v>
      </c>
      <c r="J112" s="24">
        <v>1334</v>
      </c>
      <c r="K112" s="24" t="b">
        <v>1</v>
      </c>
      <c r="L112" s="25">
        <v>0</v>
      </c>
      <c r="M112" s="47">
        <v>0</v>
      </c>
      <c r="N112" s="25">
        <v>0.1</v>
      </c>
      <c r="O112" s="47">
        <v>10</v>
      </c>
      <c r="P112" s="25">
        <v>0.5</v>
      </c>
      <c r="Q112" s="24">
        <v>2</v>
      </c>
      <c r="R112" s="24">
        <v>1</v>
      </c>
      <c r="S112" s="25">
        <v>0.5</v>
      </c>
      <c r="T112" s="24">
        <v>0</v>
      </c>
      <c r="U112" s="24">
        <v>0</v>
      </c>
      <c r="V112" s="24">
        <v>-0.2</v>
      </c>
      <c r="W112" s="24">
        <v>0.2</v>
      </c>
      <c r="X112" s="24">
        <v>0</v>
      </c>
      <c r="Y112" s="24">
        <v>0</v>
      </c>
      <c r="Z112" s="24">
        <v>0</v>
      </c>
      <c r="AA112" s="24">
        <v>-0.2</v>
      </c>
      <c r="AB112" s="24">
        <v>0.2</v>
      </c>
      <c r="AC112" s="24">
        <v>0</v>
      </c>
      <c r="AD112" s="24">
        <v>0</v>
      </c>
      <c r="AE112" s="24">
        <v>0</v>
      </c>
      <c r="AF112" s="24">
        <v>-0.2</v>
      </c>
      <c r="AG112" s="24">
        <v>0.2</v>
      </c>
      <c r="AH112" s="24">
        <v>0</v>
      </c>
      <c r="AI112" s="48">
        <v>20001</v>
      </c>
      <c r="AJ112" s="48">
        <v>20002</v>
      </c>
      <c r="AK112" s="48">
        <v>20013</v>
      </c>
      <c r="AL112" s="48">
        <v>20004</v>
      </c>
      <c r="AM112" s="48">
        <v>20005</v>
      </c>
      <c r="AN112" s="25">
        <v>0</v>
      </c>
      <c r="AO112" s="49">
        <v>3</v>
      </c>
      <c r="AP112" s="50">
        <v>75</v>
      </c>
      <c r="AQ112" s="51" t="s">
        <v>1162</v>
      </c>
      <c r="AR112" s="51">
        <f>=F112*247.95</f>
        <v>670456.8</v>
      </c>
      <c r="AS112" s="51">
        <f>=G112*32.6061</f>
        <v>1108.6074</v>
      </c>
      <c r="AT112" s="51">
        <f>=J112*2.35</f>
        <v>3134.9</v>
      </c>
      <c r="AU112" s="47">
        <f>=H112*15.88</f>
        <v>714.6</v>
      </c>
    </row>
    <row r="113" spans="1:47">
      <c r="A113" s="24" t="s">
        <v>1330</v>
      </c>
      <c r="B113" s="24">
        <v>11251</v>
      </c>
      <c r="C113" s="24" t="s">
        <v>1331</v>
      </c>
      <c r="D113" s="24" t="s">
        <v>1332</v>
      </c>
      <c r="E113" s="24">
        <v>900011251</v>
      </c>
      <c r="F113" s="24">
        <v>1123</v>
      </c>
      <c r="G113" s="24">
        <v>66</v>
      </c>
      <c r="H113" s="24">
        <v>40</v>
      </c>
      <c r="I113" s="25">
        <v>0.5</v>
      </c>
      <c r="J113" s="24">
        <v>600</v>
      </c>
      <c r="K113" s="24" t="b">
        <v>1</v>
      </c>
      <c r="L113" s="25">
        <v>0</v>
      </c>
      <c r="M113" s="47">
        <v>0</v>
      </c>
      <c r="N113" s="25">
        <v>0.1538</v>
      </c>
      <c r="O113" s="47">
        <v>6.501951</v>
      </c>
      <c r="P113" s="25">
        <v>0.5</v>
      </c>
      <c r="Q113" s="24">
        <v>1</v>
      </c>
      <c r="R113" s="24">
        <v>1</v>
      </c>
      <c r="S113" s="25">
        <v>0</v>
      </c>
      <c r="T113" s="24">
        <v>0</v>
      </c>
      <c r="U113" s="24">
        <v>0</v>
      </c>
      <c r="V113" s="24">
        <v>-0.2</v>
      </c>
      <c r="W113" s="24">
        <v>0</v>
      </c>
      <c r="X113" s="24">
        <v>0</v>
      </c>
      <c r="Y113" s="24">
        <v>0</v>
      </c>
      <c r="Z113" s="24">
        <v>0</v>
      </c>
      <c r="AA113" s="24">
        <v>-0.2</v>
      </c>
      <c r="AB113" s="24">
        <v>0</v>
      </c>
      <c r="AC113" s="24">
        <v>0</v>
      </c>
      <c r="AD113" s="24">
        <v>0</v>
      </c>
      <c r="AE113" s="24">
        <v>0</v>
      </c>
      <c r="AF113" s="24">
        <v>-0.2</v>
      </c>
      <c r="AG113" s="24">
        <v>0</v>
      </c>
      <c r="AH113" s="24">
        <v>0</v>
      </c>
      <c r="AI113" s="48">
        <v>10001</v>
      </c>
      <c r="AJ113" s="48">
        <v>10002</v>
      </c>
      <c r="AK113" s="48">
        <v>10013</v>
      </c>
      <c r="AL113" s="48">
        <v>10004</v>
      </c>
      <c r="AM113" s="48">
        <v>10005</v>
      </c>
      <c r="AN113" s="25">
        <v>0</v>
      </c>
      <c r="AO113" s="49" t="s"/>
      <c r="AP113" s="50">
        <v>50</v>
      </c>
      <c r="AQ113" s="51" t="s">
        <v>1333</v>
      </c>
      <c r="AR113" s="51">
        <f>=F113*247.95</f>
        <v>278447.85</v>
      </c>
      <c r="AS113" s="51">
        <f>=G113*32.6061</f>
        <v>2152.0026</v>
      </c>
      <c r="AT113" s="51">
        <f>=J113*2.35</f>
        <v>1410</v>
      </c>
      <c r="AU113" s="47">
        <f>=H113*15.88</f>
        <v>635.2</v>
      </c>
    </row>
    <row r="114" spans="1:47">
      <c r="A114" s="24" t="s">
        <v>1330</v>
      </c>
      <c r="B114" s="24">
        <v>11252</v>
      </c>
      <c r="C114" s="24" t="s">
        <v>1331</v>
      </c>
      <c r="D114" s="24" t="s">
        <v>1332</v>
      </c>
      <c r="E114" s="24">
        <v>900011252</v>
      </c>
      <c r="F114" s="24">
        <v>1373</v>
      </c>
      <c r="G114" s="24">
        <v>66</v>
      </c>
      <c r="H114" s="24">
        <v>40</v>
      </c>
      <c r="I114" s="25">
        <v>0.5</v>
      </c>
      <c r="J114" s="24">
        <v>900</v>
      </c>
      <c r="K114" s="24" t="b">
        <v>1</v>
      </c>
      <c r="L114" s="25">
        <v>0</v>
      </c>
      <c r="M114" s="47">
        <v>0</v>
      </c>
      <c r="N114" s="25">
        <v>0.1538</v>
      </c>
      <c r="O114" s="47">
        <v>6.501951</v>
      </c>
      <c r="P114" s="25">
        <v>0.5</v>
      </c>
      <c r="Q114" s="24">
        <v>1</v>
      </c>
      <c r="R114" s="24">
        <v>1</v>
      </c>
      <c r="S114" s="25">
        <v>0</v>
      </c>
      <c r="T114" s="24">
        <v>0</v>
      </c>
      <c r="U114" s="24">
        <v>0</v>
      </c>
      <c r="V114" s="24">
        <v>-0.2</v>
      </c>
      <c r="W114" s="24">
        <v>0</v>
      </c>
      <c r="X114" s="24">
        <v>0</v>
      </c>
      <c r="Y114" s="24">
        <v>0</v>
      </c>
      <c r="Z114" s="24">
        <v>0</v>
      </c>
      <c r="AA114" s="24">
        <v>-0.2</v>
      </c>
      <c r="AB114" s="24">
        <v>0</v>
      </c>
      <c r="AC114" s="24">
        <v>0</v>
      </c>
      <c r="AD114" s="24">
        <v>0</v>
      </c>
      <c r="AE114" s="24">
        <v>0</v>
      </c>
      <c r="AF114" s="24">
        <v>-0.2</v>
      </c>
      <c r="AG114" s="24">
        <v>0</v>
      </c>
      <c r="AH114" s="24">
        <v>0</v>
      </c>
      <c r="AI114" s="48">
        <v>10001</v>
      </c>
      <c r="AJ114" s="48">
        <v>10002</v>
      </c>
      <c r="AK114" s="48">
        <v>10013</v>
      </c>
      <c r="AL114" s="48">
        <v>10004</v>
      </c>
      <c r="AM114" s="48">
        <v>10005</v>
      </c>
      <c r="AN114" s="25">
        <v>0</v>
      </c>
      <c r="AO114" s="49" t="s"/>
      <c r="AP114" s="50">
        <v>50</v>
      </c>
      <c r="AQ114" s="51" t="s">
        <v>1334</v>
      </c>
      <c r="AR114" s="51">
        <f>=F114*247.95</f>
        <v>340435.35</v>
      </c>
      <c r="AS114" s="51">
        <f>=G114*32.6061</f>
        <v>2152.0026</v>
      </c>
      <c r="AT114" s="51">
        <f>=J114*2.35</f>
        <v>2115</v>
      </c>
      <c r="AU114" s="47">
        <f>=H114*15.88</f>
        <v>635.2</v>
      </c>
    </row>
    <row r="115" spans="1:47">
      <c r="A115" s="24" t="s">
        <v>1335</v>
      </c>
      <c r="B115" s="24">
        <v>11253</v>
      </c>
      <c r="C115" s="24" t="s">
        <v>1336</v>
      </c>
      <c r="D115" s="24" t="s">
        <v>1337</v>
      </c>
      <c r="E115" s="24">
        <v>900011253</v>
      </c>
      <c r="F115" s="24">
        <v>1123</v>
      </c>
      <c r="G115" s="24">
        <v>66</v>
      </c>
      <c r="H115" s="24">
        <v>40</v>
      </c>
      <c r="I115" s="25">
        <v>0.5</v>
      </c>
      <c r="J115" s="24">
        <v>600</v>
      </c>
      <c r="K115" s="24" t="b">
        <v>1</v>
      </c>
      <c r="L115" s="25">
        <v>0</v>
      </c>
      <c r="M115" s="47">
        <v>0</v>
      </c>
      <c r="N115" s="25">
        <v>0.1538</v>
      </c>
      <c r="O115" s="47">
        <v>6.501951</v>
      </c>
      <c r="P115" s="25">
        <v>0.5</v>
      </c>
      <c r="Q115" s="24">
        <v>1</v>
      </c>
      <c r="R115" s="24">
        <v>1</v>
      </c>
      <c r="S115" s="25">
        <v>0</v>
      </c>
      <c r="T115" s="24">
        <v>0</v>
      </c>
      <c r="U115" s="24">
        <v>-0.2</v>
      </c>
      <c r="V115" s="24">
        <v>0</v>
      </c>
      <c r="W115" s="24">
        <v>-0.2</v>
      </c>
      <c r="X115" s="24">
        <v>0</v>
      </c>
      <c r="Y115" s="24">
        <v>0</v>
      </c>
      <c r="Z115" s="24">
        <v>-0.2</v>
      </c>
      <c r="AA115" s="24">
        <v>0</v>
      </c>
      <c r="AB115" s="24">
        <v>-0.2</v>
      </c>
      <c r="AC115" s="24">
        <v>0</v>
      </c>
      <c r="AD115" s="24">
        <v>0</v>
      </c>
      <c r="AE115" s="24">
        <v>-0.2</v>
      </c>
      <c r="AF115" s="24">
        <v>0</v>
      </c>
      <c r="AG115" s="24">
        <v>-0.2</v>
      </c>
      <c r="AH115" s="24">
        <v>0</v>
      </c>
      <c r="AI115" s="48">
        <v>10001</v>
      </c>
      <c r="AJ115" s="48">
        <v>10012</v>
      </c>
      <c r="AK115" s="48">
        <v>10003</v>
      </c>
      <c r="AL115" s="48">
        <v>10004</v>
      </c>
      <c r="AM115" s="48">
        <v>10005</v>
      </c>
      <c r="AN115" s="25">
        <v>0</v>
      </c>
      <c r="AO115" s="49" t="s"/>
      <c r="AP115" s="50">
        <v>50</v>
      </c>
      <c r="AQ115" s="51" t="s">
        <v>1338</v>
      </c>
      <c r="AR115" s="51">
        <f>=F115*247.95</f>
        <v>278447.85</v>
      </c>
      <c r="AS115" s="51">
        <f>=G115*32.6061</f>
        <v>2152.0026</v>
      </c>
      <c r="AT115" s="51">
        <f>=J115*2.35</f>
        <v>1410</v>
      </c>
      <c r="AU115" s="47">
        <f>=H115*15.88</f>
        <v>635.2</v>
      </c>
    </row>
    <row r="116" spans="1:47">
      <c r="A116" s="24" t="s">
        <v>1335</v>
      </c>
      <c r="B116" s="24">
        <v>11254</v>
      </c>
      <c r="C116" s="24" t="s">
        <v>1336</v>
      </c>
      <c r="D116" s="24" t="s">
        <v>1337</v>
      </c>
      <c r="E116" s="24">
        <v>900011254</v>
      </c>
      <c r="F116" s="24">
        <v>1373</v>
      </c>
      <c r="G116" s="24">
        <v>66</v>
      </c>
      <c r="H116" s="24">
        <v>40</v>
      </c>
      <c r="I116" s="25">
        <v>0.5</v>
      </c>
      <c r="J116" s="24">
        <v>900</v>
      </c>
      <c r="K116" s="24" t="b">
        <v>1</v>
      </c>
      <c r="L116" s="25">
        <v>0</v>
      </c>
      <c r="M116" s="47">
        <v>0</v>
      </c>
      <c r="N116" s="25">
        <v>0.1538</v>
      </c>
      <c r="O116" s="47">
        <v>6.501951</v>
      </c>
      <c r="P116" s="25">
        <v>0.5</v>
      </c>
      <c r="Q116" s="24">
        <v>1</v>
      </c>
      <c r="R116" s="24">
        <v>1</v>
      </c>
      <c r="S116" s="25">
        <v>0</v>
      </c>
      <c r="T116" s="24">
        <v>0</v>
      </c>
      <c r="U116" s="24">
        <v>-0.2</v>
      </c>
      <c r="V116" s="24">
        <v>0</v>
      </c>
      <c r="W116" s="24">
        <v>-0.2</v>
      </c>
      <c r="X116" s="24">
        <v>0</v>
      </c>
      <c r="Y116" s="24">
        <v>0</v>
      </c>
      <c r="Z116" s="24">
        <v>-0.2</v>
      </c>
      <c r="AA116" s="24">
        <v>0</v>
      </c>
      <c r="AB116" s="24">
        <v>-0.2</v>
      </c>
      <c r="AC116" s="24">
        <v>0</v>
      </c>
      <c r="AD116" s="24">
        <v>0</v>
      </c>
      <c r="AE116" s="24">
        <v>-0.2</v>
      </c>
      <c r="AF116" s="24">
        <v>0</v>
      </c>
      <c r="AG116" s="24">
        <v>-0.2</v>
      </c>
      <c r="AH116" s="24">
        <v>0</v>
      </c>
      <c r="AI116" s="48">
        <v>10001</v>
      </c>
      <c r="AJ116" s="48">
        <v>10012</v>
      </c>
      <c r="AK116" s="48">
        <v>10003</v>
      </c>
      <c r="AL116" s="48">
        <v>10004</v>
      </c>
      <c r="AM116" s="48">
        <v>10005</v>
      </c>
      <c r="AN116" s="25">
        <v>0</v>
      </c>
      <c r="AO116" s="49" t="s"/>
      <c r="AP116" s="50">
        <v>50</v>
      </c>
      <c r="AQ116" s="51" t="s">
        <v>1339</v>
      </c>
      <c r="AR116" s="51">
        <f>=F116*247.95</f>
        <v>340435.35</v>
      </c>
      <c r="AS116" s="51">
        <f>=G116*32.6061</f>
        <v>2152.0026</v>
      </c>
      <c r="AT116" s="51">
        <f>=J116*2.35</f>
        <v>2115</v>
      </c>
      <c r="AU116" s="47">
        <f>=H116*15.88</f>
        <v>635.2</v>
      </c>
    </row>
    <row r="117" spans="1:47" ht="18" customHeight="1">
      <c r="A117" s="24" t="s">
        <v>1330</v>
      </c>
      <c r="B117" s="24">
        <v>11255</v>
      </c>
      <c r="C117" s="24" t="s">
        <v>1331</v>
      </c>
      <c r="D117" s="24" t="s">
        <v>1332</v>
      </c>
      <c r="E117" s="24">
        <v>900011255</v>
      </c>
      <c r="F117" s="24">
        <v>1373</v>
      </c>
      <c r="G117" s="24">
        <v>66</v>
      </c>
      <c r="H117" s="24">
        <v>40</v>
      </c>
      <c r="I117" s="25">
        <v>0.5</v>
      </c>
      <c r="J117" s="24">
        <v>900</v>
      </c>
      <c r="K117" s="24" t="b">
        <v>1</v>
      </c>
      <c r="L117" s="25">
        <v>0</v>
      </c>
      <c r="M117" s="47">
        <v>0</v>
      </c>
      <c r="N117" s="25">
        <v>0.1538</v>
      </c>
      <c r="O117" s="47">
        <v>6.501951</v>
      </c>
      <c r="P117" s="25">
        <v>0.5</v>
      </c>
      <c r="Q117" s="24">
        <v>1</v>
      </c>
      <c r="R117" s="24">
        <v>1</v>
      </c>
      <c r="S117" s="25">
        <v>0</v>
      </c>
      <c r="T117" s="24">
        <v>0</v>
      </c>
      <c r="U117" s="24">
        <v>0</v>
      </c>
      <c r="V117" s="24">
        <v>-0.2</v>
      </c>
      <c r="W117" s="24">
        <v>0</v>
      </c>
      <c r="X117" s="24">
        <v>0</v>
      </c>
      <c r="Y117" s="24">
        <v>0</v>
      </c>
      <c r="Z117" s="24">
        <v>0</v>
      </c>
      <c r="AA117" s="24">
        <v>-0.2</v>
      </c>
      <c r="AB117" s="24">
        <v>0</v>
      </c>
      <c r="AC117" s="24">
        <v>0</v>
      </c>
      <c r="AD117" s="24">
        <v>0</v>
      </c>
      <c r="AE117" s="24">
        <v>0</v>
      </c>
      <c r="AF117" s="24">
        <v>-0.2</v>
      </c>
      <c r="AG117" s="24">
        <v>0</v>
      </c>
      <c r="AH117" s="24">
        <v>0</v>
      </c>
      <c r="AI117" s="48">
        <v>10001</v>
      </c>
      <c r="AJ117" s="48">
        <v>10002</v>
      </c>
      <c r="AK117" s="48">
        <v>10013</v>
      </c>
      <c r="AL117" s="48">
        <v>10004</v>
      </c>
      <c r="AM117" s="48">
        <v>10005</v>
      </c>
      <c r="AN117" s="25">
        <v>0</v>
      </c>
      <c r="AO117" s="49" t="s"/>
      <c r="AP117" s="50">
        <v>50</v>
      </c>
      <c r="AQ117" s="51" t="s">
        <v>1340</v>
      </c>
      <c r="AR117" s="51">
        <f>=F117*247.95</f>
        <v>340435.35</v>
      </c>
      <c r="AS117" s="51">
        <f>=G117*32.6061</f>
        <v>2152.0026</v>
      </c>
      <c r="AT117" s="51">
        <f>=J117*2.35</f>
        <v>2115</v>
      </c>
      <c r="AU117" s="47">
        <f>=H117*15.88</f>
        <v>635.2</v>
      </c>
    </row>
    <row r="118" spans="1:47">
      <c r="A118" s="24" t="s">
        <v>1341</v>
      </c>
      <c r="B118" s="24">
        <v>11261</v>
      </c>
      <c r="C118" s="24" t="s">
        <v>1342</v>
      </c>
      <c r="D118" s="24" t="s">
        <v>1343</v>
      </c>
      <c r="E118" s="24">
        <v>900011261</v>
      </c>
      <c r="F118" s="24">
        <v>6640</v>
      </c>
      <c r="G118" s="24">
        <v>93</v>
      </c>
      <c r="H118" s="24">
        <v>54</v>
      </c>
      <c r="I118" s="25">
        <v>0.5</v>
      </c>
      <c r="J118" s="24">
        <v>2653</v>
      </c>
      <c r="K118" s="24" t="b">
        <v>1</v>
      </c>
      <c r="L118" s="25">
        <v>0.01</v>
      </c>
      <c r="M118" s="47">
        <v>0</v>
      </c>
      <c r="N118" s="25">
        <v>0.1</v>
      </c>
      <c r="O118" s="47">
        <v>10</v>
      </c>
      <c r="P118" s="25">
        <v>0.5</v>
      </c>
      <c r="Q118" s="24">
        <v>2</v>
      </c>
      <c r="R118" s="24">
        <v>3</v>
      </c>
      <c r="S118" s="25">
        <v>0.5</v>
      </c>
      <c r="T118" s="24">
        <v>0</v>
      </c>
      <c r="U118" s="24">
        <v>0.2</v>
      </c>
      <c r="V118" s="24">
        <v>-0.2</v>
      </c>
      <c r="W118" s="24">
        <v>0</v>
      </c>
      <c r="X118" s="24">
        <v>0</v>
      </c>
      <c r="Y118" s="24">
        <v>0</v>
      </c>
      <c r="Z118" s="24">
        <v>0.2</v>
      </c>
      <c r="AA118" s="24">
        <v>-0.2</v>
      </c>
      <c r="AB118" s="24">
        <v>0</v>
      </c>
      <c r="AC118" s="24">
        <v>0</v>
      </c>
      <c r="AD118" s="24">
        <v>0</v>
      </c>
      <c r="AE118" s="24">
        <v>0.2</v>
      </c>
      <c r="AF118" s="24">
        <v>-0.2</v>
      </c>
      <c r="AG118" s="24">
        <v>0</v>
      </c>
      <c r="AH118" s="24">
        <v>0</v>
      </c>
      <c r="AI118" s="48">
        <v>20001</v>
      </c>
      <c r="AJ118" s="48">
        <v>20002</v>
      </c>
      <c r="AK118" s="48">
        <v>20013</v>
      </c>
      <c r="AL118" s="48">
        <v>20004</v>
      </c>
      <c r="AM118" s="48">
        <v>20005</v>
      </c>
      <c r="AN118" s="25">
        <v>0</v>
      </c>
      <c r="AO118" s="49">
        <v>3</v>
      </c>
      <c r="AP118" s="50">
        <v>75</v>
      </c>
      <c r="AQ118" s="51" t="s">
        <v>1344</v>
      </c>
      <c r="AR118" s="51">
        <f>=F118*247.95</f>
        <v>1646388</v>
      </c>
      <c r="AS118" s="51">
        <f>=G118*32.6061</f>
        <v>3032.3673</v>
      </c>
      <c r="AT118" s="51">
        <f>=J118*2.35</f>
        <v>6234.55</v>
      </c>
      <c r="AU118" s="47">
        <f>=H118*15.88</f>
        <v>857.52</v>
      </c>
    </row>
    <row r="119" spans="1:47">
      <c r="A119" s="24" t="s">
        <v>1341</v>
      </c>
      <c r="B119" s="24">
        <v>11262</v>
      </c>
      <c r="C119" s="24" t="s">
        <v>1342</v>
      </c>
      <c r="D119" s="24" t="s">
        <v>1343</v>
      </c>
      <c r="E119" s="24">
        <v>900011262</v>
      </c>
      <c r="F119" s="24">
        <v>6843</v>
      </c>
      <c r="G119" s="24">
        <v>106</v>
      </c>
      <c r="H119" s="24">
        <v>54</v>
      </c>
      <c r="I119" s="25">
        <v>0.5</v>
      </c>
      <c r="J119" s="24">
        <v>3030</v>
      </c>
      <c r="K119" s="24" t="b">
        <v>1</v>
      </c>
      <c r="L119" s="25">
        <v>0.01</v>
      </c>
      <c r="M119" s="47">
        <v>0</v>
      </c>
      <c r="N119" s="25">
        <v>0.1</v>
      </c>
      <c r="O119" s="47">
        <v>10</v>
      </c>
      <c r="P119" s="25">
        <v>0.5</v>
      </c>
      <c r="Q119" s="24">
        <v>2</v>
      </c>
      <c r="R119" s="24">
        <v>5</v>
      </c>
      <c r="S119" s="25">
        <v>0.5</v>
      </c>
      <c r="T119" s="24">
        <v>0</v>
      </c>
      <c r="U119" s="24">
        <v>0.2</v>
      </c>
      <c r="V119" s="24">
        <v>-0.2</v>
      </c>
      <c r="W119" s="24">
        <v>0</v>
      </c>
      <c r="X119" s="24">
        <v>0</v>
      </c>
      <c r="Y119" s="24">
        <v>0</v>
      </c>
      <c r="Z119" s="24">
        <v>0.2</v>
      </c>
      <c r="AA119" s="24">
        <v>-0.2</v>
      </c>
      <c r="AB119" s="24">
        <v>0</v>
      </c>
      <c r="AC119" s="24">
        <v>0</v>
      </c>
      <c r="AD119" s="24">
        <v>0</v>
      </c>
      <c r="AE119" s="24">
        <v>0.2</v>
      </c>
      <c r="AF119" s="24">
        <v>-0.2</v>
      </c>
      <c r="AG119" s="24">
        <v>0</v>
      </c>
      <c r="AH119" s="24">
        <v>0</v>
      </c>
      <c r="AI119" s="48">
        <v>20001</v>
      </c>
      <c r="AJ119" s="48">
        <v>20002</v>
      </c>
      <c r="AK119" s="48">
        <v>20013</v>
      </c>
      <c r="AL119" s="48">
        <v>20004</v>
      </c>
      <c r="AM119" s="48">
        <v>20005</v>
      </c>
      <c r="AN119" s="25">
        <v>0</v>
      </c>
      <c r="AO119" s="49">
        <v>3</v>
      </c>
      <c r="AP119" s="50">
        <v>75</v>
      </c>
      <c r="AQ119" s="51" t="s">
        <v>1345</v>
      </c>
      <c r="AR119" s="51">
        <f>=F119*247.95</f>
        <v>1696721.85</v>
      </c>
      <c r="AS119" s="51">
        <f>=G119*32.6061</f>
        <v>3456.2466</v>
      </c>
      <c r="AT119" s="51">
        <f>=J119*2.35</f>
        <v>7120.5</v>
      </c>
      <c r="AU119" s="47">
        <f>=H119*15.88</f>
        <v>857.52</v>
      </c>
    </row>
    <row r="120" spans="1:47">
      <c r="A120" s="24" t="s">
        <v>1346</v>
      </c>
      <c r="B120" s="24">
        <v>11263</v>
      </c>
      <c r="C120" s="24" t="s">
        <v>1347</v>
      </c>
      <c r="D120" s="24" t="s">
        <v>1348</v>
      </c>
      <c r="E120" s="24">
        <v>900011263</v>
      </c>
      <c r="F120" s="24">
        <v>6640</v>
      </c>
      <c r="G120" s="24">
        <v>93</v>
      </c>
      <c r="H120" s="24">
        <v>54</v>
      </c>
      <c r="I120" s="25">
        <v>0.5</v>
      </c>
      <c r="J120" s="24">
        <v>2653</v>
      </c>
      <c r="K120" s="24" t="b">
        <v>1</v>
      </c>
      <c r="L120" s="25">
        <v>0.01</v>
      </c>
      <c r="M120" s="47">
        <v>0</v>
      </c>
      <c r="N120" s="25">
        <v>0.1</v>
      </c>
      <c r="O120" s="47">
        <v>10</v>
      </c>
      <c r="P120" s="25">
        <v>0.5</v>
      </c>
      <c r="Q120" s="24">
        <v>2</v>
      </c>
      <c r="R120" s="24">
        <v>3</v>
      </c>
      <c r="S120" s="25">
        <v>0.5</v>
      </c>
      <c r="T120" s="24">
        <v>0</v>
      </c>
      <c r="U120" s="24">
        <v>-0.2</v>
      </c>
      <c r="V120" s="24">
        <v>0</v>
      </c>
      <c r="W120" s="24">
        <v>-0.2</v>
      </c>
      <c r="X120" s="24">
        <v>0.2</v>
      </c>
      <c r="Y120" s="24">
        <v>0</v>
      </c>
      <c r="Z120" s="24">
        <v>-0.2</v>
      </c>
      <c r="AA120" s="24">
        <v>0</v>
      </c>
      <c r="AB120" s="24">
        <v>-0.2</v>
      </c>
      <c r="AC120" s="24">
        <v>0.2</v>
      </c>
      <c r="AD120" s="24">
        <v>0</v>
      </c>
      <c r="AE120" s="24">
        <v>-0.2</v>
      </c>
      <c r="AF120" s="24">
        <v>0</v>
      </c>
      <c r="AG120" s="24">
        <v>-0.2</v>
      </c>
      <c r="AH120" s="24">
        <v>0.2</v>
      </c>
      <c r="AI120" s="48">
        <v>20001</v>
      </c>
      <c r="AJ120" s="48">
        <v>20012</v>
      </c>
      <c r="AK120" s="48">
        <v>20003</v>
      </c>
      <c r="AL120" s="48">
        <v>20004</v>
      </c>
      <c r="AM120" s="48">
        <v>20005</v>
      </c>
      <c r="AN120" s="25">
        <v>0</v>
      </c>
      <c r="AO120" s="49">
        <v>3</v>
      </c>
      <c r="AP120" s="50">
        <v>75</v>
      </c>
      <c r="AQ120" s="51" t="s">
        <v>1349</v>
      </c>
      <c r="AR120" s="51">
        <f>=F120*247.95</f>
        <v>1646388</v>
      </c>
      <c r="AS120" s="51">
        <f>=G120*32.6061</f>
        <v>3032.3673</v>
      </c>
      <c r="AT120" s="51">
        <f>=J120*2.35</f>
        <v>6234.55</v>
      </c>
      <c r="AU120" s="47">
        <f>=H120*15.88</f>
        <v>857.52</v>
      </c>
    </row>
    <row r="121" spans="1:47">
      <c r="A121" s="24" t="s">
        <v>1346</v>
      </c>
      <c r="B121" s="24">
        <v>11264</v>
      </c>
      <c r="C121" s="24" t="s">
        <v>1347</v>
      </c>
      <c r="D121" s="24" t="s">
        <v>1348</v>
      </c>
      <c r="E121" s="24">
        <v>900011264</v>
      </c>
      <c r="F121" s="24">
        <v>6843</v>
      </c>
      <c r="G121" s="24">
        <v>106</v>
      </c>
      <c r="H121" s="24">
        <v>54</v>
      </c>
      <c r="I121" s="25">
        <v>0.5</v>
      </c>
      <c r="J121" s="24">
        <v>3030</v>
      </c>
      <c r="K121" s="24" t="b">
        <v>1</v>
      </c>
      <c r="L121" s="25">
        <v>0.01</v>
      </c>
      <c r="M121" s="47">
        <v>0</v>
      </c>
      <c r="N121" s="25">
        <v>0.1</v>
      </c>
      <c r="O121" s="47">
        <v>10</v>
      </c>
      <c r="P121" s="25">
        <v>0.5</v>
      </c>
      <c r="Q121" s="24">
        <v>2</v>
      </c>
      <c r="R121" s="24">
        <v>5</v>
      </c>
      <c r="S121" s="25">
        <v>0.5</v>
      </c>
      <c r="T121" s="24">
        <v>0</v>
      </c>
      <c r="U121" s="24">
        <v>-0.2</v>
      </c>
      <c r="V121" s="24">
        <v>0</v>
      </c>
      <c r="W121" s="24">
        <v>-0.2</v>
      </c>
      <c r="X121" s="24">
        <v>0.2</v>
      </c>
      <c r="Y121" s="24">
        <v>0</v>
      </c>
      <c r="Z121" s="24">
        <v>-0.2</v>
      </c>
      <c r="AA121" s="24">
        <v>0</v>
      </c>
      <c r="AB121" s="24">
        <v>-0.2</v>
      </c>
      <c r="AC121" s="24">
        <v>0.2</v>
      </c>
      <c r="AD121" s="24">
        <v>0</v>
      </c>
      <c r="AE121" s="24">
        <v>-0.2</v>
      </c>
      <c r="AF121" s="24">
        <v>0</v>
      </c>
      <c r="AG121" s="24">
        <v>-0.2</v>
      </c>
      <c r="AH121" s="24">
        <v>0.2</v>
      </c>
      <c r="AI121" s="48">
        <v>20001</v>
      </c>
      <c r="AJ121" s="48">
        <v>20012</v>
      </c>
      <c r="AK121" s="48">
        <v>20003</v>
      </c>
      <c r="AL121" s="48">
        <v>20004</v>
      </c>
      <c r="AM121" s="48">
        <v>20005</v>
      </c>
      <c r="AN121" s="25">
        <v>0</v>
      </c>
      <c r="AO121" s="49">
        <v>3</v>
      </c>
      <c r="AP121" s="50">
        <v>75</v>
      </c>
      <c r="AQ121" s="51" t="s">
        <v>1350</v>
      </c>
      <c r="AR121" s="51">
        <f>=F121*247.95</f>
        <v>1696721.85</v>
      </c>
      <c r="AS121" s="51">
        <f>=G121*32.6061</f>
        <v>3456.2466</v>
      </c>
      <c r="AT121" s="51">
        <f>=J121*2.35</f>
        <v>7120.5</v>
      </c>
      <c r="AU121" s="47">
        <f>=H121*15.88</f>
        <v>857.52</v>
      </c>
    </row>
    <row r="122" spans="1:47" ht="18" customHeight="1">
      <c r="A122" s="24" t="s">
        <v>1346</v>
      </c>
      <c r="B122" s="24">
        <v>11265</v>
      </c>
      <c r="C122" s="24" t="s">
        <v>1347</v>
      </c>
      <c r="D122" s="24" t="s">
        <v>1348</v>
      </c>
      <c r="E122" s="24">
        <v>900011265</v>
      </c>
      <c r="F122" s="24">
        <v>6843</v>
      </c>
      <c r="G122" s="24">
        <v>106</v>
      </c>
      <c r="H122" s="24">
        <v>54</v>
      </c>
      <c r="I122" s="25">
        <v>0.5</v>
      </c>
      <c r="J122" s="24">
        <v>3030</v>
      </c>
      <c r="K122" s="24" t="b">
        <v>1</v>
      </c>
      <c r="L122" s="25">
        <v>0.01</v>
      </c>
      <c r="M122" s="47">
        <v>0</v>
      </c>
      <c r="N122" s="25">
        <v>0.1</v>
      </c>
      <c r="O122" s="47">
        <v>10</v>
      </c>
      <c r="P122" s="25">
        <v>0.5</v>
      </c>
      <c r="Q122" s="24">
        <v>2</v>
      </c>
      <c r="R122" s="24">
        <v>5</v>
      </c>
      <c r="S122" s="25">
        <v>0.5</v>
      </c>
      <c r="T122" s="24">
        <v>0</v>
      </c>
      <c r="U122" s="24">
        <v>-0.2</v>
      </c>
      <c r="V122" s="24">
        <v>0</v>
      </c>
      <c r="W122" s="24">
        <v>-0.2</v>
      </c>
      <c r="X122" s="24">
        <v>0.2</v>
      </c>
      <c r="Y122" s="24">
        <v>0</v>
      </c>
      <c r="Z122" s="24">
        <v>-0.2</v>
      </c>
      <c r="AA122" s="24">
        <v>0</v>
      </c>
      <c r="AB122" s="24">
        <v>-0.2</v>
      </c>
      <c r="AC122" s="24">
        <v>0.2</v>
      </c>
      <c r="AD122" s="24">
        <v>0</v>
      </c>
      <c r="AE122" s="24">
        <v>-0.2</v>
      </c>
      <c r="AF122" s="24">
        <v>0</v>
      </c>
      <c r="AG122" s="24">
        <v>-0.2</v>
      </c>
      <c r="AH122" s="24">
        <v>0.2</v>
      </c>
      <c r="AI122" s="48">
        <v>20001</v>
      </c>
      <c r="AJ122" s="48">
        <v>20012</v>
      </c>
      <c r="AK122" s="48">
        <v>20003</v>
      </c>
      <c r="AL122" s="48">
        <v>20004</v>
      </c>
      <c r="AM122" s="48">
        <v>20005</v>
      </c>
      <c r="AN122" s="25">
        <v>0</v>
      </c>
      <c r="AO122" s="49">
        <v>3</v>
      </c>
      <c r="AP122" s="50">
        <v>75</v>
      </c>
      <c r="AQ122" s="51" t="s">
        <v>1351</v>
      </c>
      <c r="AR122" s="51">
        <f>=F122*247.95</f>
        <v>1696721.85</v>
      </c>
      <c r="AS122" s="51">
        <f>=G122*32.6061</f>
        <v>3456.2466</v>
      </c>
      <c r="AT122" s="51">
        <f>=J122*2.35</f>
        <v>7120.5</v>
      </c>
      <c r="AU122" s="47">
        <f>=H122*15.88</f>
        <v>857.52</v>
      </c>
    </row>
    <row r="123" spans="1:47">
      <c r="A123" s="24" t="s">
        <v>1352</v>
      </c>
      <c r="B123" s="24">
        <v>11271</v>
      </c>
      <c r="C123" s="24" t="s">
        <v>1353</v>
      </c>
      <c r="D123" s="24" t="s">
        <v>1354</v>
      </c>
      <c r="E123" s="24">
        <v>900011271</v>
      </c>
      <c r="F123" s="24">
        <v>1123</v>
      </c>
      <c r="G123" s="24">
        <v>66</v>
      </c>
      <c r="H123" s="24">
        <v>40</v>
      </c>
      <c r="I123" s="25">
        <v>0.5</v>
      </c>
      <c r="J123" s="24">
        <v>600</v>
      </c>
      <c r="K123" s="24" t="b">
        <v>1</v>
      </c>
      <c r="L123" s="25">
        <v>0</v>
      </c>
      <c r="M123" s="47">
        <v>0</v>
      </c>
      <c r="N123" s="25">
        <v>0.1538</v>
      </c>
      <c r="O123" s="47">
        <v>6.501951</v>
      </c>
      <c r="P123" s="25">
        <v>0.5</v>
      </c>
      <c r="Q123" s="24">
        <v>1</v>
      </c>
      <c r="R123" s="24">
        <v>1</v>
      </c>
      <c r="S123" s="25">
        <v>0</v>
      </c>
      <c r="T123" s="24">
        <v>0</v>
      </c>
      <c r="U123" s="24">
        <v>0</v>
      </c>
      <c r="V123" s="24">
        <v>-0.2</v>
      </c>
      <c r="W123" s="24">
        <v>0</v>
      </c>
      <c r="X123" s="24">
        <v>0</v>
      </c>
      <c r="Y123" s="24">
        <v>0</v>
      </c>
      <c r="Z123" s="24">
        <v>0</v>
      </c>
      <c r="AA123" s="24">
        <v>-0.2</v>
      </c>
      <c r="AB123" s="24">
        <v>0</v>
      </c>
      <c r="AC123" s="24">
        <v>0</v>
      </c>
      <c r="AD123" s="24">
        <v>0</v>
      </c>
      <c r="AE123" s="24">
        <v>0</v>
      </c>
      <c r="AF123" s="24">
        <v>-0.2</v>
      </c>
      <c r="AG123" s="24">
        <v>0</v>
      </c>
      <c r="AH123" s="24">
        <v>0</v>
      </c>
      <c r="AI123" s="48">
        <v>10001</v>
      </c>
      <c r="AJ123" s="48">
        <v>10002</v>
      </c>
      <c r="AK123" s="48">
        <v>10013</v>
      </c>
      <c r="AL123" s="48">
        <v>10004</v>
      </c>
      <c r="AM123" s="48">
        <v>10005</v>
      </c>
      <c r="AN123" s="25">
        <v>0</v>
      </c>
      <c r="AO123" s="49" t="s"/>
      <c r="AP123" s="50">
        <v>50</v>
      </c>
      <c r="AQ123" s="51" t="s">
        <v>1355</v>
      </c>
      <c r="AR123" s="51">
        <f>=F123*247.95</f>
        <v>278447.85</v>
      </c>
      <c r="AS123" s="51">
        <f>=G123*32.6061</f>
        <v>2152.0026</v>
      </c>
      <c r="AT123" s="51">
        <f>=J123*2.35</f>
        <v>1410</v>
      </c>
      <c r="AU123" s="47">
        <f>=H123*15.88</f>
        <v>635.2</v>
      </c>
    </row>
    <row r="124" spans="1:47">
      <c r="A124" s="24" t="s">
        <v>1352</v>
      </c>
      <c r="B124" s="24">
        <v>11272</v>
      </c>
      <c r="C124" s="24" t="s">
        <v>1353</v>
      </c>
      <c r="D124" s="24" t="s">
        <v>1354</v>
      </c>
      <c r="E124" s="24">
        <v>900011272</v>
      </c>
      <c r="F124" s="24">
        <v>1373</v>
      </c>
      <c r="G124" s="24">
        <v>66</v>
      </c>
      <c r="H124" s="24">
        <v>40</v>
      </c>
      <c r="I124" s="25">
        <v>0.5</v>
      </c>
      <c r="J124" s="24">
        <v>900</v>
      </c>
      <c r="K124" s="24" t="b">
        <v>1</v>
      </c>
      <c r="L124" s="25">
        <v>0</v>
      </c>
      <c r="M124" s="47">
        <v>0</v>
      </c>
      <c r="N124" s="25">
        <v>0.1538</v>
      </c>
      <c r="O124" s="47">
        <v>6.501951</v>
      </c>
      <c r="P124" s="25">
        <v>0.5</v>
      </c>
      <c r="Q124" s="24">
        <v>1</v>
      </c>
      <c r="R124" s="24">
        <v>1</v>
      </c>
      <c r="S124" s="25">
        <v>0</v>
      </c>
      <c r="T124" s="24">
        <v>0</v>
      </c>
      <c r="U124" s="24">
        <v>0</v>
      </c>
      <c r="V124" s="24">
        <v>-0.2</v>
      </c>
      <c r="W124" s="24">
        <v>0</v>
      </c>
      <c r="X124" s="24">
        <v>0</v>
      </c>
      <c r="Y124" s="24">
        <v>0</v>
      </c>
      <c r="Z124" s="24">
        <v>0</v>
      </c>
      <c r="AA124" s="24">
        <v>-0.2</v>
      </c>
      <c r="AB124" s="24">
        <v>0</v>
      </c>
      <c r="AC124" s="24">
        <v>0</v>
      </c>
      <c r="AD124" s="24">
        <v>0</v>
      </c>
      <c r="AE124" s="24">
        <v>0</v>
      </c>
      <c r="AF124" s="24">
        <v>-0.2</v>
      </c>
      <c r="AG124" s="24">
        <v>0</v>
      </c>
      <c r="AH124" s="24">
        <v>0</v>
      </c>
      <c r="AI124" s="48">
        <v>10001</v>
      </c>
      <c r="AJ124" s="48">
        <v>10002</v>
      </c>
      <c r="AK124" s="48">
        <v>10013</v>
      </c>
      <c r="AL124" s="48">
        <v>10004</v>
      </c>
      <c r="AM124" s="48">
        <v>10005</v>
      </c>
      <c r="AN124" s="25">
        <v>0</v>
      </c>
      <c r="AO124" s="49" t="s"/>
      <c r="AP124" s="50">
        <v>50</v>
      </c>
      <c r="AQ124" s="51" t="s">
        <v>1356</v>
      </c>
      <c r="AR124" s="51">
        <f>=F124*247.95</f>
        <v>340435.35</v>
      </c>
      <c r="AS124" s="51">
        <f>=G124*32.6061</f>
        <v>2152.0026</v>
      </c>
      <c r="AT124" s="51">
        <f>=J124*2.35</f>
        <v>2115</v>
      </c>
      <c r="AU124" s="47">
        <f>=H124*15.88</f>
        <v>635.2</v>
      </c>
    </row>
    <row r="125" spans="1:47">
      <c r="A125" s="24" t="s">
        <v>1357</v>
      </c>
      <c r="B125" s="24">
        <v>11273</v>
      </c>
      <c r="C125" s="24" t="s">
        <v>1358</v>
      </c>
      <c r="D125" s="24" t="s">
        <v>1359</v>
      </c>
      <c r="E125" s="24">
        <v>900011273</v>
      </c>
      <c r="F125" s="24">
        <v>1123</v>
      </c>
      <c r="G125" s="24">
        <v>66</v>
      </c>
      <c r="H125" s="24">
        <v>40</v>
      </c>
      <c r="I125" s="25">
        <v>0.5</v>
      </c>
      <c r="J125" s="24">
        <v>600</v>
      </c>
      <c r="K125" s="24" t="b">
        <v>1</v>
      </c>
      <c r="L125" s="25">
        <v>0</v>
      </c>
      <c r="M125" s="47">
        <v>0</v>
      </c>
      <c r="N125" s="25">
        <v>0.1538</v>
      </c>
      <c r="O125" s="47">
        <v>6.501951</v>
      </c>
      <c r="P125" s="25">
        <v>0.5</v>
      </c>
      <c r="Q125" s="24">
        <v>1</v>
      </c>
      <c r="R125" s="24">
        <v>1</v>
      </c>
      <c r="S125" s="25">
        <v>0</v>
      </c>
      <c r="T125" s="24">
        <v>0</v>
      </c>
      <c r="U125" s="24">
        <v>-0.2</v>
      </c>
      <c r="V125" s="24">
        <v>0</v>
      </c>
      <c r="W125" s="24">
        <v>-0.2</v>
      </c>
      <c r="X125" s="24">
        <v>0</v>
      </c>
      <c r="Y125" s="24">
        <v>0</v>
      </c>
      <c r="Z125" s="24">
        <v>-0.2</v>
      </c>
      <c r="AA125" s="24">
        <v>0</v>
      </c>
      <c r="AB125" s="24">
        <v>-0.2</v>
      </c>
      <c r="AC125" s="24">
        <v>0</v>
      </c>
      <c r="AD125" s="24">
        <v>0</v>
      </c>
      <c r="AE125" s="24">
        <v>-0.2</v>
      </c>
      <c r="AF125" s="24">
        <v>0</v>
      </c>
      <c r="AG125" s="24">
        <v>-0.2</v>
      </c>
      <c r="AH125" s="24">
        <v>0</v>
      </c>
      <c r="AI125" s="48">
        <v>10001</v>
      </c>
      <c r="AJ125" s="48">
        <v>10012</v>
      </c>
      <c r="AK125" s="48">
        <v>10003</v>
      </c>
      <c r="AL125" s="48">
        <v>10004</v>
      </c>
      <c r="AM125" s="48">
        <v>10005</v>
      </c>
      <c r="AN125" s="25">
        <v>0</v>
      </c>
      <c r="AO125" s="49" t="s"/>
      <c r="AP125" s="50">
        <v>50</v>
      </c>
      <c r="AQ125" s="51" t="s">
        <v>1360</v>
      </c>
      <c r="AR125" s="51">
        <f>=F125*247.95</f>
        <v>278447.85</v>
      </c>
      <c r="AS125" s="51">
        <f>=G125*32.6061</f>
        <v>2152.0026</v>
      </c>
      <c r="AT125" s="51">
        <f>=J125*2.35</f>
        <v>1410</v>
      </c>
      <c r="AU125" s="47">
        <f>=H125*15.88</f>
        <v>635.2</v>
      </c>
    </row>
    <row r="126" spans="1:47">
      <c r="A126" s="24" t="s">
        <v>1357</v>
      </c>
      <c r="B126" s="24">
        <v>11274</v>
      </c>
      <c r="C126" s="24" t="s">
        <v>1358</v>
      </c>
      <c r="D126" s="24" t="s">
        <v>1359</v>
      </c>
      <c r="E126" s="24">
        <v>900011274</v>
      </c>
      <c r="F126" s="24">
        <v>1373</v>
      </c>
      <c r="G126" s="24">
        <v>66</v>
      </c>
      <c r="H126" s="24">
        <v>40</v>
      </c>
      <c r="I126" s="25">
        <v>0.5</v>
      </c>
      <c r="J126" s="24">
        <v>900</v>
      </c>
      <c r="K126" s="24" t="b">
        <v>1</v>
      </c>
      <c r="L126" s="25">
        <v>0</v>
      </c>
      <c r="M126" s="47">
        <v>0</v>
      </c>
      <c r="N126" s="25">
        <v>0.1538</v>
      </c>
      <c r="O126" s="47">
        <v>6.501951</v>
      </c>
      <c r="P126" s="25">
        <v>0.5</v>
      </c>
      <c r="Q126" s="24">
        <v>1</v>
      </c>
      <c r="R126" s="24">
        <v>1</v>
      </c>
      <c r="S126" s="25">
        <v>0</v>
      </c>
      <c r="T126" s="24">
        <v>0</v>
      </c>
      <c r="U126" s="24">
        <v>-0.2</v>
      </c>
      <c r="V126" s="24">
        <v>0</v>
      </c>
      <c r="W126" s="24">
        <v>-0.2</v>
      </c>
      <c r="X126" s="24">
        <v>0</v>
      </c>
      <c r="Y126" s="24">
        <v>0</v>
      </c>
      <c r="Z126" s="24">
        <v>-0.2</v>
      </c>
      <c r="AA126" s="24">
        <v>0</v>
      </c>
      <c r="AB126" s="24">
        <v>-0.2</v>
      </c>
      <c r="AC126" s="24">
        <v>0</v>
      </c>
      <c r="AD126" s="24">
        <v>0</v>
      </c>
      <c r="AE126" s="24">
        <v>-0.2</v>
      </c>
      <c r="AF126" s="24">
        <v>0</v>
      </c>
      <c r="AG126" s="24">
        <v>-0.2</v>
      </c>
      <c r="AH126" s="24">
        <v>0</v>
      </c>
      <c r="AI126" s="48">
        <v>10001</v>
      </c>
      <c r="AJ126" s="48">
        <v>10012</v>
      </c>
      <c r="AK126" s="48">
        <v>10003</v>
      </c>
      <c r="AL126" s="48">
        <v>10004</v>
      </c>
      <c r="AM126" s="48">
        <v>10005</v>
      </c>
      <c r="AN126" s="25">
        <v>0</v>
      </c>
      <c r="AO126" s="49" t="s"/>
      <c r="AP126" s="50">
        <v>50</v>
      </c>
      <c r="AQ126" s="51" t="s">
        <v>1361</v>
      </c>
      <c r="AR126" s="51">
        <f>=F126*247.95</f>
        <v>340435.35</v>
      </c>
      <c r="AS126" s="51">
        <f>=G126*32.6061</f>
        <v>2152.0026</v>
      </c>
      <c r="AT126" s="51">
        <f>=J126*2.35</f>
        <v>2115</v>
      </c>
      <c r="AU126" s="47">
        <f>=H126*15.88</f>
        <v>635.2</v>
      </c>
    </row>
    <row r="127" spans="1:47">
      <c r="A127" s="24" t="s">
        <v>1362</v>
      </c>
      <c r="B127" s="24">
        <v>11281</v>
      </c>
      <c r="C127" s="24" t="s">
        <v>1363</v>
      </c>
      <c r="D127" s="24" t="s">
        <v>1364</v>
      </c>
      <c r="E127" s="24">
        <v>900011281</v>
      </c>
      <c r="F127" s="24">
        <v>1123</v>
      </c>
      <c r="G127" s="24">
        <v>60</v>
      </c>
      <c r="H127" s="24">
        <v>46</v>
      </c>
      <c r="I127" s="25">
        <v>0.5</v>
      </c>
      <c r="J127" s="24">
        <v>600</v>
      </c>
      <c r="K127" s="24" t="b">
        <v>1</v>
      </c>
      <c r="L127" s="25">
        <v>0</v>
      </c>
      <c r="M127" s="47">
        <v>0</v>
      </c>
      <c r="N127" s="25">
        <v>0.1538</v>
      </c>
      <c r="O127" s="47">
        <v>6.501951</v>
      </c>
      <c r="P127" s="25">
        <v>0.25</v>
      </c>
      <c r="Q127" s="24">
        <v>1</v>
      </c>
      <c r="R127" s="24">
        <v>1</v>
      </c>
      <c r="S127" s="25">
        <v>0</v>
      </c>
      <c r="T127" s="24">
        <v>0</v>
      </c>
      <c r="U127" s="24">
        <v>0</v>
      </c>
      <c r="V127" s="24">
        <v>-0.2</v>
      </c>
      <c r="W127" s="24">
        <v>0</v>
      </c>
      <c r="X127" s="24">
        <v>0</v>
      </c>
      <c r="Y127" s="24">
        <v>0</v>
      </c>
      <c r="Z127" s="24">
        <v>0</v>
      </c>
      <c r="AA127" s="24">
        <v>-0.2</v>
      </c>
      <c r="AB127" s="24">
        <v>0</v>
      </c>
      <c r="AC127" s="24">
        <v>0</v>
      </c>
      <c r="AD127" s="24">
        <v>0</v>
      </c>
      <c r="AE127" s="24">
        <v>0</v>
      </c>
      <c r="AF127" s="24">
        <v>-0.2</v>
      </c>
      <c r="AG127" s="24">
        <v>0</v>
      </c>
      <c r="AH127" s="24">
        <v>0</v>
      </c>
      <c r="AI127" s="48">
        <v>10001</v>
      </c>
      <c r="AJ127" s="48">
        <v>10002</v>
      </c>
      <c r="AK127" s="48">
        <v>10013</v>
      </c>
      <c r="AL127" s="48">
        <v>10004</v>
      </c>
      <c r="AM127" s="48">
        <v>10005</v>
      </c>
      <c r="AN127" s="25">
        <v>0</v>
      </c>
      <c r="AO127" s="49" t="s"/>
      <c r="AP127" s="50">
        <v>50</v>
      </c>
      <c r="AQ127" s="51" t="s">
        <v>1365</v>
      </c>
      <c r="AR127" s="51">
        <f>=F127*247.95</f>
        <v>278447.85</v>
      </c>
      <c r="AS127" s="51">
        <f>=G127*32.6061</f>
        <v>1956.366</v>
      </c>
      <c r="AT127" s="51">
        <f>=J127*2.35</f>
        <v>1410</v>
      </c>
      <c r="AU127" s="47">
        <f>=H127*15.88</f>
        <v>730.48</v>
      </c>
    </row>
    <row r="128" spans="1:47">
      <c r="A128" s="24" t="s">
        <v>1362</v>
      </c>
      <c r="B128" s="24">
        <v>11282</v>
      </c>
      <c r="C128" s="24" t="s">
        <v>1363</v>
      </c>
      <c r="D128" s="24" t="s">
        <v>1364</v>
      </c>
      <c r="E128" s="24">
        <v>900011282</v>
      </c>
      <c r="F128" s="24">
        <v>1373</v>
      </c>
      <c r="G128" s="24">
        <v>60</v>
      </c>
      <c r="H128" s="24">
        <v>46</v>
      </c>
      <c r="I128" s="25">
        <v>0.5</v>
      </c>
      <c r="J128" s="24">
        <v>900</v>
      </c>
      <c r="K128" s="24" t="b">
        <v>1</v>
      </c>
      <c r="L128" s="25">
        <v>0</v>
      </c>
      <c r="M128" s="47">
        <v>0</v>
      </c>
      <c r="N128" s="25">
        <v>0.1538</v>
      </c>
      <c r="O128" s="47">
        <v>6.501951</v>
      </c>
      <c r="P128" s="25">
        <v>0.25</v>
      </c>
      <c r="Q128" s="24">
        <v>1</v>
      </c>
      <c r="R128" s="24">
        <v>1</v>
      </c>
      <c r="S128" s="25">
        <v>0</v>
      </c>
      <c r="T128" s="24">
        <v>0</v>
      </c>
      <c r="U128" s="24">
        <v>0</v>
      </c>
      <c r="V128" s="24">
        <v>-0.2</v>
      </c>
      <c r="W128" s="24">
        <v>0</v>
      </c>
      <c r="X128" s="24">
        <v>0</v>
      </c>
      <c r="Y128" s="24">
        <v>0</v>
      </c>
      <c r="Z128" s="24">
        <v>0</v>
      </c>
      <c r="AA128" s="24">
        <v>-0.2</v>
      </c>
      <c r="AB128" s="24">
        <v>0</v>
      </c>
      <c r="AC128" s="24">
        <v>0</v>
      </c>
      <c r="AD128" s="24">
        <v>0</v>
      </c>
      <c r="AE128" s="24">
        <v>0</v>
      </c>
      <c r="AF128" s="24">
        <v>-0.2</v>
      </c>
      <c r="AG128" s="24">
        <v>0</v>
      </c>
      <c r="AH128" s="24">
        <v>0</v>
      </c>
      <c r="AI128" s="48">
        <v>10001</v>
      </c>
      <c r="AJ128" s="48">
        <v>10002</v>
      </c>
      <c r="AK128" s="48">
        <v>10013</v>
      </c>
      <c r="AL128" s="48">
        <v>10004</v>
      </c>
      <c r="AM128" s="48">
        <v>10005</v>
      </c>
      <c r="AN128" s="25">
        <v>0</v>
      </c>
      <c r="AO128" s="49" t="s"/>
      <c r="AP128" s="50">
        <v>50</v>
      </c>
      <c r="AQ128" s="51" t="s">
        <v>1366</v>
      </c>
      <c r="AR128" s="51">
        <f>=F128*247.95</f>
        <v>340435.35</v>
      </c>
      <c r="AS128" s="51">
        <f>=G128*32.6061</f>
        <v>1956.366</v>
      </c>
      <c r="AT128" s="51">
        <f>=J128*2.35</f>
        <v>2115</v>
      </c>
      <c r="AU128" s="47">
        <f>=H128*15.88</f>
        <v>730.48</v>
      </c>
    </row>
    <row r="129" spans="1:47">
      <c r="A129" s="24" t="s">
        <v>1367</v>
      </c>
      <c r="B129" s="24">
        <v>11283</v>
      </c>
      <c r="C129" s="24" t="s">
        <v>1368</v>
      </c>
      <c r="D129" s="24" t="s">
        <v>1369</v>
      </c>
      <c r="E129" s="24">
        <v>900011283</v>
      </c>
      <c r="F129" s="24">
        <v>1123</v>
      </c>
      <c r="G129" s="24">
        <v>60</v>
      </c>
      <c r="H129" s="24">
        <v>46</v>
      </c>
      <c r="I129" s="25">
        <v>0.5</v>
      </c>
      <c r="J129" s="24">
        <v>600</v>
      </c>
      <c r="K129" s="24" t="b">
        <v>1</v>
      </c>
      <c r="L129" s="25">
        <v>0</v>
      </c>
      <c r="M129" s="47">
        <v>0</v>
      </c>
      <c r="N129" s="25">
        <v>0.1538</v>
      </c>
      <c r="O129" s="47">
        <v>6.501951</v>
      </c>
      <c r="P129" s="25">
        <v>0.25</v>
      </c>
      <c r="Q129" s="24">
        <v>1</v>
      </c>
      <c r="R129" s="24">
        <v>1</v>
      </c>
      <c r="S129" s="25">
        <v>0</v>
      </c>
      <c r="T129" s="24">
        <v>0</v>
      </c>
      <c r="U129" s="24">
        <v>-0.2</v>
      </c>
      <c r="V129" s="24">
        <v>0</v>
      </c>
      <c r="W129" s="24">
        <v>-0.2</v>
      </c>
      <c r="X129" s="24">
        <v>0</v>
      </c>
      <c r="Y129" s="24">
        <v>0</v>
      </c>
      <c r="Z129" s="24">
        <v>-0.2</v>
      </c>
      <c r="AA129" s="24">
        <v>0</v>
      </c>
      <c r="AB129" s="24">
        <v>-0.2</v>
      </c>
      <c r="AC129" s="24">
        <v>0</v>
      </c>
      <c r="AD129" s="24">
        <v>0</v>
      </c>
      <c r="AE129" s="24">
        <v>-0.2</v>
      </c>
      <c r="AF129" s="24">
        <v>0</v>
      </c>
      <c r="AG129" s="24">
        <v>-0.2</v>
      </c>
      <c r="AH129" s="24">
        <v>0</v>
      </c>
      <c r="AI129" s="48">
        <v>10001</v>
      </c>
      <c r="AJ129" s="48">
        <v>10012</v>
      </c>
      <c r="AK129" s="48">
        <v>10003</v>
      </c>
      <c r="AL129" s="48">
        <v>10004</v>
      </c>
      <c r="AM129" s="48">
        <v>10005</v>
      </c>
      <c r="AN129" s="25">
        <v>0</v>
      </c>
      <c r="AO129" s="49" t="s"/>
      <c r="AP129" s="50">
        <v>50</v>
      </c>
      <c r="AQ129" s="51" t="s">
        <v>1370</v>
      </c>
      <c r="AR129" s="51">
        <f>=F129*247.95</f>
        <v>278447.85</v>
      </c>
      <c r="AS129" s="51">
        <f>=G129*32.6061</f>
        <v>1956.366</v>
      </c>
      <c r="AT129" s="51">
        <f>=J129*2.35</f>
        <v>1410</v>
      </c>
      <c r="AU129" s="47">
        <f>=H129*15.88</f>
        <v>730.48</v>
      </c>
    </row>
    <row r="130" spans="1:47">
      <c r="A130" s="24" t="s">
        <v>1367</v>
      </c>
      <c r="B130" s="24">
        <v>11284</v>
      </c>
      <c r="C130" s="24" t="s">
        <v>1368</v>
      </c>
      <c r="D130" s="24" t="s">
        <v>1369</v>
      </c>
      <c r="E130" s="24">
        <v>900011284</v>
      </c>
      <c r="F130" s="24">
        <v>1373</v>
      </c>
      <c r="G130" s="24">
        <v>60</v>
      </c>
      <c r="H130" s="24">
        <v>46</v>
      </c>
      <c r="I130" s="25">
        <v>0.5</v>
      </c>
      <c r="J130" s="24">
        <v>900</v>
      </c>
      <c r="K130" s="24" t="b">
        <v>1</v>
      </c>
      <c r="L130" s="25">
        <v>0</v>
      </c>
      <c r="M130" s="47">
        <v>0</v>
      </c>
      <c r="N130" s="25">
        <v>0.1538</v>
      </c>
      <c r="O130" s="47">
        <v>6.501951</v>
      </c>
      <c r="P130" s="25">
        <v>0.25</v>
      </c>
      <c r="Q130" s="24">
        <v>1</v>
      </c>
      <c r="R130" s="24">
        <v>1</v>
      </c>
      <c r="S130" s="25">
        <v>0</v>
      </c>
      <c r="T130" s="24">
        <v>0</v>
      </c>
      <c r="U130" s="24">
        <v>-0.2</v>
      </c>
      <c r="V130" s="24">
        <v>0</v>
      </c>
      <c r="W130" s="24">
        <v>-0.2</v>
      </c>
      <c r="X130" s="24">
        <v>0</v>
      </c>
      <c r="Y130" s="24">
        <v>0</v>
      </c>
      <c r="Z130" s="24">
        <v>-0.2</v>
      </c>
      <c r="AA130" s="24">
        <v>0</v>
      </c>
      <c r="AB130" s="24">
        <v>-0.2</v>
      </c>
      <c r="AC130" s="24">
        <v>0</v>
      </c>
      <c r="AD130" s="24">
        <v>0</v>
      </c>
      <c r="AE130" s="24">
        <v>-0.2</v>
      </c>
      <c r="AF130" s="24">
        <v>0</v>
      </c>
      <c r="AG130" s="24">
        <v>-0.2</v>
      </c>
      <c r="AH130" s="24">
        <v>0</v>
      </c>
      <c r="AI130" s="48">
        <v>10001</v>
      </c>
      <c r="AJ130" s="48">
        <v>10012</v>
      </c>
      <c r="AK130" s="48">
        <v>10003</v>
      </c>
      <c r="AL130" s="48">
        <v>10004</v>
      </c>
      <c r="AM130" s="48">
        <v>10005</v>
      </c>
      <c r="AN130" s="25">
        <v>0</v>
      </c>
      <c r="AO130" s="49" t="s"/>
      <c r="AP130" s="50">
        <v>50</v>
      </c>
      <c r="AQ130" s="51" t="s">
        <v>1371</v>
      </c>
      <c r="AR130" s="51">
        <f>=F130*247.95</f>
        <v>340435.35</v>
      </c>
      <c r="AS130" s="51">
        <f>=G130*32.6061</f>
        <v>1956.366</v>
      </c>
      <c r="AT130" s="51">
        <f>=J130*2.35</f>
        <v>2115</v>
      </c>
      <c r="AU130" s="47">
        <f>=H130*15.88</f>
        <v>730.48</v>
      </c>
    </row>
    <row r="131" spans="1:47">
      <c r="A131" s="24" t="s">
        <v>1372</v>
      </c>
      <c r="B131" s="24">
        <v>11291</v>
      </c>
      <c r="C131" s="24" t="s">
        <v>1373</v>
      </c>
      <c r="D131" s="24" t="s">
        <v>1374</v>
      </c>
      <c r="E131" s="24">
        <v>900011291</v>
      </c>
      <c r="F131" s="24">
        <v>884</v>
      </c>
      <c r="G131" s="24">
        <v>63</v>
      </c>
      <c r="H131" s="24">
        <v>36</v>
      </c>
      <c r="I131" s="25">
        <v>0.5</v>
      </c>
      <c r="J131" s="24">
        <v>630</v>
      </c>
      <c r="K131" s="24" t="b">
        <v>0</v>
      </c>
      <c r="L131" s="25">
        <v>0</v>
      </c>
      <c r="M131" s="47">
        <v>0</v>
      </c>
      <c r="N131" s="25">
        <v>0.1538</v>
      </c>
      <c r="O131" s="47">
        <v>6.501951</v>
      </c>
      <c r="P131" s="25">
        <v>0.5</v>
      </c>
      <c r="Q131" s="24">
        <v>1</v>
      </c>
      <c r="R131" s="24">
        <v>99</v>
      </c>
      <c r="S131" s="25">
        <v>0</v>
      </c>
      <c r="T131" s="24">
        <v>-0.2</v>
      </c>
      <c r="U131" s="24">
        <v>0</v>
      </c>
      <c r="V131" s="24">
        <v>0</v>
      </c>
      <c r="W131" s="24">
        <v>0</v>
      </c>
      <c r="X131" s="24">
        <v>-0.2</v>
      </c>
      <c r="Y131" s="24">
        <v>2.8</v>
      </c>
      <c r="Z131" s="24">
        <v>3</v>
      </c>
      <c r="AA131" s="24">
        <v>3</v>
      </c>
      <c r="AB131" s="24">
        <v>3</v>
      </c>
      <c r="AC131" s="24">
        <v>2.8</v>
      </c>
      <c r="AD131" s="24">
        <v>-0.2</v>
      </c>
      <c r="AE131" s="24">
        <v>0</v>
      </c>
      <c r="AF131" s="24">
        <v>0</v>
      </c>
      <c r="AG131" s="24">
        <v>0</v>
      </c>
      <c r="AH131" s="24">
        <v>-0.2</v>
      </c>
      <c r="AI131" s="48">
        <v>10001</v>
      </c>
      <c r="AJ131" s="48">
        <v>10002</v>
      </c>
      <c r="AK131" s="48">
        <v>10003</v>
      </c>
      <c r="AL131" s="48">
        <v>10004</v>
      </c>
      <c r="AM131" s="48">
        <v>10015</v>
      </c>
      <c r="AN131" s="25">
        <v>0</v>
      </c>
      <c r="AO131" s="49" t="s"/>
      <c r="AP131" s="50">
        <v>50</v>
      </c>
      <c r="AQ131" s="51" t="s">
        <v>1375</v>
      </c>
      <c r="AR131" s="51">
        <f>=F131*247.95</f>
        <v>219187.8</v>
      </c>
      <c r="AS131" s="51">
        <f>=G131*32.6061</f>
        <v>2054.1843</v>
      </c>
      <c r="AT131" s="51">
        <f>=J131*2.35</f>
        <v>1480.5</v>
      </c>
      <c r="AU131" s="47">
        <f>=H131*15.88</f>
        <v>571.68</v>
      </c>
    </row>
    <row r="132" spans="1:47">
      <c r="A132" s="24" t="s">
        <v>1372</v>
      </c>
      <c r="B132" s="24">
        <v>11292</v>
      </c>
      <c r="C132" s="24" t="s">
        <v>1373</v>
      </c>
      <c r="D132" s="24" t="s">
        <v>1374</v>
      </c>
      <c r="E132" s="24">
        <v>900011292</v>
      </c>
      <c r="F132" s="24">
        <v>884</v>
      </c>
      <c r="G132" s="24">
        <v>63</v>
      </c>
      <c r="H132" s="24">
        <v>36</v>
      </c>
      <c r="I132" s="25">
        <v>0.5</v>
      </c>
      <c r="J132" s="24">
        <v>630</v>
      </c>
      <c r="K132" s="24" t="b">
        <v>0</v>
      </c>
      <c r="L132" s="25">
        <v>0</v>
      </c>
      <c r="M132" s="47">
        <v>0</v>
      </c>
      <c r="N132" s="25">
        <v>0.1538</v>
      </c>
      <c r="O132" s="47">
        <v>6.501951</v>
      </c>
      <c r="P132" s="25">
        <v>0.5</v>
      </c>
      <c r="Q132" s="24">
        <v>1</v>
      </c>
      <c r="R132" s="24">
        <v>99</v>
      </c>
      <c r="S132" s="25">
        <v>0</v>
      </c>
      <c r="T132" s="24">
        <v>-0.2</v>
      </c>
      <c r="U132" s="24">
        <v>0</v>
      </c>
      <c r="V132" s="24">
        <v>0</v>
      </c>
      <c r="W132" s="24">
        <v>0</v>
      </c>
      <c r="X132" s="24">
        <v>-0.2</v>
      </c>
      <c r="Y132" s="24">
        <v>2.8</v>
      </c>
      <c r="Z132" s="24">
        <v>3</v>
      </c>
      <c r="AA132" s="24">
        <v>3</v>
      </c>
      <c r="AB132" s="24">
        <v>3</v>
      </c>
      <c r="AC132" s="24">
        <v>2.8</v>
      </c>
      <c r="AD132" s="24">
        <v>-0.2</v>
      </c>
      <c r="AE132" s="24">
        <v>0</v>
      </c>
      <c r="AF132" s="24">
        <v>0</v>
      </c>
      <c r="AG132" s="24">
        <v>0</v>
      </c>
      <c r="AH132" s="24">
        <v>-0.2</v>
      </c>
      <c r="AI132" s="48">
        <v>10001</v>
      </c>
      <c r="AJ132" s="48">
        <v>10002</v>
      </c>
      <c r="AK132" s="48">
        <v>10003</v>
      </c>
      <c r="AL132" s="48">
        <v>10004</v>
      </c>
      <c r="AM132" s="48">
        <v>10015</v>
      </c>
      <c r="AN132" s="25">
        <v>0</v>
      </c>
      <c r="AO132" s="49" t="s"/>
      <c r="AP132" s="50">
        <v>50</v>
      </c>
      <c r="AQ132" s="51" t="s">
        <v>1376</v>
      </c>
      <c r="AR132" s="51">
        <f>=F132*247.95</f>
        <v>219187.8</v>
      </c>
      <c r="AS132" s="51">
        <f>=G132*32.6061</f>
        <v>2054.1843</v>
      </c>
      <c r="AT132" s="51">
        <f>=J132*2.35</f>
        <v>1480.5</v>
      </c>
      <c r="AU132" s="47">
        <f>=H132*15.88</f>
        <v>571.68</v>
      </c>
    </row>
    <row r="133" spans="1:47">
      <c r="A133" s="24" t="s">
        <v>1372</v>
      </c>
      <c r="B133" s="24">
        <v>11293</v>
      </c>
      <c r="C133" s="24" t="s">
        <v>1373</v>
      </c>
      <c r="D133" s="24" t="s">
        <v>1374</v>
      </c>
      <c r="E133" s="24">
        <v>900011293</v>
      </c>
      <c r="F133" s="24">
        <v>1153</v>
      </c>
      <c r="G133" s="24">
        <v>63</v>
      </c>
      <c r="H133" s="24">
        <v>36</v>
      </c>
      <c r="I133" s="25">
        <v>0.5</v>
      </c>
      <c r="J133" s="24">
        <v>945</v>
      </c>
      <c r="K133" s="24" t="b">
        <v>0</v>
      </c>
      <c r="L133" s="25">
        <v>0</v>
      </c>
      <c r="M133" s="47">
        <v>0</v>
      </c>
      <c r="N133" s="25">
        <v>0.1538</v>
      </c>
      <c r="O133" s="47">
        <v>6.501951</v>
      </c>
      <c r="P133" s="25">
        <v>0.5</v>
      </c>
      <c r="Q133" s="24">
        <v>1</v>
      </c>
      <c r="R133" s="24">
        <v>99</v>
      </c>
      <c r="S133" s="25">
        <v>0</v>
      </c>
      <c r="T133" s="24">
        <v>-0.2</v>
      </c>
      <c r="U133" s="24">
        <v>0</v>
      </c>
      <c r="V133" s="24">
        <v>0</v>
      </c>
      <c r="W133" s="24">
        <v>0</v>
      </c>
      <c r="X133" s="24">
        <v>-0.2</v>
      </c>
      <c r="Y133" s="24">
        <v>2.8</v>
      </c>
      <c r="Z133" s="24">
        <v>3</v>
      </c>
      <c r="AA133" s="24">
        <v>3</v>
      </c>
      <c r="AB133" s="24">
        <v>3</v>
      </c>
      <c r="AC133" s="24">
        <v>2.8</v>
      </c>
      <c r="AD133" s="24">
        <v>-0.2</v>
      </c>
      <c r="AE133" s="24">
        <v>0</v>
      </c>
      <c r="AF133" s="24">
        <v>0</v>
      </c>
      <c r="AG133" s="24">
        <v>0</v>
      </c>
      <c r="AH133" s="24">
        <v>-0.2</v>
      </c>
      <c r="AI133" s="48">
        <v>10001</v>
      </c>
      <c r="AJ133" s="48">
        <v>10002</v>
      </c>
      <c r="AK133" s="48">
        <v>10003</v>
      </c>
      <c r="AL133" s="48">
        <v>10004</v>
      </c>
      <c r="AM133" s="48">
        <v>10015</v>
      </c>
      <c r="AN133" s="25">
        <v>0</v>
      </c>
      <c r="AO133" s="49" t="s"/>
      <c r="AP133" s="50">
        <v>50</v>
      </c>
      <c r="AQ133" s="51" t="s">
        <v>1377</v>
      </c>
      <c r="AR133" s="51">
        <f>=F133*247.95</f>
        <v>285886.35</v>
      </c>
      <c r="AS133" s="51">
        <f>=G133*32.6061</f>
        <v>2054.1843</v>
      </c>
      <c r="AT133" s="51">
        <f>=J133*2.35</f>
        <v>2220.75</v>
      </c>
      <c r="AU133" s="47">
        <f>=H133*15.88</f>
        <v>571.68</v>
      </c>
    </row>
    <row r="134" spans="1:47">
      <c r="A134" s="24" t="s">
        <v>1372</v>
      </c>
      <c r="B134" s="24">
        <v>11294</v>
      </c>
      <c r="C134" s="24" t="s">
        <v>1373</v>
      </c>
      <c r="D134" s="24" t="s">
        <v>1374</v>
      </c>
      <c r="E134" s="24">
        <v>900011294</v>
      </c>
      <c r="F134" s="24">
        <v>1153</v>
      </c>
      <c r="G134" s="24">
        <v>63</v>
      </c>
      <c r="H134" s="24">
        <v>36</v>
      </c>
      <c r="I134" s="25">
        <v>0.5</v>
      </c>
      <c r="J134" s="24">
        <v>945</v>
      </c>
      <c r="K134" s="24" t="b">
        <v>0</v>
      </c>
      <c r="L134" s="25">
        <v>0</v>
      </c>
      <c r="M134" s="47">
        <v>0</v>
      </c>
      <c r="N134" s="25">
        <v>0.1538</v>
      </c>
      <c r="O134" s="47">
        <v>6.501951</v>
      </c>
      <c r="P134" s="25">
        <v>0.5</v>
      </c>
      <c r="Q134" s="24">
        <v>1</v>
      </c>
      <c r="R134" s="24">
        <v>99</v>
      </c>
      <c r="S134" s="25">
        <v>0</v>
      </c>
      <c r="T134" s="24">
        <v>-0.2</v>
      </c>
      <c r="U134" s="24">
        <v>0</v>
      </c>
      <c r="V134" s="24">
        <v>0</v>
      </c>
      <c r="W134" s="24">
        <v>0</v>
      </c>
      <c r="X134" s="24">
        <v>-0.2</v>
      </c>
      <c r="Y134" s="24">
        <v>2.8</v>
      </c>
      <c r="Z134" s="24">
        <v>3</v>
      </c>
      <c r="AA134" s="24">
        <v>3</v>
      </c>
      <c r="AB134" s="24">
        <v>3</v>
      </c>
      <c r="AC134" s="24">
        <v>2.8</v>
      </c>
      <c r="AD134" s="24">
        <v>-0.2</v>
      </c>
      <c r="AE134" s="24">
        <v>0</v>
      </c>
      <c r="AF134" s="24">
        <v>0</v>
      </c>
      <c r="AG134" s="24">
        <v>0</v>
      </c>
      <c r="AH134" s="24">
        <v>-0.2</v>
      </c>
      <c r="AI134" s="48">
        <v>10001</v>
      </c>
      <c r="AJ134" s="48">
        <v>10002</v>
      </c>
      <c r="AK134" s="48">
        <v>10003</v>
      </c>
      <c r="AL134" s="48">
        <v>10004</v>
      </c>
      <c r="AM134" s="48">
        <v>10015</v>
      </c>
      <c r="AN134" s="25">
        <v>0</v>
      </c>
      <c r="AO134" s="49" t="s"/>
      <c r="AP134" s="50">
        <v>50</v>
      </c>
      <c r="AQ134" s="51" t="s">
        <v>1378</v>
      </c>
      <c r="AR134" s="51">
        <f>=F134*247.95</f>
        <v>285886.35</v>
      </c>
      <c r="AS134" s="51">
        <f>=G134*32.6061</f>
        <v>2054.1843</v>
      </c>
      <c r="AT134" s="51">
        <f>=J134*2.35</f>
        <v>2220.75</v>
      </c>
      <c r="AU134" s="47">
        <f>=H134*15.88</f>
        <v>571.68</v>
      </c>
    </row>
    <row r="135" spans="1:47">
      <c r="A135" s="24" t="s">
        <v>1379</v>
      </c>
      <c r="B135" s="24">
        <v>11295</v>
      </c>
      <c r="C135" s="24" t="s">
        <v>1380</v>
      </c>
      <c r="D135" s="24" t="s">
        <v>1381</v>
      </c>
      <c r="E135" s="24">
        <v>900011295</v>
      </c>
      <c r="F135" s="24">
        <v>1081</v>
      </c>
      <c r="G135" s="24">
        <v>63</v>
      </c>
      <c r="H135" s="24">
        <v>36</v>
      </c>
      <c r="I135" s="25">
        <v>0.5</v>
      </c>
      <c r="J135" s="24">
        <v>945</v>
      </c>
      <c r="K135" s="24" t="b">
        <v>0</v>
      </c>
      <c r="L135" s="25">
        <v>0</v>
      </c>
      <c r="M135" s="47">
        <v>0</v>
      </c>
      <c r="N135" s="25">
        <v>0.1538</v>
      </c>
      <c r="O135" s="47">
        <v>6.501951</v>
      </c>
      <c r="P135" s="25">
        <v>0.5</v>
      </c>
      <c r="Q135" s="24">
        <v>1</v>
      </c>
      <c r="R135" s="24">
        <v>99</v>
      </c>
      <c r="S135" s="25">
        <v>0</v>
      </c>
      <c r="T135" s="24">
        <v>0</v>
      </c>
      <c r="U135" s="24">
        <v>-0.2</v>
      </c>
      <c r="V135" s="24">
        <v>0</v>
      </c>
      <c r="W135" s="24">
        <v>0</v>
      </c>
      <c r="X135" s="24">
        <v>0</v>
      </c>
      <c r="Y135" s="24">
        <v>3</v>
      </c>
      <c r="Z135" s="24">
        <v>2.8</v>
      </c>
      <c r="AA135" s="24">
        <v>3</v>
      </c>
      <c r="AB135" s="24">
        <v>3</v>
      </c>
      <c r="AC135" s="24">
        <v>3</v>
      </c>
      <c r="AD135" s="24">
        <v>0</v>
      </c>
      <c r="AE135" s="24">
        <v>-0.2</v>
      </c>
      <c r="AF135" s="24">
        <v>0</v>
      </c>
      <c r="AG135" s="24">
        <v>0</v>
      </c>
      <c r="AH135" s="24">
        <v>0</v>
      </c>
      <c r="AI135" s="48">
        <v>10001</v>
      </c>
      <c r="AJ135" s="48">
        <v>10012</v>
      </c>
      <c r="AK135" s="48">
        <v>10003</v>
      </c>
      <c r="AL135" s="48">
        <v>10004</v>
      </c>
      <c r="AM135" s="48">
        <v>10005</v>
      </c>
      <c r="AN135" s="25">
        <v>0</v>
      </c>
      <c r="AO135" s="49" t="s"/>
      <c r="AP135" s="50">
        <v>50</v>
      </c>
      <c r="AQ135" s="51" t="s">
        <v>1382</v>
      </c>
      <c r="AR135" s="51">
        <f>=F135*247.95</f>
        <v>268033.95</v>
      </c>
      <c r="AS135" s="51">
        <f>=G135*32.6061</f>
        <v>2054.1843</v>
      </c>
      <c r="AT135" s="51">
        <f>=J135*2.35</f>
        <v>2220.75</v>
      </c>
      <c r="AU135" s="47">
        <f>=H135*15.88</f>
        <v>571.68</v>
      </c>
    </row>
    <row r="136" spans="1:47">
      <c r="A136" s="24" t="s">
        <v>1379</v>
      </c>
      <c r="B136" s="24">
        <v>11296</v>
      </c>
      <c r="C136" s="24" t="s">
        <v>1380</v>
      </c>
      <c r="D136" s="24" t="s">
        <v>1381</v>
      </c>
      <c r="E136" s="24">
        <v>900011296</v>
      </c>
      <c r="F136" s="24">
        <v>1081</v>
      </c>
      <c r="G136" s="24">
        <v>63</v>
      </c>
      <c r="H136" s="24">
        <v>36</v>
      </c>
      <c r="I136" s="25">
        <v>0.5</v>
      </c>
      <c r="J136" s="24">
        <v>945</v>
      </c>
      <c r="K136" s="24" t="b">
        <v>0</v>
      </c>
      <c r="L136" s="25">
        <v>0</v>
      </c>
      <c r="M136" s="47">
        <v>0</v>
      </c>
      <c r="N136" s="25">
        <v>0.1538</v>
      </c>
      <c r="O136" s="47">
        <v>6.501951</v>
      </c>
      <c r="P136" s="25">
        <v>0.5</v>
      </c>
      <c r="Q136" s="24">
        <v>1</v>
      </c>
      <c r="R136" s="24">
        <v>99</v>
      </c>
      <c r="S136" s="25">
        <v>0</v>
      </c>
      <c r="T136" s="24">
        <v>0</v>
      </c>
      <c r="U136" s="24">
        <v>-0.2</v>
      </c>
      <c r="V136" s="24">
        <v>0</v>
      </c>
      <c r="W136" s="24">
        <v>0</v>
      </c>
      <c r="X136" s="24">
        <v>0</v>
      </c>
      <c r="Y136" s="24">
        <v>3</v>
      </c>
      <c r="Z136" s="24">
        <v>2.8</v>
      </c>
      <c r="AA136" s="24">
        <v>3</v>
      </c>
      <c r="AB136" s="24">
        <v>3</v>
      </c>
      <c r="AC136" s="24">
        <v>3</v>
      </c>
      <c r="AD136" s="24">
        <v>0</v>
      </c>
      <c r="AE136" s="24">
        <v>-0.2</v>
      </c>
      <c r="AF136" s="24">
        <v>0</v>
      </c>
      <c r="AG136" s="24">
        <v>0</v>
      </c>
      <c r="AH136" s="24">
        <v>0</v>
      </c>
      <c r="AI136" s="48">
        <v>10001</v>
      </c>
      <c r="AJ136" s="48">
        <v>10012</v>
      </c>
      <c r="AK136" s="48">
        <v>10003</v>
      </c>
      <c r="AL136" s="48">
        <v>10004</v>
      </c>
      <c r="AM136" s="48">
        <v>10005</v>
      </c>
      <c r="AN136" s="25">
        <v>0</v>
      </c>
      <c r="AO136" s="49" t="s"/>
      <c r="AP136" s="50">
        <v>50</v>
      </c>
      <c r="AQ136" s="51" t="s">
        <v>1383</v>
      </c>
      <c r="AR136" s="51">
        <f>=F136*247.95</f>
        <v>268033.95</v>
      </c>
      <c r="AS136" s="51">
        <f>=G136*32.6061</f>
        <v>2054.1843</v>
      </c>
      <c r="AT136" s="51">
        <f>=J136*2.35</f>
        <v>2220.75</v>
      </c>
      <c r="AU136" s="47">
        <f>=H136*15.88</f>
        <v>571.68</v>
      </c>
    </row>
    <row r="137" spans="1:47">
      <c r="A137" s="24" t="s">
        <v>1379</v>
      </c>
      <c r="B137" s="24">
        <v>11297</v>
      </c>
      <c r="C137" s="24" t="s">
        <v>1380</v>
      </c>
      <c r="D137" s="24" t="s">
        <v>1381</v>
      </c>
      <c r="E137" s="24">
        <v>900011297</v>
      </c>
      <c r="F137" s="24">
        <v>1153</v>
      </c>
      <c r="G137" s="24">
        <v>63</v>
      </c>
      <c r="H137" s="24">
        <v>36</v>
      </c>
      <c r="I137" s="25">
        <v>0.5</v>
      </c>
      <c r="J137" s="24">
        <v>945</v>
      </c>
      <c r="K137" s="24" t="b">
        <v>0</v>
      </c>
      <c r="L137" s="25">
        <v>0</v>
      </c>
      <c r="M137" s="47">
        <v>0</v>
      </c>
      <c r="N137" s="25">
        <v>0.1538</v>
      </c>
      <c r="O137" s="47">
        <v>6.501951</v>
      </c>
      <c r="P137" s="25">
        <v>0.5</v>
      </c>
      <c r="Q137" s="24">
        <v>1</v>
      </c>
      <c r="R137" s="24">
        <v>99</v>
      </c>
      <c r="S137" s="25">
        <v>0</v>
      </c>
      <c r="T137" s="24">
        <v>0</v>
      </c>
      <c r="U137" s="24">
        <v>-0.2</v>
      </c>
      <c r="V137" s="24">
        <v>0</v>
      </c>
      <c r="W137" s="24">
        <v>0</v>
      </c>
      <c r="X137" s="24">
        <v>0</v>
      </c>
      <c r="Y137" s="24">
        <v>3</v>
      </c>
      <c r="Z137" s="24">
        <v>2.8</v>
      </c>
      <c r="AA137" s="24">
        <v>3</v>
      </c>
      <c r="AB137" s="24">
        <v>3</v>
      </c>
      <c r="AC137" s="24">
        <v>3</v>
      </c>
      <c r="AD137" s="24">
        <v>0</v>
      </c>
      <c r="AE137" s="24">
        <v>-0.2</v>
      </c>
      <c r="AF137" s="24">
        <v>0</v>
      </c>
      <c r="AG137" s="24">
        <v>0</v>
      </c>
      <c r="AH137" s="24">
        <v>0</v>
      </c>
      <c r="AI137" s="48">
        <v>10001</v>
      </c>
      <c r="AJ137" s="48">
        <v>10012</v>
      </c>
      <c r="AK137" s="48">
        <v>10003</v>
      </c>
      <c r="AL137" s="48">
        <v>10004</v>
      </c>
      <c r="AM137" s="48">
        <v>10005</v>
      </c>
      <c r="AN137" s="25">
        <v>0</v>
      </c>
      <c r="AO137" s="49" t="s"/>
      <c r="AP137" s="50">
        <v>50</v>
      </c>
      <c r="AQ137" s="51" t="s">
        <v>1384</v>
      </c>
      <c r="AR137" s="51">
        <f>=F137*247.95</f>
        <v>285886.35</v>
      </c>
      <c r="AS137" s="51">
        <f>=G137*32.6061</f>
        <v>2054.1843</v>
      </c>
      <c r="AT137" s="51">
        <f>=J137*2.35</f>
        <v>2220.75</v>
      </c>
      <c r="AU137" s="47">
        <f>=H137*15.88</f>
        <v>571.68</v>
      </c>
    </row>
    <row r="138" spans="1:47">
      <c r="A138" s="24" t="s">
        <v>1379</v>
      </c>
      <c r="B138" s="24">
        <v>11298</v>
      </c>
      <c r="C138" s="24" t="s">
        <v>1380</v>
      </c>
      <c r="D138" s="24" t="s">
        <v>1381</v>
      </c>
      <c r="E138" s="24">
        <v>900011298</v>
      </c>
      <c r="F138" s="24">
        <v>1153</v>
      </c>
      <c r="G138" s="24">
        <v>63</v>
      </c>
      <c r="H138" s="24">
        <v>36</v>
      </c>
      <c r="I138" s="25">
        <v>0.5</v>
      </c>
      <c r="J138" s="24">
        <v>945</v>
      </c>
      <c r="K138" s="24" t="b">
        <v>0</v>
      </c>
      <c r="L138" s="25">
        <v>0</v>
      </c>
      <c r="M138" s="47">
        <v>0</v>
      </c>
      <c r="N138" s="25">
        <v>0.1538</v>
      </c>
      <c r="O138" s="47">
        <v>6.501951</v>
      </c>
      <c r="P138" s="25">
        <v>0.5</v>
      </c>
      <c r="Q138" s="24">
        <v>1</v>
      </c>
      <c r="R138" s="24">
        <v>99</v>
      </c>
      <c r="S138" s="25">
        <v>0</v>
      </c>
      <c r="T138" s="24">
        <v>0</v>
      </c>
      <c r="U138" s="24">
        <v>-0.2</v>
      </c>
      <c r="V138" s="24">
        <v>0</v>
      </c>
      <c r="W138" s="24">
        <v>0</v>
      </c>
      <c r="X138" s="24">
        <v>0</v>
      </c>
      <c r="Y138" s="24">
        <v>3</v>
      </c>
      <c r="Z138" s="24">
        <v>2.8</v>
      </c>
      <c r="AA138" s="24">
        <v>3</v>
      </c>
      <c r="AB138" s="24">
        <v>3</v>
      </c>
      <c r="AC138" s="24">
        <v>3</v>
      </c>
      <c r="AD138" s="24">
        <v>0</v>
      </c>
      <c r="AE138" s="24">
        <v>-0.2</v>
      </c>
      <c r="AF138" s="24">
        <v>0</v>
      </c>
      <c r="AG138" s="24">
        <v>0</v>
      </c>
      <c r="AH138" s="24">
        <v>0</v>
      </c>
      <c r="AI138" s="48">
        <v>10001</v>
      </c>
      <c r="AJ138" s="48">
        <v>10012</v>
      </c>
      <c r="AK138" s="48">
        <v>10003</v>
      </c>
      <c r="AL138" s="48">
        <v>10004</v>
      </c>
      <c r="AM138" s="48">
        <v>10005</v>
      </c>
      <c r="AN138" s="25">
        <v>0</v>
      </c>
      <c r="AO138" s="49" t="s"/>
      <c r="AP138" s="50">
        <v>50</v>
      </c>
      <c r="AQ138" s="51" t="s">
        <v>1385</v>
      </c>
      <c r="AR138" s="51">
        <f>=F138*247.95</f>
        <v>285886.35</v>
      </c>
      <c r="AS138" s="51">
        <f>=G138*32.6061</f>
        <v>2054.1843</v>
      </c>
      <c r="AT138" s="51">
        <f>=J138*2.35</f>
        <v>2220.75</v>
      </c>
      <c r="AU138" s="47">
        <f>=H138*15.88</f>
        <v>571.68</v>
      </c>
    </row>
    <row r="139" spans="1:47">
      <c r="A139" s="24" t="s">
        <v>1386</v>
      </c>
      <c r="B139" s="24">
        <v>11301</v>
      </c>
      <c r="C139" s="24" t="s">
        <v>1387</v>
      </c>
      <c r="D139" s="24" t="s">
        <v>1388</v>
      </c>
      <c r="E139" s="24">
        <v>900011301</v>
      </c>
      <c r="F139" s="24">
        <v>21523</v>
      </c>
      <c r="G139" s="24">
        <v>120</v>
      </c>
      <c r="H139" s="24">
        <v>60</v>
      </c>
      <c r="I139" s="25">
        <v>0.5</v>
      </c>
      <c r="J139" s="24">
        <v>7189</v>
      </c>
      <c r="K139" s="24" t="b">
        <v>1</v>
      </c>
      <c r="L139" s="25">
        <v>0</v>
      </c>
      <c r="M139" s="47">
        <v>0</v>
      </c>
      <c r="N139" s="25">
        <v>0.0833</v>
      </c>
      <c r="O139" s="47">
        <v>12.0048</v>
      </c>
      <c r="P139" s="25">
        <v>0.5</v>
      </c>
      <c r="Q139" s="24">
        <v>3</v>
      </c>
      <c r="R139" s="24">
        <v>99</v>
      </c>
      <c r="S139" s="25">
        <v>0.75</v>
      </c>
      <c r="T139" s="24">
        <v>0</v>
      </c>
      <c r="U139" s="24">
        <v>0</v>
      </c>
      <c r="V139" s="24">
        <v>-0.2</v>
      </c>
      <c r="W139" s="24">
        <v>0.2</v>
      </c>
      <c r="X139" s="24">
        <v>0</v>
      </c>
      <c r="Y139" s="24">
        <v>0</v>
      </c>
      <c r="Z139" s="24">
        <v>0</v>
      </c>
      <c r="AA139" s="24">
        <v>-0.2</v>
      </c>
      <c r="AB139" s="24">
        <v>0.2</v>
      </c>
      <c r="AC139" s="24">
        <v>0</v>
      </c>
      <c r="AD139" s="24">
        <v>0</v>
      </c>
      <c r="AE139" s="24">
        <v>0</v>
      </c>
      <c r="AF139" s="24">
        <v>-0.2</v>
      </c>
      <c r="AG139" s="24">
        <v>0.2</v>
      </c>
      <c r="AH139" s="24">
        <v>0</v>
      </c>
      <c r="AI139" s="48">
        <v>30011</v>
      </c>
      <c r="AJ139" s="48">
        <v>30002</v>
      </c>
      <c r="AK139" s="48">
        <v>30013</v>
      </c>
      <c r="AL139" s="48">
        <v>30004</v>
      </c>
      <c r="AM139" s="48">
        <v>30005</v>
      </c>
      <c r="AN139" s="25">
        <v>0</v>
      </c>
      <c r="AO139" s="49">
        <v>5</v>
      </c>
      <c r="AP139" s="50">
        <v>100</v>
      </c>
      <c r="AQ139" s="51" t="s">
        <v>1389</v>
      </c>
      <c r="AR139" s="51">
        <f>=F139*247.95</f>
        <v>5336627.85</v>
      </c>
      <c r="AS139" s="51">
        <f>=G139*32.6061</f>
        <v>3912.732</v>
      </c>
      <c r="AT139" s="51">
        <f>=J139*2.35</f>
        <v>16894.15</v>
      </c>
      <c r="AU139" s="47">
        <f>=H139*15.88</f>
        <v>952.8</v>
      </c>
    </row>
    <row r="140" spans="1:47">
      <c r="A140" s="24" t="s">
        <v>1390</v>
      </c>
      <c r="B140" s="24">
        <v>11302</v>
      </c>
      <c r="C140" s="24" t="s">
        <v>1391</v>
      </c>
      <c r="D140" s="24" t="s">
        <v>1392</v>
      </c>
      <c r="E140" s="24">
        <v>900011302</v>
      </c>
      <c r="F140" s="24">
        <v>21523</v>
      </c>
      <c r="G140" s="24">
        <v>120</v>
      </c>
      <c r="H140" s="24">
        <v>60</v>
      </c>
      <c r="I140" s="25">
        <v>0.5</v>
      </c>
      <c r="J140" s="24">
        <v>7189</v>
      </c>
      <c r="K140" s="24" t="b">
        <v>1</v>
      </c>
      <c r="L140" s="25">
        <v>0</v>
      </c>
      <c r="M140" s="47">
        <v>0</v>
      </c>
      <c r="N140" s="25">
        <v>0.0833</v>
      </c>
      <c r="O140" s="47">
        <v>12.0048</v>
      </c>
      <c r="P140" s="25">
        <v>0.5</v>
      </c>
      <c r="Q140" s="24">
        <v>3</v>
      </c>
      <c r="R140" s="24">
        <v>99</v>
      </c>
      <c r="S140" s="25">
        <v>0.75</v>
      </c>
      <c r="T140" s="24">
        <v>0</v>
      </c>
      <c r="U140" s="24">
        <v>-0.2</v>
      </c>
      <c r="V140" s="24">
        <v>0</v>
      </c>
      <c r="W140" s="24">
        <v>0.2</v>
      </c>
      <c r="X140" s="24">
        <v>0</v>
      </c>
      <c r="Y140" s="24">
        <v>0</v>
      </c>
      <c r="Z140" s="24">
        <v>-0.2</v>
      </c>
      <c r="AA140" s="24">
        <v>0</v>
      </c>
      <c r="AB140" s="24">
        <v>0.2</v>
      </c>
      <c r="AC140" s="24">
        <v>0</v>
      </c>
      <c r="AD140" s="24">
        <v>0</v>
      </c>
      <c r="AE140" s="24">
        <v>-0.2</v>
      </c>
      <c r="AF140" s="24">
        <v>0</v>
      </c>
      <c r="AG140" s="24">
        <v>0.2</v>
      </c>
      <c r="AH140" s="24">
        <v>0</v>
      </c>
      <c r="AI140" s="48">
        <v>30011</v>
      </c>
      <c r="AJ140" s="48">
        <v>30012</v>
      </c>
      <c r="AK140" s="48">
        <v>30003</v>
      </c>
      <c r="AL140" s="48">
        <v>30004</v>
      </c>
      <c r="AM140" s="48">
        <v>30005</v>
      </c>
      <c r="AN140" s="25">
        <v>0</v>
      </c>
      <c r="AO140" s="49">
        <v>5</v>
      </c>
      <c r="AP140" s="50">
        <v>100</v>
      </c>
      <c r="AQ140" s="51" t="s">
        <v>1393</v>
      </c>
      <c r="AR140" s="51">
        <f>=F140*247.95</f>
        <v>5336627.85</v>
      </c>
      <c r="AS140" s="51">
        <f>=G140*32.6061</f>
        <v>3912.732</v>
      </c>
      <c r="AT140" s="51">
        <f>=J140*2.35</f>
        <v>16894.15</v>
      </c>
      <c r="AU140" s="47">
        <f>=H140*15.88</f>
        <v>952.8</v>
      </c>
    </row>
    <row r="141" spans="1:47">
      <c r="A141" s="24" t="s">
        <v>1394</v>
      </c>
      <c r="B141" s="24">
        <v>11303</v>
      </c>
      <c r="C141" s="24" t="s">
        <v>1395</v>
      </c>
      <c r="D141" s="24" t="s">
        <v>1396</v>
      </c>
      <c r="E141" s="24">
        <v>900011303</v>
      </c>
      <c r="F141" s="24">
        <v>21523</v>
      </c>
      <c r="G141" s="24">
        <v>120</v>
      </c>
      <c r="H141" s="24">
        <v>60</v>
      </c>
      <c r="I141" s="25">
        <v>0.5</v>
      </c>
      <c r="J141" s="24">
        <v>7189</v>
      </c>
      <c r="K141" s="24" t="b">
        <v>1</v>
      </c>
      <c r="L141" s="25">
        <v>0</v>
      </c>
      <c r="M141" s="47">
        <v>0</v>
      </c>
      <c r="N141" s="25">
        <v>0.0833</v>
      </c>
      <c r="O141" s="47">
        <v>12.0048</v>
      </c>
      <c r="P141" s="25">
        <v>0.5</v>
      </c>
      <c r="Q141" s="24">
        <v>3</v>
      </c>
      <c r="R141" s="24">
        <v>99</v>
      </c>
      <c r="S141" s="25">
        <v>0.75</v>
      </c>
      <c r="T141" s="24">
        <v>0</v>
      </c>
      <c r="U141" s="24">
        <v>0</v>
      </c>
      <c r="V141" s="24">
        <v>0</v>
      </c>
      <c r="W141" s="24">
        <v>0.2</v>
      </c>
      <c r="X141" s="24">
        <v>-0.2</v>
      </c>
      <c r="Y141" s="24">
        <v>0</v>
      </c>
      <c r="Z141" s="24">
        <v>0</v>
      </c>
      <c r="AA141" s="24">
        <v>0</v>
      </c>
      <c r="AB141" s="24">
        <v>0.2</v>
      </c>
      <c r="AC141" s="24">
        <v>-0.2</v>
      </c>
      <c r="AD141" s="24">
        <v>0</v>
      </c>
      <c r="AE141" s="24">
        <v>0</v>
      </c>
      <c r="AF141" s="24">
        <v>0</v>
      </c>
      <c r="AG141" s="24">
        <v>0.2</v>
      </c>
      <c r="AH141" s="24">
        <v>-0.2</v>
      </c>
      <c r="AI141" s="48">
        <v>30011</v>
      </c>
      <c r="AJ141" s="48">
        <v>30002</v>
      </c>
      <c r="AK141" s="48">
        <v>30003</v>
      </c>
      <c r="AL141" s="48">
        <v>30004</v>
      </c>
      <c r="AM141" s="48">
        <v>30015</v>
      </c>
      <c r="AN141" s="25">
        <v>0</v>
      </c>
      <c r="AO141" s="49">
        <v>5</v>
      </c>
      <c r="AP141" s="50">
        <v>100</v>
      </c>
      <c r="AQ141" s="51" t="s">
        <v>1397</v>
      </c>
      <c r="AR141" s="51">
        <f>=F141*247.95</f>
        <v>5336627.85</v>
      </c>
      <c r="AS141" s="51">
        <f>=G141*32.6061</f>
        <v>3912.732</v>
      </c>
      <c r="AT141" s="51">
        <f>=J141*2.35</f>
        <v>16894.15</v>
      </c>
      <c r="AU141" s="47">
        <f>=H141*15.88</f>
        <v>952.8</v>
      </c>
    </row>
    <row r="142" spans="1:47">
      <c r="A142" s="24" t="s">
        <v>1398</v>
      </c>
      <c r="B142" s="24">
        <v>11311</v>
      </c>
      <c r="C142" s="24" t="s">
        <v>1399</v>
      </c>
      <c r="D142" s="24" t="s">
        <v>1400</v>
      </c>
      <c r="E142" s="24">
        <v>900011311</v>
      </c>
      <c r="F142" s="24">
        <v>1123</v>
      </c>
      <c r="G142" s="24">
        <v>63</v>
      </c>
      <c r="H142" s="24">
        <v>40</v>
      </c>
      <c r="I142" s="25">
        <v>0.5</v>
      </c>
      <c r="J142" s="24">
        <v>600</v>
      </c>
      <c r="K142" s="24" t="b">
        <v>1</v>
      </c>
      <c r="L142" s="25">
        <v>0</v>
      </c>
      <c r="M142" s="47">
        <v>0</v>
      </c>
      <c r="N142" s="25">
        <v>0.1538</v>
      </c>
      <c r="O142" s="47">
        <v>6.501951</v>
      </c>
      <c r="P142" s="25">
        <v>0.5</v>
      </c>
      <c r="Q142" s="24">
        <v>1</v>
      </c>
      <c r="R142" s="24">
        <v>1</v>
      </c>
      <c r="S142" s="25">
        <v>0</v>
      </c>
      <c r="T142" s="24">
        <v>0</v>
      </c>
      <c r="U142" s="24">
        <v>-0.2</v>
      </c>
      <c r="V142" s="24">
        <v>0</v>
      </c>
      <c r="W142" s="24">
        <v>-0.2</v>
      </c>
      <c r="X142" s="24">
        <v>0</v>
      </c>
      <c r="Y142" s="24">
        <v>0</v>
      </c>
      <c r="Z142" s="24">
        <v>-0.2</v>
      </c>
      <c r="AA142" s="24">
        <v>0</v>
      </c>
      <c r="AB142" s="24">
        <v>-0.2</v>
      </c>
      <c r="AC142" s="24">
        <v>0</v>
      </c>
      <c r="AD142" s="24">
        <v>0</v>
      </c>
      <c r="AE142" s="24">
        <v>-0.2</v>
      </c>
      <c r="AF142" s="24">
        <v>0</v>
      </c>
      <c r="AG142" s="24">
        <v>-0.2</v>
      </c>
      <c r="AH142" s="24">
        <v>0</v>
      </c>
      <c r="AI142" s="48">
        <v>10001</v>
      </c>
      <c r="AJ142" s="48">
        <v>10012</v>
      </c>
      <c r="AK142" s="48">
        <v>10003</v>
      </c>
      <c r="AL142" s="48">
        <v>10004</v>
      </c>
      <c r="AM142" s="48">
        <v>10005</v>
      </c>
      <c r="AN142" s="25">
        <v>0</v>
      </c>
      <c r="AO142" s="49" t="s"/>
      <c r="AP142" s="50">
        <v>50</v>
      </c>
      <c r="AQ142" s="51" t="s">
        <v>1401</v>
      </c>
      <c r="AR142" s="51">
        <f>=F142*247.95</f>
        <v>278447.85</v>
      </c>
      <c r="AS142" s="51">
        <f>=G142*32.6061</f>
        <v>2054.1843</v>
      </c>
      <c r="AT142" s="51">
        <f>=J142*2.35</f>
        <v>1410</v>
      </c>
      <c r="AU142" s="47">
        <f>=H142*15.88</f>
        <v>635.2</v>
      </c>
    </row>
    <row r="143" spans="1:47">
      <c r="A143" s="24" t="s">
        <v>1398</v>
      </c>
      <c r="B143" s="24">
        <v>11312</v>
      </c>
      <c r="C143" s="24" t="s">
        <v>1399</v>
      </c>
      <c r="D143" s="24" t="s">
        <v>1400</v>
      </c>
      <c r="E143" s="24">
        <v>900011312</v>
      </c>
      <c r="F143" s="24">
        <v>1373</v>
      </c>
      <c r="G143" s="24">
        <v>63</v>
      </c>
      <c r="H143" s="24">
        <v>40</v>
      </c>
      <c r="I143" s="25">
        <v>0.5</v>
      </c>
      <c r="J143" s="24">
        <v>900</v>
      </c>
      <c r="K143" s="24" t="b">
        <v>1</v>
      </c>
      <c r="L143" s="25">
        <v>0</v>
      </c>
      <c r="M143" s="47">
        <v>0</v>
      </c>
      <c r="N143" s="25">
        <v>0.1538</v>
      </c>
      <c r="O143" s="47">
        <v>6.501951</v>
      </c>
      <c r="P143" s="25">
        <v>0.5</v>
      </c>
      <c r="Q143" s="24">
        <v>1</v>
      </c>
      <c r="R143" s="24">
        <v>1</v>
      </c>
      <c r="S143" s="25">
        <v>0</v>
      </c>
      <c r="T143" s="24">
        <v>0</v>
      </c>
      <c r="U143" s="24">
        <v>-0.2</v>
      </c>
      <c r="V143" s="24">
        <v>0</v>
      </c>
      <c r="W143" s="24">
        <v>-0.2</v>
      </c>
      <c r="X143" s="24">
        <v>0</v>
      </c>
      <c r="Y143" s="24">
        <v>0</v>
      </c>
      <c r="Z143" s="24">
        <v>-0.2</v>
      </c>
      <c r="AA143" s="24">
        <v>0</v>
      </c>
      <c r="AB143" s="24">
        <v>-0.2</v>
      </c>
      <c r="AC143" s="24">
        <v>0</v>
      </c>
      <c r="AD143" s="24">
        <v>0</v>
      </c>
      <c r="AE143" s="24">
        <v>-0.2</v>
      </c>
      <c r="AF143" s="24">
        <v>0</v>
      </c>
      <c r="AG143" s="24">
        <v>-0.2</v>
      </c>
      <c r="AH143" s="24">
        <v>0</v>
      </c>
      <c r="AI143" s="48">
        <v>10001</v>
      </c>
      <c r="AJ143" s="48">
        <v>10012</v>
      </c>
      <c r="AK143" s="48">
        <v>10003</v>
      </c>
      <c r="AL143" s="48">
        <v>10004</v>
      </c>
      <c r="AM143" s="48">
        <v>10005</v>
      </c>
      <c r="AN143" s="25">
        <v>0</v>
      </c>
      <c r="AO143" s="49" t="s"/>
      <c r="AP143" s="50">
        <v>50</v>
      </c>
      <c r="AQ143" s="51" t="s">
        <v>1402</v>
      </c>
      <c r="AR143" s="51">
        <f>=F143*247.95</f>
        <v>340435.35</v>
      </c>
      <c r="AS143" s="51">
        <f>=G143*32.6061</f>
        <v>2054.1843</v>
      </c>
      <c r="AT143" s="51">
        <f>=J143*2.35</f>
        <v>2115</v>
      </c>
      <c r="AU143" s="47">
        <f>=H143*15.88</f>
        <v>635.2</v>
      </c>
    </row>
    <row r="144" spans="1:47">
      <c r="A144" s="24" t="s">
        <v>1403</v>
      </c>
      <c r="B144" s="24">
        <v>11313</v>
      </c>
      <c r="C144" s="24" t="s">
        <v>1404</v>
      </c>
      <c r="D144" s="24" t="s">
        <v>1405</v>
      </c>
      <c r="E144" s="24">
        <v>900011313</v>
      </c>
      <c r="F144" s="24">
        <v>1123</v>
      </c>
      <c r="G144" s="24">
        <v>63</v>
      </c>
      <c r="H144" s="24">
        <v>40</v>
      </c>
      <c r="I144" s="25">
        <v>0.5</v>
      </c>
      <c r="J144" s="24">
        <v>600</v>
      </c>
      <c r="K144" s="24" t="b">
        <v>1</v>
      </c>
      <c r="L144" s="25">
        <v>0</v>
      </c>
      <c r="M144" s="47">
        <v>0</v>
      </c>
      <c r="N144" s="25">
        <v>0.1538</v>
      </c>
      <c r="O144" s="47">
        <v>6.501951</v>
      </c>
      <c r="P144" s="25">
        <v>0.5</v>
      </c>
      <c r="Q144" s="24">
        <v>1</v>
      </c>
      <c r="R144" s="24">
        <v>1</v>
      </c>
      <c r="S144" s="25">
        <v>0</v>
      </c>
      <c r="T144" s="24">
        <v>-0.2</v>
      </c>
      <c r="U144" s="24">
        <v>0</v>
      </c>
      <c r="V144" s="24">
        <v>0</v>
      </c>
      <c r="W144" s="24">
        <v>-0.2</v>
      </c>
      <c r="X144" s="24">
        <v>0</v>
      </c>
      <c r="Y144" s="24">
        <v>-0.2</v>
      </c>
      <c r="Z144" s="24">
        <v>0</v>
      </c>
      <c r="AA144" s="24">
        <v>0</v>
      </c>
      <c r="AB144" s="24">
        <v>-0.2</v>
      </c>
      <c r="AC144" s="24">
        <v>0</v>
      </c>
      <c r="AD144" s="24">
        <v>-0.2</v>
      </c>
      <c r="AE144" s="24">
        <v>0</v>
      </c>
      <c r="AF144" s="24">
        <v>0</v>
      </c>
      <c r="AG144" s="24">
        <v>-0.2</v>
      </c>
      <c r="AH144" s="24">
        <v>0</v>
      </c>
      <c r="AI144" s="48">
        <v>10001</v>
      </c>
      <c r="AJ144" s="48">
        <v>10002</v>
      </c>
      <c r="AK144" s="48">
        <v>10003</v>
      </c>
      <c r="AL144" s="48">
        <v>10004</v>
      </c>
      <c r="AM144" s="48">
        <v>10005</v>
      </c>
      <c r="AN144" s="25">
        <v>0</v>
      </c>
      <c r="AO144" s="49" t="s"/>
      <c r="AP144" s="50">
        <v>50</v>
      </c>
      <c r="AQ144" s="51" t="s">
        <v>1406</v>
      </c>
      <c r="AR144" s="51">
        <f>=F144*247.95</f>
        <v>278447.85</v>
      </c>
      <c r="AS144" s="51">
        <f>=G144*32.6061</f>
        <v>2054.1843</v>
      </c>
      <c r="AT144" s="51">
        <f>=J144*2.35</f>
        <v>1410</v>
      </c>
      <c r="AU144" s="47">
        <f>=H144*15.88</f>
        <v>635.2</v>
      </c>
    </row>
    <row r="145" spans="1:47">
      <c r="A145" s="24" t="s">
        <v>1403</v>
      </c>
      <c r="B145" s="24">
        <v>11314</v>
      </c>
      <c r="C145" s="24" t="s">
        <v>1404</v>
      </c>
      <c r="D145" s="24" t="s">
        <v>1405</v>
      </c>
      <c r="E145" s="24">
        <v>900011314</v>
      </c>
      <c r="F145" s="24">
        <v>1373</v>
      </c>
      <c r="G145" s="24">
        <v>63</v>
      </c>
      <c r="H145" s="24">
        <v>40</v>
      </c>
      <c r="I145" s="25">
        <v>0.5</v>
      </c>
      <c r="J145" s="24">
        <v>900</v>
      </c>
      <c r="K145" s="24" t="b">
        <v>1</v>
      </c>
      <c r="L145" s="25">
        <v>0</v>
      </c>
      <c r="M145" s="47">
        <v>0</v>
      </c>
      <c r="N145" s="25">
        <v>0.1538</v>
      </c>
      <c r="O145" s="47">
        <v>6.501951</v>
      </c>
      <c r="P145" s="25">
        <v>0.5</v>
      </c>
      <c r="Q145" s="24">
        <v>1</v>
      </c>
      <c r="R145" s="24">
        <v>1</v>
      </c>
      <c r="S145" s="25">
        <v>0</v>
      </c>
      <c r="T145" s="24">
        <v>-0.2</v>
      </c>
      <c r="U145" s="24">
        <v>0</v>
      </c>
      <c r="V145" s="24">
        <v>0</v>
      </c>
      <c r="W145" s="24">
        <v>-0.2</v>
      </c>
      <c r="X145" s="24">
        <v>0</v>
      </c>
      <c r="Y145" s="24">
        <v>-0.2</v>
      </c>
      <c r="Z145" s="24">
        <v>0</v>
      </c>
      <c r="AA145" s="24">
        <v>0</v>
      </c>
      <c r="AB145" s="24">
        <v>-0.2</v>
      </c>
      <c r="AC145" s="24">
        <v>0</v>
      </c>
      <c r="AD145" s="24">
        <v>-0.2</v>
      </c>
      <c r="AE145" s="24">
        <v>0</v>
      </c>
      <c r="AF145" s="24">
        <v>0</v>
      </c>
      <c r="AG145" s="24">
        <v>-0.2</v>
      </c>
      <c r="AH145" s="24">
        <v>0</v>
      </c>
      <c r="AI145" s="48">
        <v>10001</v>
      </c>
      <c r="AJ145" s="48">
        <v>10002</v>
      </c>
      <c r="AK145" s="48">
        <v>10003</v>
      </c>
      <c r="AL145" s="48">
        <v>10004</v>
      </c>
      <c r="AM145" s="48">
        <v>10005</v>
      </c>
      <c r="AN145" s="25">
        <v>0</v>
      </c>
      <c r="AO145" s="49" t="s"/>
      <c r="AP145" s="50">
        <v>50</v>
      </c>
      <c r="AQ145" s="51" t="s">
        <v>1407</v>
      </c>
      <c r="AR145" s="51">
        <f>=F145*247.95</f>
        <v>340435.35</v>
      </c>
      <c r="AS145" s="51">
        <f>=G145*32.6061</f>
        <v>2054.1843</v>
      </c>
      <c r="AT145" s="51">
        <f>=J145*2.35</f>
        <v>2115</v>
      </c>
      <c r="AU145" s="47">
        <f>=H145*15.88</f>
        <v>635.2</v>
      </c>
    </row>
    <row r="146" spans="1:47" ht="18" customHeight="1">
      <c r="A146" s="24" t="s">
        <v>1398</v>
      </c>
      <c r="B146" s="24">
        <v>11315</v>
      </c>
      <c r="C146" s="24" t="s">
        <v>1399</v>
      </c>
      <c r="D146" s="24" t="s">
        <v>1400</v>
      </c>
      <c r="E146" s="24">
        <v>900011315</v>
      </c>
      <c r="F146" s="24">
        <v>1373</v>
      </c>
      <c r="G146" s="24">
        <v>63</v>
      </c>
      <c r="H146" s="24">
        <v>40</v>
      </c>
      <c r="I146" s="25">
        <v>0.5</v>
      </c>
      <c r="J146" s="24">
        <v>900</v>
      </c>
      <c r="K146" s="24" t="b">
        <v>1</v>
      </c>
      <c r="L146" s="25">
        <v>0</v>
      </c>
      <c r="M146" s="47">
        <v>0</v>
      </c>
      <c r="N146" s="25">
        <v>0.1538</v>
      </c>
      <c r="O146" s="47">
        <v>6.501951</v>
      </c>
      <c r="P146" s="25">
        <v>0.5</v>
      </c>
      <c r="Q146" s="24">
        <v>1</v>
      </c>
      <c r="R146" s="24">
        <v>1</v>
      </c>
      <c r="S146" s="25">
        <v>0</v>
      </c>
      <c r="T146" s="24">
        <v>0</v>
      </c>
      <c r="U146" s="24">
        <v>-0.2</v>
      </c>
      <c r="V146" s="24">
        <v>0</v>
      </c>
      <c r="W146" s="24">
        <v>-0.2</v>
      </c>
      <c r="X146" s="24">
        <v>0</v>
      </c>
      <c r="Y146" s="24">
        <v>0</v>
      </c>
      <c r="Z146" s="24">
        <v>-0.2</v>
      </c>
      <c r="AA146" s="24">
        <v>0</v>
      </c>
      <c r="AB146" s="24">
        <v>-0.2</v>
      </c>
      <c r="AC146" s="24">
        <v>0</v>
      </c>
      <c r="AD146" s="24">
        <v>0</v>
      </c>
      <c r="AE146" s="24">
        <v>-0.2</v>
      </c>
      <c r="AF146" s="24">
        <v>0</v>
      </c>
      <c r="AG146" s="24">
        <v>-0.2</v>
      </c>
      <c r="AH146" s="24">
        <v>0</v>
      </c>
      <c r="AI146" s="48">
        <v>10001</v>
      </c>
      <c r="AJ146" s="48">
        <v>10012</v>
      </c>
      <c r="AK146" s="48">
        <v>10003</v>
      </c>
      <c r="AL146" s="48">
        <v>10004</v>
      </c>
      <c r="AM146" s="48">
        <v>10005</v>
      </c>
      <c r="AN146" s="25">
        <v>0</v>
      </c>
      <c r="AO146" s="49" t="s"/>
      <c r="AP146" s="50">
        <v>50</v>
      </c>
      <c r="AQ146" s="51" t="s">
        <v>1408</v>
      </c>
      <c r="AR146" s="51">
        <f>=F146*247.95</f>
        <v>340435.35</v>
      </c>
      <c r="AS146" s="51">
        <f>=G146*32.6061</f>
        <v>2054.1843</v>
      </c>
      <c r="AT146" s="51">
        <f>=J146*2.35</f>
        <v>2115</v>
      </c>
      <c r="AU146" s="47">
        <f>=H146*15.88</f>
        <v>635.2</v>
      </c>
    </row>
    <row r="147" spans="1:47">
      <c r="A147" s="24" t="s">
        <v>1409</v>
      </c>
      <c r="B147" s="24">
        <v>11321</v>
      </c>
      <c r="C147" s="24" t="s">
        <v>1410</v>
      </c>
      <c r="D147" s="24" t="s">
        <v>1411</v>
      </c>
      <c r="E147" s="24">
        <v>900011321</v>
      </c>
      <c r="F147" s="24">
        <v>1123</v>
      </c>
      <c r="G147" s="24">
        <v>54</v>
      </c>
      <c r="H147" s="24">
        <v>40</v>
      </c>
      <c r="I147" s="25">
        <v>0.5</v>
      </c>
      <c r="J147" s="24">
        <v>600</v>
      </c>
      <c r="K147" s="24" t="b">
        <v>1</v>
      </c>
      <c r="L147" s="25">
        <v>0</v>
      </c>
      <c r="M147" s="47">
        <v>0</v>
      </c>
      <c r="N147" s="25">
        <v>0.1538</v>
      </c>
      <c r="O147" s="47">
        <v>6.501951</v>
      </c>
      <c r="P147" s="25">
        <v>0.5</v>
      </c>
      <c r="Q147" s="24">
        <v>1</v>
      </c>
      <c r="R147" s="24">
        <v>1</v>
      </c>
      <c r="S147" s="25">
        <v>0</v>
      </c>
      <c r="T147" s="24">
        <v>0</v>
      </c>
      <c r="U147" s="24">
        <v>-0.2</v>
      </c>
      <c r="V147" s="24">
        <v>0</v>
      </c>
      <c r="W147" s="24">
        <v>-0.2</v>
      </c>
      <c r="X147" s="24">
        <v>0</v>
      </c>
      <c r="Y147" s="24">
        <v>0</v>
      </c>
      <c r="Z147" s="24">
        <v>-0.2</v>
      </c>
      <c r="AA147" s="24">
        <v>0</v>
      </c>
      <c r="AB147" s="24">
        <v>-0.2</v>
      </c>
      <c r="AC147" s="24">
        <v>0</v>
      </c>
      <c r="AD147" s="24">
        <v>0</v>
      </c>
      <c r="AE147" s="24">
        <v>-0.2</v>
      </c>
      <c r="AF147" s="24">
        <v>0</v>
      </c>
      <c r="AG147" s="24">
        <v>-0.2</v>
      </c>
      <c r="AH147" s="24">
        <v>0</v>
      </c>
      <c r="AI147" s="48">
        <v>10001</v>
      </c>
      <c r="AJ147" s="48">
        <v>10012</v>
      </c>
      <c r="AK147" s="48">
        <v>10003</v>
      </c>
      <c r="AL147" s="48">
        <v>10004</v>
      </c>
      <c r="AM147" s="48">
        <v>10005</v>
      </c>
      <c r="AN147" s="25">
        <v>0</v>
      </c>
      <c r="AO147" s="49" t="s"/>
      <c r="AP147" s="50">
        <v>50</v>
      </c>
      <c r="AQ147" s="51" t="s">
        <v>1401</v>
      </c>
      <c r="AR147" s="51">
        <f>=F147*247.95</f>
        <v>278447.85</v>
      </c>
      <c r="AS147" s="51">
        <f>=G147*32.6061</f>
        <v>1760.7294</v>
      </c>
      <c r="AT147" s="51">
        <f>=J147*2.35</f>
        <v>1410</v>
      </c>
      <c r="AU147" s="47">
        <f>=H147*15.88</f>
        <v>635.2</v>
      </c>
    </row>
    <row r="148" spans="1:47">
      <c r="A148" s="24" t="s">
        <v>1409</v>
      </c>
      <c r="B148" s="24">
        <v>11322</v>
      </c>
      <c r="C148" s="24" t="s">
        <v>1410</v>
      </c>
      <c r="D148" s="24" t="s">
        <v>1411</v>
      </c>
      <c r="E148" s="24">
        <v>900011322</v>
      </c>
      <c r="F148" s="24">
        <v>1373</v>
      </c>
      <c r="G148" s="24">
        <v>54</v>
      </c>
      <c r="H148" s="24">
        <v>40</v>
      </c>
      <c r="I148" s="25">
        <v>0.5</v>
      </c>
      <c r="J148" s="24">
        <v>900</v>
      </c>
      <c r="K148" s="24" t="b">
        <v>1</v>
      </c>
      <c r="L148" s="25">
        <v>0</v>
      </c>
      <c r="M148" s="47">
        <v>0</v>
      </c>
      <c r="N148" s="25">
        <v>0.1538</v>
      </c>
      <c r="O148" s="47">
        <v>6.501951</v>
      </c>
      <c r="P148" s="25">
        <v>0.5</v>
      </c>
      <c r="Q148" s="24">
        <v>1</v>
      </c>
      <c r="R148" s="24">
        <v>1</v>
      </c>
      <c r="S148" s="25">
        <v>0</v>
      </c>
      <c r="T148" s="24">
        <v>0</v>
      </c>
      <c r="U148" s="24">
        <v>-0.2</v>
      </c>
      <c r="V148" s="24">
        <v>0</v>
      </c>
      <c r="W148" s="24">
        <v>-0.2</v>
      </c>
      <c r="X148" s="24">
        <v>0</v>
      </c>
      <c r="Y148" s="24">
        <v>0</v>
      </c>
      <c r="Z148" s="24">
        <v>-0.2</v>
      </c>
      <c r="AA148" s="24">
        <v>0</v>
      </c>
      <c r="AB148" s="24">
        <v>-0.2</v>
      </c>
      <c r="AC148" s="24">
        <v>0</v>
      </c>
      <c r="AD148" s="24">
        <v>0</v>
      </c>
      <c r="AE148" s="24">
        <v>-0.2</v>
      </c>
      <c r="AF148" s="24">
        <v>0</v>
      </c>
      <c r="AG148" s="24">
        <v>-0.2</v>
      </c>
      <c r="AH148" s="24">
        <v>0</v>
      </c>
      <c r="AI148" s="48">
        <v>10001</v>
      </c>
      <c r="AJ148" s="48">
        <v>10012</v>
      </c>
      <c r="AK148" s="48">
        <v>10003</v>
      </c>
      <c r="AL148" s="48">
        <v>10004</v>
      </c>
      <c r="AM148" s="48">
        <v>10005</v>
      </c>
      <c r="AN148" s="25">
        <v>0</v>
      </c>
      <c r="AO148" s="49" t="s"/>
      <c r="AP148" s="50">
        <v>50</v>
      </c>
      <c r="AQ148" s="51" t="s">
        <v>1402</v>
      </c>
      <c r="AR148" s="51">
        <f>=F148*247.95</f>
        <v>340435.35</v>
      </c>
      <c r="AS148" s="51">
        <f>=G148*32.6061</f>
        <v>1760.7294</v>
      </c>
      <c r="AT148" s="51">
        <f>=J148*2.35</f>
        <v>2115</v>
      </c>
      <c r="AU148" s="47">
        <f>=H148*15.88</f>
        <v>635.2</v>
      </c>
    </row>
    <row r="149" spans="1:47">
      <c r="A149" s="24" t="s">
        <v>1412</v>
      </c>
      <c r="B149" s="24">
        <v>11323</v>
      </c>
      <c r="C149" s="24" t="s">
        <v>1413</v>
      </c>
      <c r="D149" s="24" t="s">
        <v>1414</v>
      </c>
      <c r="E149" s="24">
        <v>900011323</v>
      </c>
      <c r="F149" s="24">
        <v>1123</v>
      </c>
      <c r="G149" s="24">
        <v>54</v>
      </c>
      <c r="H149" s="24">
        <v>40</v>
      </c>
      <c r="I149" s="25">
        <v>0.5</v>
      </c>
      <c r="J149" s="24">
        <v>600</v>
      </c>
      <c r="K149" s="24" t="b">
        <v>1</v>
      </c>
      <c r="L149" s="25">
        <v>0</v>
      </c>
      <c r="M149" s="47">
        <v>0</v>
      </c>
      <c r="N149" s="25">
        <v>0.1538</v>
      </c>
      <c r="O149" s="47">
        <v>6.501951</v>
      </c>
      <c r="P149" s="25">
        <v>0.5</v>
      </c>
      <c r="Q149" s="24">
        <v>1</v>
      </c>
      <c r="R149" s="24">
        <v>1</v>
      </c>
      <c r="S149" s="25">
        <v>0</v>
      </c>
      <c r="T149" s="24">
        <v>-0.2</v>
      </c>
      <c r="U149" s="24">
        <v>0</v>
      </c>
      <c r="V149" s="24">
        <v>0</v>
      </c>
      <c r="W149" s="24">
        <v>-0.2</v>
      </c>
      <c r="X149" s="24">
        <v>0</v>
      </c>
      <c r="Y149" s="24">
        <v>-0.2</v>
      </c>
      <c r="Z149" s="24">
        <v>0</v>
      </c>
      <c r="AA149" s="24">
        <v>0</v>
      </c>
      <c r="AB149" s="24">
        <v>-0.2</v>
      </c>
      <c r="AC149" s="24">
        <v>0</v>
      </c>
      <c r="AD149" s="24">
        <v>-0.2</v>
      </c>
      <c r="AE149" s="24">
        <v>0</v>
      </c>
      <c r="AF149" s="24">
        <v>0</v>
      </c>
      <c r="AG149" s="24">
        <v>-0.2</v>
      </c>
      <c r="AH149" s="24">
        <v>0</v>
      </c>
      <c r="AI149" s="48">
        <v>10001</v>
      </c>
      <c r="AJ149" s="48">
        <v>10002</v>
      </c>
      <c r="AK149" s="48">
        <v>10003</v>
      </c>
      <c r="AL149" s="48">
        <v>10004</v>
      </c>
      <c r="AM149" s="48">
        <v>10005</v>
      </c>
      <c r="AN149" s="25">
        <v>0</v>
      </c>
      <c r="AO149" s="49" t="s"/>
      <c r="AP149" s="50">
        <v>50</v>
      </c>
      <c r="AQ149" s="51" t="s">
        <v>1406</v>
      </c>
      <c r="AR149" s="51">
        <f>=F149*247.95</f>
        <v>278447.85</v>
      </c>
      <c r="AS149" s="51">
        <f>=G149*32.6061</f>
        <v>1760.7294</v>
      </c>
      <c r="AT149" s="51">
        <f>=J149*2.35</f>
        <v>1410</v>
      </c>
      <c r="AU149" s="47">
        <f>=H149*15.88</f>
        <v>635.2</v>
      </c>
    </row>
    <row r="150" spans="1:47">
      <c r="A150" s="24" t="s">
        <v>1412</v>
      </c>
      <c r="B150" s="24">
        <v>11324</v>
      </c>
      <c r="C150" s="24" t="s">
        <v>1413</v>
      </c>
      <c r="D150" s="24" t="s">
        <v>1414</v>
      </c>
      <c r="E150" s="24">
        <v>900011324</v>
      </c>
      <c r="F150" s="24">
        <v>1373</v>
      </c>
      <c r="G150" s="24">
        <v>54</v>
      </c>
      <c r="H150" s="24">
        <v>40</v>
      </c>
      <c r="I150" s="25">
        <v>0.5</v>
      </c>
      <c r="J150" s="24">
        <v>900</v>
      </c>
      <c r="K150" s="24" t="b">
        <v>1</v>
      </c>
      <c r="L150" s="25">
        <v>0</v>
      </c>
      <c r="M150" s="47">
        <v>0</v>
      </c>
      <c r="N150" s="25">
        <v>0.1538</v>
      </c>
      <c r="O150" s="47">
        <v>6.501951</v>
      </c>
      <c r="P150" s="25">
        <v>0.5</v>
      </c>
      <c r="Q150" s="24">
        <v>1</v>
      </c>
      <c r="R150" s="24">
        <v>1</v>
      </c>
      <c r="S150" s="25">
        <v>0</v>
      </c>
      <c r="T150" s="24">
        <v>-0.2</v>
      </c>
      <c r="U150" s="24">
        <v>0</v>
      </c>
      <c r="V150" s="24">
        <v>0</v>
      </c>
      <c r="W150" s="24">
        <v>-0.2</v>
      </c>
      <c r="X150" s="24">
        <v>0</v>
      </c>
      <c r="Y150" s="24">
        <v>-0.2</v>
      </c>
      <c r="Z150" s="24">
        <v>0</v>
      </c>
      <c r="AA150" s="24">
        <v>0</v>
      </c>
      <c r="AB150" s="24">
        <v>-0.2</v>
      </c>
      <c r="AC150" s="24">
        <v>0</v>
      </c>
      <c r="AD150" s="24">
        <v>-0.2</v>
      </c>
      <c r="AE150" s="24">
        <v>0</v>
      </c>
      <c r="AF150" s="24">
        <v>0</v>
      </c>
      <c r="AG150" s="24">
        <v>-0.2</v>
      </c>
      <c r="AH150" s="24">
        <v>0</v>
      </c>
      <c r="AI150" s="48">
        <v>10001</v>
      </c>
      <c r="AJ150" s="48">
        <v>10002</v>
      </c>
      <c r="AK150" s="48">
        <v>10003</v>
      </c>
      <c r="AL150" s="48">
        <v>10004</v>
      </c>
      <c r="AM150" s="48">
        <v>10005</v>
      </c>
      <c r="AN150" s="25">
        <v>0</v>
      </c>
      <c r="AO150" s="49" t="s"/>
      <c r="AP150" s="50">
        <v>50</v>
      </c>
      <c r="AQ150" s="51" t="s">
        <v>1407</v>
      </c>
      <c r="AR150" s="51">
        <f>=F150*247.95</f>
        <v>340435.35</v>
      </c>
      <c r="AS150" s="51">
        <f>=G150*32.6061</f>
        <v>1760.7294</v>
      </c>
      <c r="AT150" s="51">
        <f>=J150*2.35</f>
        <v>2115</v>
      </c>
      <c r="AU150" s="47">
        <f>=H150*15.88</f>
        <v>635.2</v>
      </c>
    </row>
    <row r="151" spans="1:47">
      <c r="A151" s="24" t="s">
        <v>1415</v>
      </c>
      <c r="B151" s="24">
        <v>11331</v>
      </c>
      <c r="C151" s="24" t="s">
        <v>1416</v>
      </c>
      <c r="D151" s="24" t="s">
        <v>1417</v>
      </c>
      <c r="E151" s="24">
        <v>900011331</v>
      </c>
      <c r="F151" s="24">
        <v>1123</v>
      </c>
      <c r="G151" s="24">
        <v>54</v>
      </c>
      <c r="H151" s="24">
        <v>40</v>
      </c>
      <c r="I151" s="25">
        <v>0.5</v>
      </c>
      <c r="J151" s="24">
        <v>600</v>
      </c>
      <c r="K151" s="24" t="b">
        <v>1</v>
      </c>
      <c r="L151" s="25">
        <v>0.05</v>
      </c>
      <c r="M151" s="47">
        <v>0</v>
      </c>
      <c r="N151" s="25">
        <v>0.1538</v>
      </c>
      <c r="O151" s="47">
        <v>6.501951</v>
      </c>
      <c r="P151" s="25">
        <v>0.5</v>
      </c>
      <c r="Q151" s="24">
        <v>1</v>
      </c>
      <c r="R151" s="24">
        <v>1</v>
      </c>
      <c r="S151" s="25">
        <v>0</v>
      </c>
      <c r="T151" s="24">
        <v>0</v>
      </c>
      <c r="U151" s="24">
        <v>-0.2</v>
      </c>
      <c r="V151" s="24">
        <v>0</v>
      </c>
      <c r="W151" s="24">
        <v>-0.2</v>
      </c>
      <c r="X151" s="24">
        <v>0</v>
      </c>
      <c r="Y151" s="24">
        <v>0</v>
      </c>
      <c r="Z151" s="24">
        <v>-0.2</v>
      </c>
      <c r="AA151" s="24">
        <v>0</v>
      </c>
      <c r="AB151" s="24">
        <v>-0.2</v>
      </c>
      <c r="AC151" s="24">
        <v>0</v>
      </c>
      <c r="AD151" s="24">
        <v>0</v>
      </c>
      <c r="AE151" s="24">
        <v>-0.2</v>
      </c>
      <c r="AF151" s="24">
        <v>0</v>
      </c>
      <c r="AG151" s="24">
        <v>-0.2</v>
      </c>
      <c r="AH151" s="24">
        <v>0</v>
      </c>
      <c r="AI151" s="48">
        <v>10001</v>
      </c>
      <c r="AJ151" s="48">
        <v>10012</v>
      </c>
      <c r="AK151" s="48">
        <v>10003</v>
      </c>
      <c r="AL151" s="48">
        <v>10004</v>
      </c>
      <c r="AM151" s="48">
        <v>10005</v>
      </c>
      <c r="AN151" s="25">
        <v>0</v>
      </c>
      <c r="AO151" s="49" t="s"/>
      <c r="AP151" s="50">
        <v>50</v>
      </c>
      <c r="AQ151" s="51" t="s">
        <v>1401</v>
      </c>
      <c r="AR151" s="51">
        <f>=F151*247.95</f>
        <v>278447.85</v>
      </c>
      <c r="AS151" s="51">
        <f>=G151*32.6061</f>
        <v>1760.7294</v>
      </c>
      <c r="AT151" s="51">
        <f>=J151*2.35</f>
        <v>1410</v>
      </c>
      <c r="AU151" s="47">
        <f>=H151*15.88</f>
        <v>635.2</v>
      </c>
    </row>
    <row r="152" spans="1:47">
      <c r="A152" s="24" t="s">
        <v>1415</v>
      </c>
      <c r="B152" s="24">
        <v>11332</v>
      </c>
      <c r="C152" s="24" t="s">
        <v>1416</v>
      </c>
      <c r="D152" s="24" t="s">
        <v>1417</v>
      </c>
      <c r="E152" s="24">
        <v>900011332</v>
      </c>
      <c r="F152" s="24">
        <v>1373</v>
      </c>
      <c r="G152" s="24">
        <v>54</v>
      </c>
      <c r="H152" s="24">
        <v>40</v>
      </c>
      <c r="I152" s="25">
        <v>0.5</v>
      </c>
      <c r="J152" s="24">
        <v>900</v>
      </c>
      <c r="K152" s="24" t="b">
        <v>1</v>
      </c>
      <c r="L152" s="25">
        <v>0.05</v>
      </c>
      <c r="M152" s="47">
        <v>0</v>
      </c>
      <c r="N152" s="25">
        <v>0.1538</v>
      </c>
      <c r="O152" s="47">
        <v>6.501951</v>
      </c>
      <c r="P152" s="25">
        <v>0.5</v>
      </c>
      <c r="Q152" s="24">
        <v>1</v>
      </c>
      <c r="R152" s="24">
        <v>1</v>
      </c>
      <c r="S152" s="25">
        <v>0</v>
      </c>
      <c r="T152" s="24">
        <v>0</v>
      </c>
      <c r="U152" s="24">
        <v>-0.2</v>
      </c>
      <c r="V152" s="24">
        <v>0</v>
      </c>
      <c r="W152" s="24">
        <v>-0.2</v>
      </c>
      <c r="X152" s="24">
        <v>0</v>
      </c>
      <c r="Y152" s="24">
        <v>0</v>
      </c>
      <c r="Z152" s="24">
        <v>-0.2</v>
      </c>
      <c r="AA152" s="24">
        <v>0</v>
      </c>
      <c r="AB152" s="24">
        <v>-0.2</v>
      </c>
      <c r="AC152" s="24">
        <v>0</v>
      </c>
      <c r="AD152" s="24">
        <v>0</v>
      </c>
      <c r="AE152" s="24">
        <v>-0.2</v>
      </c>
      <c r="AF152" s="24">
        <v>0</v>
      </c>
      <c r="AG152" s="24">
        <v>-0.2</v>
      </c>
      <c r="AH152" s="24">
        <v>0</v>
      </c>
      <c r="AI152" s="48">
        <v>10001</v>
      </c>
      <c r="AJ152" s="48">
        <v>10012</v>
      </c>
      <c r="AK152" s="48">
        <v>10003</v>
      </c>
      <c r="AL152" s="48">
        <v>10004</v>
      </c>
      <c r="AM152" s="48">
        <v>10005</v>
      </c>
      <c r="AN152" s="25">
        <v>0</v>
      </c>
      <c r="AO152" s="49" t="s"/>
      <c r="AP152" s="50">
        <v>50</v>
      </c>
      <c r="AQ152" s="51" t="s">
        <v>1402</v>
      </c>
      <c r="AR152" s="51">
        <f>=F152*247.95</f>
        <v>340435.35</v>
      </c>
      <c r="AS152" s="51">
        <f>=G152*32.6061</f>
        <v>1760.7294</v>
      </c>
      <c r="AT152" s="51">
        <f>=J152*2.35</f>
        <v>2115</v>
      </c>
      <c r="AU152" s="47">
        <f>=H152*15.88</f>
        <v>635.2</v>
      </c>
    </row>
    <row r="153" spans="1:47">
      <c r="A153" s="24" t="s">
        <v>1418</v>
      </c>
      <c r="B153" s="24">
        <v>11333</v>
      </c>
      <c r="C153" s="24" t="s">
        <v>1419</v>
      </c>
      <c r="D153" s="24" t="s">
        <v>1420</v>
      </c>
      <c r="E153" s="24">
        <v>900011333</v>
      </c>
      <c r="F153" s="24">
        <v>1123</v>
      </c>
      <c r="G153" s="24">
        <v>54</v>
      </c>
      <c r="H153" s="24">
        <v>40</v>
      </c>
      <c r="I153" s="25">
        <v>0.5</v>
      </c>
      <c r="J153" s="24">
        <v>600</v>
      </c>
      <c r="K153" s="24" t="b">
        <v>1</v>
      </c>
      <c r="L153" s="25">
        <v>0.05</v>
      </c>
      <c r="M153" s="47">
        <v>0</v>
      </c>
      <c r="N153" s="25">
        <v>0.1538</v>
      </c>
      <c r="O153" s="47">
        <v>6.501951</v>
      </c>
      <c r="P153" s="25">
        <v>0.5</v>
      </c>
      <c r="Q153" s="24">
        <v>1</v>
      </c>
      <c r="R153" s="24">
        <v>1</v>
      </c>
      <c r="S153" s="25">
        <v>0</v>
      </c>
      <c r="T153" s="24">
        <v>-0.2</v>
      </c>
      <c r="U153" s="24">
        <v>0</v>
      </c>
      <c r="V153" s="24">
        <v>0</v>
      </c>
      <c r="W153" s="24">
        <v>-0.2</v>
      </c>
      <c r="X153" s="24">
        <v>0</v>
      </c>
      <c r="Y153" s="24">
        <v>-0.2</v>
      </c>
      <c r="Z153" s="24">
        <v>0</v>
      </c>
      <c r="AA153" s="24">
        <v>0</v>
      </c>
      <c r="AB153" s="24">
        <v>-0.2</v>
      </c>
      <c r="AC153" s="24">
        <v>0</v>
      </c>
      <c r="AD153" s="24">
        <v>-0.2</v>
      </c>
      <c r="AE153" s="24">
        <v>0</v>
      </c>
      <c r="AF153" s="24">
        <v>0</v>
      </c>
      <c r="AG153" s="24">
        <v>-0.2</v>
      </c>
      <c r="AH153" s="24">
        <v>0</v>
      </c>
      <c r="AI153" s="48">
        <v>10001</v>
      </c>
      <c r="AJ153" s="48">
        <v>10002</v>
      </c>
      <c r="AK153" s="48">
        <v>10003</v>
      </c>
      <c r="AL153" s="48">
        <v>10004</v>
      </c>
      <c r="AM153" s="48">
        <v>10005</v>
      </c>
      <c r="AN153" s="25">
        <v>0</v>
      </c>
      <c r="AO153" s="49" t="s"/>
      <c r="AP153" s="50">
        <v>50</v>
      </c>
      <c r="AQ153" s="51" t="s">
        <v>1406</v>
      </c>
      <c r="AR153" s="51">
        <f>=F153*247.95</f>
        <v>278447.85</v>
      </c>
      <c r="AS153" s="51">
        <f>=G153*32.6061</f>
        <v>1760.7294</v>
      </c>
      <c r="AT153" s="51">
        <f>=J153*2.35</f>
        <v>1410</v>
      </c>
      <c r="AU153" s="47">
        <f>=H153*15.88</f>
        <v>635.2</v>
      </c>
    </row>
    <row r="154" spans="1:47">
      <c r="A154" s="24" t="s">
        <v>1418</v>
      </c>
      <c r="B154" s="24">
        <v>11334</v>
      </c>
      <c r="C154" s="24" t="s">
        <v>1419</v>
      </c>
      <c r="D154" s="24" t="s">
        <v>1420</v>
      </c>
      <c r="E154" s="24">
        <v>900011334</v>
      </c>
      <c r="F154" s="24">
        <v>1373</v>
      </c>
      <c r="G154" s="24">
        <v>54</v>
      </c>
      <c r="H154" s="24">
        <v>40</v>
      </c>
      <c r="I154" s="25">
        <v>0.5</v>
      </c>
      <c r="J154" s="24">
        <v>900</v>
      </c>
      <c r="K154" s="24" t="b">
        <v>1</v>
      </c>
      <c r="L154" s="25">
        <v>0.05</v>
      </c>
      <c r="M154" s="47">
        <v>0</v>
      </c>
      <c r="N154" s="25">
        <v>0.1538</v>
      </c>
      <c r="O154" s="47">
        <v>6.501951</v>
      </c>
      <c r="P154" s="25">
        <v>0.5</v>
      </c>
      <c r="Q154" s="24">
        <v>1</v>
      </c>
      <c r="R154" s="24">
        <v>1</v>
      </c>
      <c r="S154" s="25">
        <v>0</v>
      </c>
      <c r="T154" s="24">
        <v>-0.2</v>
      </c>
      <c r="U154" s="24">
        <v>0</v>
      </c>
      <c r="V154" s="24">
        <v>0</v>
      </c>
      <c r="W154" s="24">
        <v>-0.2</v>
      </c>
      <c r="X154" s="24">
        <v>0</v>
      </c>
      <c r="Y154" s="24">
        <v>-0.2</v>
      </c>
      <c r="Z154" s="24">
        <v>0</v>
      </c>
      <c r="AA154" s="24">
        <v>0</v>
      </c>
      <c r="AB154" s="24">
        <v>-0.2</v>
      </c>
      <c r="AC154" s="24">
        <v>0</v>
      </c>
      <c r="AD154" s="24">
        <v>-0.2</v>
      </c>
      <c r="AE154" s="24">
        <v>0</v>
      </c>
      <c r="AF154" s="24">
        <v>0</v>
      </c>
      <c r="AG154" s="24">
        <v>-0.2</v>
      </c>
      <c r="AH154" s="24">
        <v>0</v>
      </c>
      <c r="AI154" s="48">
        <v>10001</v>
      </c>
      <c r="AJ154" s="48">
        <v>10002</v>
      </c>
      <c r="AK154" s="48">
        <v>10003</v>
      </c>
      <c r="AL154" s="48">
        <v>10004</v>
      </c>
      <c r="AM154" s="48">
        <v>10005</v>
      </c>
      <c r="AN154" s="25">
        <v>0</v>
      </c>
      <c r="AO154" s="49" t="s"/>
      <c r="AP154" s="50">
        <v>50</v>
      </c>
      <c r="AQ154" s="51" t="s">
        <v>1407</v>
      </c>
      <c r="AR154" s="51">
        <f>=F154*247.95</f>
        <v>340435.35</v>
      </c>
      <c r="AS154" s="51">
        <f>=G154*32.6061</f>
        <v>1760.7294</v>
      </c>
      <c r="AT154" s="51">
        <f>=J154*2.35</f>
        <v>2115</v>
      </c>
      <c r="AU154" s="47">
        <f>=H154*15.88</f>
        <v>635.2</v>
      </c>
    </row>
    <row r="155" spans="1:47" ht="18" customHeight="1">
      <c r="A155" s="24" t="s">
        <v>1415</v>
      </c>
      <c r="B155" s="24">
        <v>11335</v>
      </c>
      <c r="C155" s="24" t="s">
        <v>1416</v>
      </c>
      <c r="D155" s="24" t="s">
        <v>1417</v>
      </c>
      <c r="E155" s="24">
        <v>900011335</v>
      </c>
      <c r="F155" s="24">
        <v>1373</v>
      </c>
      <c r="G155" s="24">
        <v>54</v>
      </c>
      <c r="H155" s="24">
        <v>40</v>
      </c>
      <c r="I155" s="25">
        <v>0.5</v>
      </c>
      <c r="J155" s="24">
        <v>900</v>
      </c>
      <c r="K155" s="24" t="b">
        <v>1</v>
      </c>
      <c r="L155" s="25">
        <v>0.05</v>
      </c>
      <c r="M155" s="47">
        <v>0</v>
      </c>
      <c r="N155" s="25">
        <v>0.1538</v>
      </c>
      <c r="O155" s="47">
        <v>6.501951</v>
      </c>
      <c r="P155" s="25">
        <v>0.5</v>
      </c>
      <c r="Q155" s="24">
        <v>1</v>
      </c>
      <c r="R155" s="24">
        <v>1</v>
      </c>
      <c r="S155" s="25">
        <v>0</v>
      </c>
      <c r="T155" s="24">
        <v>0</v>
      </c>
      <c r="U155" s="24">
        <v>-0.2</v>
      </c>
      <c r="V155" s="24">
        <v>0</v>
      </c>
      <c r="W155" s="24">
        <v>-0.2</v>
      </c>
      <c r="X155" s="24">
        <v>0</v>
      </c>
      <c r="Y155" s="24">
        <v>0</v>
      </c>
      <c r="Z155" s="24">
        <v>-0.2</v>
      </c>
      <c r="AA155" s="24">
        <v>0</v>
      </c>
      <c r="AB155" s="24">
        <v>-0.2</v>
      </c>
      <c r="AC155" s="24">
        <v>0</v>
      </c>
      <c r="AD155" s="24">
        <v>0</v>
      </c>
      <c r="AE155" s="24">
        <v>-0.2</v>
      </c>
      <c r="AF155" s="24">
        <v>0</v>
      </c>
      <c r="AG155" s="24">
        <v>-0.2</v>
      </c>
      <c r="AH155" s="24">
        <v>0</v>
      </c>
      <c r="AI155" s="48">
        <v>10001</v>
      </c>
      <c r="AJ155" s="48">
        <v>10012</v>
      </c>
      <c r="AK155" s="48">
        <v>10003</v>
      </c>
      <c r="AL155" s="48">
        <v>10004</v>
      </c>
      <c r="AM155" s="48">
        <v>10005</v>
      </c>
      <c r="AN155" s="25">
        <v>0</v>
      </c>
      <c r="AO155" s="49" t="s"/>
      <c r="AP155" s="50">
        <v>50</v>
      </c>
      <c r="AQ155" s="51" t="s">
        <v>1408</v>
      </c>
      <c r="AR155" s="51">
        <f>=F155*247.95</f>
        <v>340435.35</v>
      </c>
      <c r="AS155" s="51">
        <f>=G155*32.6061</f>
        <v>1760.7294</v>
      </c>
      <c r="AT155" s="51">
        <f>=J155*2.35</f>
        <v>2115</v>
      </c>
      <c r="AU155" s="47">
        <f>=H155*15.88</f>
        <v>635.2</v>
      </c>
    </row>
    <row r="156" spans="1:47">
      <c r="A156" s="24" t="s">
        <v>1421</v>
      </c>
      <c r="B156" s="24">
        <v>11341</v>
      </c>
      <c r="C156" s="24" t="s">
        <v>1422</v>
      </c>
      <c r="D156" s="24" t="s">
        <v>1423</v>
      </c>
      <c r="E156" s="24">
        <v>900011341</v>
      </c>
      <c r="F156" s="24">
        <v>1240</v>
      </c>
      <c r="G156" s="24">
        <v>63</v>
      </c>
      <c r="H156" s="24">
        <v>40</v>
      </c>
      <c r="I156" s="25">
        <v>0.5</v>
      </c>
      <c r="J156" s="24">
        <v>600</v>
      </c>
      <c r="K156" s="24" t="b">
        <v>1</v>
      </c>
      <c r="L156" s="25">
        <v>0</v>
      </c>
      <c r="M156" s="47">
        <v>0</v>
      </c>
      <c r="N156" s="25">
        <v>0.5</v>
      </c>
      <c r="O156" s="47">
        <v>2</v>
      </c>
      <c r="P156" s="25">
        <v>1</v>
      </c>
      <c r="Q156" s="24">
        <v>1</v>
      </c>
      <c r="R156" s="24">
        <v>1</v>
      </c>
      <c r="S156" s="25">
        <v>0</v>
      </c>
      <c r="T156" s="24">
        <v>0</v>
      </c>
      <c r="U156" s="24">
        <v>-0.2</v>
      </c>
      <c r="V156" s="24">
        <v>0</v>
      </c>
      <c r="W156" s="24">
        <v>-0.2</v>
      </c>
      <c r="X156" s="24">
        <v>0</v>
      </c>
      <c r="Y156" s="24">
        <v>0</v>
      </c>
      <c r="Z156" s="24">
        <v>-0.2</v>
      </c>
      <c r="AA156" s="24">
        <v>0</v>
      </c>
      <c r="AB156" s="24">
        <v>-0.2</v>
      </c>
      <c r="AC156" s="24">
        <v>0</v>
      </c>
      <c r="AD156" s="24">
        <v>0</v>
      </c>
      <c r="AE156" s="24">
        <v>-0.2</v>
      </c>
      <c r="AF156" s="24">
        <v>0</v>
      </c>
      <c r="AG156" s="24">
        <v>-0.2</v>
      </c>
      <c r="AH156" s="24">
        <v>0</v>
      </c>
      <c r="AI156" s="48">
        <v>10001</v>
      </c>
      <c r="AJ156" s="48">
        <v>10012</v>
      </c>
      <c r="AK156" s="48">
        <v>10003</v>
      </c>
      <c r="AL156" s="48">
        <v>10004</v>
      </c>
      <c r="AM156" s="48">
        <v>10005</v>
      </c>
      <c r="AN156" s="25">
        <v>0</v>
      </c>
      <c r="AO156" s="49" t="s"/>
      <c r="AP156" s="50">
        <v>50</v>
      </c>
      <c r="AQ156" s="51" t="s">
        <v>1401</v>
      </c>
      <c r="AR156" s="51">
        <f>=F156*247.95</f>
        <v>307458</v>
      </c>
      <c r="AS156" s="51">
        <f>=G156*32.6061</f>
        <v>2054.1843</v>
      </c>
      <c r="AT156" s="51">
        <f>=J156*2.35</f>
        <v>1410</v>
      </c>
      <c r="AU156" s="47">
        <f>=H156*15.88</f>
        <v>635.2</v>
      </c>
    </row>
    <row r="157" spans="1:47">
      <c r="A157" s="24" t="s">
        <v>1421</v>
      </c>
      <c r="B157" s="24">
        <v>11342</v>
      </c>
      <c r="C157" s="24" t="s">
        <v>1422</v>
      </c>
      <c r="D157" s="24" t="s">
        <v>1423</v>
      </c>
      <c r="E157" s="24">
        <v>900011342</v>
      </c>
      <c r="F157" s="24">
        <v>1615</v>
      </c>
      <c r="G157" s="24">
        <v>63</v>
      </c>
      <c r="H157" s="24">
        <v>40</v>
      </c>
      <c r="I157" s="25">
        <v>0.5</v>
      </c>
      <c r="J157" s="24">
        <v>900</v>
      </c>
      <c r="K157" s="24" t="b">
        <v>1</v>
      </c>
      <c r="L157" s="25">
        <v>0</v>
      </c>
      <c r="M157" s="47">
        <v>0</v>
      </c>
      <c r="N157" s="25">
        <v>0.5</v>
      </c>
      <c r="O157" s="47">
        <v>2</v>
      </c>
      <c r="P157" s="25">
        <v>1</v>
      </c>
      <c r="Q157" s="24">
        <v>1</v>
      </c>
      <c r="R157" s="24">
        <v>1</v>
      </c>
      <c r="S157" s="25">
        <v>0</v>
      </c>
      <c r="T157" s="24">
        <v>0</v>
      </c>
      <c r="U157" s="24">
        <v>-0.2</v>
      </c>
      <c r="V157" s="24">
        <v>0</v>
      </c>
      <c r="W157" s="24">
        <v>-0.2</v>
      </c>
      <c r="X157" s="24">
        <v>0</v>
      </c>
      <c r="Y157" s="24">
        <v>0</v>
      </c>
      <c r="Z157" s="24">
        <v>-0.2</v>
      </c>
      <c r="AA157" s="24">
        <v>0</v>
      </c>
      <c r="AB157" s="24">
        <v>-0.2</v>
      </c>
      <c r="AC157" s="24">
        <v>0</v>
      </c>
      <c r="AD157" s="24">
        <v>0</v>
      </c>
      <c r="AE157" s="24">
        <v>-0.2</v>
      </c>
      <c r="AF157" s="24">
        <v>0</v>
      </c>
      <c r="AG157" s="24">
        <v>-0.2</v>
      </c>
      <c r="AH157" s="24">
        <v>0</v>
      </c>
      <c r="AI157" s="48">
        <v>10001</v>
      </c>
      <c r="AJ157" s="48">
        <v>10012</v>
      </c>
      <c r="AK157" s="48">
        <v>10003</v>
      </c>
      <c r="AL157" s="48">
        <v>10004</v>
      </c>
      <c r="AM157" s="48">
        <v>10005</v>
      </c>
      <c r="AN157" s="25">
        <v>0</v>
      </c>
      <c r="AO157" s="49" t="s"/>
      <c r="AP157" s="50">
        <v>50</v>
      </c>
      <c r="AQ157" s="51" t="s">
        <v>1402</v>
      </c>
      <c r="AR157" s="51">
        <f>=F157*247.95</f>
        <v>400439.25</v>
      </c>
      <c r="AS157" s="51">
        <f>=G157*32.6061</f>
        <v>2054.1843</v>
      </c>
      <c r="AT157" s="51">
        <f>=J157*2.35</f>
        <v>2115</v>
      </c>
      <c r="AU157" s="47">
        <f>=H157*15.88</f>
        <v>635.2</v>
      </c>
    </row>
    <row r="158" spans="1:47">
      <c r="A158" s="24" t="s">
        <v>1424</v>
      </c>
      <c r="B158" s="24">
        <v>11343</v>
      </c>
      <c r="C158" s="24" t="s">
        <v>1425</v>
      </c>
      <c r="D158" s="24" t="s">
        <v>1426</v>
      </c>
      <c r="E158" s="24">
        <v>900011343</v>
      </c>
      <c r="F158" s="24">
        <v>1240</v>
      </c>
      <c r="G158" s="24">
        <v>63</v>
      </c>
      <c r="H158" s="24">
        <v>40</v>
      </c>
      <c r="I158" s="25">
        <v>0.5</v>
      </c>
      <c r="J158" s="24">
        <v>600</v>
      </c>
      <c r="K158" s="24" t="b">
        <v>1</v>
      </c>
      <c r="L158" s="25">
        <v>0</v>
      </c>
      <c r="M158" s="47">
        <v>0</v>
      </c>
      <c r="N158" s="25">
        <v>0.5</v>
      </c>
      <c r="O158" s="47">
        <v>2</v>
      </c>
      <c r="P158" s="25">
        <v>1</v>
      </c>
      <c r="Q158" s="24">
        <v>1</v>
      </c>
      <c r="R158" s="24">
        <v>1</v>
      </c>
      <c r="S158" s="25">
        <v>0</v>
      </c>
      <c r="T158" s="24">
        <v>-0.2</v>
      </c>
      <c r="U158" s="24">
        <v>0</v>
      </c>
      <c r="V158" s="24">
        <v>0</v>
      </c>
      <c r="W158" s="24">
        <v>-0.2</v>
      </c>
      <c r="X158" s="24">
        <v>0</v>
      </c>
      <c r="Y158" s="24">
        <v>-0.2</v>
      </c>
      <c r="Z158" s="24">
        <v>0</v>
      </c>
      <c r="AA158" s="24">
        <v>0</v>
      </c>
      <c r="AB158" s="24">
        <v>-0.2</v>
      </c>
      <c r="AC158" s="24">
        <v>0</v>
      </c>
      <c r="AD158" s="24">
        <v>-0.2</v>
      </c>
      <c r="AE158" s="24">
        <v>0</v>
      </c>
      <c r="AF158" s="24">
        <v>0</v>
      </c>
      <c r="AG158" s="24">
        <v>-0.2</v>
      </c>
      <c r="AH158" s="24">
        <v>0</v>
      </c>
      <c r="AI158" s="48">
        <v>10001</v>
      </c>
      <c r="AJ158" s="48">
        <v>10002</v>
      </c>
      <c r="AK158" s="48">
        <v>10003</v>
      </c>
      <c r="AL158" s="48">
        <v>10004</v>
      </c>
      <c r="AM158" s="48">
        <v>10005</v>
      </c>
      <c r="AN158" s="25">
        <v>0</v>
      </c>
      <c r="AO158" s="49" t="s"/>
      <c r="AP158" s="50">
        <v>50</v>
      </c>
      <c r="AQ158" s="51" t="s">
        <v>1406</v>
      </c>
      <c r="AR158" s="51">
        <f>=F158*247.95</f>
        <v>307458</v>
      </c>
      <c r="AS158" s="51">
        <f>=G158*32.6061</f>
        <v>2054.1843</v>
      </c>
      <c r="AT158" s="51">
        <f>=J158*2.35</f>
        <v>1410</v>
      </c>
      <c r="AU158" s="47">
        <f>=H158*15.88</f>
        <v>635.2</v>
      </c>
    </row>
    <row r="159" spans="1:47">
      <c r="A159" s="24" t="s">
        <v>1424</v>
      </c>
      <c r="B159" s="24">
        <v>11344</v>
      </c>
      <c r="C159" s="24" t="s">
        <v>1425</v>
      </c>
      <c r="D159" s="24" t="s">
        <v>1426</v>
      </c>
      <c r="E159" s="24">
        <v>900011344</v>
      </c>
      <c r="F159" s="24">
        <v>1615</v>
      </c>
      <c r="G159" s="24">
        <v>63</v>
      </c>
      <c r="H159" s="24">
        <v>40</v>
      </c>
      <c r="I159" s="25">
        <v>0.5</v>
      </c>
      <c r="J159" s="24">
        <v>900</v>
      </c>
      <c r="K159" s="24" t="b">
        <v>1</v>
      </c>
      <c r="L159" s="25">
        <v>0</v>
      </c>
      <c r="M159" s="47">
        <v>0</v>
      </c>
      <c r="N159" s="25">
        <v>0.5</v>
      </c>
      <c r="O159" s="47">
        <v>2</v>
      </c>
      <c r="P159" s="25">
        <v>1</v>
      </c>
      <c r="Q159" s="24">
        <v>1</v>
      </c>
      <c r="R159" s="24">
        <v>1</v>
      </c>
      <c r="S159" s="25">
        <v>0</v>
      </c>
      <c r="T159" s="24">
        <v>-0.2</v>
      </c>
      <c r="U159" s="24">
        <v>0</v>
      </c>
      <c r="V159" s="24">
        <v>0</v>
      </c>
      <c r="W159" s="24">
        <v>-0.2</v>
      </c>
      <c r="X159" s="24">
        <v>0</v>
      </c>
      <c r="Y159" s="24">
        <v>-0.2</v>
      </c>
      <c r="Z159" s="24">
        <v>0</v>
      </c>
      <c r="AA159" s="24">
        <v>0</v>
      </c>
      <c r="AB159" s="24">
        <v>-0.2</v>
      </c>
      <c r="AC159" s="24">
        <v>0</v>
      </c>
      <c r="AD159" s="24">
        <v>-0.2</v>
      </c>
      <c r="AE159" s="24">
        <v>0</v>
      </c>
      <c r="AF159" s="24">
        <v>0</v>
      </c>
      <c r="AG159" s="24">
        <v>-0.2</v>
      </c>
      <c r="AH159" s="24">
        <v>0</v>
      </c>
      <c r="AI159" s="48">
        <v>10001</v>
      </c>
      <c r="AJ159" s="48">
        <v>10002</v>
      </c>
      <c r="AK159" s="48">
        <v>10003</v>
      </c>
      <c r="AL159" s="48">
        <v>10004</v>
      </c>
      <c r="AM159" s="48">
        <v>10005</v>
      </c>
      <c r="AN159" s="25">
        <v>0</v>
      </c>
      <c r="AO159" s="49" t="s"/>
      <c r="AP159" s="50">
        <v>50</v>
      </c>
      <c r="AQ159" s="51" t="s">
        <v>1407</v>
      </c>
      <c r="AR159" s="51">
        <f>=F159*247.95</f>
        <v>400439.25</v>
      </c>
      <c r="AS159" s="51">
        <f>=G159*32.6061</f>
        <v>2054.1843</v>
      </c>
      <c r="AT159" s="51">
        <f>=J159*2.35</f>
        <v>2115</v>
      </c>
      <c r="AU159" s="47">
        <f>=H159*15.88</f>
        <v>635.2</v>
      </c>
    </row>
    <row r="160" spans="1:47">
      <c r="A160" s="24" t="s">
        <v>1427</v>
      </c>
      <c r="B160" s="24">
        <v>11351</v>
      </c>
      <c r="C160" s="24" t="s">
        <v>1428</v>
      </c>
      <c r="D160" s="24" t="s">
        <v>1429</v>
      </c>
      <c r="E160" s="24">
        <v>900011351</v>
      </c>
      <c r="F160" s="24">
        <v>8414</v>
      </c>
      <c r="G160" s="24">
        <v>84</v>
      </c>
      <c r="H160" s="24">
        <v>50</v>
      </c>
      <c r="I160" s="25">
        <v>0.5</v>
      </c>
      <c r="J160" s="24">
        <v>3335</v>
      </c>
      <c r="K160" s="24" t="b">
        <v>1</v>
      </c>
      <c r="L160" s="25">
        <v>0</v>
      </c>
      <c r="M160" s="47">
        <v>0</v>
      </c>
      <c r="N160" s="25">
        <v>0.1</v>
      </c>
      <c r="O160" s="47">
        <v>10</v>
      </c>
      <c r="P160" s="25">
        <v>1</v>
      </c>
      <c r="Q160" s="24">
        <v>2</v>
      </c>
      <c r="R160" s="24">
        <v>3</v>
      </c>
      <c r="S160" s="25">
        <v>0.5</v>
      </c>
      <c r="T160" s="24">
        <v>0.2</v>
      </c>
      <c r="U160" s="24">
        <v>-0.2</v>
      </c>
      <c r="V160" s="24">
        <v>0</v>
      </c>
      <c r="W160" s="24">
        <v>-0.2</v>
      </c>
      <c r="X160" s="24">
        <v>0</v>
      </c>
      <c r="Y160" s="24">
        <v>0.2</v>
      </c>
      <c r="Z160" s="24">
        <v>-0.2</v>
      </c>
      <c r="AA160" s="24">
        <v>0</v>
      </c>
      <c r="AB160" s="24">
        <v>-0.2</v>
      </c>
      <c r="AC160" s="24">
        <v>0</v>
      </c>
      <c r="AD160" s="24">
        <v>0.2</v>
      </c>
      <c r="AE160" s="24">
        <v>-0.2</v>
      </c>
      <c r="AF160" s="24">
        <v>0</v>
      </c>
      <c r="AG160" s="24">
        <v>-0.2</v>
      </c>
      <c r="AH160" s="24">
        <v>0</v>
      </c>
      <c r="AI160" s="48">
        <v>20001</v>
      </c>
      <c r="AJ160" s="48">
        <v>20012</v>
      </c>
      <c r="AK160" s="48">
        <v>20003</v>
      </c>
      <c r="AL160" s="48">
        <v>20004</v>
      </c>
      <c r="AM160" s="48">
        <v>20005</v>
      </c>
      <c r="AN160" s="25">
        <v>0</v>
      </c>
      <c r="AO160" s="49">
        <v>3</v>
      </c>
      <c r="AP160" s="50">
        <v>75</v>
      </c>
      <c r="AQ160" s="51" t="s">
        <v>1430</v>
      </c>
      <c r="AR160" s="51">
        <f>=F160*247.95</f>
        <v>2086251.3</v>
      </c>
      <c r="AS160" s="51">
        <f>=G160*32.6061</f>
        <v>2738.9124</v>
      </c>
      <c r="AT160" s="51">
        <f>=J160*2.35</f>
        <v>7837.25</v>
      </c>
      <c r="AU160" s="47">
        <f>=H160*15.88</f>
        <v>794</v>
      </c>
    </row>
    <row r="161" spans="1:47">
      <c r="A161" s="24" t="s">
        <v>1427</v>
      </c>
      <c r="B161" s="24">
        <v>11352</v>
      </c>
      <c r="C161" s="24" t="s">
        <v>1428</v>
      </c>
      <c r="D161" s="24" t="s">
        <v>1429</v>
      </c>
      <c r="E161" s="24">
        <v>900011352</v>
      </c>
      <c r="F161" s="24">
        <v>8655</v>
      </c>
      <c r="G161" s="24">
        <v>96</v>
      </c>
      <c r="H161" s="24">
        <v>50</v>
      </c>
      <c r="I161" s="25">
        <v>0.5</v>
      </c>
      <c r="J161" s="24">
        <v>3783</v>
      </c>
      <c r="K161" s="24" t="b">
        <v>1</v>
      </c>
      <c r="L161" s="25">
        <v>0</v>
      </c>
      <c r="M161" s="47">
        <v>0</v>
      </c>
      <c r="N161" s="25">
        <v>0.1</v>
      </c>
      <c r="O161" s="47">
        <v>10</v>
      </c>
      <c r="P161" s="25">
        <v>1</v>
      </c>
      <c r="Q161" s="24">
        <v>2</v>
      </c>
      <c r="R161" s="24">
        <v>5</v>
      </c>
      <c r="S161" s="25">
        <v>0.5</v>
      </c>
      <c r="T161" s="24">
        <v>0.2</v>
      </c>
      <c r="U161" s="24">
        <v>-0.2</v>
      </c>
      <c r="V161" s="24">
        <v>0</v>
      </c>
      <c r="W161" s="24">
        <v>-0.2</v>
      </c>
      <c r="X161" s="24">
        <v>0</v>
      </c>
      <c r="Y161" s="24">
        <v>0.2</v>
      </c>
      <c r="Z161" s="24">
        <v>-0.2</v>
      </c>
      <c r="AA161" s="24">
        <v>0</v>
      </c>
      <c r="AB161" s="24">
        <v>-0.2</v>
      </c>
      <c r="AC161" s="24">
        <v>0</v>
      </c>
      <c r="AD161" s="24">
        <v>0.2</v>
      </c>
      <c r="AE161" s="24">
        <v>-0.2</v>
      </c>
      <c r="AF161" s="24">
        <v>0</v>
      </c>
      <c r="AG161" s="24">
        <v>-0.2</v>
      </c>
      <c r="AH161" s="24">
        <v>0</v>
      </c>
      <c r="AI161" s="48">
        <v>20001</v>
      </c>
      <c r="AJ161" s="48">
        <v>20012</v>
      </c>
      <c r="AK161" s="48">
        <v>20003</v>
      </c>
      <c r="AL161" s="48">
        <v>20004</v>
      </c>
      <c r="AM161" s="48">
        <v>20005</v>
      </c>
      <c r="AN161" s="25">
        <v>0</v>
      </c>
      <c r="AO161" s="49">
        <v>3</v>
      </c>
      <c r="AP161" s="50">
        <v>75</v>
      </c>
      <c r="AQ161" s="51" t="s">
        <v>1431</v>
      </c>
      <c r="AR161" s="51">
        <f>=F161*247.95</f>
        <v>2146007.25</v>
      </c>
      <c r="AS161" s="51">
        <f>=G161*32.6061</f>
        <v>3130.1856</v>
      </c>
      <c r="AT161" s="51">
        <f>=J161*2.35</f>
        <v>8890.05</v>
      </c>
      <c r="AU161" s="47">
        <f>=H161*15.88</f>
        <v>794</v>
      </c>
    </row>
    <row r="162" spans="1:47">
      <c r="A162" s="24" t="s">
        <v>1432</v>
      </c>
      <c r="B162" s="24">
        <v>11353</v>
      </c>
      <c r="C162" s="24" t="s">
        <v>1433</v>
      </c>
      <c r="D162" s="24" t="s">
        <v>1434</v>
      </c>
      <c r="E162" s="24">
        <v>900011353</v>
      </c>
      <c r="F162" s="24">
        <v>20548</v>
      </c>
      <c r="G162" s="24">
        <v>120</v>
      </c>
      <c r="H162" s="24">
        <v>60</v>
      </c>
      <c r="I162" s="25">
        <v>0.5</v>
      </c>
      <c r="J162" s="24">
        <v>5543</v>
      </c>
      <c r="K162" s="24" t="b">
        <v>1</v>
      </c>
      <c r="L162" s="25">
        <v>0</v>
      </c>
      <c r="M162" s="47">
        <v>0</v>
      </c>
      <c r="N162" s="25">
        <v>0.0833</v>
      </c>
      <c r="O162" s="47">
        <v>12.0048</v>
      </c>
      <c r="P162" s="25">
        <v>0.5</v>
      </c>
      <c r="Q162" s="24">
        <v>3</v>
      </c>
      <c r="R162" s="24">
        <v>5</v>
      </c>
      <c r="S162" s="25">
        <v>0.75</v>
      </c>
      <c r="T162" s="24">
        <v>0.2</v>
      </c>
      <c r="U162" s="24">
        <v>-0.2</v>
      </c>
      <c r="V162" s="24">
        <v>0</v>
      </c>
      <c r="W162" s="24">
        <v>-0.2</v>
      </c>
      <c r="X162" s="24">
        <v>0</v>
      </c>
      <c r="Y162" s="24">
        <v>0.2</v>
      </c>
      <c r="Z162" s="24">
        <v>-0.2</v>
      </c>
      <c r="AA162" s="24">
        <v>0</v>
      </c>
      <c r="AB162" s="24">
        <v>-0.2</v>
      </c>
      <c r="AC162" s="24">
        <v>0</v>
      </c>
      <c r="AD162" s="24">
        <v>0.2</v>
      </c>
      <c r="AE162" s="24">
        <v>-0.2</v>
      </c>
      <c r="AF162" s="24">
        <v>0</v>
      </c>
      <c r="AG162" s="24">
        <v>-0.2</v>
      </c>
      <c r="AH162" s="24">
        <v>0</v>
      </c>
      <c r="AI162" s="48">
        <v>30001</v>
      </c>
      <c r="AJ162" s="48">
        <v>30012</v>
      </c>
      <c r="AK162" s="48">
        <v>30003</v>
      </c>
      <c r="AL162" s="48">
        <v>30004</v>
      </c>
      <c r="AM162" s="48">
        <v>30005</v>
      </c>
      <c r="AN162" s="25">
        <v>0</v>
      </c>
      <c r="AO162" s="49">
        <v>5</v>
      </c>
      <c r="AP162" s="50">
        <v>100</v>
      </c>
      <c r="AQ162" s="51" t="s">
        <v>1435</v>
      </c>
      <c r="AR162" s="51">
        <f>=F162*247.95</f>
        <v>5094876.6</v>
      </c>
      <c r="AS162" s="51">
        <f>=G162*32.6061</f>
        <v>3912.732</v>
      </c>
      <c r="AT162" s="51">
        <f>=J162*2.35</f>
        <v>13026.05</v>
      </c>
      <c r="AU162" s="47">
        <f>=H162*15.88</f>
        <v>952.8</v>
      </c>
    </row>
    <row r="163" spans="1:47">
      <c r="A163" s="24" t="s">
        <v>1436</v>
      </c>
      <c r="B163" s="24">
        <v>11354</v>
      </c>
      <c r="C163" s="24" t="s">
        <v>1437</v>
      </c>
      <c r="D163" s="24" t="s">
        <v>1438</v>
      </c>
      <c r="E163" s="24">
        <v>900011354</v>
      </c>
      <c r="F163" s="24">
        <v>8414</v>
      </c>
      <c r="G163" s="24">
        <v>84</v>
      </c>
      <c r="H163" s="24">
        <v>50</v>
      </c>
      <c r="I163" s="25">
        <v>0.5</v>
      </c>
      <c r="J163" s="24">
        <v>3335</v>
      </c>
      <c r="K163" s="24" t="b">
        <v>1</v>
      </c>
      <c r="L163" s="25">
        <v>0</v>
      </c>
      <c r="M163" s="47">
        <v>0</v>
      </c>
      <c r="N163" s="25">
        <v>0.1</v>
      </c>
      <c r="O163" s="47">
        <v>10</v>
      </c>
      <c r="P163" s="25">
        <v>1</v>
      </c>
      <c r="Q163" s="24">
        <v>2</v>
      </c>
      <c r="R163" s="24">
        <v>3</v>
      </c>
      <c r="S163" s="25">
        <v>0.5</v>
      </c>
      <c r="T163" s="24">
        <v>-0.2</v>
      </c>
      <c r="U163" s="24">
        <v>0</v>
      </c>
      <c r="V163" s="24">
        <v>0</v>
      </c>
      <c r="W163" s="24">
        <v>-0.2</v>
      </c>
      <c r="X163" s="24">
        <v>0</v>
      </c>
      <c r="Y163" s="24">
        <v>-0.2</v>
      </c>
      <c r="Z163" s="24">
        <v>0</v>
      </c>
      <c r="AA163" s="24">
        <v>0</v>
      </c>
      <c r="AB163" s="24">
        <v>-0.2</v>
      </c>
      <c r="AC163" s="24">
        <v>0</v>
      </c>
      <c r="AD163" s="24">
        <v>-0.2</v>
      </c>
      <c r="AE163" s="24">
        <v>0</v>
      </c>
      <c r="AF163" s="24">
        <v>0</v>
      </c>
      <c r="AG163" s="24">
        <v>-0.2</v>
      </c>
      <c r="AH163" s="24">
        <v>0</v>
      </c>
      <c r="AI163" s="48">
        <v>20001</v>
      </c>
      <c r="AJ163" s="48">
        <v>20002</v>
      </c>
      <c r="AK163" s="48">
        <v>20003</v>
      </c>
      <c r="AL163" s="48">
        <v>20004</v>
      </c>
      <c r="AM163" s="48">
        <v>20005</v>
      </c>
      <c r="AN163" s="25">
        <v>0</v>
      </c>
      <c r="AO163" s="49">
        <v>3</v>
      </c>
      <c r="AP163" s="50">
        <v>75</v>
      </c>
      <c r="AQ163" s="51" t="s">
        <v>1439</v>
      </c>
      <c r="AR163" s="51">
        <f>=F163*247.95</f>
        <v>2086251.3</v>
      </c>
      <c r="AS163" s="51">
        <f>=G163*32.6061</f>
        <v>2738.9124</v>
      </c>
      <c r="AT163" s="51">
        <f>=J163*2.35</f>
        <v>7837.25</v>
      </c>
      <c r="AU163" s="47">
        <f>=H163*15.88</f>
        <v>794</v>
      </c>
    </row>
    <row r="164" spans="1:47">
      <c r="A164" s="24" t="s">
        <v>1436</v>
      </c>
      <c r="B164" s="24">
        <v>11355</v>
      </c>
      <c r="C164" s="24" t="s">
        <v>1437</v>
      </c>
      <c r="D164" s="24" t="s">
        <v>1438</v>
      </c>
      <c r="E164" s="24">
        <v>900011355</v>
      </c>
      <c r="F164" s="24">
        <v>8655</v>
      </c>
      <c r="G164" s="24">
        <v>96</v>
      </c>
      <c r="H164" s="24">
        <v>50</v>
      </c>
      <c r="I164" s="25">
        <v>0.5</v>
      </c>
      <c r="J164" s="24">
        <v>3783</v>
      </c>
      <c r="K164" s="24" t="b">
        <v>1</v>
      </c>
      <c r="L164" s="25">
        <v>0</v>
      </c>
      <c r="M164" s="47">
        <v>0</v>
      </c>
      <c r="N164" s="25">
        <v>0.1</v>
      </c>
      <c r="O164" s="47">
        <v>10</v>
      </c>
      <c r="P164" s="25">
        <v>1</v>
      </c>
      <c r="Q164" s="24">
        <v>2</v>
      </c>
      <c r="R164" s="24">
        <v>5</v>
      </c>
      <c r="S164" s="25">
        <v>0.5</v>
      </c>
      <c r="T164" s="24">
        <v>-0.2</v>
      </c>
      <c r="U164" s="24">
        <v>0</v>
      </c>
      <c r="V164" s="24">
        <v>0</v>
      </c>
      <c r="W164" s="24">
        <v>-0.2</v>
      </c>
      <c r="X164" s="24">
        <v>0</v>
      </c>
      <c r="Y164" s="24">
        <v>-0.2</v>
      </c>
      <c r="Z164" s="24">
        <v>0</v>
      </c>
      <c r="AA164" s="24">
        <v>0</v>
      </c>
      <c r="AB164" s="24">
        <v>-0.2</v>
      </c>
      <c r="AC164" s="24">
        <v>0</v>
      </c>
      <c r="AD164" s="24">
        <v>-0.2</v>
      </c>
      <c r="AE164" s="24">
        <v>0</v>
      </c>
      <c r="AF164" s="24">
        <v>0</v>
      </c>
      <c r="AG164" s="24">
        <v>-0.2</v>
      </c>
      <c r="AH164" s="24">
        <v>0</v>
      </c>
      <c r="AI164" s="48">
        <v>20001</v>
      </c>
      <c r="AJ164" s="48">
        <v>20002</v>
      </c>
      <c r="AK164" s="48">
        <v>20003</v>
      </c>
      <c r="AL164" s="48">
        <v>20004</v>
      </c>
      <c r="AM164" s="48">
        <v>20005</v>
      </c>
      <c r="AN164" s="25">
        <v>0</v>
      </c>
      <c r="AO164" s="49">
        <v>3</v>
      </c>
      <c r="AP164" s="50">
        <v>75</v>
      </c>
      <c r="AQ164" s="51" t="s">
        <v>1440</v>
      </c>
      <c r="AR164" s="51">
        <f>=F164*247.95</f>
        <v>2146007.25</v>
      </c>
      <c r="AS164" s="51">
        <f>=G164*32.6061</f>
        <v>3130.1856</v>
      </c>
      <c r="AT164" s="51">
        <f>=J164*2.35</f>
        <v>8890.05</v>
      </c>
      <c r="AU164" s="47">
        <f>=H164*15.88</f>
        <v>794</v>
      </c>
    </row>
    <row r="165" spans="1:47">
      <c r="A165" s="24" t="s">
        <v>1441</v>
      </c>
      <c r="B165" s="24">
        <v>11361</v>
      </c>
      <c r="C165" s="24" t="s">
        <v>1442</v>
      </c>
      <c r="D165" s="24" t="s">
        <v>1443</v>
      </c>
      <c r="E165" s="24">
        <v>900011361</v>
      </c>
      <c r="F165" s="24">
        <v>6324</v>
      </c>
      <c r="G165" s="24">
        <v>76</v>
      </c>
      <c r="H165" s="24">
        <v>50</v>
      </c>
      <c r="I165" s="25">
        <v>0.5</v>
      </c>
      <c r="J165" s="24">
        <v>2527</v>
      </c>
      <c r="K165" s="24" t="b">
        <v>1</v>
      </c>
      <c r="L165" s="25">
        <v>0.01</v>
      </c>
      <c r="M165" s="47">
        <v>0</v>
      </c>
      <c r="N165" s="25">
        <v>0.1</v>
      </c>
      <c r="O165" s="47">
        <v>10</v>
      </c>
      <c r="P165" s="25">
        <v>0.5</v>
      </c>
      <c r="Q165" s="24">
        <v>2</v>
      </c>
      <c r="R165" s="24">
        <v>3</v>
      </c>
      <c r="S165" s="25">
        <v>0.5</v>
      </c>
      <c r="T165" s="24">
        <v>0.2</v>
      </c>
      <c r="U165" s="24">
        <v>-0.2</v>
      </c>
      <c r="V165" s="24">
        <v>0</v>
      </c>
      <c r="W165" s="24">
        <v>-0.2</v>
      </c>
      <c r="X165" s="24">
        <v>0</v>
      </c>
      <c r="Y165" s="24">
        <v>0.2</v>
      </c>
      <c r="Z165" s="24">
        <v>-0.2</v>
      </c>
      <c r="AA165" s="24">
        <v>0</v>
      </c>
      <c r="AB165" s="24">
        <v>-0.2</v>
      </c>
      <c r="AC165" s="24">
        <v>0</v>
      </c>
      <c r="AD165" s="24">
        <v>0.2</v>
      </c>
      <c r="AE165" s="24">
        <v>-0.2</v>
      </c>
      <c r="AF165" s="24">
        <v>0</v>
      </c>
      <c r="AG165" s="24">
        <v>-0.2</v>
      </c>
      <c r="AH165" s="24">
        <v>0</v>
      </c>
      <c r="AI165" s="48">
        <v>20001</v>
      </c>
      <c r="AJ165" s="48">
        <v>20012</v>
      </c>
      <c r="AK165" s="48">
        <v>20003</v>
      </c>
      <c r="AL165" s="48">
        <v>20004</v>
      </c>
      <c r="AM165" s="48">
        <v>20005</v>
      </c>
      <c r="AN165" s="25">
        <v>0</v>
      </c>
      <c r="AO165" s="49">
        <v>3</v>
      </c>
      <c r="AP165" s="50">
        <v>75</v>
      </c>
      <c r="AQ165" s="51" t="s">
        <v>1430</v>
      </c>
      <c r="AR165" s="51">
        <f>=F165*247.95</f>
        <v>1568035.8</v>
      </c>
      <c r="AS165" s="51">
        <f>=G165*32.6061</f>
        <v>2478.0636</v>
      </c>
      <c r="AT165" s="51">
        <f>=J165*2.35</f>
        <v>5938.45</v>
      </c>
      <c r="AU165" s="47">
        <f>=H165*15.88</f>
        <v>794</v>
      </c>
    </row>
    <row r="166" spans="1:47">
      <c r="A166" s="24" t="s">
        <v>1441</v>
      </c>
      <c r="B166" s="24">
        <v>11362</v>
      </c>
      <c r="C166" s="24" t="s">
        <v>1442</v>
      </c>
      <c r="D166" s="24" t="s">
        <v>1443</v>
      </c>
      <c r="E166" s="24">
        <v>900011362</v>
      </c>
      <c r="F166" s="24">
        <v>6517</v>
      </c>
      <c r="G166" s="24">
        <v>86</v>
      </c>
      <c r="H166" s="24">
        <v>50</v>
      </c>
      <c r="I166" s="25">
        <v>0.5</v>
      </c>
      <c r="J166" s="24">
        <v>2886</v>
      </c>
      <c r="K166" s="24" t="b">
        <v>1</v>
      </c>
      <c r="L166" s="25">
        <v>0.01</v>
      </c>
      <c r="M166" s="47">
        <v>0</v>
      </c>
      <c r="N166" s="25">
        <v>0.1</v>
      </c>
      <c r="O166" s="47">
        <v>10</v>
      </c>
      <c r="P166" s="25">
        <v>0.5</v>
      </c>
      <c r="Q166" s="24">
        <v>2</v>
      </c>
      <c r="R166" s="24">
        <v>5</v>
      </c>
      <c r="S166" s="25">
        <v>0.5</v>
      </c>
      <c r="T166" s="24">
        <v>0.2</v>
      </c>
      <c r="U166" s="24">
        <v>-0.2</v>
      </c>
      <c r="V166" s="24">
        <v>0</v>
      </c>
      <c r="W166" s="24">
        <v>-0.2</v>
      </c>
      <c r="X166" s="24">
        <v>0</v>
      </c>
      <c r="Y166" s="24">
        <v>0.2</v>
      </c>
      <c r="Z166" s="24">
        <v>-0.2</v>
      </c>
      <c r="AA166" s="24">
        <v>0</v>
      </c>
      <c r="AB166" s="24">
        <v>-0.2</v>
      </c>
      <c r="AC166" s="24">
        <v>0</v>
      </c>
      <c r="AD166" s="24">
        <v>0.2</v>
      </c>
      <c r="AE166" s="24">
        <v>-0.2</v>
      </c>
      <c r="AF166" s="24">
        <v>0</v>
      </c>
      <c r="AG166" s="24">
        <v>-0.2</v>
      </c>
      <c r="AH166" s="24">
        <v>0</v>
      </c>
      <c r="AI166" s="48">
        <v>20001</v>
      </c>
      <c r="AJ166" s="48">
        <v>20012</v>
      </c>
      <c r="AK166" s="48">
        <v>20003</v>
      </c>
      <c r="AL166" s="48">
        <v>20004</v>
      </c>
      <c r="AM166" s="48">
        <v>20005</v>
      </c>
      <c r="AN166" s="25">
        <v>0</v>
      </c>
      <c r="AO166" s="49">
        <v>3</v>
      </c>
      <c r="AP166" s="50">
        <v>75</v>
      </c>
      <c r="AQ166" s="51" t="s">
        <v>1431</v>
      </c>
      <c r="AR166" s="51">
        <f>=F166*247.95</f>
        <v>1615890.15</v>
      </c>
      <c r="AS166" s="51">
        <f>=G166*32.6061</f>
        <v>2804.1246</v>
      </c>
      <c r="AT166" s="51">
        <f>=J166*2.35</f>
        <v>6782.1</v>
      </c>
      <c r="AU166" s="47">
        <f>=H166*15.88</f>
        <v>794</v>
      </c>
    </row>
    <row r="167" spans="1:47">
      <c r="A167" s="24" t="s">
        <v>1444</v>
      </c>
      <c r="B167" s="24">
        <v>11363</v>
      </c>
      <c r="C167" s="24" t="s">
        <v>1445</v>
      </c>
      <c r="D167" s="24" t="s">
        <v>1446</v>
      </c>
      <c r="E167" s="24">
        <v>900011363</v>
      </c>
      <c r="F167" s="24">
        <v>6324</v>
      </c>
      <c r="G167" s="24">
        <v>76</v>
      </c>
      <c r="H167" s="24">
        <v>50</v>
      </c>
      <c r="I167" s="25">
        <v>0.5</v>
      </c>
      <c r="J167" s="24">
        <v>2527</v>
      </c>
      <c r="K167" s="24" t="b">
        <v>1</v>
      </c>
      <c r="L167" s="25">
        <v>0.01</v>
      </c>
      <c r="M167" s="47">
        <v>0</v>
      </c>
      <c r="N167" s="25">
        <v>0.1</v>
      </c>
      <c r="O167" s="47">
        <v>10</v>
      </c>
      <c r="P167" s="25">
        <v>0.5</v>
      </c>
      <c r="Q167" s="24">
        <v>2</v>
      </c>
      <c r="R167" s="24">
        <v>3</v>
      </c>
      <c r="S167" s="25">
        <v>0.5</v>
      </c>
      <c r="T167" s="24">
        <v>-0.2</v>
      </c>
      <c r="U167" s="24">
        <v>0</v>
      </c>
      <c r="V167" s="24">
        <v>0</v>
      </c>
      <c r="W167" s="24">
        <v>-0.2</v>
      </c>
      <c r="X167" s="24">
        <v>0</v>
      </c>
      <c r="Y167" s="24">
        <v>-0.2</v>
      </c>
      <c r="Z167" s="24">
        <v>0</v>
      </c>
      <c r="AA167" s="24">
        <v>0</v>
      </c>
      <c r="AB167" s="24">
        <v>-0.2</v>
      </c>
      <c r="AC167" s="24">
        <v>0</v>
      </c>
      <c r="AD167" s="24">
        <v>-0.2</v>
      </c>
      <c r="AE167" s="24">
        <v>0</v>
      </c>
      <c r="AF167" s="24">
        <v>0</v>
      </c>
      <c r="AG167" s="24">
        <v>-0.2</v>
      </c>
      <c r="AH167" s="24">
        <v>0</v>
      </c>
      <c r="AI167" s="48">
        <v>20001</v>
      </c>
      <c r="AJ167" s="48">
        <v>20002</v>
      </c>
      <c r="AK167" s="48">
        <v>20003</v>
      </c>
      <c r="AL167" s="48">
        <v>20004</v>
      </c>
      <c r="AM167" s="48">
        <v>20005</v>
      </c>
      <c r="AN167" s="25">
        <v>0</v>
      </c>
      <c r="AO167" s="49">
        <v>3</v>
      </c>
      <c r="AP167" s="50">
        <v>75</v>
      </c>
      <c r="AQ167" s="51" t="s">
        <v>1439</v>
      </c>
      <c r="AR167" s="51">
        <f>=F167*247.95</f>
        <v>1568035.8</v>
      </c>
      <c r="AS167" s="51">
        <f>=G167*32.6061</f>
        <v>2478.0636</v>
      </c>
      <c r="AT167" s="51">
        <f>=J167*2.35</f>
        <v>5938.45</v>
      </c>
      <c r="AU167" s="47">
        <f>=H167*15.88</f>
        <v>794</v>
      </c>
    </row>
    <row r="168" spans="1:47">
      <c r="A168" s="24" t="s">
        <v>1444</v>
      </c>
      <c r="B168" s="24">
        <v>11364</v>
      </c>
      <c r="C168" s="24" t="s">
        <v>1445</v>
      </c>
      <c r="D168" s="24" t="s">
        <v>1446</v>
      </c>
      <c r="E168" s="24">
        <v>900011364</v>
      </c>
      <c r="F168" s="24">
        <v>6517</v>
      </c>
      <c r="G168" s="24">
        <v>86</v>
      </c>
      <c r="H168" s="24">
        <v>50</v>
      </c>
      <c r="I168" s="25">
        <v>0.5</v>
      </c>
      <c r="J168" s="24">
        <v>2886</v>
      </c>
      <c r="K168" s="24" t="b">
        <v>1</v>
      </c>
      <c r="L168" s="25">
        <v>0.01</v>
      </c>
      <c r="M168" s="47">
        <v>0</v>
      </c>
      <c r="N168" s="25">
        <v>0.1</v>
      </c>
      <c r="O168" s="47">
        <v>10</v>
      </c>
      <c r="P168" s="25">
        <v>0.5</v>
      </c>
      <c r="Q168" s="24">
        <v>2</v>
      </c>
      <c r="R168" s="24">
        <v>5</v>
      </c>
      <c r="S168" s="25">
        <v>0.5</v>
      </c>
      <c r="T168" s="24">
        <v>-0.2</v>
      </c>
      <c r="U168" s="24">
        <v>0</v>
      </c>
      <c r="V168" s="24">
        <v>0</v>
      </c>
      <c r="W168" s="24">
        <v>-0.2</v>
      </c>
      <c r="X168" s="24">
        <v>0</v>
      </c>
      <c r="Y168" s="24">
        <v>-0.2</v>
      </c>
      <c r="Z168" s="24">
        <v>0</v>
      </c>
      <c r="AA168" s="24">
        <v>0</v>
      </c>
      <c r="AB168" s="24">
        <v>-0.2</v>
      </c>
      <c r="AC168" s="24">
        <v>0</v>
      </c>
      <c r="AD168" s="24">
        <v>-0.2</v>
      </c>
      <c r="AE168" s="24">
        <v>0</v>
      </c>
      <c r="AF168" s="24">
        <v>0</v>
      </c>
      <c r="AG168" s="24">
        <v>-0.2</v>
      </c>
      <c r="AH168" s="24">
        <v>0</v>
      </c>
      <c r="AI168" s="48">
        <v>20001</v>
      </c>
      <c r="AJ168" s="48">
        <v>20002</v>
      </c>
      <c r="AK168" s="48">
        <v>20003</v>
      </c>
      <c r="AL168" s="48">
        <v>20004</v>
      </c>
      <c r="AM168" s="48">
        <v>20005</v>
      </c>
      <c r="AN168" s="25">
        <v>0</v>
      </c>
      <c r="AO168" s="49">
        <v>3</v>
      </c>
      <c r="AP168" s="50">
        <v>75</v>
      </c>
      <c r="AQ168" s="51" t="s">
        <v>1440</v>
      </c>
      <c r="AR168" s="51">
        <f>=F168*247.95</f>
        <v>1615890.15</v>
      </c>
      <c r="AS168" s="51">
        <f>=G168*32.6061</f>
        <v>2804.1246</v>
      </c>
      <c r="AT168" s="51">
        <f>=J168*2.35</f>
        <v>6782.1</v>
      </c>
      <c r="AU168" s="47">
        <f>=H168*15.88</f>
        <v>794</v>
      </c>
    </row>
    <row r="169" spans="1:47">
      <c r="A169" s="24" t="s">
        <v>1447</v>
      </c>
      <c r="B169" s="24">
        <v>11371</v>
      </c>
      <c r="C169" s="24" t="s">
        <v>1448</v>
      </c>
      <c r="D169" s="24" t="s">
        <v>1449</v>
      </c>
      <c r="E169" s="24">
        <v>900011371</v>
      </c>
      <c r="F169" s="24">
        <v>1123</v>
      </c>
      <c r="G169" s="24">
        <v>54</v>
      </c>
      <c r="H169" s="24">
        <v>43</v>
      </c>
      <c r="I169" s="25">
        <v>0.5</v>
      </c>
      <c r="J169" s="24">
        <v>600</v>
      </c>
      <c r="K169" s="24" t="b">
        <v>1</v>
      </c>
      <c r="L169" s="25">
        <v>0.05</v>
      </c>
      <c r="M169" s="47">
        <v>0</v>
      </c>
      <c r="N169" s="25">
        <v>0.1538</v>
      </c>
      <c r="O169" s="47">
        <v>6.501951</v>
      </c>
      <c r="P169" s="25">
        <v>0.5</v>
      </c>
      <c r="Q169" s="24">
        <v>1</v>
      </c>
      <c r="R169" s="24">
        <v>1</v>
      </c>
      <c r="S169" s="25">
        <v>0</v>
      </c>
      <c r="T169" s="24">
        <v>0</v>
      </c>
      <c r="U169" s="24">
        <v>0</v>
      </c>
      <c r="V169" s="24">
        <v>-0.2</v>
      </c>
      <c r="W169" s="24">
        <v>0</v>
      </c>
      <c r="X169" s="24">
        <v>-0.2</v>
      </c>
      <c r="Y169" s="24">
        <v>0</v>
      </c>
      <c r="Z169" s="24">
        <v>0</v>
      </c>
      <c r="AA169" s="24">
        <v>-0.2</v>
      </c>
      <c r="AB169" s="24">
        <v>0</v>
      </c>
      <c r="AC169" s="24">
        <v>-0.2</v>
      </c>
      <c r="AD169" s="24">
        <v>0</v>
      </c>
      <c r="AE169" s="24">
        <v>0</v>
      </c>
      <c r="AF169" s="24">
        <v>-0.2</v>
      </c>
      <c r="AG169" s="24">
        <v>0</v>
      </c>
      <c r="AH169" s="24">
        <v>-0.2</v>
      </c>
      <c r="AI169" s="48">
        <v>10001</v>
      </c>
      <c r="AJ169" s="48">
        <v>10002</v>
      </c>
      <c r="AK169" s="48">
        <v>10013</v>
      </c>
      <c r="AL169" s="48">
        <v>10004</v>
      </c>
      <c r="AM169" s="48">
        <v>10015</v>
      </c>
      <c r="AN169" s="25">
        <v>0</v>
      </c>
      <c r="AO169" s="49" t="s"/>
      <c r="AP169" s="50">
        <v>50</v>
      </c>
      <c r="AQ169" s="51" t="s">
        <v>1450</v>
      </c>
      <c r="AR169" s="51">
        <f>=F169*247.95</f>
        <v>278447.85</v>
      </c>
      <c r="AS169" s="51">
        <f>=G169*32.6061</f>
        <v>1760.7294</v>
      </c>
      <c r="AT169" s="51">
        <f>=J169*2.35</f>
        <v>1410</v>
      </c>
      <c r="AU169" s="47">
        <f>=H169*15.88</f>
        <v>682.84</v>
      </c>
    </row>
    <row r="170" spans="1:47">
      <c r="A170" s="24" t="s">
        <v>1447</v>
      </c>
      <c r="B170" s="24">
        <v>11372</v>
      </c>
      <c r="C170" s="24" t="s">
        <v>1448</v>
      </c>
      <c r="D170" s="24" t="s">
        <v>1449</v>
      </c>
      <c r="E170" s="24">
        <v>900011372</v>
      </c>
      <c r="F170" s="24">
        <v>1373</v>
      </c>
      <c r="G170" s="24">
        <v>54</v>
      </c>
      <c r="H170" s="24">
        <v>43</v>
      </c>
      <c r="I170" s="25">
        <v>0.5</v>
      </c>
      <c r="J170" s="24">
        <v>900</v>
      </c>
      <c r="K170" s="24" t="b">
        <v>1</v>
      </c>
      <c r="L170" s="25">
        <v>0.05</v>
      </c>
      <c r="M170" s="47">
        <v>0</v>
      </c>
      <c r="N170" s="25">
        <v>0.1538</v>
      </c>
      <c r="O170" s="47">
        <v>6.501951</v>
      </c>
      <c r="P170" s="25">
        <v>0.5</v>
      </c>
      <c r="Q170" s="24">
        <v>1</v>
      </c>
      <c r="R170" s="24">
        <v>1</v>
      </c>
      <c r="S170" s="25">
        <v>0</v>
      </c>
      <c r="T170" s="24">
        <v>0</v>
      </c>
      <c r="U170" s="24">
        <v>0</v>
      </c>
      <c r="V170" s="24">
        <v>-0.2</v>
      </c>
      <c r="W170" s="24">
        <v>0</v>
      </c>
      <c r="X170" s="24">
        <v>-0.2</v>
      </c>
      <c r="Y170" s="24">
        <v>0</v>
      </c>
      <c r="Z170" s="24">
        <v>0</v>
      </c>
      <c r="AA170" s="24">
        <v>-0.2</v>
      </c>
      <c r="AB170" s="24">
        <v>0</v>
      </c>
      <c r="AC170" s="24">
        <v>-0.2</v>
      </c>
      <c r="AD170" s="24">
        <v>0</v>
      </c>
      <c r="AE170" s="24">
        <v>0</v>
      </c>
      <c r="AF170" s="24">
        <v>-0.2</v>
      </c>
      <c r="AG170" s="24">
        <v>0</v>
      </c>
      <c r="AH170" s="24">
        <v>-0.2</v>
      </c>
      <c r="AI170" s="48">
        <v>10001</v>
      </c>
      <c r="AJ170" s="48">
        <v>10002</v>
      </c>
      <c r="AK170" s="48">
        <v>10013</v>
      </c>
      <c r="AL170" s="48">
        <v>10004</v>
      </c>
      <c r="AM170" s="48">
        <v>10015</v>
      </c>
      <c r="AN170" s="25">
        <v>0</v>
      </c>
      <c r="AO170" s="49" t="s"/>
      <c r="AP170" s="50">
        <v>50</v>
      </c>
      <c r="AQ170" s="51" t="s">
        <v>1451</v>
      </c>
      <c r="AR170" s="51">
        <f>=F170*247.95</f>
        <v>340435.35</v>
      </c>
      <c r="AS170" s="51">
        <f>=G170*32.6061</f>
        <v>1760.7294</v>
      </c>
      <c r="AT170" s="51">
        <f>=J170*2.35</f>
        <v>2115</v>
      </c>
      <c r="AU170" s="47">
        <f>=H170*15.88</f>
        <v>682.84</v>
      </c>
    </row>
    <row r="171" spans="1:47" ht="18" customHeight="1">
      <c r="A171" s="24" t="s">
        <v>1447</v>
      </c>
      <c r="B171" s="24">
        <v>11373</v>
      </c>
      <c r="C171" s="24" t="s">
        <v>1448</v>
      </c>
      <c r="D171" s="24" t="s">
        <v>1449</v>
      </c>
      <c r="E171" s="24">
        <v>900011373</v>
      </c>
      <c r="F171" s="24">
        <v>1373</v>
      </c>
      <c r="G171" s="24">
        <v>54</v>
      </c>
      <c r="H171" s="24">
        <v>43</v>
      </c>
      <c r="I171" s="25">
        <v>0.5</v>
      </c>
      <c r="J171" s="24">
        <v>900</v>
      </c>
      <c r="K171" s="24" t="b">
        <v>1</v>
      </c>
      <c r="L171" s="25">
        <v>0.05</v>
      </c>
      <c r="M171" s="47">
        <v>0</v>
      </c>
      <c r="N171" s="25">
        <v>0.1538</v>
      </c>
      <c r="O171" s="47">
        <v>6.501951</v>
      </c>
      <c r="P171" s="25">
        <v>0.5</v>
      </c>
      <c r="Q171" s="24">
        <v>1</v>
      </c>
      <c r="R171" s="24">
        <v>1</v>
      </c>
      <c r="S171" s="25">
        <v>0</v>
      </c>
      <c r="T171" s="24">
        <v>0</v>
      </c>
      <c r="U171" s="24">
        <v>0</v>
      </c>
      <c r="V171" s="24">
        <v>-0.2</v>
      </c>
      <c r="W171" s="24">
        <v>0</v>
      </c>
      <c r="X171" s="24">
        <v>-0.2</v>
      </c>
      <c r="Y171" s="24">
        <v>0</v>
      </c>
      <c r="Z171" s="24">
        <v>0</v>
      </c>
      <c r="AA171" s="24">
        <v>-0.2</v>
      </c>
      <c r="AB171" s="24">
        <v>0</v>
      </c>
      <c r="AC171" s="24">
        <v>-0.2</v>
      </c>
      <c r="AD171" s="24">
        <v>0</v>
      </c>
      <c r="AE171" s="24">
        <v>0</v>
      </c>
      <c r="AF171" s="24">
        <v>-0.2</v>
      </c>
      <c r="AG171" s="24">
        <v>0</v>
      </c>
      <c r="AH171" s="24">
        <v>-0.2</v>
      </c>
      <c r="AI171" s="48">
        <v>10001</v>
      </c>
      <c r="AJ171" s="48">
        <v>10002</v>
      </c>
      <c r="AK171" s="48">
        <v>10013</v>
      </c>
      <c r="AL171" s="48">
        <v>10004</v>
      </c>
      <c r="AM171" s="48">
        <v>10015</v>
      </c>
      <c r="AN171" s="25">
        <v>0</v>
      </c>
      <c r="AO171" s="49" t="s"/>
      <c r="AP171" s="50">
        <v>50</v>
      </c>
      <c r="AQ171" s="51" t="s">
        <v>1451</v>
      </c>
      <c r="AR171" s="51">
        <f>=F171*247.95</f>
        <v>340435.35</v>
      </c>
      <c r="AS171" s="51">
        <f>=G171*32.6061</f>
        <v>1760.7294</v>
      </c>
      <c r="AT171" s="51">
        <f>=J171*2.35</f>
        <v>2115</v>
      </c>
      <c r="AU171" s="47">
        <f>=H171*15.88</f>
        <v>682.84</v>
      </c>
    </row>
    <row r="172" spans="1:47">
      <c r="A172" s="24" t="s">
        <v>1452</v>
      </c>
      <c r="B172" s="24">
        <v>11381</v>
      </c>
      <c r="C172" s="24" t="s">
        <v>1453</v>
      </c>
      <c r="D172" s="24" t="s">
        <v>1454</v>
      </c>
      <c r="E172" s="24">
        <v>900011381</v>
      </c>
      <c r="F172" s="24">
        <v>8835</v>
      </c>
      <c r="G172" s="24">
        <v>88</v>
      </c>
      <c r="H172" s="24">
        <v>54</v>
      </c>
      <c r="I172" s="25">
        <v>0.5</v>
      </c>
      <c r="J172" s="24">
        <v>3502</v>
      </c>
      <c r="K172" s="24" t="b">
        <v>1</v>
      </c>
      <c r="L172" s="25">
        <v>0</v>
      </c>
      <c r="M172" s="47">
        <v>0</v>
      </c>
      <c r="N172" s="25">
        <v>0.1</v>
      </c>
      <c r="O172" s="47">
        <v>10</v>
      </c>
      <c r="P172" s="25">
        <v>1</v>
      </c>
      <c r="Q172" s="24">
        <v>2</v>
      </c>
      <c r="R172" s="24">
        <v>3</v>
      </c>
      <c r="S172" s="25">
        <v>0.5</v>
      </c>
      <c r="T172" s="24">
        <v>0</v>
      </c>
      <c r="U172" s="24">
        <v>0</v>
      </c>
      <c r="V172" s="24">
        <v>-0.2</v>
      </c>
      <c r="W172" s="24">
        <v>0</v>
      </c>
      <c r="X172" s="24">
        <v>-0.2</v>
      </c>
      <c r="Y172" s="24">
        <v>0</v>
      </c>
      <c r="Z172" s="24">
        <v>0</v>
      </c>
      <c r="AA172" s="24">
        <v>-0.2</v>
      </c>
      <c r="AB172" s="24">
        <v>0</v>
      </c>
      <c r="AC172" s="24">
        <v>-0.2</v>
      </c>
      <c r="AD172" s="24">
        <v>0</v>
      </c>
      <c r="AE172" s="24">
        <v>0</v>
      </c>
      <c r="AF172" s="24">
        <v>-0.2</v>
      </c>
      <c r="AG172" s="24">
        <v>0</v>
      </c>
      <c r="AH172" s="24">
        <v>-0.2</v>
      </c>
      <c r="AI172" s="48">
        <v>20001</v>
      </c>
      <c r="AJ172" s="48">
        <v>20002</v>
      </c>
      <c r="AK172" s="48">
        <v>20013</v>
      </c>
      <c r="AL172" s="48">
        <v>20004</v>
      </c>
      <c r="AM172" s="48">
        <v>20015</v>
      </c>
      <c r="AN172" s="25">
        <v>0</v>
      </c>
      <c r="AO172" s="49">
        <v>3</v>
      </c>
      <c r="AP172" s="50">
        <v>75</v>
      </c>
      <c r="AQ172" s="51" t="s">
        <v>1455</v>
      </c>
      <c r="AR172" s="51">
        <f>=F172*247.95</f>
        <v>2190638.25</v>
      </c>
      <c r="AS172" s="51">
        <f>=G172*32.6061</f>
        <v>2869.3368</v>
      </c>
      <c r="AT172" s="51">
        <f>=J172*2.35</f>
        <v>8229.7</v>
      </c>
      <c r="AU172" s="47">
        <f>=H172*15.88</f>
        <v>857.52</v>
      </c>
    </row>
    <row r="173" spans="1:47" ht="18" customHeight="1">
      <c r="A173" s="24" t="s">
        <v>1452</v>
      </c>
      <c r="B173" s="24">
        <v>11382</v>
      </c>
      <c r="C173" s="24" t="s">
        <v>1453</v>
      </c>
      <c r="D173" s="24" t="s">
        <v>1454</v>
      </c>
      <c r="E173" s="24">
        <v>900011382</v>
      </c>
      <c r="F173" s="24">
        <v>9088</v>
      </c>
      <c r="G173" s="24">
        <v>101</v>
      </c>
      <c r="H173" s="24">
        <v>54</v>
      </c>
      <c r="I173" s="25">
        <v>0.5</v>
      </c>
      <c r="J173" s="24">
        <v>3972</v>
      </c>
      <c r="K173" s="24" t="b">
        <v>1</v>
      </c>
      <c r="L173" s="25">
        <v>0</v>
      </c>
      <c r="M173" s="47">
        <v>0</v>
      </c>
      <c r="N173" s="25">
        <v>0.1</v>
      </c>
      <c r="O173" s="47">
        <v>10</v>
      </c>
      <c r="P173" s="25">
        <v>1</v>
      </c>
      <c r="Q173" s="24">
        <v>2</v>
      </c>
      <c r="R173" s="24">
        <v>5</v>
      </c>
      <c r="S173" s="25">
        <v>0.5</v>
      </c>
      <c r="T173" s="24">
        <v>0</v>
      </c>
      <c r="U173" s="24">
        <v>0</v>
      </c>
      <c r="V173" s="24">
        <v>-0.2</v>
      </c>
      <c r="W173" s="24">
        <v>0</v>
      </c>
      <c r="X173" s="24">
        <v>-0.2</v>
      </c>
      <c r="Y173" s="24">
        <v>0</v>
      </c>
      <c r="Z173" s="24">
        <v>0</v>
      </c>
      <c r="AA173" s="24">
        <v>-0.2</v>
      </c>
      <c r="AB173" s="24">
        <v>0</v>
      </c>
      <c r="AC173" s="24">
        <v>-0.2</v>
      </c>
      <c r="AD173" s="24">
        <v>0</v>
      </c>
      <c r="AE173" s="24">
        <v>0</v>
      </c>
      <c r="AF173" s="24">
        <v>-0.2</v>
      </c>
      <c r="AG173" s="24">
        <v>0</v>
      </c>
      <c r="AH173" s="24">
        <v>-0.2</v>
      </c>
      <c r="AI173" s="48">
        <v>20001</v>
      </c>
      <c r="AJ173" s="48">
        <v>20002</v>
      </c>
      <c r="AK173" s="48">
        <v>20013</v>
      </c>
      <c r="AL173" s="48">
        <v>20004</v>
      </c>
      <c r="AM173" s="48">
        <v>20015</v>
      </c>
      <c r="AN173" s="25">
        <v>0</v>
      </c>
      <c r="AO173" s="49">
        <v>3</v>
      </c>
      <c r="AP173" s="50">
        <v>75</v>
      </c>
      <c r="AQ173" s="51" t="s">
        <v>1456</v>
      </c>
      <c r="AR173" s="51">
        <f>=F173*247.95</f>
        <v>2253369.6</v>
      </c>
      <c r="AS173" s="51">
        <f>=G173*32.6061</f>
        <v>3293.2161</v>
      </c>
      <c r="AT173" s="51">
        <f>=J173*2.35</f>
        <v>9334.2</v>
      </c>
      <c r="AU173" s="47">
        <f>=H173*15.88</f>
        <v>857.52</v>
      </c>
    </row>
    <row r="174" spans="1:47">
      <c r="A174" s="24" t="s">
        <v>1452</v>
      </c>
      <c r="B174" s="24">
        <v>11383</v>
      </c>
      <c r="C174" s="24" t="s">
        <v>1453</v>
      </c>
      <c r="D174" s="24" t="s">
        <v>1454</v>
      </c>
      <c r="E174" s="24">
        <v>900011383</v>
      </c>
      <c r="F174" s="24">
        <v>9088</v>
      </c>
      <c r="G174" s="24">
        <v>101</v>
      </c>
      <c r="H174" s="24">
        <v>54</v>
      </c>
      <c r="I174" s="25">
        <v>0.5</v>
      </c>
      <c r="J174" s="24">
        <v>3972</v>
      </c>
      <c r="K174" s="24" t="b">
        <v>1</v>
      </c>
      <c r="L174" s="25">
        <v>0</v>
      </c>
      <c r="M174" s="47">
        <v>0</v>
      </c>
      <c r="N174" s="25">
        <v>0.1</v>
      </c>
      <c r="O174" s="47">
        <v>10</v>
      </c>
      <c r="P174" s="25">
        <v>1</v>
      </c>
      <c r="Q174" s="24">
        <v>2</v>
      </c>
      <c r="R174" s="24">
        <v>5</v>
      </c>
      <c r="S174" s="25">
        <v>0.5</v>
      </c>
      <c r="T174" s="24">
        <v>0</v>
      </c>
      <c r="U174" s="24">
        <v>0</v>
      </c>
      <c r="V174" s="24">
        <v>-0.2</v>
      </c>
      <c r="W174" s="24">
        <v>0</v>
      </c>
      <c r="X174" s="24">
        <v>-0.2</v>
      </c>
      <c r="Y174" s="24">
        <v>0</v>
      </c>
      <c r="Z174" s="24">
        <v>0</v>
      </c>
      <c r="AA174" s="24">
        <v>-0.2</v>
      </c>
      <c r="AB174" s="24">
        <v>0</v>
      </c>
      <c r="AC174" s="24">
        <v>-0.2</v>
      </c>
      <c r="AD174" s="24">
        <v>0</v>
      </c>
      <c r="AE174" s="24">
        <v>0</v>
      </c>
      <c r="AF174" s="24">
        <v>-0.2</v>
      </c>
      <c r="AG174" s="24">
        <v>0</v>
      </c>
      <c r="AH174" s="24">
        <v>-0.2</v>
      </c>
      <c r="AI174" s="48">
        <v>20001</v>
      </c>
      <c r="AJ174" s="48">
        <v>20002</v>
      </c>
      <c r="AK174" s="48">
        <v>20013</v>
      </c>
      <c r="AL174" s="48">
        <v>20004</v>
      </c>
      <c r="AM174" s="48">
        <v>20015</v>
      </c>
      <c r="AN174" s="25">
        <v>0</v>
      </c>
      <c r="AO174" s="49">
        <v>3</v>
      </c>
      <c r="AP174" s="50">
        <v>75</v>
      </c>
      <c r="AQ174" s="51" t="s">
        <v>1456</v>
      </c>
      <c r="AR174" s="51">
        <f>=F174*247.95</f>
        <v>2253369.6</v>
      </c>
      <c r="AS174" s="51">
        <f>=G174*32.6061</f>
        <v>3293.2161</v>
      </c>
      <c r="AT174" s="51">
        <f>=J174*2.35</f>
        <v>9334.2</v>
      </c>
      <c r="AU174" s="47">
        <f>=H174*15.88</f>
        <v>857.52</v>
      </c>
    </row>
    <row r="175" spans="1:47">
      <c r="A175" s="24" t="s">
        <v>1457</v>
      </c>
      <c r="B175" s="24">
        <v>11391</v>
      </c>
      <c r="C175" s="24" t="s">
        <v>1458</v>
      </c>
      <c r="D175" s="24" t="s">
        <v>1459</v>
      </c>
      <c r="E175" s="24">
        <v>900011391</v>
      </c>
      <c r="F175" s="24">
        <v>21523</v>
      </c>
      <c r="G175" s="24">
        <v>120</v>
      </c>
      <c r="H175" s="24">
        <v>60</v>
      </c>
      <c r="I175" s="25">
        <v>0.5</v>
      </c>
      <c r="J175" s="24">
        <v>7189</v>
      </c>
      <c r="K175" s="24" t="b">
        <v>1</v>
      </c>
      <c r="L175" s="25">
        <v>0</v>
      </c>
      <c r="M175" s="47">
        <v>0</v>
      </c>
      <c r="N175" s="25">
        <v>0.0833</v>
      </c>
      <c r="O175" s="47">
        <v>12.0048</v>
      </c>
      <c r="P175" s="25">
        <v>0.5</v>
      </c>
      <c r="Q175" s="24">
        <v>3</v>
      </c>
      <c r="R175" s="24">
        <v>99</v>
      </c>
      <c r="S175" s="25">
        <v>0.75</v>
      </c>
      <c r="T175" s="24">
        <v>0</v>
      </c>
      <c r="U175" s="24">
        <v>0</v>
      </c>
      <c r="V175" s="24">
        <v>-0.2</v>
      </c>
      <c r="W175" s="24">
        <v>0.2</v>
      </c>
      <c r="X175" s="24">
        <v>0</v>
      </c>
      <c r="Y175" s="24">
        <v>0</v>
      </c>
      <c r="Z175" s="24">
        <v>0</v>
      </c>
      <c r="AA175" s="24">
        <v>-0.2</v>
      </c>
      <c r="AB175" s="24">
        <v>0.2</v>
      </c>
      <c r="AC175" s="24">
        <v>0</v>
      </c>
      <c r="AD175" s="24">
        <v>0</v>
      </c>
      <c r="AE175" s="24">
        <v>0</v>
      </c>
      <c r="AF175" s="24">
        <v>-0.2</v>
      </c>
      <c r="AG175" s="24">
        <v>0.2</v>
      </c>
      <c r="AH175" s="24">
        <v>0</v>
      </c>
      <c r="AI175" s="48">
        <v>30011</v>
      </c>
      <c r="AJ175" s="48">
        <v>30002</v>
      </c>
      <c r="AK175" s="48">
        <v>30013</v>
      </c>
      <c r="AL175" s="48">
        <v>30004</v>
      </c>
      <c r="AM175" s="48">
        <v>30005</v>
      </c>
      <c r="AN175" s="25">
        <v>0</v>
      </c>
      <c r="AO175" s="49">
        <v>5</v>
      </c>
      <c r="AP175" s="50">
        <v>100</v>
      </c>
      <c r="AQ175" s="51" t="s">
        <v>1389</v>
      </c>
      <c r="AR175" s="51">
        <f>=F175*247.95</f>
        <v>5336627.85</v>
      </c>
      <c r="AS175" s="51">
        <f>=G175*32.6061</f>
        <v>3912.732</v>
      </c>
      <c r="AT175" s="51">
        <f>=J175*2.35</f>
        <v>16894.15</v>
      </c>
      <c r="AU175" s="47">
        <f>=H175*15.88</f>
        <v>952.8</v>
      </c>
    </row>
    <row r="176" spans="1:47">
      <c r="A176" s="24" t="s">
        <v>1460</v>
      </c>
      <c r="B176" s="24">
        <v>11392</v>
      </c>
      <c r="C176" s="24" t="s">
        <v>1461</v>
      </c>
      <c r="D176" s="24" t="s">
        <v>1462</v>
      </c>
      <c r="E176" s="24">
        <v>900011392</v>
      </c>
      <c r="F176" s="24">
        <v>21523</v>
      </c>
      <c r="G176" s="24">
        <v>120</v>
      </c>
      <c r="H176" s="24">
        <v>60</v>
      </c>
      <c r="I176" s="25">
        <v>0.5</v>
      </c>
      <c r="J176" s="24">
        <v>7189</v>
      </c>
      <c r="K176" s="24" t="b">
        <v>1</v>
      </c>
      <c r="L176" s="25">
        <v>0</v>
      </c>
      <c r="M176" s="47">
        <v>0</v>
      </c>
      <c r="N176" s="25">
        <v>0.0833</v>
      </c>
      <c r="O176" s="47">
        <v>12.0048</v>
      </c>
      <c r="P176" s="25">
        <v>0.5</v>
      </c>
      <c r="Q176" s="24">
        <v>3</v>
      </c>
      <c r="R176" s="24">
        <v>99</v>
      </c>
      <c r="S176" s="25">
        <v>0.75</v>
      </c>
      <c r="T176" s="24">
        <v>0</v>
      </c>
      <c r="U176" s="24">
        <v>-0.2</v>
      </c>
      <c r="V176" s="24">
        <v>0</v>
      </c>
      <c r="W176" s="24">
        <v>0.2</v>
      </c>
      <c r="X176" s="24">
        <v>0</v>
      </c>
      <c r="Y176" s="24">
        <v>0</v>
      </c>
      <c r="Z176" s="24">
        <v>-0.2</v>
      </c>
      <c r="AA176" s="24">
        <v>0</v>
      </c>
      <c r="AB176" s="24">
        <v>0.2</v>
      </c>
      <c r="AC176" s="24">
        <v>0</v>
      </c>
      <c r="AD176" s="24">
        <v>0</v>
      </c>
      <c r="AE176" s="24">
        <v>-0.2</v>
      </c>
      <c r="AF176" s="24">
        <v>0</v>
      </c>
      <c r="AG176" s="24">
        <v>0.2</v>
      </c>
      <c r="AH176" s="24">
        <v>0</v>
      </c>
      <c r="AI176" s="48">
        <v>30011</v>
      </c>
      <c r="AJ176" s="48">
        <v>30012</v>
      </c>
      <c r="AK176" s="48">
        <v>30003</v>
      </c>
      <c r="AL176" s="48">
        <v>30004</v>
      </c>
      <c r="AM176" s="48">
        <v>30005</v>
      </c>
      <c r="AN176" s="25">
        <v>0</v>
      </c>
      <c r="AO176" s="49">
        <v>5</v>
      </c>
      <c r="AP176" s="50">
        <v>100</v>
      </c>
      <c r="AQ176" s="51" t="s">
        <v>1393</v>
      </c>
      <c r="AR176" s="51">
        <f>=F176*247.95</f>
        <v>5336627.85</v>
      </c>
      <c r="AS176" s="51">
        <f>=G176*32.6061</f>
        <v>3912.732</v>
      </c>
      <c r="AT176" s="51">
        <f>=J176*2.35</f>
        <v>16894.15</v>
      </c>
      <c r="AU176" s="47">
        <f>=H176*15.88</f>
        <v>952.8</v>
      </c>
    </row>
    <row r="177" spans="1:47">
      <c r="A177" s="24" t="s">
        <v>1463</v>
      </c>
      <c r="B177" s="24">
        <v>11393</v>
      </c>
      <c r="C177" s="24" t="s">
        <v>1464</v>
      </c>
      <c r="D177" s="24" t="s">
        <v>1465</v>
      </c>
      <c r="E177" s="24">
        <v>900011393</v>
      </c>
      <c r="F177" s="24">
        <v>21523</v>
      </c>
      <c r="G177" s="24">
        <v>120</v>
      </c>
      <c r="H177" s="24">
        <v>60</v>
      </c>
      <c r="I177" s="25">
        <v>0.5</v>
      </c>
      <c r="J177" s="24">
        <v>7189</v>
      </c>
      <c r="K177" s="24" t="b">
        <v>1</v>
      </c>
      <c r="L177" s="25">
        <v>0</v>
      </c>
      <c r="M177" s="47">
        <v>0</v>
      </c>
      <c r="N177" s="25">
        <v>0.0833</v>
      </c>
      <c r="O177" s="47">
        <v>12.0048</v>
      </c>
      <c r="P177" s="25">
        <v>0.5</v>
      </c>
      <c r="Q177" s="24">
        <v>3</v>
      </c>
      <c r="R177" s="24">
        <v>99</v>
      </c>
      <c r="S177" s="25">
        <v>0.75</v>
      </c>
      <c r="T177" s="24">
        <v>0</v>
      </c>
      <c r="U177" s="24">
        <v>0</v>
      </c>
      <c r="V177" s="24">
        <v>0</v>
      </c>
      <c r="W177" s="24">
        <v>0.2</v>
      </c>
      <c r="X177" s="24">
        <v>-0.2</v>
      </c>
      <c r="Y177" s="24">
        <v>0</v>
      </c>
      <c r="Z177" s="24">
        <v>0</v>
      </c>
      <c r="AA177" s="24">
        <v>0</v>
      </c>
      <c r="AB177" s="24">
        <v>0.2</v>
      </c>
      <c r="AC177" s="24">
        <v>-0.2</v>
      </c>
      <c r="AD177" s="24">
        <v>0</v>
      </c>
      <c r="AE177" s="24">
        <v>0</v>
      </c>
      <c r="AF177" s="24">
        <v>0</v>
      </c>
      <c r="AG177" s="24">
        <v>0.2</v>
      </c>
      <c r="AH177" s="24">
        <v>-0.2</v>
      </c>
      <c r="AI177" s="48">
        <v>30011</v>
      </c>
      <c r="AJ177" s="48">
        <v>30002</v>
      </c>
      <c r="AK177" s="48">
        <v>30003</v>
      </c>
      <c r="AL177" s="48">
        <v>30004</v>
      </c>
      <c r="AM177" s="48">
        <v>30015</v>
      </c>
      <c r="AN177" s="25">
        <v>0</v>
      </c>
      <c r="AO177" s="49">
        <v>5</v>
      </c>
      <c r="AP177" s="50">
        <v>100</v>
      </c>
      <c r="AQ177" s="51" t="s">
        <v>1397</v>
      </c>
      <c r="AR177" s="51">
        <f>=F177*247.95</f>
        <v>5336627.85</v>
      </c>
      <c r="AS177" s="51">
        <f>=G177*32.6061</f>
        <v>3912.732</v>
      </c>
      <c r="AT177" s="51">
        <f>=J177*2.35</f>
        <v>16894.15</v>
      </c>
      <c r="AU177" s="47">
        <f>=H177*15.88</f>
        <v>952.8</v>
      </c>
    </row>
    <row r="178" spans="1:47">
      <c r="A178" s="24" t="s">
        <v>1466</v>
      </c>
      <c r="B178" s="24">
        <v>11401</v>
      </c>
      <c r="C178" s="24" t="s">
        <v>1467</v>
      </c>
      <c r="D178" s="24" t="s">
        <v>1468</v>
      </c>
      <c r="E178" s="24">
        <v>900011401</v>
      </c>
      <c r="F178" s="24">
        <v>21523</v>
      </c>
      <c r="G178" s="24">
        <v>120</v>
      </c>
      <c r="H178" s="24">
        <v>60</v>
      </c>
      <c r="I178" s="25">
        <v>0.5</v>
      </c>
      <c r="J178" s="24">
        <v>7189</v>
      </c>
      <c r="K178" s="24" t="b">
        <v>1</v>
      </c>
      <c r="L178" s="25">
        <v>0</v>
      </c>
      <c r="M178" s="47">
        <v>0</v>
      </c>
      <c r="N178" s="25">
        <v>0.0833</v>
      </c>
      <c r="O178" s="47">
        <v>12.0048</v>
      </c>
      <c r="P178" s="25">
        <v>0.5</v>
      </c>
      <c r="Q178" s="24">
        <v>3</v>
      </c>
      <c r="R178" s="24">
        <v>99</v>
      </c>
      <c r="S178" s="25">
        <v>0.75</v>
      </c>
      <c r="T178" s="24">
        <v>0</v>
      </c>
      <c r="U178" s="24">
        <v>0</v>
      </c>
      <c r="V178" s="24">
        <v>-0.2</v>
      </c>
      <c r="W178" s="24">
        <v>0.2</v>
      </c>
      <c r="X178" s="24">
        <v>0</v>
      </c>
      <c r="Y178" s="24">
        <v>0</v>
      </c>
      <c r="Z178" s="24">
        <v>0</v>
      </c>
      <c r="AA178" s="24">
        <v>-0.2</v>
      </c>
      <c r="AB178" s="24">
        <v>0.2</v>
      </c>
      <c r="AC178" s="24">
        <v>0</v>
      </c>
      <c r="AD178" s="24">
        <v>0</v>
      </c>
      <c r="AE178" s="24">
        <v>0</v>
      </c>
      <c r="AF178" s="24">
        <v>-0.2</v>
      </c>
      <c r="AG178" s="24">
        <v>0.2</v>
      </c>
      <c r="AH178" s="24">
        <v>0</v>
      </c>
      <c r="AI178" s="48">
        <v>30011</v>
      </c>
      <c r="AJ178" s="48">
        <v>30002</v>
      </c>
      <c r="AK178" s="48">
        <v>30013</v>
      </c>
      <c r="AL178" s="48">
        <v>30004</v>
      </c>
      <c r="AM178" s="48">
        <v>30005</v>
      </c>
      <c r="AN178" s="25">
        <v>0</v>
      </c>
      <c r="AO178" s="49">
        <v>5</v>
      </c>
      <c r="AP178" s="50">
        <v>100</v>
      </c>
      <c r="AQ178" s="51" t="s">
        <v>1389</v>
      </c>
      <c r="AR178" s="51">
        <f>=F178*247.95</f>
        <v>5336627.85</v>
      </c>
      <c r="AS178" s="51">
        <f>=G178*32.6061</f>
        <v>3912.732</v>
      </c>
      <c r="AT178" s="51">
        <f>=J178*2.35</f>
        <v>16894.15</v>
      </c>
      <c r="AU178" s="47">
        <f>=H178*15.88</f>
        <v>952.8</v>
      </c>
    </row>
    <row r="179" spans="1:47">
      <c r="A179" s="24" t="s">
        <v>1469</v>
      </c>
      <c r="B179" s="24">
        <v>11402</v>
      </c>
      <c r="C179" s="24" t="s">
        <v>1470</v>
      </c>
      <c r="D179" s="24" t="s">
        <v>1471</v>
      </c>
      <c r="E179" s="24">
        <v>900011402</v>
      </c>
      <c r="F179" s="24">
        <v>21523</v>
      </c>
      <c r="G179" s="24">
        <v>120</v>
      </c>
      <c r="H179" s="24">
        <v>60</v>
      </c>
      <c r="I179" s="25">
        <v>0.5</v>
      </c>
      <c r="J179" s="24">
        <v>7189</v>
      </c>
      <c r="K179" s="24" t="b">
        <v>1</v>
      </c>
      <c r="L179" s="25">
        <v>0</v>
      </c>
      <c r="M179" s="47">
        <v>0</v>
      </c>
      <c r="N179" s="25">
        <v>0.0833</v>
      </c>
      <c r="O179" s="47">
        <v>12.0048</v>
      </c>
      <c r="P179" s="25">
        <v>0.5</v>
      </c>
      <c r="Q179" s="24">
        <v>3</v>
      </c>
      <c r="R179" s="24">
        <v>99</v>
      </c>
      <c r="S179" s="25">
        <v>0.75</v>
      </c>
      <c r="T179" s="24">
        <v>0</v>
      </c>
      <c r="U179" s="24">
        <v>-0.2</v>
      </c>
      <c r="V179" s="24">
        <v>0</v>
      </c>
      <c r="W179" s="24">
        <v>0.2</v>
      </c>
      <c r="X179" s="24">
        <v>0</v>
      </c>
      <c r="Y179" s="24">
        <v>0</v>
      </c>
      <c r="Z179" s="24">
        <v>-0.2</v>
      </c>
      <c r="AA179" s="24">
        <v>0</v>
      </c>
      <c r="AB179" s="24">
        <v>0.2</v>
      </c>
      <c r="AC179" s="24">
        <v>0</v>
      </c>
      <c r="AD179" s="24">
        <v>0</v>
      </c>
      <c r="AE179" s="24">
        <v>-0.2</v>
      </c>
      <c r="AF179" s="24">
        <v>0</v>
      </c>
      <c r="AG179" s="24">
        <v>0.2</v>
      </c>
      <c r="AH179" s="24">
        <v>0</v>
      </c>
      <c r="AI179" s="48">
        <v>30011</v>
      </c>
      <c r="AJ179" s="48">
        <v>30012</v>
      </c>
      <c r="AK179" s="48">
        <v>30003</v>
      </c>
      <c r="AL179" s="48">
        <v>30004</v>
      </c>
      <c r="AM179" s="48">
        <v>30005</v>
      </c>
      <c r="AN179" s="25">
        <v>0</v>
      </c>
      <c r="AO179" s="49">
        <v>5</v>
      </c>
      <c r="AP179" s="50">
        <v>100</v>
      </c>
      <c r="AQ179" s="51" t="s">
        <v>1393</v>
      </c>
      <c r="AR179" s="51">
        <f>=F179*247.95</f>
        <v>5336627.85</v>
      </c>
      <c r="AS179" s="51">
        <f>=G179*32.6061</f>
        <v>3912.732</v>
      </c>
      <c r="AT179" s="51">
        <f>=J179*2.35</f>
        <v>16894.15</v>
      </c>
      <c r="AU179" s="47">
        <f>=H179*15.88</f>
        <v>952.8</v>
      </c>
    </row>
    <row r="180" spans="1:47">
      <c r="A180" s="24" t="s">
        <v>1472</v>
      </c>
      <c r="B180" s="24">
        <v>11403</v>
      </c>
      <c r="C180" s="24" t="s">
        <v>1473</v>
      </c>
      <c r="D180" s="24" t="s">
        <v>1474</v>
      </c>
      <c r="E180" s="24">
        <v>900011403</v>
      </c>
      <c r="F180" s="24">
        <v>21523</v>
      </c>
      <c r="G180" s="24">
        <v>120</v>
      </c>
      <c r="H180" s="24">
        <v>60</v>
      </c>
      <c r="I180" s="25">
        <v>0.5</v>
      </c>
      <c r="J180" s="24">
        <v>7189</v>
      </c>
      <c r="K180" s="24" t="b">
        <v>1</v>
      </c>
      <c r="L180" s="25">
        <v>0</v>
      </c>
      <c r="M180" s="47">
        <v>0</v>
      </c>
      <c r="N180" s="25">
        <v>0.0833</v>
      </c>
      <c r="O180" s="47">
        <v>12.0048</v>
      </c>
      <c r="P180" s="25">
        <v>0.5</v>
      </c>
      <c r="Q180" s="24">
        <v>3</v>
      </c>
      <c r="R180" s="24">
        <v>99</v>
      </c>
      <c r="S180" s="25">
        <v>0.75</v>
      </c>
      <c r="T180" s="24">
        <v>0</v>
      </c>
      <c r="U180" s="24">
        <v>0</v>
      </c>
      <c r="V180" s="24">
        <v>0</v>
      </c>
      <c r="W180" s="24">
        <v>0.2</v>
      </c>
      <c r="X180" s="24">
        <v>-0.2</v>
      </c>
      <c r="Y180" s="24">
        <v>0</v>
      </c>
      <c r="Z180" s="24">
        <v>0</v>
      </c>
      <c r="AA180" s="24">
        <v>0</v>
      </c>
      <c r="AB180" s="24">
        <v>0.2</v>
      </c>
      <c r="AC180" s="24">
        <v>-0.2</v>
      </c>
      <c r="AD180" s="24">
        <v>0</v>
      </c>
      <c r="AE180" s="24">
        <v>0</v>
      </c>
      <c r="AF180" s="24">
        <v>0</v>
      </c>
      <c r="AG180" s="24">
        <v>0.2</v>
      </c>
      <c r="AH180" s="24">
        <v>-0.2</v>
      </c>
      <c r="AI180" s="48">
        <v>30011</v>
      </c>
      <c r="AJ180" s="48">
        <v>30002</v>
      </c>
      <c r="AK180" s="48">
        <v>30003</v>
      </c>
      <c r="AL180" s="48">
        <v>30004</v>
      </c>
      <c r="AM180" s="48">
        <v>30015</v>
      </c>
      <c r="AN180" s="25">
        <v>0</v>
      </c>
      <c r="AO180" s="49">
        <v>5</v>
      </c>
      <c r="AP180" s="50">
        <v>100</v>
      </c>
      <c r="AQ180" s="51" t="s">
        <v>1397</v>
      </c>
      <c r="AR180" s="51">
        <f>=F180*247.95</f>
        <v>5336627.85</v>
      </c>
      <c r="AS180" s="51">
        <f>=G180*32.6061</f>
        <v>3912.732</v>
      </c>
      <c r="AT180" s="51">
        <f>=J180*2.35</f>
        <v>16894.15</v>
      </c>
      <c r="AU180" s="47">
        <f>=H180*15.88</f>
        <v>952.8</v>
      </c>
    </row>
    <row r="181" spans="1:47">
      <c r="A181" s="24" t="s">
        <v>1475</v>
      </c>
      <c r="B181" s="24">
        <v>11411</v>
      </c>
      <c r="C181" s="24" t="s">
        <v>1476</v>
      </c>
      <c r="D181" s="24" t="s">
        <v>1477</v>
      </c>
      <c r="E181" s="24">
        <v>900011411</v>
      </c>
      <c r="F181" s="24">
        <v>12103</v>
      </c>
      <c r="G181" s="24">
        <v>120</v>
      </c>
      <c r="H181" s="24">
        <v>60</v>
      </c>
      <c r="I181" s="25">
        <v>0.5</v>
      </c>
      <c r="J181" s="24">
        <v>7189</v>
      </c>
      <c r="K181" s="24" t="b">
        <v>1</v>
      </c>
      <c r="L181" s="25">
        <v>0</v>
      </c>
      <c r="M181" s="47">
        <v>0</v>
      </c>
      <c r="N181" s="25">
        <v>0.0833</v>
      </c>
      <c r="O181" s="47">
        <v>12.0048</v>
      </c>
      <c r="P181" s="25">
        <v>0.5</v>
      </c>
      <c r="Q181" s="24">
        <v>3</v>
      </c>
      <c r="R181" s="24">
        <v>99</v>
      </c>
      <c r="S181" s="25">
        <v>0.75</v>
      </c>
      <c r="T181" s="24">
        <v>0</v>
      </c>
      <c r="U181" s="24">
        <v>0</v>
      </c>
      <c r="V181" s="24">
        <v>-0.2</v>
      </c>
      <c r="W181" s="24">
        <v>0</v>
      </c>
      <c r="X181" s="24">
        <v>-0.2</v>
      </c>
      <c r="Y181" s="24">
        <v>0</v>
      </c>
      <c r="Z181" s="24">
        <v>0</v>
      </c>
      <c r="AA181" s="24">
        <v>-0.2</v>
      </c>
      <c r="AB181" s="24">
        <v>0</v>
      </c>
      <c r="AC181" s="24">
        <v>-0.2</v>
      </c>
      <c r="AD181" s="24">
        <v>0</v>
      </c>
      <c r="AE181" s="24">
        <v>0</v>
      </c>
      <c r="AF181" s="24">
        <v>-0.2</v>
      </c>
      <c r="AG181" s="24">
        <v>0</v>
      </c>
      <c r="AH181" s="24">
        <v>-0.2</v>
      </c>
      <c r="AI181" s="48">
        <v>30011</v>
      </c>
      <c r="AJ181" s="48">
        <v>30002</v>
      </c>
      <c r="AK181" s="48">
        <v>30013</v>
      </c>
      <c r="AL181" s="48">
        <v>30004</v>
      </c>
      <c r="AM181" s="48">
        <v>30015</v>
      </c>
      <c r="AN181" s="25">
        <v>0</v>
      </c>
      <c r="AO181" s="49">
        <v>5</v>
      </c>
      <c r="AP181" s="50">
        <v>100</v>
      </c>
      <c r="AQ181" s="51" t="s">
        <v>1478</v>
      </c>
      <c r="AR181" s="51">
        <f>=F181*247.95</f>
        <v>3000938.85</v>
      </c>
      <c r="AS181" s="51">
        <f>=G181*32.6061</f>
        <v>3912.732</v>
      </c>
      <c r="AT181" s="51">
        <f>=J181*2.35</f>
        <v>16894.15</v>
      </c>
      <c r="AU181" s="47">
        <f>=H181*15.88</f>
        <v>952.8</v>
      </c>
    </row>
    <row r="182" spans="1:47">
      <c r="A182" s="24" t="s">
        <v>1475</v>
      </c>
      <c r="B182" s="24">
        <v>11412</v>
      </c>
      <c r="C182" s="24" t="s">
        <v>1476</v>
      </c>
      <c r="D182" s="24" t="s">
        <v>1477</v>
      </c>
      <c r="E182" s="24">
        <v>900011412</v>
      </c>
      <c r="F182" s="24">
        <v>22383</v>
      </c>
      <c r="G182" s="24">
        <v>120</v>
      </c>
      <c r="H182" s="24">
        <v>60</v>
      </c>
      <c r="I182" s="25">
        <v>0.5</v>
      </c>
      <c r="J182" s="24">
        <v>7189</v>
      </c>
      <c r="K182" s="24" t="b">
        <v>1</v>
      </c>
      <c r="L182" s="25">
        <v>0</v>
      </c>
      <c r="M182" s="47">
        <v>0</v>
      </c>
      <c r="N182" s="25">
        <v>0.0833</v>
      </c>
      <c r="O182" s="47">
        <v>12.0048</v>
      </c>
      <c r="P182" s="25">
        <v>0.5</v>
      </c>
      <c r="Q182" s="24">
        <v>3</v>
      </c>
      <c r="R182" s="24">
        <v>99</v>
      </c>
      <c r="S182" s="25">
        <v>0.75</v>
      </c>
      <c r="T182" s="24">
        <v>0</v>
      </c>
      <c r="U182" s="24">
        <v>0</v>
      </c>
      <c r="V182" s="24">
        <v>-0.2</v>
      </c>
      <c r="W182" s="24">
        <v>0</v>
      </c>
      <c r="X182" s="24">
        <v>-0.2</v>
      </c>
      <c r="Y182" s="24">
        <v>0</v>
      </c>
      <c r="Z182" s="24">
        <v>0</v>
      </c>
      <c r="AA182" s="24">
        <v>-0.2</v>
      </c>
      <c r="AB182" s="24">
        <v>0</v>
      </c>
      <c r="AC182" s="24">
        <v>-0.2</v>
      </c>
      <c r="AD182" s="24">
        <v>0</v>
      </c>
      <c r="AE182" s="24">
        <v>0</v>
      </c>
      <c r="AF182" s="24">
        <v>-0.2</v>
      </c>
      <c r="AG182" s="24">
        <v>0</v>
      </c>
      <c r="AH182" s="24">
        <v>-0.2</v>
      </c>
      <c r="AI182" s="48">
        <v>30011</v>
      </c>
      <c r="AJ182" s="48">
        <v>30002</v>
      </c>
      <c r="AK182" s="48">
        <v>30013</v>
      </c>
      <c r="AL182" s="48">
        <v>30004</v>
      </c>
      <c r="AM182" s="48">
        <v>30015</v>
      </c>
      <c r="AN182" s="25">
        <v>0</v>
      </c>
      <c r="AO182" s="49">
        <v>5</v>
      </c>
      <c r="AP182" s="50">
        <v>100</v>
      </c>
      <c r="AQ182" s="51" t="s">
        <v>1478</v>
      </c>
      <c r="AR182" s="51">
        <f>=F182*247.95</f>
        <v>5549864.85</v>
      </c>
      <c r="AS182" s="51">
        <f>=G182*32.6061</f>
        <v>3912.732</v>
      </c>
      <c r="AT182" s="51">
        <f>=J182*2.35</f>
        <v>16894.15</v>
      </c>
      <c r="AU182" s="47">
        <f>=H182*15.88</f>
        <v>952.8</v>
      </c>
    </row>
    <row r="183" spans="1:47">
      <c r="A183" s="24" t="s">
        <v>1475</v>
      </c>
      <c r="B183" s="24">
        <v>11413</v>
      </c>
      <c r="C183" s="24" t="s">
        <v>1476</v>
      </c>
      <c r="D183" s="24" t="s">
        <v>1477</v>
      </c>
      <c r="E183" s="24">
        <v>900011413</v>
      </c>
      <c r="F183" s="24">
        <v>22861</v>
      </c>
      <c r="G183" s="24">
        <v>120</v>
      </c>
      <c r="H183" s="24">
        <v>60</v>
      </c>
      <c r="I183" s="25">
        <v>0.5</v>
      </c>
      <c r="J183" s="24">
        <v>7189</v>
      </c>
      <c r="K183" s="24" t="b">
        <v>1</v>
      </c>
      <c r="L183" s="25">
        <v>0</v>
      </c>
      <c r="M183" s="47">
        <v>0</v>
      </c>
      <c r="N183" s="25">
        <v>0.0833</v>
      </c>
      <c r="O183" s="47">
        <v>12.0048</v>
      </c>
      <c r="P183" s="25">
        <v>0.5</v>
      </c>
      <c r="Q183" s="24">
        <v>3</v>
      </c>
      <c r="R183" s="24">
        <v>99</v>
      </c>
      <c r="S183" s="25">
        <v>0.75</v>
      </c>
      <c r="T183" s="24">
        <v>0</v>
      </c>
      <c r="U183" s="24">
        <v>0</v>
      </c>
      <c r="V183" s="24">
        <v>-0.2</v>
      </c>
      <c r="W183" s="24">
        <v>0</v>
      </c>
      <c r="X183" s="24">
        <v>-0.2</v>
      </c>
      <c r="Y183" s="24">
        <v>0</v>
      </c>
      <c r="Z183" s="24">
        <v>0</v>
      </c>
      <c r="AA183" s="24">
        <v>-0.2</v>
      </c>
      <c r="AB183" s="24">
        <v>0</v>
      </c>
      <c r="AC183" s="24">
        <v>-0.2</v>
      </c>
      <c r="AD183" s="24">
        <v>0</v>
      </c>
      <c r="AE183" s="24">
        <v>0</v>
      </c>
      <c r="AF183" s="24">
        <v>-0.2</v>
      </c>
      <c r="AG183" s="24">
        <v>0</v>
      </c>
      <c r="AH183" s="24">
        <v>-0.2</v>
      </c>
      <c r="AI183" s="48">
        <v>30011</v>
      </c>
      <c r="AJ183" s="48">
        <v>30002</v>
      </c>
      <c r="AK183" s="48">
        <v>30013</v>
      </c>
      <c r="AL183" s="48">
        <v>30004</v>
      </c>
      <c r="AM183" s="48">
        <v>30015</v>
      </c>
      <c r="AN183" s="25">
        <v>0</v>
      </c>
      <c r="AO183" s="49">
        <v>5</v>
      </c>
      <c r="AP183" s="50">
        <v>100</v>
      </c>
      <c r="AQ183" s="51" t="s">
        <v>1478</v>
      </c>
      <c r="AR183" s="51">
        <f>=F183*247.95</f>
        <v>5668384.95</v>
      </c>
      <c r="AS183" s="51">
        <f>=G183*32.6061</f>
        <v>3912.732</v>
      </c>
      <c r="AT183" s="51">
        <f>=J183*2.35</f>
        <v>16894.15</v>
      </c>
      <c r="AU183" s="47">
        <f>=H183*15.88</f>
        <v>952.8</v>
      </c>
    </row>
    <row r="184" spans="1:47">
      <c r="A184" s="24" t="s">
        <v>1475</v>
      </c>
      <c r="B184" s="24">
        <v>11414</v>
      </c>
      <c r="C184" s="24" t="s">
        <v>1476</v>
      </c>
      <c r="D184" s="24" t="s">
        <v>1477</v>
      </c>
      <c r="E184" s="24">
        <v>900011414</v>
      </c>
      <c r="F184" s="24">
        <v>22383</v>
      </c>
      <c r="G184" s="24">
        <v>120</v>
      </c>
      <c r="H184" s="24">
        <v>60</v>
      </c>
      <c r="I184" s="25">
        <v>0.5</v>
      </c>
      <c r="J184" s="24">
        <v>7189</v>
      </c>
      <c r="K184" s="24" t="b">
        <v>1</v>
      </c>
      <c r="L184" s="25">
        <v>0</v>
      </c>
      <c r="M184" s="47">
        <v>0</v>
      </c>
      <c r="N184" s="25">
        <v>0.0833</v>
      </c>
      <c r="O184" s="47">
        <v>12.0048</v>
      </c>
      <c r="P184" s="25">
        <v>0.5</v>
      </c>
      <c r="Q184" s="24">
        <v>3</v>
      </c>
      <c r="R184" s="24">
        <v>99</v>
      </c>
      <c r="S184" s="25">
        <v>0.75</v>
      </c>
      <c r="T184" s="24">
        <v>0</v>
      </c>
      <c r="U184" s="24">
        <v>0</v>
      </c>
      <c r="V184" s="24">
        <v>-0.2</v>
      </c>
      <c r="W184" s="24">
        <v>0</v>
      </c>
      <c r="X184" s="24">
        <v>-0.2</v>
      </c>
      <c r="Y184" s="24">
        <v>0</v>
      </c>
      <c r="Z184" s="24">
        <v>0</v>
      </c>
      <c r="AA184" s="24">
        <v>-0.2</v>
      </c>
      <c r="AB184" s="24">
        <v>0</v>
      </c>
      <c r="AC184" s="24">
        <v>-0.2</v>
      </c>
      <c r="AD184" s="24">
        <v>0</v>
      </c>
      <c r="AE184" s="24">
        <v>0</v>
      </c>
      <c r="AF184" s="24">
        <v>-0.2</v>
      </c>
      <c r="AG184" s="24">
        <v>0</v>
      </c>
      <c r="AH184" s="24">
        <v>-0.2</v>
      </c>
      <c r="AI184" s="48">
        <v>30011</v>
      </c>
      <c r="AJ184" s="48">
        <v>30002</v>
      </c>
      <c r="AK184" s="48">
        <v>30013</v>
      </c>
      <c r="AL184" s="48">
        <v>30004</v>
      </c>
      <c r="AM184" s="48">
        <v>30015</v>
      </c>
      <c r="AN184" s="25">
        <v>0</v>
      </c>
      <c r="AO184" s="49">
        <v>5</v>
      </c>
      <c r="AP184" s="50">
        <v>100</v>
      </c>
      <c r="AQ184" s="51" t="s">
        <v>1479</v>
      </c>
      <c r="AR184" s="51">
        <f>=F184*247.95</f>
        <v>5549864.85</v>
      </c>
      <c r="AS184" s="51">
        <f>=G184*32.6061</f>
        <v>3912.732</v>
      </c>
      <c r="AT184" s="51">
        <f>=J184*2.35</f>
        <v>16894.15</v>
      </c>
      <c r="AU184" s="47">
        <f>=H184*15.88</f>
        <v>952.8</v>
      </c>
    </row>
    <row r="185" spans="1:47">
      <c r="A185" s="24" t="s">
        <v>1480</v>
      </c>
      <c r="B185" s="24">
        <v>11421</v>
      </c>
      <c r="C185" s="24" t="s">
        <v>1481</v>
      </c>
      <c r="D185" s="24" t="s">
        <v>1482</v>
      </c>
      <c r="E185" s="24">
        <v>900011421</v>
      </c>
      <c r="F185" s="24">
        <v>17918</v>
      </c>
      <c r="G185" s="24">
        <v>120</v>
      </c>
      <c r="H185" s="24">
        <v>60</v>
      </c>
      <c r="I185" s="25">
        <v>0.5</v>
      </c>
      <c r="J185" s="24">
        <v>5543</v>
      </c>
      <c r="K185" s="24" t="b">
        <v>1</v>
      </c>
      <c r="L185" s="25">
        <v>0</v>
      </c>
      <c r="M185" s="47">
        <v>0</v>
      </c>
      <c r="N185" s="25">
        <v>0.1428</v>
      </c>
      <c r="O185" s="47">
        <v>7.002801</v>
      </c>
      <c r="P185" s="25">
        <v>1</v>
      </c>
      <c r="Q185" s="24">
        <v>3</v>
      </c>
      <c r="R185" s="24">
        <v>5</v>
      </c>
      <c r="S185" s="25">
        <v>0.75</v>
      </c>
      <c r="T185" s="24">
        <v>-0.2</v>
      </c>
      <c r="U185" s="24">
        <v>0</v>
      </c>
      <c r="V185" s="24">
        <v>0</v>
      </c>
      <c r="W185" s="24">
        <v>0</v>
      </c>
      <c r="X185" s="24">
        <v>-0.2</v>
      </c>
      <c r="Y185" s="24">
        <v>-0.2</v>
      </c>
      <c r="Z185" s="24">
        <v>0</v>
      </c>
      <c r="AA185" s="24">
        <v>0</v>
      </c>
      <c r="AB185" s="24">
        <v>0</v>
      </c>
      <c r="AC185" s="24">
        <v>-0.2</v>
      </c>
      <c r="AD185" s="24">
        <v>-0.2</v>
      </c>
      <c r="AE185" s="24">
        <v>0</v>
      </c>
      <c r="AF185" s="24">
        <v>0</v>
      </c>
      <c r="AG185" s="24">
        <v>0</v>
      </c>
      <c r="AH185" s="24">
        <v>-0.2</v>
      </c>
      <c r="AI185" s="48">
        <v>30001</v>
      </c>
      <c r="AJ185" s="48">
        <v>30002</v>
      </c>
      <c r="AK185" s="48">
        <v>30003</v>
      </c>
      <c r="AL185" s="48">
        <v>30004</v>
      </c>
      <c r="AM185" s="48">
        <v>30015</v>
      </c>
      <c r="AN185" s="25">
        <v>0</v>
      </c>
      <c r="AO185" s="49">
        <v>5</v>
      </c>
      <c r="AP185" s="50">
        <v>100</v>
      </c>
      <c r="AQ185" s="51" t="s">
        <v>1483</v>
      </c>
      <c r="AR185" s="51">
        <f>=F185*247.95</f>
        <v>4442768.1</v>
      </c>
      <c r="AS185" s="51">
        <f>=G185*32.6061</f>
        <v>3912.732</v>
      </c>
      <c r="AT185" s="51">
        <f>=J185*2.35</f>
        <v>13026.05</v>
      </c>
      <c r="AU185" s="47">
        <f>=H185*15.88</f>
        <v>952.8</v>
      </c>
    </row>
    <row r="186" spans="1:47">
      <c r="A186" s="24" t="s">
        <v>1480</v>
      </c>
      <c r="B186" s="24">
        <v>11422</v>
      </c>
      <c r="C186" s="24" t="s">
        <v>1481</v>
      </c>
      <c r="D186" s="24" t="s">
        <v>1482</v>
      </c>
      <c r="E186" s="24">
        <v>900011422</v>
      </c>
      <c r="F186" s="24">
        <v>17918</v>
      </c>
      <c r="G186" s="24">
        <v>120</v>
      </c>
      <c r="H186" s="24">
        <v>60</v>
      </c>
      <c r="I186" s="25">
        <v>0.5</v>
      </c>
      <c r="J186" s="24">
        <v>5543</v>
      </c>
      <c r="K186" s="24" t="b">
        <v>1</v>
      </c>
      <c r="L186" s="25">
        <v>0</v>
      </c>
      <c r="M186" s="47">
        <v>0</v>
      </c>
      <c r="N186" s="25">
        <v>0.1428</v>
      </c>
      <c r="O186" s="47">
        <v>7.002801</v>
      </c>
      <c r="P186" s="25">
        <v>1</v>
      </c>
      <c r="Q186" s="24">
        <v>3</v>
      </c>
      <c r="R186" s="24">
        <v>5</v>
      </c>
      <c r="S186" s="25">
        <v>0.75</v>
      </c>
      <c r="T186" s="24">
        <v>-0.2</v>
      </c>
      <c r="U186" s="24">
        <v>0</v>
      </c>
      <c r="V186" s="24">
        <v>0</v>
      </c>
      <c r="W186" s="24">
        <v>0</v>
      </c>
      <c r="X186" s="24">
        <v>-0.2</v>
      </c>
      <c r="Y186" s="24">
        <v>-0.2</v>
      </c>
      <c r="Z186" s="24">
        <v>0</v>
      </c>
      <c r="AA186" s="24">
        <v>0</v>
      </c>
      <c r="AB186" s="24">
        <v>0</v>
      </c>
      <c r="AC186" s="24">
        <v>-0.2</v>
      </c>
      <c r="AD186" s="24">
        <v>-0.2</v>
      </c>
      <c r="AE186" s="24">
        <v>0</v>
      </c>
      <c r="AF186" s="24">
        <v>0</v>
      </c>
      <c r="AG186" s="24">
        <v>0</v>
      </c>
      <c r="AH186" s="24">
        <v>-0.2</v>
      </c>
      <c r="AI186" s="48">
        <v>30001</v>
      </c>
      <c r="AJ186" s="48">
        <v>30002</v>
      </c>
      <c r="AK186" s="48">
        <v>30003</v>
      </c>
      <c r="AL186" s="48">
        <v>30004</v>
      </c>
      <c r="AM186" s="48">
        <v>30015</v>
      </c>
      <c r="AN186" s="25">
        <v>0</v>
      </c>
      <c r="AO186" s="49">
        <v>5</v>
      </c>
      <c r="AP186" s="50">
        <v>100</v>
      </c>
      <c r="AQ186" s="51" t="s">
        <v>1484</v>
      </c>
      <c r="AR186" s="51">
        <f>=F186*247.95</f>
        <v>4442768.1</v>
      </c>
      <c r="AS186" s="51">
        <f>=G186*32.6061</f>
        <v>3912.732</v>
      </c>
      <c r="AT186" s="51">
        <f>=J186*2.35</f>
        <v>13026.05</v>
      </c>
      <c r="AU186" s="47">
        <f>=H186*15.88</f>
        <v>952.8</v>
      </c>
    </row>
    <row r="187" spans="1:47">
      <c r="A187" s="24" t="s">
        <v>1485</v>
      </c>
      <c r="B187" s="24">
        <v>11431</v>
      </c>
      <c r="C187" s="24" t="s">
        <v>1486</v>
      </c>
      <c r="D187" s="24" t="s">
        <v>1487</v>
      </c>
      <c r="E187" s="24">
        <v>900011431</v>
      </c>
      <c r="F187" s="24">
        <v>17918</v>
      </c>
      <c r="G187" s="24">
        <v>120</v>
      </c>
      <c r="H187" s="24">
        <v>60</v>
      </c>
      <c r="I187" s="25">
        <v>0.5</v>
      </c>
      <c r="J187" s="24">
        <v>5543</v>
      </c>
      <c r="K187" s="24" t="b">
        <v>1</v>
      </c>
      <c r="L187" s="25">
        <v>0</v>
      </c>
      <c r="M187" s="47">
        <v>0</v>
      </c>
      <c r="N187" s="25">
        <v>0.1428</v>
      </c>
      <c r="O187" s="47">
        <v>7.002801</v>
      </c>
      <c r="P187" s="25">
        <v>1</v>
      </c>
      <c r="Q187" s="24">
        <v>3</v>
      </c>
      <c r="R187" s="24">
        <v>5</v>
      </c>
      <c r="S187" s="25">
        <v>0.75</v>
      </c>
      <c r="T187" s="24">
        <v>-0.2</v>
      </c>
      <c r="U187" s="24">
        <v>0</v>
      </c>
      <c r="V187" s="24">
        <v>0</v>
      </c>
      <c r="W187" s="24">
        <v>0</v>
      </c>
      <c r="X187" s="24">
        <v>-0.2</v>
      </c>
      <c r="Y187" s="24">
        <v>-0.2</v>
      </c>
      <c r="Z187" s="24">
        <v>0</v>
      </c>
      <c r="AA187" s="24">
        <v>0</v>
      </c>
      <c r="AB187" s="24">
        <v>0</v>
      </c>
      <c r="AC187" s="24">
        <v>-0.2</v>
      </c>
      <c r="AD187" s="24">
        <v>-0.2</v>
      </c>
      <c r="AE187" s="24">
        <v>0</v>
      </c>
      <c r="AF187" s="24">
        <v>0</v>
      </c>
      <c r="AG187" s="24">
        <v>0</v>
      </c>
      <c r="AH187" s="24">
        <v>-0.2</v>
      </c>
      <c r="AI187" s="48">
        <v>30001</v>
      </c>
      <c r="AJ187" s="48">
        <v>30002</v>
      </c>
      <c r="AK187" s="48">
        <v>30003</v>
      </c>
      <c r="AL187" s="48">
        <v>30004</v>
      </c>
      <c r="AM187" s="48">
        <v>30015</v>
      </c>
      <c r="AN187" s="25">
        <v>0</v>
      </c>
      <c r="AO187" s="49">
        <v>5</v>
      </c>
      <c r="AP187" s="50">
        <v>100</v>
      </c>
      <c r="AQ187" s="51" t="s">
        <v>1483</v>
      </c>
      <c r="AR187" s="51">
        <f>=F187*247.95</f>
        <v>4442768.1</v>
      </c>
      <c r="AS187" s="51">
        <f>=G187*32.6061</f>
        <v>3912.732</v>
      </c>
      <c r="AT187" s="51">
        <f>=J187*2.35</f>
        <v>13026.05</v>
      </c>
      <c r="AU187" s="47">
        <f>=H187*15.88</f>
        <v>952.8</v>
      </c>
    </row>
    <row r="188" spans="1:47">
      <c r="A188" s="24" t="s">
        <v>1485</v>
      </c>
      <c r="B188" s="24">
        <v>11432</v>
      </c>
      <c r="C188" s="24" t="s">
        <v>1486</v>
      </c>
      <c r="D188" s="24" t="s">
        <v>1487</v>
      </c>
      <c r="E188" s="24">
        <v>900011432</v>
      </c>
      <c r="F188" s="24">
        <v>17918</v>
      </c>
      <c r="G188" s="24">
        <v>120</v>
      </c>
      <c r="H188" s="24">
        <v>60</v>
      </c>
      <c r="I188" s="25">
        <v>0.5</v>
      </c>
      <c r="J188" s="24">
        <v>5543</v>
      </c>
      <c r="K188" s="24" t="b">
        <v>1</v>
      </c>
      <c r="L188" s="25">
        <v>0</v>
      </c>
      <c r="M188" s="47">
        <v>0</v>
      </c>
      <c r="N188" s="25">
        <v>0.1428</v>
      </c>
      <c r="O188" s="47">
        <v>7.002801</v>
      </c>
      <c r="P188" s="25">
        <v>1</v>
      </c>
      <c r="Q188" s="24">
        <v>3</v>
      </c>
      <c r="R188" s="24">
        <v>5</v>
      </c>
      <c r="S188" s="25">
        <v>0.75</v>
      </c>
      <c r="T188" s="24">
        <v>-0.2</v>
      </c>
      <c r="U188" s="24">
        <v>0</v>
      </c>
      <c r="V188" s="24">
        <v>0</v>
      </c>
      <c r="W188" s="24">
        <v>0</v>
      </c>
      <c r="X188" s="24">
        <v>-0.2</v>
      </c>
      <c r="Y188" s="24">
        <v>-0.2</v>
      </c>
      <c r="Z188" s="24">
        <v>0</v>
      </c>
      <c r="AA188" s="24">
        <v>0</v>
      </c>
      <c r="AB188" s="24">
        <v>0</v>
      </c>
      <c r="AC188" s="24">
        <v>-0.2</v>
      </c>
      <c r="AD188" s="24">
        <v>-0.2</v>
      </c>
      <c r="AE188" s="24">
        <v>0</v>
      </c>
      <c r="AF188" s="24">
        <v>0</v>
      </c>
      <c r="AG188" s="24">
        <v>0</v>
      </c>
      <c r="AH188" s="24">
        <v>-0.2</v>
      </c>
      <c r="AI188" s="48">
        <v>30001</v>
      </c>
      <c r="AJ188" s="48">
        <v>30002</v>
      </c>
      <c r="AK188" s="48">
        <v>30003</v>
      </c>
      <c r="AL188" s="48">
        <v>30004</v>
      </c>
      <c r="AM188" s="48">
        <v>30015</v>
      </c>
      <c r="AN188" s="25">
        <v>0</v>
      </c>
      <c r="AO188" s="49">
        <v>5</v>
      </c>
      <c r="AP188" s="50">
        <v>100</v>
      </c>
      <c r="AQ188" s="51" t="s">
        <v>1484</v>
      </c>
      <c r="AR188" s="51">
        <f>=F188*247.95</f>
        <v>4442768.1</v>
      </c>
      <c r="AS188" s="51">
        <f>=G188*32.6061</f>
        <v>3912.732</v>
      </c>
      <c r="AT188" s="51">
        <f>=J188*2.35</f>
        <v>13026.05</v>
      </c>
      <c r="AU188" s="47">
        <f>=H188*15.88</f>
        <v>952.8</v>
      </c>
    </row>
    <row r="189" spans="1:47">
      <c r="A189" s="24" t="s">
        <v>1488</v>
      </c>
      <c r="B189" s="24">
        <v>11441</v>
      </c>
      <c r="C189" s="24" t="s">
        <v>1489</v>
      </c>
      <c r="D189" s="24" t="s">
        <v>1490</v>
      </c>
      <c r="E189" s="24">
        <v>900011441</v>
      </c>
      <c r="F189" s="24">
        <v>7097</v>
      </c>
      <c r="G189" s="24">
        <v>79</v>
      </c>
      <c r="H189" s="24">
        <v>54</v>
      </c>
      <c r="I189" s="25">
        <v>0.5</v>
      </c>
      <c r="J189" s="24">
        <v>3502</v>
      </c>
      <c r="K189" s="24" t="b">
        <v>1</v>
      </c>
      <c r="L189" s="25">
        <v>0</v>
      </c>
      <c r="M189" s="47">
        <v>0</v>
      </c>
      <c r="N189" s="25">
        <v>0.1</v>
      </c>
      <c r="O189" s="47">
        <v>10</v>
      </c>
      <c r="P189" s="25">
        <v>0.5</v>
      </c>
      <c r="Q189" s="24">
        <v>2</v>
      </c>
      <c r="R189" s="24">
        <v>3</v>
      </c>
      <c r="S189" s="25">
        <v>0.5</v>
      </c>
      <c r="T189" s="24">
        <v>0</v>
      </c>
      <c r="U189" s="24">
        <v>0.2</v>
      </c>
      <c r="V189" s="24">
        <v>-0.2</v>
      </c>
      <c r="W189" s="24">
        <v>0</v>
      </c>
      <c r="X189" s="24">
        <v>0</v>
      </c>
      <c r="Y189" s="24">
        <v>0</v>
      </c>
      <c r="Z189" s="24">
        <v>0.2</v>
      </c>
      <c r="AA189" s="24">
        <v>-0.2</v>
      </c>
      <c r="AB189" s="24">
        <v>0</v>
      </c>
      <c r="AC189" s="24">
        <v>0</v>
      </c>
      <c r="AD189" s="24">
        <v>0</v>
      </c>
      <c r="AE189" s="24">
        <v>0.2</v>
      </c>
      <c r="AF189" s="24">
        <v>-0.2</v>
      </c>
      <c r="AG189" s="24">
        <v>0</v>
      </c>
      <c r="AH189" s="24">
        <v>0</v>
      </c>
      <c r="AI189" s="48">
        <v>20001</v>
      </c>
      <c r="AJ189" s="48">
        <v>20002</v>
      </c>
      <c r="AK189" s="48">
        <v>20013</v>
      </c>
      <c r="AL189" s="48">
        <v>20004</v>
      </c>
      <c r="AM189" s="48">
        <v>20005</v>
      </c>
      <c r="AN189" s="25">
        <v>0</v>
      </c>
      <c r="AO189" s="49">
        <v>3</v>
      </c>
      <c r="AP189" s="50">
        <v>75</v>
      </c>
      <c r="AQ189" s="51" t="s">
        <v>1491</v>
      </c>
      <c r="AR189" s="51">
        <f>=F189*247.95</f>
        <v>1759701.15</v>
      </c>
      <c r="AS189" s="51">
        <f>=G189*32.6061</f>
        <v>2575.8819</v>
      </c>
      <c r="AT189" s="51">
        <f>=J189*2.35</f>
        <v>8229.7</v>
      </c>
      <c r="AU189" s="47">
        <f>=H189*15.88</f>
        <v>857.52</v>
      </c>
    </row>
    <row r="190" spans="1:47">
      <c r="A190" s="24" t="s">
        <v>1488</v>
      </c>
      <c r="B190" s="24">
        <v>11442</v>
      </c>
      <c r="C190" s="24" t="s">
        <v>1489</v>
      </c>
      <c r="D190" s="24" t="s">
        <v>1490</v>
      </c>
      <c r="E190" s="24">
        <v>900011442</v>
      </c>
      <c r="F190" s="24">
        <v>7351</v>
      </c>
      <c r="G190" s="24">
        <v>91</v>
      </c>
      <c r="H190" s="24">
        <v>54</v>
      </c>
      <c r="I190" s="25">
        <v>0.5</v>
      </c>
      <c r="J190" s="24">
        <v>3972</v>
      </c>
      <c r="K190" s="24" t="b">
        <v>1</v>
      </c>
      <c r="L190" s="25">
        <v>0</v>
      </c>
      <c r="M190" s="47">
        <v>0</v>
      </c>
      <c r="N190" s="25">
        <v>0.1</v>
      </c>
      <c r="O190" s="47">
        <v>10</v>
      </c>
      <c r="P190" s="25">
        <v>0.5</v>
      </c>
      <c r="Q190" s="24">
        <v>2</v>
      </c>
      <c r="R190" s="24">
        <v>5</v>
      </c>
      <c r="S190" s="25">
        <v>0.5</v>
      </c>
      <c r="T190" s="24">
        <v>0</v>
      </c>
      <c r="U190" s="24">
        <v>0.2</v>
      </c>
      <c r="V190" s="24">
        <v>-0.2</v>
      </c>
      <c r="W190" s="24">
        <v>0</v>
      </c>
      <c r="X190" s="24">
        <v>0</v>
      </c>
      <c r="Y190" s="24">
        <v>0</v>
      </c>
      <c r="Z190" s="24">
        <v>0.2</v>
      </c>
      <c r="AA190" s="24">
        <v>-0.2</v>
      </c>
      <c r="AB190" s="24">
        <v>0</v>
      </c>
      <c r="AC190" s="24">
        <v>0</v>
      </c>
      <c r="AD190" s="24">
        <v>0</v>
      </c>
      <c r="AE190" s="24">
        <v>0.2</v>
      </c>
      <c r="AF190" s="24">
        <v>-0.2</v>
      </c>
      <c r="AG190" s="24">
        <v>0</v>
      </c>
      <c r="AH190" s="24">
        <v>0</v>
      </c>
      <c r="AI190" s="48">
        <v>20001</v>
      </c>
      <c r="AJ190" s="48">
        <v>20002</v>
      </c>
      <c r="AK190" s="48">
        <v>20013</v>
      </c>
      <c r="AL190" s="48">
        <v>20004</v>
      </c>
      <c r="AM190" s="48">
        <v>20005</v>
      </c>
      <c r="AN190" s="25">
        <v>0</v>
      </c>
      <c r="AO190" s="49">
        <v>3</v>
      </c>
      <c r="AP190" s="50">
        <v>75</v>
      </c>
      <c r="AQ190" s="51" t="s">
        <v>1492</v>
      </c>
      <c r="AR190" s="51">
        <f>=F190*247.95</f>
        <v>1822680.45</v>
      </c>
      <c r="AS190" s="51">
        <f>=G190*32.6061</f>
        <v>2967.1551</v>
      </c>
      <c r="AT190" s="51">
        <f>=J190*2.35</f>
        <v>9334.2</v>
      </c>
      <c r="AU190" s="47">
        <f>=H190*15.88</f>
        <v>857.52</v>
      </c>
    </row>
    <row r="191" spans="1:47">
      <c r="A191" s="24" t="s">
        <v>1493</v>
      </c>
      <c r="B191" s="24">
        <v>11443</v>
      </c>
      <c r="C191" s="24" t="s">
        <v>1494</v>
      </c>
      <c r="D191" s="24" t="s">
        <v>1495</v>
      </c>
      <c r="E191" s="24">
        <v>900011443</v>
      </c>
      <c r="F191" s="24">
        <v>7097</v>
      </c>
      <c r="G191" s="24">
        <v>79</v>
      </c>
      <c r="H191" s="24">
        <v>54</v>
      </c>
      <c r="I191" s="25">
        <v>0.5</v>
      </c>
      <c r="J191" s="24">
        <v>3502</v>
      </c>
      <c r="K191" s="24" t="b">
        <v>1</v>
      </c>
      <c r="L191" s="25">
        <v>0</v>
      </c>
      <c r="M191" s="47">
        <v>0</v>
      </c>
      <c r="N191" s="25">
        <v>0.1</v>
      </c>
      <c r="O191" s="47">
        <v>10</v>
      </c>
      <c r="P191" s="25">
        <v>0.5</v>
      </c>
      <c r="Q191" s="24">
        <v>2</v>
      </c>
      <c r="R191" s="24">
        <v>3</v>
      </c>
      <c r="S191" s="25">
        <v>0.5</v>
      </c>
      <c r="T191" s="24">
        <v>0</v>
      </c>
      <c r="U191" s="24">
        <v>-0.2</v>
      </c>
      <c r="V191" s="24">
        <v>0</v>
      </c>
      <c r="W191" s="24">
        <v>-0.2</v>
      </c>
      <c r="X191" s="24">
        <v>0.2</v>
      </c>
      <c r="Y191" s="24">
        <v>0</v>
      </c>
      <c r="Z191" s="24">
        <v>-0.2</v>
      </c>
      <c r="AA191" s="24">
        <v>0</v>
      </c>
      <c r="AB191" s="24">
        <v>-0.2</v>
      </c>
      <c r="AC191" s="24">
        <v>0.2</v>
      </c>
      <c r="AD191" s="24">
        <v>0</v>
      </c>
      <c r="AE191" s="24">
        <v>-0.2</v>
      </c>
      <c r="AF191" s="24">
        <v>0</v>
      </c>
      <c r="AG191" s="24">
        <v>-0.2</v>
      </c>
      <c r="AH191" s="24">
        <v>0.2</v>
      </c>
      <c r="AI191" s="48">
        <v>20001</v>
      </c>
      <c r="AJ191" s="48">
        <v>20012</v>
      </c>
      <c r="AK191" s="48">
        <v>20003</v>
      </c>
      <c r="AL191" s="48">
        <v>20004</v>
      </c>
      <c r="AM191" s="48">
        <v>20005</v>
      </c>
      <c r="AN191" s="25">
        <v>0</v>
      </c>
      <c r="AO191" s="49">
        <v>3</v>
      </c>
      <c r="AP191" s="50">
        <v>75</v>
      </c>
      <c r="AQ191" s="51" t="s">
        <v>1496</v>
      </c>
      <c r="AR191" s="51">
        <f>=F191*247.95</f>
        <v>1759701.15</v>
      </c>
      <c r="AS191" s="51">
        <f>=G191*32.6061</f>
        <v>2575.8819</v>
      </c>
      <c r="AT191" s="51">
        <f>=J191*2.35</f>
        <v>8229.7</v>
      </c>
      <c r="AU191" s="47">
        <f>=H191*15.88</f>
        <v>857.52</v>
      </c>
    </row>
    <row r="192" spans="1:47">
      <c r="A192" s="24" t="s">
        <v>1493</v>
      </c>
      <c r="B192" s="24">
        <v>11444</v>
      </c>
      <c r="C192" s="24" t="s">
        <v>1494</v>
      </c>
      <c r="D192" s="24" t="s">
        <v>1495</v>
      </c>
      <c r="E192" s="24">
        <v>900011444</v>
      </c>
      <c r="F192" s="24">
        <v>7351</v>
      </c>
      <c r="G192" s="24">
        <v>91</v>
      </c>
      <c r="H192" s="24">
        <v>54</v>
      </c>
      <c r="I192" s="25">
        <v>0.5</v>
      </c>
      <c r="J192" s="24">
        <v>3972</v>
      </c>
      <c r="K192" s="24" t="b">
        <v>1</v>
      </c>
      <c r="L192" s="25">
        <v>0</v>
      </c>
      <c r="M192" s="47">
        <v>0</v>
      </c>
      <c r="N192" s="25">
        <v>0.1</v>
      </c>
      <c r="O192" s="47">
        <v>10</v>
      </c>
      <c r="P192" s="25">
        <v>0.5</v>
      </c>
      <c r="Q192" s="24">
        <v>2</v>
      </c>
      <c r="R192" s="24">
        <v>5</v>
      </c>
      <c r="S192" s="25">
        <v>0.5</v>
      </c>
      <c r="T192" s="24">
        <v>0</v>
      </c>
      <c r="U192" s="24">
        <v>-0.2</v>
      </c>
      <c r="V192" s="24">
        <v>0</v>
      </c>
      <c r="W192" s="24">
        <v>-0.2</v>
      </c>
      <c r="X192" s="24">
        <v>0.2</v>
      </c>
      <c r="Y192" s="24">
        <v>0</v>
      </c>
      <c r="Z192" s="24">
        <v>-0.2</v>
      </c>
      <c r="AA192" s="24">
        <v>0</v>
      </c>
      <c r="AB192" s="24">
        <v>-0.2</v>
      </c>
      <c r="AC192" s="24">
        <v>0.2</v>
      </c>
      <c r="AD192" s="24">
        <v>0</v>
      </c>
      <c r="AE192" s="24">
        <v>-0.2</v>
      </c>
      <c r="AF192" s="24">
        <v>0</v>
      </c>
      <c r="AG192" s="24">
        <v>-0.2</v>
      </c>
      <c r="AH192" s="24">
        <v>0.2</v>
      </c>
      <c r="AI192" s="48">
        <v>20001</v>
      </c>
      <c r="AJ192" s="48">
        <v>20012</v>
      </c>
      <c r="AK192" s="48">
        <v>20003</v>
      </c>
      <c r="AL192" s="48">
        <v>20004</v>
      </c>
      <c r="AM192" s="48">
        <v>20005</v>
      </c>
      <c r="AN192" s="25">
        <v>0</v>
      </c>
      <c r="AO192" s="49">
        <v>3</v>
      </c>
      <c r="AP192" s="50">
        <v>75</v>
      </c>
      <c r="AQ192" s="51" t="s">
        <v>1497</v>
      </c>
      <c r="AR192" s="51">
        <f>=F192*247.95</f>
        <v>1822680.45</v>
      </c>
      <c r="AS192" s="51">
        <f>=G192*32.6061</f>
        <v>2967.1551</v>
      </c>
      <c r="AT192" s="51">
        <f>=J192*2.35</f>
        <v>9334.2</v>
      </c>
      <c r="AU192" s="47">
        <f>=H192*15.88</f>
        <v>857.52</v>
      </c>
    </row>
    <row r="193" spans="1:47">
      <c r="A193" s="24" t="s">
        <v>1498</v>
      </c>
      <c r="B193" s="24">
        <v>11451</v>
      </c>
      <c r="C193" s="24" t="s">
        <v>1499</v>
      </c>
      <c r="D193" s="24" t="s">
        <v>1500</v>
      </c>
      <c r="E193" s="24">
        <v>900011451</v>
      </c>
      <c r="F193" s="24">
        <v>8835</v>
      </c>
      <c r="G193" s="24">
        <v>97</v>
      </c>
      <c r="H193" s="24">
        <v>54</v>
      </c>
      <c r="I193" s="25">
        <v>0.5</v>
      </c>
      <c r="J193" s="24">
        <v>3502</v>
      </c>
      <c r="K193" s="24" t="b">
        <v>1</v>
      </c>
      <c r="L193" s="25">
        <v>0</v>
      </c>
      <c r="M193" s="47">
        <v>0</v>
      </c>
      <c r="N193" s="25">
        <v>0.1</v>
      </c>
      <c r="O193" s="47">
        <v>10</v>
      </c>
      <c r="P193" s="25">
        <v>1</v>
      </c>
      <c r="Q193" s="24">
        <v>2</v>
      </c>
      <c r="R193" s="24">
        <v>3</v>
      </c>
      <c r="S193" s="25">
        <v>0.5</v>
      </c>
      <c r="T193" s="24">
        <v>0</v>
      </c>
      <c r="U193" s="24">
        <v>0.2</v>
      </c>
      <c r="V193" s="24">
        <v>-0.2</v>
      </c>
      <c r="W193" s="24">
        <v>0</v>
      </c>
      <c r="X193" s="24">
        <v>0</v>
      </c>
      <c r="Y193" s="24">
        <v>0</v>
      </c>
      <c r="Z193" s="24">
        <v>0.2</v>
      </c>
      <c r="AA193" s="24">
        <v>-0.2</v>
      </c>
      <c r="AB193" s="24">
        <v>0</v>
      </c>
      <c r="AC193" s="24">
        <v>0</v>
      </c>
      <c r="AD193" s="24">
        <v>0</v>
      </c>
      <c r="AE193" s="24">
        <v>0.2</v>
      </c>
      <c r="AF193" s="24">
        <v>-0.2</v>
      </c>
      <c r="AG193" s="24">
        <v>0</v>
      </c>
      <c r="AH193" s="24">
        <v>0</v>
      </c>
      <c r="AI193" s="48">
        <v>20001</v>
      </c>
      <c r="AJ193" s="48">
        <v>20002</v>
      </c>
      <c r="AK193" s="48">
        <v>20013</v>
      </c>
      <c r="AL193" s="48">
        <v>20004</v>
      </c>
      <c r="AM193" s="48">
        <v>20005</v>
      </c>
      <c r="AN193" s="25">
        <v>0</v>
      </c>
      <c r="AO193" s="49">
        <v>3</v>
      </c>
      <c r="AP193" s="50">
        <v>75</v>
      </c>
      <c r="AQ193" s="51" t="s">
        <v>1491</v>
      </c>
      <c r="AR193" s="51">
        <f>=F193*247.95</f>
        <v>2190638.25</v>
      </c>
      <c r="AS193" s="51">
        <f>=G193*32.6061</f>
        <v>3162.7917</v>
      </c>
      <c r="AT193" s="51">
        <f>=J193*2.35</f>
        <v>8229.7</v>
      </c>
      <c r="AU193" s="47">
        <f>=H193*15.88</f>
        <v>857.52</v>
      </c>
    </row>
    <row r="194" spans="1:47">
      <c r="A194" s="24" t="s">
        <v>1498</v>
      </c>
      <c r="B194" s="24">
        <v>11452</v>
      </c>
      <c r="C194" s="24" t="s">
        <v>1499</v>
      </c>
      <c r="D194" s="24" t="s">
        <v>1500</v>
      </c>
      <c r="E194" s="24">
        <v>900011452</v>
      </c>
      <c r="F194" s="24">
        <v>9088</v>
      </c>
      <c r="G194" s="24">
        <v>111</v>
      </c>
      <c r="H194" s="24">
        <v>54</v>
      </c>
      <c r="I194" s="25">
        <v>0.5</v>
      </c>
      <c r="J194" s="24">
        <v>3972</v>
      </c>
      <c r="K194" s="24" t="b">
        <v>1</v>
      </c>
      <c r="L194" s="25">
        <v>0</v>
      </c>
      <c r="M194" s="47">
        <v>0</v>
      </c>
      <c r="N194" s="25">
        <v>0.1</v>
      </c>
      <c r="O194" s="47">
        <v>10</v>
      </c>
      <c r="P194" s="25">
        <v>1</v>
      </c>
      <c r="Q194" s="24">
        <v>2</v>
      </c>
      <c r="R194" s="24">
        <v>5</v>
      </c>
      <c r="S194" s="25">
        <v>0.5</v>
      </c>
      <c r="T194" s="24">
        <v>0</v>
      </c>
      <c r="U194" s="24">
        <v>0.2</v>
      </c>
      <c r="V194" s="24">
        <v>-0.2</v>
      </c>
      <c r="W194" s="24">
        <v>0</v>
      </c>
      <c r="X194" s="24">
        <v>0</v>
      </c>
      <c r="Y194" s="24">
        <v>0</v>
      </c>
      <c r="Z194" s="24">
        <v>0.2</v>
      </c>
      <c r="AA194" s="24">
        <v>-0.2</v>
      </c>
      <c r="AB194" s="24">
        <v>0</v>
      </c>
      <c r="AC194" s="24">
        <v>0</v>
      </c>
      <c r="AD194" s="24">
        <v>0</v>
      </c>
      <c r="AE194" s="24">
        <v>0.2</v>
      </c>
      <c r="AF194" s="24">
        <v>-0.2</v>
      </c>
      <c r="AG194" s="24">
        <v>0</v>
      </c>
      <c r="AH194" s="24">
        <v>0</v>
      </c>
      <c r="AI194" s="48">
        <v>20001</v>
      </c>
      <c r="AJ194" s="48">
        <v>20002</v>
      </c>
      <c r="AK194" s="48">
        <v>20013</v>
      </c>
      <c r="AL194" s="48">
        <v>20004</v>
      </c>
      <c r="AM194" s="48">
        <v>20005</v>
      </c>
      <c r="AN194" s="25">
        <v>0</v>
      </c>
      <c r="AO194" s="49">
        <v>3</v>
      </c>
      <c r="AP194" s="50">
        <v>75</v>
      </c>
      <c r="AQ194" s="51" t="s">
        <v>1492</v>
      </c>
      <c r="AR194" s="51">
        <f>=F194*247.95</f>
        <v>2253369.6</v>
      </c>
      <c r="AS194" s="51">
        <f>=G194*32.6061</f>
        <v>3619.2771</v>
      </c>
      <c r="AT194" s="51">
        <f>=J194*2.35</f>
        <v>9334.2</v>
      </c>
      <c r="AU194" s="47">
        <f>=H194*15.88</f>
        <v>857.52</v>
      </c>
    </row>
    <row r="195" spans="1:47">
      <c r="A195" s="24" t="s">
        <v>1501</v>
      </c>
      <c r="B195" s="24">
        <v>11453</v>
      </c>
      <c r="C195" s="24" t="s">
        <v>1502</v>
      </c>
      <c r="D195" s="24" t="s">
        <v>1503</v>
      </c>
      <c r="E195" s="24">
        <v>900011453</v>
      </c>
      <c r="F195" s="24">
        <v>20548</v>
      </c>
      <c r="G195" s="24">
        <v>120</v>
      </c>
      <c r="H195" s="24">
        <v>60</v>
      </c>
      <c r="I195" s="25">
        <v>0.5</v>
      </c>
      <c r="J195" s="24">
        <v>5543</v>
      </c>
      <c r="K195" s="24" t="b">
        <v>1</v>
      </c>
      <c r="L195" s="25">
        <v>0</v>
      </c>
      <c r="M195" s="47">
        <v>0</v>
      </c>
      <c r="N195" s="25">
        <v>0.0833</v>
      </c>
      <c r="O195" s="47">
        <v>12.0048</v>
      </c>
      <c r="P195" s="25">
        <v>0.5</v>
      </c>
      <c r="Q195" s="24">
        <v>3</v>
      </c>
      <c r="R195" s="24">
        <v>5</v>
      </c>
      <c r="S195" s="25">
        <v>0.75</v>
      </c>
      <c r="T195" s="24">
        <v>0</v>
      </c>
      <c r="U195" s="24">
        <v>0.2</v>
      </c>
      <c r="V195" s="24">
        <v>-0.2</v>
      </c>
      <c r="W195" s="24">
        <v>0</v>
      </c>
      <c r="X195" s="24">
        <v>0</v>
      </c>
      <c r="Y195" s="24">
        <v>0</v>
      </c>
      <c r="Z195" s="24">
        <v>0.2</v>
      </c>
      <c r="AA195" s="24">
        <v>-0.2</v>
      </c>
      <c r="AB195" s="24">
        <v>0</v>
      </c>
      <c r="AC195" s="24">
        <v>0</v>
      </c>
      <c r="AD195" s="24">
        <v>0</v>
      </c>
      <c r="AE195" s="24">
        <v>0.2</v>
      </c>
      <c r="AF195" s="24">
        <v>-0.2</v>
      </c>
      <c r="AG195" s="24">
        <v>0</v>
      </c>
      <c r="AH195" s="24">
        <v>0</v>
      </c>
      <c r="AI195" s="48">
        <v>30001</v>
      </c>
      <c r="AJ195" s="48">
        <v>30002</v>
      </c>
      <c r="AK195" s="48">
        <v>30013</v>
      </c>
      <c r="AL195" s="48">
        <v>30004</v>
      </c>
      <c r="AM195" s="48">
        <v>30005</v>
      </c>
      <c r="AN195" s="25">
        <v>0</v>
      </c>
      <c r="AO195" s="49">
        <v>5</v>
      </c>
      <c r="AP195" s="50">
        <v>100</v>
      </c>
      <c r="AQ195" s="51" t="s">
        <v>1504</v>
      </c>
      <c r="AR195" s="51">
        <f>=F195*247.95</f>
        <v>5094876.6</v>
      </c>
      <c r="AS195" s="51">
        <f>=G195*32.6061</f>
        <v>3912.732</v>
      </c>
      <c r="AT195" s="51">
        <f>=J195*2.35</f>
        <v>13026.05</v>
      </c>
      <c r="AU195" s="47">
        <f>=H195*15.88</f>
        <v>952.8</v>
      </c>
    </row>
    <row r="196" spans="1:47">
      <c r="A196" s="24" t="s">
        <v>1505</v>
      </c>
      <c r="B196" s="24">
        <v>11454</v>
      </c>
      <c r="C196" s="24" t="s">
        <v>1506</v>
      </c>
      <c r="D196" s="24" t="s">
        <v>1507</v>
      </c>
      <c r="E196" s="24">
        <v>900011454</v>
      </c>
      <c r="F196" s="24">
        <v>8414</v>
      </c>
      <c r="G196" s="24">
        <v>92</v>
      </c>
      <c r="H196" s="24">
        <v>54</v>
      </c>
      <c r="I196" s="25">
        <v>0.5</v>
      </c>
      <c r="J196" s="24">
        <v>3335</v>
      </c>
      <c r="K196" s="24" t="b">
        <v>1</v>
      </c>
      <c r="L196" s="25">
        <v>0</v>
      </c>
      <c r="M196" s="47">
        <v>0</v>
      </c>
      <c r="N196" s="25">
        <v>0.1</v>
      </c>
      <c r="O196" s="47">
        <v>10</v>
      </c>
      <c r="P196" s="25">
        <v>1</v>
      </c>
      <c r="Q196" s="24">
        <v>2</v>
      </c>
      <c r="R196" s="24">
        <v>3</v>
      </c>
      <c r="S196" s="25">
        <v>0.5</v>
      </c>
      <c r="T196" s="24">
        <v>0</v>
      </c>
      <c r="U196" s="24">
        <v>-0.2</v>
      </c>
      <c r="V196" s="24">
        <v>0</v>
      </c>
      <c r="W196" s="24">
        <v>-0.2</v>
      </c>
      <c r="X196" s="24">
        <v>0.2</v>
      </c>
      <c r="Y196" s="24">
        <v>0</v>
      </c>
      <c r="Z196" s="24">
        <v>-0.2</v>
      </c>
      <c r="AA196" s="24">
        <v>0</v>
      </c>
      <c r="AB196" s="24">
        <v>-0.2</v>
      </c>
      <c r="AC196" s="24">
        <v>0.2</v>
      </c>
      <c r="AD196" s="24">
        <v>0</v>
      </c>
      <c r="AE196" s="24">
        <v>-0.2</v>
      </c>
      <c r="AF196" s="24">
        <v>0</v>
      </c>
      <c r="AG196" s="24">
        <v>-0.2</v>
      </c>
      <c r="AH196" s="24">
        <v>0.2</v>
      </c>
      <c r="AI196" s="48">
        <v>20001</v>
      </c>
      <c r="AJ196" s="48">
        <v>20012</v>
      </c>
      <c r="AK196" s="48">
        <v>20003</v>
      </c>
      <c r="AL196" s="48">
        <v>20004</v>
      </c>
      <c r="AM196" s="48">
        <v>20005</v>
      </c>
      <c r="AN196" s="25">
        <v>0</v>
      </c>
      <c r="AO196" s="49">
        <v>3</v>
      </c>
      <c r="AP196" s="50">
        <v>75</v>
      </c>
      <c r="AQ196" s="51" t="s">
        <v>1496</v>
      </c>
      <c r="AR196" s="51">
        <f>=F196*247.95</f>
        <v>2086251.3</v>
      </c>
      <c r="AS196" s="51">
        <f>=G196*32.6061</f>
        <v>2999.7612</v>
      </c>
      <c r="AT196" s="51">
        <f>=J196*2.35</f>
        <v>7837.25</v>
      </c>
      <c r="AU196" s="47">
        <f>=H196*15.88</f>
        <v>857.52</v>
      </c>
    </row>
    <row r="197" spans="1:47">
      <c r="A197" s="24" t="s">
        <v>1505</v>
      </c>
      <c r="B197" s="24">
        <v>11455</v>
      </c>
      <c r="C197" s="24" t="s">
        <v>1506</v>
      </c>
      <c r="D197" s="24" t="s">
        <v>1507</v>
      </c>
      <c r="E197" s="24">
        <v>900011455</v>
      </c>
      <c r="F197" s="24">
        <v>8655</v>
      </c>
      <c r="G197" s="24">
        <v>106</v>
      </c>
      <c r="H197" s="24">
        <v>54</v>
      </c>
      <c r="I197" s="25">
        <v>0.5</v>
      </c>
      <c r="J197" s="24">
        <v>3783</v>
      </c>
      <c r="K197" s="24" t="b">
        <v>1</v>
      </c>
      <c r="L197" s="25">
        <v>0</v>
      </c>
      <c r="M197" s="47">
        <v>0</v>
      </c>
      <c r="N197" s="25">
        <v>0.1</v>
      </c>
      <c r="O197" s="47">
        <v>10</v>
      </c>
      <c r="P197" s="25">
        <v>1</v>
      </c>
      <c r="Q197" s="24">
        <v>2</v>
      </c>
      <c r="R197" s="24">
        <v>5</v>
      </c>
      <c r="S197" s="25">
        <v>0.5</v>
      </c>
      <c r="T197" s="24">
        <v>0</v>
      </c>
      <c r="U197" s="24">
        <v>-0.2</v>
      </c>
      <c r="V197" s="24">
        <v>0</v>
      </c>
      <c r="W197" s="24">
        <v>-0.2</v>
      </c>
      <c r="X197" s="24">
        <v>0.2</v>
      </c>
      <c r="Y197" s="24">
        <v>0</v>
      </c>
      <c r="Z197" s="24">
        <v>-0.2</v>
      </c>
      <c r="AA197" s="24">
        <v>0</v>
      </c>
      <c r="AB197" s="24">
        <v>-0.2</v>
      </c>
      <c r="AC197" s="24">
        <v>0.2</v>
      </c>
      <c r="AD197" s="24">
        <v>0</v>
      </c>
      <c r="AE197" s="24">
        <v>-0.2</v>
      </c>
      <c r="AF197" s="24">
        <v>0</v>
      </c>
      <c r="AG197" s="24">
        <v>-0.2</v>
      </c>
      <c r="AH197" s="24">
        <v>0.2</v>
      </c>
      <c r="AI197" s="48">
        <v>20001</v>
      </c>
      <c r="AJ197" s="48">
        <v>20012</v>
      </c>
      <c r="AK197" s="48">
        <v>20003</v>
      </c>
      <c r="AL197" s="48">
        <v>20004</v>
      </c>
      <c r="AM197" s="48">
        <v>20005</v>
      </c>
      <c r="AN197" s="25">
        <v>0</v>
      </c>
      <c r="AO197" s="49">
        <v>3</v>
      </c>
      <c r="AP197" s="50">
        <v>75</v>
      </c>
      <c r="AQ197" s="51" t="s">
        <v>1497</v>
      </c>
      <c r="AR197" s="51">
        <f>=F197*247.95</f>
        <v>2146007.25</v>
      </c>
      <c r="AS197" s="51">
        <f>=G197*32.6061</f>
        <v>3456.2466</v>
      </c>
      <c r="AT197" s="51">
        <f>=J197*2.35</f>
        <v>8890.05</v>
      </c>
      <c r="AU197" s="47">
        <f>=H197*15.88</f>
        <v>857.52</v>
      </c>
    </row>
    <row r="198" spans="1:47">
      <c r="A198" s="24" t="s">
        <v>1508</v>
      </c>
      <c r="B198" s="24">
        <v>11456</v>
      </c>
      <c r="C198" s="24" t="s">
        <v>1509</v>
      </c>
      <c r="D198" s="24" t="s">
        <v>1510</v>
      </c>
      <c r="E198" s="24">
        <v>900011456</v>
      </c>
      <c r="F198" s="24">
        <v>20548</v>
      </c>
      <c r="G198" s="24">
        <v>120</v>
      </c>
      <c r="H198" s="24">
        <v>60</v>
      </c>
      <c r="I198" s="25">
        <v>0.5</v>
      </c>
      <c r="J198" s="24">
        <v>5543</v>
      </c>
      <c r="K198" s="24" t="b">
        <v>1</v>
      </c>
      <c r="L198" s="25">
        <v>0</v>
      </c>
      <c r="M198" s="47">
        <v>0</v>
      </c>
      <c r="N198" s="25">
        <v>0.0833</v>
      </c>
      <c r="O198" s="47">
        <v>12.0048</v>
      </c>
      <c r="P198" s="25">
        <v>0.5</v>
      </c>
      <c r="Q198" s="24">
        <v>3</v>
      </c>
      <c r="R198" s="24">
        <v>5</v>
      </c>
      <c r="S198" s="25">
        <v>0.75</v>
      </c>
      <c r="T198" s="24">
        <v>0</v>
      </c>
      <c r="U198" s="24">
        <v>-0.2</v>
      </c>
      <c r="V198" s="24">
        <v>0</v>
      </c>
      <c r="W198" s="24">
        <v>-0.2</v>
      </c>
      <c r="X198" s="24">
        <v>0.2</v>
      </c>
      <c r="Y198" s="24">
        <v>0</v>
      </c>
      <c r="Z198" s="24">
        <v>-0.2</v>
      </c>
      <c r="AA198" s="24">
        <v>0</v>
      </c>
      <c r="AB198" s="24">
        <v>-0.2</v>
      </c>
      <c r="AC198" s="24">
        <v>0.2</v>
      </c>
      <c r="AD198" s="24">
        <v>0</v>
      </c>
      <c r="AE198" s="24">
        <v>-0.2</v>
      </c>
      <c r="AF198" s="24">
        <v>0</v>
      </c>
      <c r="AG198" s="24">
        <v>-0.2</v>
      </c>
      <c r="AH198" s="24">
        <v>0.2</v>
      </c>
      <c r="AI198" s="48">
        <v>30001</v>
      </c>
      <c r="AJ198" s="48">
        <v>30012</v>
      </c>
      <c r="AK198" s="48">
        <v>30003</v>
      </c>
      <c r="AL198" s="48">
        <v>30004</v>
      </c>
      <c r="AM198" s="48">
        <v>30005</v>
      </c>
      <c r="AN198" s="25">
        <v>0</v>
      </c>
      <c r="AO198" s="49">
        <v>5</v>
      </c>
      <c r="AP198" s="50">
        <v>100</v>
      </c>
      <c r="AQ198" s="51" t="s">
        <v>1511</v>
      </c>
      <c r="AR198" s="51">
        <f>=F198*247.95</f>
        <v>5094876.6</v>
      </c>
      <c r="AS198" s="51">
        <f>=G198*32.6061</f>
        <v>3912.732</v>
      </c>
      <c r="AT198" s="51">
        <f>=J198*2.35</f>
        <v>13026.05</v>
      </c>
      <c r="AU198" s="47">
        <f>=H198*15.88</f>
        <v>952.8</v>
      </c>
    </row>
    <row r="199" spans="1:47" ht="18" customHeight="1">
      <c r="A199" s="24" t="s">
        <v>1498</v>
      </c>
      <c r="B199" s="24">
        <v>11457</v>
      </c>
      <c r="C199" s="24" t="s">
        <v>1499</v>
      </c>
      <c r="D199" s="24" t="s">
        <v>1500</v>
      </c>
      <c r="E199" s="24">
        <v>900011457</v>
      </c>
      <c r="F199" s="24">
        <v>9088</v>
      </c>
      <c r="G199" s="24">
        <v>111</v>
      </c>
      <c r="H199" s="24">
        <v>54</v>
      </c>
      <c r="I199" s="25">
        <v>0.5</v>
      </c>
      <c r="J199" s="24">
        <v>3972</v>
      </c>
      <c r="K199" s="24" t="b">
        <v>1</v>
      </c>
      <c r="L199" s="25">
        <v>0</v>
      </c>
      <c r="M199" s="47">
        <v>0</v>
      </c>
      <c r="N199" s="25">
        <v>0.1</v>
      </c>
      <c r="O199" s="47">
        <v>10</v>
      </c>
      <c r="P199" s="25">
        <v>1</v>
      </c>
      <c r="Q199" s="24">
        <v>2</v>
      </c>
      <c r="R199" s="24">
        <v>5</v>
      </c>
      <c r="S199" s="25">
        <v>0.5</v>
      </c>
      <c r="T199" s="24">
        <v>0</v>
      </c>
      <c r="U199" s="24">
        <v>0.2</v>
      </c>
      <c r="V199" s="24">
        <v>-0.2</v>
      </c>
      <c r="W199" s="24">
        <v>0</v>
      </c>
      <c r="X199" s="24">
        <v>0</v>
      </c>
      <c r="Y199" s="24">
        <v>0</v>
      </c>
      <c r="Z199" s="24">
        <v>0.2</v>
      </c>
      <c r="AA199" s="24">
        <v>-0.2</v>
      </c>
      <c r="AB199" s="24">
        <v>0</v>
      </c>
      <c r="AC199" s="24">
        <v>0</v>
      </c>
      <c r="AD199" s="24">
        <v>0</v>
      </c>
      <c r="AE199" s="24">
        <v>0.2</v>
      </c>
      <c r="AF199" s="24">
        <v>-0.2</v>
      </c>
      <c r="AG199" s="24">
        <v>0</v>
      </c>
      <c r="AH199" s="24">
        <v>0</v>
      </c>
      <c r="AI199" s="48">
        <v>20001</v>
      </c>
      <c r="AJ199" s="48">
        <v>20002</v>
      </c>
      <c r="AK199" s="48">
        <v>20013</v>
      </c>
      <c r="AL199" s="48">
        <v>20004</v>
      </c>
      <c r="AM199" s="48">
        <v>20005</v>
      </c>
      <c r="AN199" s="25">
        <v>0</v>
      </c>
      <c r="AO199" s="49">
        <v>3</v>
      </c>
      <c r="AP199" s="50">
        <v>75</v>
      </c>
      <c r="AQ199" s="51" t="s">
        <v>1492</v>
      </c>
      <c r="AR199" s="51">
        <f>=F199*247.95</f>
        <v>2253369.6</v>
      </c>
      <c r="AS199" s="51">
        <f>=G199*32.6061</f>
        <v>3619.2771</v>
      </c>
      <c r="AT199" s="51">
        <f>=J199*2.35</f>
        <v>9334.2</v>
      </c>
      <c r="AU199" s="47">
        <f>=H199*15.88</f>
        <v>857.52</v>
      </c>
    </row>
    <row r="200" spans="1:47">
      <c r="A200" s="24" t="s">
        <v>1512</v>
      </c>
      <c r="B200" s="24">
        <v>11461</v>
      </c>
      <c r="C200" s="24" t="s">
        <v>1513</v>
      </c>
      <c r="D200" s="24" t="s">
        <v>1514</v>
      </c>
      <c r="E200" s="24">
        <v>900011461</v>
      </c>
      <c r="F200" s="24">
        <v>1240</v>
      </c>
      <c r="G200" s="24">
        <v>54</v>
      </c>
      <c r="H200" s="24">
        <v>36</v>
      </c>
      <c r="I200" s="25">
        <v>0.5</v>
      </c>
      <c r="J200" s="24">
        <v>600</v>
      </c>
      <c r="K200" s="24" t="b">
        <v>1</v>
      </c>
      <c r="L200" s="25">
        <v>0</v>
      </c>
      <c r="M200" s="47">
        <v>0</v>
      </c>
      <c r="N200" s="25">
        <v>0.5</v>
      </c>
      <c r="O200" s="47">
        <v>2</v>
      </c>
      <c r="P200" s="25">
        <v>1</v>
      </c>
      <c r="Q200" s="24">
        <v>1</v>
      </c>
      <c r="R200" s="24">
        <v>1</v>
      </c>
      <c r="S200" s="25">
        <v>0</v>
      </c>
      <c r="T200" s="24">
        <v>-0.2</v>
      </c>
      <c r="U200" s="24">
        <v>0</v>
      </c>
      <c r="V200" s="24">
        <v>0</v>
      </c>
      <c r="W200" s="24">
        <v>0</v>
      </c>
      <c r="X200" s="24">
        <v>-0.2</v>
      </c>
      <c r="Y200" s="24">
        <v>-0.2</v>
      </c>
      <c r="Z200" s="24">
        <v>0</v>
      </c>
      <c r="AA200" s="24">
        <v>0</v>
      </c>
      <c r="AB200" s="24">
        <v>0</v>
      </c>
      <c r="AC200" s="24">
        <v>-0.2</v>
      </c>
      <c r="AD200" s="24">
        <v>-0.2</v>
      </c>
      <c r="AE200" s="24">
        <v>0</v>
      </c>
      <c r="AF200" s="24">
        <v>0</v>
      </c>
      <c r="AG200" s="24">
        <v>0</v>
      </c>
      <c r="AH200" s="24">
        <v>-0.2</v>
      </c>
      <c r="AI200" s="48">
        <v>10001</v>
      </c>
      <c r="AJ200" s="48">
        <v>10002</v>
      </c>
      <c r="AK200" s="48">
        <v>10003</v>
      </c>
      <c r="AL200" s="48">
        <v>10004</v>
      </c>
      <c r="AM200" s="48">
        <v>10015</v>
      </c>
      <c r="AN200" s="25">
        <v>0</v>
      </c>
      <c r="AO200" s="49" t="s"/>
      <c r="AP200" s="50">
        <v>50</v>
      </c>
      <c r="AQ200" s="51" t="s">
        <v>1255</v>
      </c>
      <c r="AR200" s="51">
        <f>=F200*247.95</f>
        <v>307458</v>
      </c>
      <c r="AS200" s="51">
        <f>=G200*32.6061</f>
        <v>1760.7294</v>
      </c>
      <c r="AT200" s="51">
        <f>=J200*2.35</f>
        <v>1410</v>
      </c>
      <c r="AU200" s="47">
        <f>=H200*15.88</f>
        <v>571.68</v>
      </c>
    </row>
    <row r="201" spans="1:47">
      <c r="A201" s="24" t="s">
        <v>1512</v>
      </c>
      <c r="B201" s="24">
        <v>11462</v>
      </c>
      <c r="C201" s="24" t="s">
        <v>1513</v>
      </c>
      <c r="D201" s="24" t="s">
        <v>1514</v>
      </c>
      <c r="E201" s="24">
        <v>900011462</v>
      </c>
      <c r="F201" s="24">
        <v>1615</v>
      </c>
      <c r="G201" s="24">
        <v>54</v>
      </c>
      <c r="H201" s="24">
        <v>36</v>
      </c>
      <c r="I201" s="25">
        <v>0.5</v>
      </c>
      <c r="J201" s="24">
        <v>900</v>
      </c>
      <c r="K201" s="24" t="b">
        <v>1</v>
      </c>
      <c r="L201" s="25">
        <v>0</v>
      </c>
      <c r="M201" s="47">
        <v>0</v>
      </c>
      <c r="N201" s="25">
        <v>0.5</v>
      </c>
      <c r="O201" s="47">
        <v>2</v>
      </c>
      <c r="P201" s="25">
        <v>1</v>
      </c>
      <c r="Q201" s="24">
        <v>1</v>
      </c>
      <c r="R201" s="24">
        <v>1</v>
      </c>
      <c r="S201" s="25">
        <v>0</v>
      </c>
      <c r="T201" s="24">
        <v>-0.2</v>
      </c>
      <c r="U201" s="24">
        <v>0</v>
      </c>
      <c r="V201" s="24">
        <v>0</v>
      </c>
      <c r="W201" s="24">
        <v>0</v>
      </c>
      <c r="X201" s="24">
        <v>-0.2</v>
      </c>
      <c r="Y201" s="24">
        <v>-0.2</v>
      </c>
      <c r="Z201" s="24">
        <v>0</v>
      </c>
      <c r="AA201" s="24">
        <v>0</v>
      </c>
      <c r="AB201" s="24">
        <v>0</v>
      </c>
      <c r="AC201" s="24">
        <v>-0.2</v>
      </c>
      <c r="AD201" s="24">
        <v>-0.2</v>
      </c>
      <c r="AE201" s="24">
        <v>0</v>
      </c>
      <c r="AF201" s="24">
        <v>0</v>
      </c>
      <c r="AG201" s="24">
        <v>0</v>
      </c>
      <c r="AH201" s="24">
        <v>-0.2</v>
      </c>
      <c r="AI201" s="48">
        <v>10001</v>
      </c>
      <c r="AJ201" s="48">
        <v>10002</v>
      </c>
      <c r="AK201" s="48">
        <v>10003</v>
      </c>
      <c r="AL201" s="48">
        <v>10004</v>
      </c>
      <c r="AM201" s="48">
        <v>10015</v>
      </c>
      <c r="AN201" s="25">
        <v>0</v>
      </c>
      <c r="AO201" s="49" t="s"/>
      <c r="AP201" s="50">
        <v>50</v>
      </c>
      <c r="AQ201" s="51" t="s">
        <v>1256</v>
      </c>
      <c r="AR201" s="51">
        <f>=F201*247.95</f>
        <v>400439.25</v>
      </c>
      <c r="AS201" s="51">
        <f>=G201*32.6061</f>
        <v>1760.7294</v>
      </c>
      <c r="AT201" s="51">
        <f>=J201*2.35</f>
        <v>2115</v>
      </c>
      <c r="AU201" s="47">
        <f>=H201*15.88</f>
        <v>571.68</v>
      </c>
    </row>
    <row r="202" spans="1:47">
      <c r="A202" s="24" t="s">
        <v>1515</v>
      </c>
      <c r="B202" s="24">
        <v>11463</v>
      </c>
      <c r="C202" s="24" t="s">
        <v>1516</v>
      </c>
      <c r="D202" s="24" t="s">
        <v>1517</v>
      </c>
      <c r="E202" s="24">
        <v>900011463</v>
      </c>
      <c r="F202" s="24">
        <v>1240</v>
      </c>
      <c r="G202" s="24">
        <v>54</v>
      </c>
      <c r="H202" s="24">
        <v>36</v>
      </c>
      <c r="I202" s="25">
        <v>0.5</v>
      </c>
      <c r="J202" s="24">
        <v>600</v>
      </c>
      <c r="K202" s="24" t="b">
        <v>1</v>
      </c>
      <c r="L202" s="25">
        <v>0</v>
      </c>
      <c r="M202" s="47">
        <v>0</v>
      </c>
      <c r="N202" s="25">
        <v>0.5</v>
      </c>
      <c r="O202" s="47">
        <v>2</v>
      </c>
      <c r="P202" s="25">
        <v>1</v>
      </c>
      <c r="Q202" s="24">
        <v>1</v>
      </c>
      <c r="R202" s="24">
        <v>1</v>
      </c>
      <c r="S202" s="25">
        <v>0</v>
      </c>
      <c r="T202" s="24">
        <v>0</v>
      </c>
      <c r="U202" s="24">
        <v>-0.2</v>
      </c>
      <c r="V202" s="24">
        <v>0</v>
      </c>
      <c r="W202" s="24">
        <v>0</v>
      </c>
      <c r="X202" s="24">
        <v>0</v>
      </c>
      <c r="Y202" s="24">
        <v>0</v>
      </c>
      <c r="Z202" s="24">
        <v>-0.2</v>
      </c>
      <c r="AA202" s="24">
        <v>0</v>
      </c>
      <c r="AB202" s="24">
        <v>0</v>
      </c>
      <c r="AC202" s="24">
        <v>0</v>
      </c>
      <c r="AD202" s="24">
        <v>0</v>
      </c>
      <c r="AE202" s="24">
        <v>-0.2</v>
      </c>
      <c r="AF202" s="24">
        <v>0</v>
      </c>
      <c r="AG202" s="24">
        <v>0</v>
      </c>
      <c r="AH202" s="24">
        <v>0</v>
      </c>
      <c r="AI202" s="48">
        <v>10001</v>
      </c>
      <c r="AJ202" s="48">
        <v>10012</v>
      </c>
      <c r="AK202" s="48">
        <v>10003</v>
      </c>
      <c r="AL202" s="48">
        <v>10004</v>
      </c>
      <c r="AM202" s="48">
        <v>10005</v>
      </c>
      <c r="AN202" s="25">
        <v>0</v>
      </c>
      <c r="AO202" s="49" t="s"/>
      <c r="AP202" s="50">
        <v>50</v>
      </c>
      <c r="AQ202" s="51" t="s">
        <v>1219</v>
      </c>
      <c r="AR202" s="51">
        <f>=F202*247.95</f>
        <v>307458</v>
      </c>
      <c r="AS202" s="51">
        <f>=G202*32.6061</f>
        <v>1760.7294</v>
      </c>
      <c r="AT202" s="51">
        <f>=J202*2.35</f>
        <v>1410</v>
      </c>
      <c r="AU202" s="47">
        <f>=H202*15.88</f>
        <v>571.68</v>
      </c>
    </row>
    <row r="203" spans="1:47">
      <c r="A203" s="24" t="s">
        <v>1515</v>
      </c>
      <c r="B203" s="24">
        <v>11464</v>
      </c>
      <c r="C203" s="24" t="s">
        <v>1516</v>
      </c>
      <c r="D203" s="24" t="s">
        <v>1517</v>
      </c>
      <c r="E203" s="24">
        <v>900011464</v>
      </c>
      <c r="F203" s="24">
        <v>1615</v>
      </c>
      <c r="G203" s="24">
        <v>54</v>
      </c>
      <c r="H203" s="24">
        <v>36</v>
      </c>
      <c r="I203" s="25">
        <v>0.5</v>
      </c>
      <c r="J203" s="24">
        <v>900</v>
      </c>
      <c r="K203" s="24" t="b">
        <v>1</v>
      </c>
      <c r="L203" s="25">
        <v>0</v>
      </c>
      <c r="M203" s="47">
        <v>0</v>
      </c>
      <c r="N203" s="25">
        <v>0.5</v>
      </c>
      <c r="O203" s="47">
        <v>2</v>
      </c>
      <c r="P203" s="25">
        <v>1</v>
      </c>
      <c r="Q203" s="24">
        <v>1</v>
      </c>
      <c r="R203" s="24">
        <v>1</v>
      </c>
      <c r="S203" s="25">
        <v>0</v>
      </c>
      <c r="T203" s="24">
        <v>0</v>
      </c>
      <c r="U203" s="24">
        <v>-0.2</v>
      </c>
      <c r="V203" s="24">
        <v>0</v>
      </c>
      <c r="W203" s="24">
        <v>0</v>
      </c>
      <c r="X203" s="24">
        <v>0</v>
      </c>
      <c r="Y203" s="24">
        <v>0</v>
      </c>
      <c r="Z203" s="24">
        <v>-0.2</v>
      </c>
      <c r="AA203" s="24">
        <v>0</v>
      </c>
      <c r="AB203" s="24">
        <v>0</v>
      </c>
      <c r="AC203" s="24">
        <v>0</v>
      </c>
      <c r="AD203" s="24">
        <v>0</v>
      </c>
      <c r="AE203" s="24">
        <v>-0.2</v>
      </c>
      <c r="AF203" s="24">
        <v>0</v>
      </c>
      <c r="AG203" s="24">
        <v>0</v>
      </c>
      <c r="AH203" s="24">
        <v>0</v>
      </c>
      <c r="AI203" s="48">
        <v>10001</v>
      </c>
      <c r="AJ203" s="48">
        <v>10012</v>
      </c>
      <c r="AK203" s="48">
        <v>10003</v>
      </c>
      <c r="AL203" s="48">
        <v>10004</v>
      </c>
      <c r="AM203" s="48">
        <v>10005</v>
      </c>
      <c r="AN203" s="25">
        <v>0</v>
      </c>
      <c r="AO203" s="49" t="s"/>
      <c r="AP203" s="50">
        <v>50</v>
      </c>
      <c r="AQ203" s="51" t="s">
        <v>1220</v>
      </c>
      <c r="AR203" s="51">
        <f>=F203*247.95</f>
        <v>400439.25</v>
      </c>
      <c r="AS203" s="51">
        <f>=G203*32.6061</f>
        <v>1760.7294</v>
      </c>
      <c r="AT203" s="51">
        <f>=J203*2.35</f>
        <v>2115</v>
      </c>
      <c r="AU203" s="47">
        <f>=H203*15.88</f>
        <v>571.68</v>
      </c>
    </row>
    <row r="204" spans="1:47">
      <c r="A204" s="24" t="s">
        <v>1518</v>
      </c>
      <c r="B204" s="24">
        <v>11471</v>
      </c>
      <c r="C204" s="24" t="s">
        <v>1519</v>
      </c>
      <c r="D204" s="24" t="s">
        <v>1520</v>
      </c>
      <c r="E204" s="24">
        <v>900011471</v>
      </c>
      <c r="F204" s="24">
        <v>1123</v>
      </c>
      <c r="G204" s="24">
        <v>66</v>
      </c>
      <c r="H204" s="24">
        <v>40</v>
      </c>
      <c r="I204" s="25">
        <v>0.5</v>
      </c>
      <c r="J204" s="24">
        <v>600</v>
      </c>
      <c r="K204" s="24" t="b">
        <v>1</v>
      </c>
      <c r="L204" s="25">
        <v>0.05</v>
      </c>
      <c r="M204" s="47">
        <v>0</v>
      </c>
      <c r="N204" s="25">
        <v>0.1538</v>
      </c>
      <c r="O204" s="47">
        <v>6.501951</v>
      </c>
      <c r="P204" s="25">
        <v>0.5</v>
      </c>
      <c r="Q204" s="24">
        <v>1</v>
      </c>
      <c r="R204" s="24">
        <v>1</v>
      </c>
      <c r="S204" s="25">
        <v>0</v>
      </c>
      <c r="T204" s="24">
        <v>-0.2</v>
      </c>
      <c r="U204" s="24">
        <v>0</v>
      </c>
      <c r="V204" s="24">
        <v>0</v>
      </c>
      <c r="W204" s="24">
        <v>0</v>
      </c>
      <c r="X204" s="24">
        <v>-0.2</v>
      </c>
      <c r="Y204" s="24">
        <v>-0.2</v>
      </c>
      <c r="Z204" s="24">
        <v>0</v>
      </c>
      <c r="AA204" s="24">
        <v>0</v>
      </c>
      <c r="AB204" s="24">
        <v>0</v>
      </c>
      <c r="AC204" s="24">
        <v>-0.2</v>
      </c>
      <c r="AD204" s="24">
        <v>-0.2</v>
      </c>
      <c r="AE204" s="24">
        <v>0</v>
      </c>
      <c r="AF204" s="24">
        <v>0</v>
      </c>
      <c r="AG204" s="24">
        <v>0</v>
      </c>
      <c r="AH204" s="24">
        <v>-0.2</v>
      </c>
      <c r="AI204" s="48">
        <v>10001</v>
      </c>
      <c r="AJ204" s="48">
        <v>10002</v>
      </c>
      <c r="AK204" s="48">
        <v>10003</v>
      </c>
      <c r="AL204" s="48">
        <v>10004</v>
      </c>
      <c r="AM204" s="48">
        <v>10015</v>
      </c>
      <c r="AN204" s="25">
        <v>0</v>
      </c>
      <c r="AO204" s="49" t="s"/>
      <c r="AP204" s="50">
        <v>50</v>
      </c>
      <c r="AQ204" s="51" t="s">
        <v>1255</v>
      </c>
      <c r="AR204" s="51">
        <f>=F204*247.95</f>
        <v>278447.85</v>
      </c>
      <c r="AS204" s="51">
        <f>=G204*32.6061</f>
        <v>2152.0026</v>
      </c>
      <c r="AT204" s="51">
        <f>=J204*2.35</f>
        <v>1410</v>
      </c>
      <c r="AU204" s="47">
        <f>=H204*15.88</f>
        <v>635.2</v>
      </c>
    </row>
    <row r="205" spans="1:47">
      <c r="A205" s="24" t="s">
        <v>1518</v>
      </c>
      <c r="B205" s="24">
        <v>11472</v>
      </c>
      <c r="C205" s="24" t="s">
        <v>1519</v>
      </c>
      <c r="D205" s="24" t="s">
        <v>1520</v>
      </c>
      <c r="E205" s="24">
        <v>900011472</v>
      </c>
      <c r="F205" s="24">
        <v>1373</v>
      </c>
      <c r="G205" s="24">
        <v>66</v>
      </c>
      <c r="H205" s="24">
        <v>40</v>
      </c>
      <c r="I205" s="25">
        <v>0.5</v>
      </c>
      <c r="J205" s="24">
        <v>900</v>
      </c>
      <c r="K205" s="24" t="b">
        <v>1</v>
      </c>
      <c r="L205" s="25">
        <v>0.05</v>
      </c>
      <c r="M205" s="47">
        <v>0</v>
      </c>
      <c r="N205" s="25">
        <v>0.1538</v>
      </c>
      <c r="O205" s="47">
        <v>6.501951</v>
      </c>
      <c r="P205" s="25">
        <v>0.5</v>
      </c>
      <c r="Q205" s="24">
        <v>1</v>
      </c>
      <c r="R205" s="24">
        <v>1</v>
      </c>
      <c r="S205" s="25">
        <v>0</v>
      </c>
      <c r="T205" s="24">
        <v>-0.2</v>
      </c>
      <c r="U205" s="24">
        <v>0</v>
      </c>
      <c r="V205" s="24">
        <v>0</v>
      </c>
      <c r="W205" s="24">
        <v>0</v>
      </c>
      <c r="X205" s="24">
        <v>-0.2</v>
      </c>
      <c r="Y205" s="24">
        <v>-0.2</v>
      </c>
      <c r="Z205" s="24">
        <v>0</v>
      </c>
      <c r="AA205" s="24">
        <v>0</v>
      </c>
      <c r="AB205" s="24">
        <v>0</v>
      </c>
      <c r="AC205" s="24">
        <v>-0.2</v>
      </c>
      <c r="AD205" s="24">
        <v>-0.2</v>
      </c>
      <c r="AE205" s="24">
        <v>0</v>
      </c>
      <c r="AF205" s="24">
        <v>0</v>
      </c>
      <c r="AG205" s="24">
        <v>0</v>
      </c>
      <c r="AH205" s="24">
        <v>-0.2</v>
      </c>
      <c r="AI205" s="48">
        <v>10001</v>
      </c>
      <c r="AJ205" s="48">
        <v>10002</v>
      </c>
      <c r="AK205" s="48">
        <v>10003</v>
      </c>
      <c r="AL205" s="48">
        <v>10004</v>
      </c>
      <c r="AM205" s="48">
        <v>10015</v>
      </c>
      <c r="AN205" s="25">
        <v>0</v>
      </c>
      <c r="AO205" s="49" t="s"/>
      <c r="AP205" s="50">
        <v>50</v>
      </c>
      <c r="AQ205" s="51" t="s">
        <v>1256</v>
      </c>
      <c r="AR205" s="51">
        <f>=F205*247.95</f>
        <v>340435.35</v>
      </c>
      <c r="AS205" s="51">
        <f>=G205*32.6061</f>
        <v>2152.0026</v>
      </c>
      <c r="AT205" s="51">
        <f>=J205*2.35</f>
        <v>2115</v>
      </c>
      <c r="AU205" s="47">
        <f>=H205*15.88</f>
        <v>635.2</v>
      </c>
    </row>
    <row r="206" spans="1:47">
      <c r="A206" s="24" t="s">
        <v>1521</v>
      </c>
      <c r="B206" s="24">
        <v>11473</v>
      </c>
      <c r="C206" s="24" t="s">
        <v>1522</v>
      </c>
      <c r="D206" s="24" t="s">
        <v>1523</v>
      </c>
      <c r="E206" s="24">
        <v>900011473</v>
      </c>
      <c r="F206" s="24">
        <v>1123</v>
      </c>
      <c r="G206" s="24">
        <v>66</v>
      </c>
      <c r="H206" s="24">
        <v>40</v>
      </c>
      <c r="I206" s="25">
        <v>0.5</v>
      </c>
      <c r="J206" s="24">
        <v>600</v>
      </c>
      <c r="K206" s="24" t="b">
        <v>1</v>
      </c>
      <c r="L206" s="25">
        <v>0.05</v>
      </c>
      <c r="M206" s="47">
        <v>0</v>
      </c>
      <c r="N206" s="25">
        <v>0.1538</v>
      </c>
      <c r="O206" s="47">
        <v>6.501951</v>
      </c>
      <c r="P206" s="25">
        <v>0.5</v>
      </c>
      <c r="Q206" s="24">
        <v>1</v>
      </c>
      <c r="R206" s="24">
        <v>1</v>
      </c>
      <c r="S206" s="25">
        <v>0</v>
      </c>
      <c r="T206" s="24">
        <v>0</v>
      </c>
      <c r="U206" s="24">
        <v>-0.2</v>
      </c>
      <c r="V206" s="24">
        <v>0</v>
      </c>
      <c r="W206" s="24">
        <v>0</v>
      </c>
      <c r="X206" s="24">
        <v>0</v>
      </c>
      <c r="Y206" s="24">
        <v>0</v>
      </c>
      <c r="Z206" s="24">
        <v>-0.2</v>
      </c>
      <c r="AA206" s="24">
        <v>0</v>
      </c>
      <c r="AB206" s="24">
        <v>0</v>
      </c>
      <c r="AC206" s="24">
        <v>0</v>
      </c>
      <c r="AD206" s="24">
        <v>0</v>
      </c>
      <c r="AE206" s="24">
        <v>-0.2</v>
      </c>
      <c r="AF206" s="24">
        <v>0</v>
      </c>
      <c r="AG206" s="24">
        <v>0</v>
      </c>
      <c r="AH206" s="24">
        <v>0</v>
      </c>
      <c r="AI206" s="48">
        <v>10001</v>
      </c>
      <c r="AJ206" s="48">
        <v>10012</v>
      </c>
      <c r="AK206" s="48">
        <v>10003</v>
      </c>
      <c r="AL206" s="48">
        <v>10004</v>
      </c>
      <c r="AM206" s="48">
        <v>10005</v>
      </c>
      <c r="AN206" s="25">
        <v>0</v>
      </c>
      <c r="AO206" s="49" t="s"/>
      <c r="AP206" s="50">
        <v>50</v>
      </c>
      <c r="AQ206" s="51" t="s">
        <v>1219</v>
      </c>
      <c r="AR206" s="51">
        <f>=F206*247.95</f>
        <v>278447.85</v>
      </c>
      <c r="AS206" s="51">
        <f>=G206*32.6061</f>
        <v>2152.0026</v>
      </c>
      <c r="AT206" s="51">
        <f>=J206*2.35</f>
        <v>1410</v>
      </c>
      <c r="AU206" s="47">
        <f>=H206*15.88</f>
        <v>635.2</v>
      </c>
    </row>
    <row r="207" spans="1:47">
      <c r="A207" s="24" t="s">
        <v>1521</v>
      </c>
      <c r="B207" s="24">
        <v>11474</v>
      </c>
      <c r="C207" s="24" t="s">
        <v>1522</v>
      </c>
      <c r="D207" s="24" t="s">
        <v>1523</v>
      </c>
      <c r="E207" s="24">
        <v>900011474</v>
      </c>
      <c r="F207" s="24">
        <v>1373</v>
      </c>
      <c r="G207" s="24">
        <v>66</v>
      </c>
      <c r="H207" s="24">
        <v>40</v>
      </c>
      <c r="I207" s="25">
        <v>0.5</v>
      </c>
      <c r="J207" s="24">
        <v>900</v>
      </c>
      <c r="K207" s="24" t="b">
        <v>1</v>
      </c>
      <c r="L207" s="25">
        <v>0.05</v>
      </c>
      <c r="M207" s="47">
        <v>0</v>
      </c>
      <c r="N207" s="25">
        <v>0.1538</v>
      </c>
      <c r="O207" s="47">
        <v>6.501951</v>
      </c>
      <c r="P207" s="25">
        <v>0.5</v>
      </c>
      <c r="Q207" s="24">
        <v>1</v>
      </c>
      <c r="R207" s="24">
        <v>1</v>
      </c>
      <c r="S207" s="25">
        <v>0</v>
      </c>
      <c r="T207" s="24">
        <v>0</v>
      </c>
      <c r="U207" s="24">
        <v>-0.2</v>
      </c>
      <c r="V207" s="24">
        <v>0</v>
      </c>
      <c r="W207" s="24">
        <v>0</v>
      </c>
      <c r="X207" s="24">
        <v>0</v>
      </c>
      <c r="Y207" s="24">
        <v>0</v>
      </c>
      <c r="Z207" s="24">
        <v>-0.2</v>
      </c>
      <c r="AA207" s="24">
        <v>0</v>
      </c>
      <c r="AB207" s="24">
        <v>0</v>
      </c>
      <c r="AC207" s="24">
        <v>0</v>
      </c>
      <c r="AD207" s="24">
        <v>0</v>
      </c>
      <c r="AE207" s="24">
        <v>-0.2</v>
      </c>
      <c r="AF207" s="24">
        <v>0</v>
      </c>
      <c r="AG207" s="24">
        <v>0</v>
      </c>
      <c r="AH207" s="24">
        <v>0</v>
      </c>
      <c r="AI207" s="48">
        <v>10001</v>
      </c>
      <c r="AJ207" s="48">
        <v>10012</v>
      </c>
      <c r="AK207" s="48">
        <v>10003</v>
      </c>
      <c r="AL207" s="48">
        <v>10004</v>
      </c>
      <c r="AM207" s="48">
        <v>10005</v>
      </c>
      <c r="AN207" s="25">
        <v>0</v>
      </c>
      <c r="AO207" s="49" t="s"/>
      <c r="AP207" s="50">
        <v>50</v>
      </c>
      <c r="AQ207" s="51" t="s">
        <v>1220</v>
      </c>
      <c r="AR207" s="51">
        <f>=F207*247.95</f>
        <v>340435.35</v>
      </c>
      <c r="AS207" s="51">
        <f>=G207*32.6061</f>
        <v>2152.0026</v>
      </c>
      <c r="AT207" s="51">
        <f>=J207*2.35</f>
        <v>2115</v>
      </c>
      <c r="AU207" s="47">
        <f>=H207*15.88</f>
        <v>635.2</v>
      </c>
    </row>
    <row r="208" spans="1:47">
      <c r="A208" s="24" t="s">
        <v>1524</v>
      </c>
      <c r="B208" s="24">
        <v>11481</v>
      </c>
      <c r="C208" s="24" t="s">
        <v>1525</v>
      </c>
      <c r="D208" s="24" t="s">
        <v>1526</v>
      </c>
      <c r="E208" s="24">
        <v>900011481</v>
      </c>
      <c r="F208" s="24">
        <v>1123</v>
      </c>
      <c r="G208" s="24">
        <v>54</v>
      </c>
      <c r="H208" s="24">
        <v>40</v>
      </c>
      <c r="I208" s="25">
        <v>0.5</v>
      </c>
      <c r="J208" s="24">
        <v>600</v>
      </c>
      <c r="K208" s="24" t="b">
        <v>1</v>
      </c>
      <c r="L208" s="25">
        <v>0</v>
      </c>
      <c r="M208" s="47">
        <v>0</v>
      </c>
      <c r="N208" s="25">
        <v>0.1538</v>
      </c>
      <c r="O208" s="47">
        <v>6.501951</v>
      </c>
      <c r="P208" s="25">
        <v>0.5</v>
      </c>
      <c r="Q208" s="24">
        <v>1</v>
      </c>
      <c r="R208" s="24">
        <v>1</v>
      </c>
      <c r="S208" s="25">
        <v>0</v>
      </c>
      <c r="T208" s="24">
        <v>0</v>
      </c>
      <c r="U208" s="24">
        <v>-0.2</v>
      </c>
      <c r="V208" s="24">
        <v>0</v>
      </c>
      <c r="W208" s="24">
        <v>0</v>
      </c>
      <c r="X208" s="24">
        <v>0</v>
      </c>
      <c r="Y208" s="24">
        <v>0</v>
      </c>
      <c r="Z208" s="24">
        <v>-0.2</v>
      </c>
      <c r="AA208" s="24">
        <v>0</v>
      </c>
      <c r="AB208" s="24">
        <v>0</v>
      </c>
      <c r="AC208" s="24">
        <v>0</v>
      </c>
      <c r="AD208" s="24">
        <v>0</v>
      </c>
      <c r="AE208" s="24">
        <v>-0.2</v>
      </c>
      <c r="AF208" s="24">
        <v>0</v>
      </c>
      <c r="AG208" s="24">
        <v>0</v>
      </c>
      <c r="AH208" s="24">
        <v>0</v>
      </c>
      <c r="AI208" s="48">
        <v>10001</v>
      </c>
      <c r="AJ208" s="48">
        <v>10012</v>
      </c>
      <c r="AK208" s="48">
        <v>10003</v>
      </c>
      <c r="AL208" s="48">
        <v>10004</v>
      </c>
      <c r="AM208" s="48">
        <v>10005</v>
      </c>
      <c r="AN208" s="25">
        <v>0</v>
      </c>
      <c r="AO208" s="49" t="s"/>
      <c r="AP208" s="50">
        <v>50</v>
      </c>
      <c r="AQ208" s="51" t="s">
        <v>1450</v>
      </c>
      <c r="AR208" s="51">
        <f>=F208*247.95</f>
        <v>278447.85</v>
      </c>
      <c r="AS208" s="51">
        <f>=G208*32.6061</f>
        <v>1760.7294</v>
      </c>
      <c r="AT208" s="51">
        <f>=J208*2.35</f>
        <v>1410</v>
      </c>
      <c r="AU208" s="47">
        <f>=H208*15.88</f>
        <v>635.2</v>
      </c>
    </row>
    <row r="209" spans="1:47">
      <c r="A209" s="24" t="s">
        <v>1524</v>
      </c>
      <c r="B209" s="24">
        <v>11482</v>
      </c>
      <c r="C209" s="24" t="s">
        <v>1525</v>
      </c>
      <c r="D209" s="24" t="s">
        <v>1526</v>
      </c>
      <c r="E209" s="24">
        <v>900011482</v>
      </c>
      <c r="F209" s="24">
        <v>1373</v>
      </c>
      <c r="G209" s="24">
        <v>54</v>
      </c>
      <c r="H209" s="24">
        <v>40</v>
      </c>
      <c r="I209" s="25">
        <v>0.5</v>
      </c>
      <c r="J209" s="24">
        <v>900</v>
      </c>
      <c r="K209" s="24" t="b">
        <v>1</v>
      </c>
      <c r="L209" s="25">
        <v>0</v>
      </c>
      <c r="M209" s="47">
        <v>0</v>
      </c>
      <c r="N209" s="25">
        <v>0.1538</v>
      </c>
      <c r="O209" s="47">
        <v>6.501951</v>
      </c>
      <c r="P209" s="25">
        <v>0.5</v>
      </c>
      <c r="Q209" s="24">
        <v>1</v>
      </c>
      <c r="R209" s="24">
        <v>1</v>
      </c>
      <c r="S209" s="25">
        <v>0</v>
      </c>
      <c r="T209" s="24">
        <v>0</v>
      </c>
      <c r="U209" s="24">
        <v>-0.2</v>
      </c>
      <c r="V209" s="24">
        <v>0</v>
      </c>
      <c r="W209" s="24">
        <v>0</v>
      </c>
      <c r="X209" s="24">
        <v>0</v>
      </c>
      <c r="Y209" s="24">
        <v>0</v>
      </c>
      <c r="Z209" s="24">
        <v>-0.2</v>
      </c>
      <c r="AA209" s="24">
        <v>0</v>
      </c>
      <c r="AB209" s="24">
        <v>0</v>
      </c>
      <c r="AC209" s="24">
        <v>0</v>
      </c>
      <c r="AD209" s="24">
        <v>0</v>
      </c>
      <c r="AE209" s="24">
        <v>-0.2</v>
      </c>
      <c r="AF209" s="24">
        <v>0</v>
      </c>
      <c r="AG209" s="24">
        <v>0</v>
      </c>
      <c r="AH209" s="24">
        <v>0</v>
      </c>
      <c r="AI209" s="48">
        <v>10001</v>
      </c>
      <c r="AJ209" s="48">
        <v>10012</v>
      </c>
      <c r="AK209" s="48">
        <v>10003</v>
      </c>
      <c r="AL209" s="48">
        <v>10004</v>
      </c>
      <c r="AM209" s="48">
        <v>10005</v>
      </c>
      <c r="AN209" s="25">
        <v>0</v>
      </c>
      <c r="AO209" s="49" t="s"/>
      <c r="AP209" s="50">
        <v>50</v>
      </c>
      <c r="AQ209" s="51" t="s">
        <v>1451</v>
      </c>
      <c r="AR209" s="51">
        <f>=F209*247.95</f>
        <v>340435.35</v>
      </c>
      <c r="AS209" s="51">
        <f>=G209*32.6061</f>
        <v>1760.7294</v>
      </c>
      <c r="AT209" s="51">
        <f>=J209*2.35</f>
        <v>2115</v>
      </c>
      <c r="AU209" s="47">
        <f>=H209*15.88</f>
        <v>635.2</v>
      </c>
    </row>
    <row r="210" spans="1:47">
      <c r="A210" s="24" t="s">
        <v>1527</v>
      </c>
      <c r="B210" s="24">
        <v>11491</v>
      </c>
      <c r="C210" s="24" t="s">
        <v>1528</v>
      </c>
      <c r="D210" s="24" t="s">
        <v>1529</v>
      </c>
      <c r="E210" s="24">
        <v>900011491</v>
      </c>
      <c r="F210" s="24">
        <v>1123</v>
      </c>
      <c r="G210" s="24">
        <v>66</v>
      </c>
      <c r="H210" s="24">
        <v>40</v>
      </c>
      <c r="I210" s="25">
        <v>0.5</v>
      </c>
      <c r="J210" s="24">
        <v>600</v>
      </c>
      <c r="K210" s="24" t="b">
        <v>1</v>
      </c>
      <c r="L210" s="25">
        <v>0.05</v>
      </c>
      <c r="M210" s="47">
        <v>0</v>
      </c>
      <c r="N210" s="25">
        <v>0.1538</v>
      </c>
      <c r="O210" s="47">
        <v>6.501951</v>
      </c>
      <c r="P210" s="25">
        <v>0.5</v>
      </c>
      <c r="Q210" s="24">
        <v>1</v>
      </c>
      <c r="R210" s="24">
        <v>1</v>
      </c>
      <c r="S210" s="25">
        <v>0</v>
      </c>
      <c r="T210" s="24">
        <v>0</v>
      </c>
      <c r="U210" s="24">
        <v>-0.2</v>
      </c>
      <c r="V210" s="24">
        <v>0</v>
      </c>
      <c r="W210" s="24">
        <v>0</v>
      </c>
      <c r="X210" s="24">
        <v>0</v>
      </c>
      <c r="Y210" s="24">
        <v>0</v>
      </c>
      <c r="Z210" s="24">
        <v>-0.2</v>
      </c>
      <c r="AA210" s="24">
        <v>0</v>
      </c>
      <c r="AB210" s="24">
        <v>0</v>
      </c>
      <c r="AC210" s="24">
        <v>0</v>
      </c>
      <c r="AD210" s="24">
        <v>0</v>
      </c>
      <c r="AE210" s="24">
        <v>-0.2</v>
      </c>
      <c r="AF210" s="24">
        <v>0</v>
      </c>
      <c r="AG210" s="24">
        <v>0</v>
      </c>
      <c r="AH210" s="24">
        <v>0</v>
      </c>
      <c r="AI210" s="48">
        <v>10001</v>
      </c>
      <c r="AJ210" s="48">
        <v>10012</v>
      </c>
      <c r="AK210" s="48">
        <v>10003</v>
      </c>
      <c r="AL210" s="48">
        <v>10004</v>
      </c>
      <c r="AM210" s="48">
        <v>10005</v>
      </c>
      <c r="AN210" s="25">
        <v>0</v>
      </c>
      <c r="AO210" s="49" t="s"/>
      <c r="AP210" s="50">
        <v>50</v>
      </c>
      <c r="AQ210" s="51" t="s">
        <v>1450</v>
      </c>
      <c r="AR210" s="51">
        <f>=F210*247.95</f>
        <v>278447.85</v>
      </c>
      <c r="AS210" s="51">
        <f>=G210*32.6061</f>
        <v>2152.0026</v>
      </c>
      <c r="AT210" s="51">
        <f>=J210*2.35</f>
        <v>1410</v>
      </c>
      <c r="AU210" s="47">
        <f>=H210*15.88</f>
        <v>635.2</v>
      </c>
    </row>
    <row r="211" spans="1:47">
      <c r="A211" s="24" t="s">
        <v>1527</v>
      </c>
      <c r="B211" s="24">
        <v>11492</v>
      </c>
      <c r="C211" s="24" t="s">
        <v>1528</v>
      </c>
      <c r="D211" s="24" t="s">
        <v>1529</v>
      </c>
      <c r="E211" s="24">
        <v>900011492</v>
      </c>
      <c r="F211" s="24">
        <v>1373</v>
      </c>
      <c r="G211" s="24">
        <v>66</v>
      </c>
      <c r="H211" s="24">
        <v>40</v>
      </c>
      <c r="I211" s="25">
        <v>0.5</v>
      </c>
      <c r="J211" s="24">
        <v>900</v>
      </c>
      <c r="K211" s="24" t="b">
        <v>1</v>
      </c>
      <c r="L211" s="25">
        <v>0.05</v>
      </c>
      <c r="M211" s="47">
        <v>0</v>
      </c>
      <c r="N211" s="25">
        <v>0.1538</v>
      </c>
      <c r="O211" s="47">
        <v>6.501951</v>
      </c>
      <c r="P211" s="25">
        <v>0.5</v>
      </c>
      <c r="Q211" s="24">
        <v>1</v>
      </c>
      <c r="R211" s="24">
        <v>1</v>
      </c>
      <c r="S211" s="25">
        <v>0</v>
      </c>
      <c r="T211" s="24">
        <v>0</v>
      </c>
      <c r="U211" s="24">
        <v>-0.2</v>
      </c>
      <c r="V211" s="24">
        <v>0</v>
      </c>
      <c r="W211" s="24">
        <v>0</v>
      </c>
      <c r="X211" s="24">
        <v>0</v>
      </c>
      <c r="Y211" s="24">
        <v>0</v>
      </c>
      <c r="Z211" s="24">
        <v>-0.2</v>
      </c>
      <c r="AA211" s="24">
        <v>0</v>
      </c>
      <c r="AB211" s="24">
        <v>0</v>
      </c>
      <c r="AC211" s="24">
        <v>0</v>
      </c>
      <c r="AD211" s="24">
        <v>0</v>
      </c>
      <c r="AE211" s="24">
        <v>-0.2</v>
      </c>
      <c r="AF211" s="24">
        <v>0</v>
      </c>
      <c r="AG211" s="24">
        <v>0</v>
      </c>
      <c r="AH211" s="24">
        <v>0</v>
      </c>
      <c r="AI211" s="48">
        <v>10001</v>
      </c>
      <c r="AJ211" s="48">
        <v>10012</v>
      </c>
      <c r="AK211" s="48">
        <v>10003</v>
      </c>
      <c r="AL211" s="48">
        <v>10004</v>
      </c>
      <c r="AM211" s="48">
        <v>10005</v>
      </c>
      <c r="AN211" s="25">
        <v>0</v>
      </c>
      <c r="AO211" s="49" t="s"/>
      <c r="AP211" s="50">
        <v>50</v>
      </c>
      <c r="AQ211" s="51" t="s">
        <v>1451</v>
      </c>
      <c r="AR211" s="51">
        <f>=F211*247.95</f>
        <v>340435.35</v>
      </c>
      <c r="AS211" s="51">
        <f>=G211*32.6061</f>
        <v>2152.0026</v>
      </c>
      <c r="AT211" s="51">
        <f>=J211*2.35</f>
        <v>2115</v>
      </c>
      <c r="AU211" s="47">
        <f>=H211*15.88</f>
        <v>635.2</v>
      </c>
    </row>
    <row r="212" spans="1:47">
      <c r="A212" s="24" t="s">
        <v>1530</v>
      </c>
      <c r="B212" s="24">
        <v>11501</v>
      </c>
      <c r="C212" s="24" t="s">
        <v>1531</v>
      </c>
      <c r="D212" s="24" t="s">
        <v>1532</v>
      </c>
      <c r="E212" s="24">
        <v>900011501</v>
      </c>
      <c r="F212" s="24">
        <v>6083</v>
      </c>
      <c r="G212" s="24">
        <v>92</v>
      </c>
      <c r="H212" s="24">
        <v>50</v>
      </c>
      <c r="I212" s="25">
        <v>0.5</v>
      </c>
      <c r="J212" s="24">
        <v>2668</v>
      </c>
      <c r="K212" s="24" t="b">
        <v>1</v>
      </c>
      <c r="L212" s="25">
        <v>0</v>
      </c>
      <c r="M212" s="47">
        <v>0</v>
      </c>
      <c r="N212" s="25">
        <v>0.1</v>
      </c>
      <c r="O212" s="47">
        <v>10</v>
      </c>
      <c r="P212" s="25">
        <v>0.5</v>
      </c>
      <c r="Q212" s="24">
        <v>2</v>
      </c>
      <c r="R212" s="24">
        <v>3</v>
      </c>
      <c r="S212" s="25">
        <v>0.5</v>
      </c>
      <c r="T212" s="24">
        <v>0</v>
      </c>
      <c r="U212" s="24">
        <v>-0.2</v>
      </c>
      <c r="V212" s="24">
        <v>0.2</v>
      </c>
      <c r="W212" s="24">
        <v>0</v>
      </c>
      <c r="X212" s="24">
        <v>0</v>
      </c>
      <c r="Y212" s="24">
        <v>0</v>
      </c>
      <c r="Z212" s="24">
        <v>-0.2</v>
      </c>
      <c r="AA212" s="24">
        <v>0.2</v>
      </c>
      <c r="AB212" s="24">
        <v>0</v>
      </c>
      <c r="AC212" s="24">
        <v>0</v>
      </c>
      <c r="AD212" s="24">
        <v>0</v>
      </c>
      <c r="AE212" s="24">
        <v>-0.2</v>
      </c>
      <c r="AF212" s="24">
        <v>0.2</v>
      </c>
      <c r="AG212" s="24">
        <v>0</v>
      </c>
      <c r="AH212" s="24">
        <v>0</v>
      </c>
      <c r="AI212" s="48">
        <v>20001</v>
      </c>
      <c r="AJ212" s="48">
        <v>20012</v>
      </c>
      <c r="AK212" s="48">
        <v>20003</v>
      </c>
      <c r="AL212" s="48">
        <v>20004</v>
      </c>
      <c r="AM212" s="48">
        <v>20005</v>
      </c>
      <c r="AN212" s="25">
        <v>0</v>
      </c>
      <c r="AO212" s="49">
        <v>3</v>
      </c>
      <c r="AP212" s="50">
        <v>75</v>
      </c>
      <c r="AQ212" s="51" t="s">
        <v>1455</v>
      </c>
      <c r="AR212" s="51">
        <f>=F212*247.95</f>
        <v>1508279.85</v>
      </c>
      <c r="AS212" s="51">
        <f>=G212*32.6061</f>
        <v>2999.7612</v>
      </c>
      <c r="AT212" s="51">
        <f>=J212*2.35</f>
        <v>6269.8</v>
      </c>
      <c r="AU212" s="47">
        <f>=H212*15.88</f>
        <v>794</v>
      </c>
    </row>
    <row r="213" spans="1:47">
      <c r="A213" s="24" t="s">
        <v>1530</v>
      </c>
      <c r="B213" s="24">
        <v>11502</v>
      </c>
      <c r="C213" s="24" t="s">
        <v>1531</v>
      </c>
      <c r="D213" s="24" t="s">
        <v>1532</v>
      </c>
      <c r="E213" s="24">
        <v>900011502</v>
      </c>
      <c r="F213" s="24">
        <v>6301</v>
      </c>
      <c r="G213" s="24">
        <v>106</v>
      </c>
      <c r="H213" s="24">
        <v>50</v>
      </c>
      <c r="I213" s="25">
        <v>0.5</v>
      </c>
      <c r="J213" s="24">
        <v>3026</v>
      </c>
      <c r="K213" s="24" t="b">
        <v>1</v>
      </c>
      <c r="L213" s="25">
        <v>0</v>
      </c>
      <c r="M213" s="47">
        <v>0</v>
      </c>
      <c r="N213" s="25">
        <v>0.1</v>
      </c>
      <c r="O213" s="47">
        <v>10</v>
      </c>
      <c r="P213" s="25">
        <v>0.5</v>
      </c>
      <c r="Q213" s="24">
        <v>2</v>
      </c>
      <c r="R213" s="24">
        <v>5</v>
      </c>
      <c r="S213" s="25">
        <v>0.5</v>
      </c>
      <c r="T213" s="24">
        <v>0</v>
      </c>
      <c r="U213" s="24">
        <v>-0.2</v>
      </c>
      <c r="V213" s="24">
        <v>0.2</v>
      </c>
      <c r="W213" s="24">
        <v>0</v>
      </c>
      <c r="X213" s="24">
        <v>0</v>
      </c>
      <c r="Y213" s="24">
        <v>0</v>
      </c>
      <c r="Z213" s="24">
        <v>-0.2</v>
      </c>
      <c r="AA213" s="24">
        <v>0.2</v>
      </c>
      <c r="AB213" s="24">
        <v>0</v>
      </c>
      <c r="AC213" s="24">
        <v>0</v>
      </c>
      <c r="AD213" s="24">
        <v>0</v>
      </c>
      <c r="AE213" s="24">
        <v>-0.2</v>
      </c>
      <c r="AF213" s="24">
        <v>0.2</v>
      </c>
      <c r="AG213" s="24">
        <v>0</v>
      </c>
      <c r="AH213" s="24">
        <v>0</v>
      </c>
      <c r="AI213" s="48">
        <v>20001</v>
      </c>
      <c r="AJ213" s="48">
        <v>20012</v>
      </c>
      <c r="AK213" s="48">
        <v>20003</v>
      </c>
      <c r="AL213" s="48">
        <v>20004</v>
      </c>
      <c r="AM213" s="48">
        <v>20005</v>
      </c>
      <c r="AN213" s="25">
        <v>0</v>
      </c>
      <c r="AO213" s="49">
        <v>3</v>
      </c>
      <c r="AP213" s="50">
        <v>75</v>
      </c>
      <c r="AQ213" s="51" t="s">
        <v>1456</v>
      </c>
      <c r="AR213" s="51">
        <f>=F213*247.95</f>
        <v>1562332.95</v>
      </c>
      <c r="AS213" s="51">
        <f>=G213*32.6061</f>
        <v>3456.2466</v>
      </c>
      <c r="AT213" s="51">
        <f>=J213*2.35</f>
        <v>7111.1</v>
      </c>
      <c r="AU213" s="47">
        <f>=H213*15.88</f>
        <v>794</v>
      </c>
    </row>
    <row r="214" spans="1:47">
      <c r="A214" s="24" t="s">
        <v>1533</v>
      </c>
      <c r="B214" s="24">
        <v>11511</v>
      </c>
      <c r="C214" s="24" t="s">
        <v>1534</v>
      </c>
      <c r="D214" s="24" t="s">
        <v>1535</v>
      </c>
      <c r="E214" s="24">
        <v>900011511</v>
      </c>
      <c r="F214" s="24">
        <v>8835</v>
      </c>
      <c r="G214" s="24">
        <v>88</v>
      </c>
      <c r="H214" s="24">
        <v>50</v>
      </c>
      <c r="I214" s="25">
        <v>0.5</v>
      </c>
      <c r="J214" s="24">
        <v>3502</v>
      </c>
      <c r="K214" s="24" t="b">
        <v>1</v>
      </c>
      <c r="L214" s="25">
        <v>0</v>
      </c>
      <c r="M214" s="47">
        <v>0</v>
      </c>
      <c r="N214" s="25">
        <v>0.1</v>
      </c>
      <c r="O214" s="47">
        <v>10</v>
      </c>
      <c r="P214" s="25">
        <v>1</v>
      </c>
      <c r="Q214" s="24">
        <v>2</v>
      </c>
      <c r="R214" s="24">
        <v>3</v>
      </c>
      <c r="S214" s="25">
        <v>0.5</v>
      </c>
      <c r="T214" s="24">
        <v>0</v>
      </c>
      <c r="U214" s="24">
        <v>-0.2</v>
      </c>
      <c r="V214" s="24">
        <v>0.2</v>
      </c>
      <c r="W214" s="24">
        <v>0</v>
      </c>
      <c r="X214" s="24">
        <v>0</v>
      </c>
      <c r="Y214" s="24">
        <v>0</v>
      </c>
      <c r="Z214" s="24">
        <v>-0.2</v>
      </c>
      <c r="AA214" s="24">
        <v>0.2</v>
      </c>
      <c r="AB214" s="24">
        <v>0</v>
      </c>
      <c r="AC214" s="24">
        <v>0</v>
      </c>
      <c r="AD214" s="24">
        <v>0</v>
      </c>
      <c r="AE214" s="24">
        <v>-0.2</v>
      </c>
      <c r="AF214" s="24">
        <v>0.2</v>
      </c>
      <c r="AG214" s="24">
        <v>0</v>
      </c>
      <c r="AH214" s="24">
        <v>0</v>
      </c>
      <c r="AI214" s="48">
        <v>20001</v>
      </c>
      <c r="AJ214" s="48">
        <v>20012</v>
      </c>
      <c r="AK214" s="48">
        <v>20003</v>
      </c>
      <c r="AL214" s="48">
        <v>20004</v>
      </c>
      <c r="AM214" s="48">
        <v>20005</v>
      </c>
      <c r="AN214" s="25">
        <v>0</v>
      </c>
      <c r="AO214" s="49">
        <v>3</v>
      </c>
      <c r="AP214" s="50">
        <v>75</v>
      </c>
      <c r="AQ214" s="51" t="s">
        <v>1455</v>
      </c>
      <c r="AR214" s="51">
        <f>=F214*247.95</f>
        <v>2190638.25</v>
      </c>
      <c r="AS214" s="51">
        <f>=G214*32.6061</f>
        <v>2869.3368</v>
      </c>
      <c r="AT214" s="51">
        <f>=J214*2.35</f>
        <v>8229.7</v>
      </c>
      <c r="AU214" s="47">
        <f>=H214*15.88</f>
        <v>794</v>
      </c>
    </row>
    <row r="215" spans="1:47">
      <c r="A215" s="24" t="s">
        <v>1533</v>
      </c>
      <c r="B215" s="24">
        <v>11512</v>
      </c>
      <c r="C215" s="24" t="s">
        <v>1534</v>
      </c>
      <c r="D215" s="24" t="s">
        <v>1535</v>
      </c>
      <c r="E215" s="24">
        <v>900011512</v>
      </c>
      <c r="F215" s="24">
        <v>9088</v>
      </c>
      <c r="G215" s="24">
        <v>101</v>
      </c>
      <c r="H215" s="24">
        <v>50</v>
      </c>
      <c r="I215" s="25">
        <v>0.5</v>
      </c>
      <c r="J215" s="24">
        <v>3972</v>
      </c>
      <c r="K215" s="24" t="b">
        <v>1</v>
      </c>
      <c r="L215" s="25">
        <v>0</v>
      </c>
      <c r="M215" s="47">
        <v>0</v>
      </c>
      <c r="N215" s="25">
        <v>0.1</v>
      </c>
      <c r="O215" s="47">
        <v>10</v>
      </c>
      <c r="P215" s="25">
        <v>1</v>
      </c>
      <c r="Q215" s="24">
        <v>2</v>
      </c>
      <c r="R215" s="24">
        <v>5</v>
      </c>
      <c r="S215" s="25">
        <v>0.5</v>
      </c>
      <c r="T215" s="24">
        <v>0</v>
      </c>
      <c r="U215" s="24">
        <v>-0.2</v>
      </c>
      <c r="V215" s="24">
        <v>0.2</v>
      </c>
      <c r="W215" s="24">
        <v>0</v>
      </c>
      <c r="X215" s="24">
        <v>0</v>
      </c>
      <c r="Y215" s="24">
        <v>0</v>
      </c>
      <c r="Z215" s="24">
        <v>-0.2</v>
      </c>
      <c r="AA215" s="24">
        <v>0.2</v>
      </c>
      <c r="AB215" s="24">
        <v>0</v>
      </c>
      <c r="AC215" s="24">
        <v>0</v>
      </c>
      <c r="AD215" s="24">
        <v>0</v>
      </c>
      <c r="AE215" s="24">
        <v>-0.2</v>
      </c>
      <c r="AF215" s="24">
        <v>0.2</v>
      </c>
      <c r="AG215" s="24">
        <v>0</v>
      </c>
      <c r="AH215" s="24">
        <v>0</v>
      </c>
      <c r="AI215" s="48">
        <v>20001</v>
      </c>
      <c r="AJ215" s="48">
        <v>20012</v>
      </c>
      <c r="AK215" s="48">
        <v>20003</v>
      </c>
      <c r="AL215" s="48">
        <v>20004</v>
      </c>
      <c r="AM215" s="48">
        <v>20005</v>
      </c>
      <c r="AN215" s="25">
        <v>0</v>
      </c>
      <c r="AO215" s="49">
        <v>3</v>
      </c>
      <c r="AP215" s="50">
        <v>75</v>
      </c>
      <c r="AQ215" s="51" t="s">
        <v>1456</v>
      </c>
      <c r="AR215" s="51">
        <f>=F215*247.95</f>
        <v>2253369.6</v>
      </c>
      <c r="AS215" s="51">
        <f>=G215*32.6061</f>
        <v>3293.2161</v>
      </c>
      <c r="AT215" s="51">
        <f>=J215*2.35</f>
        <v>9334.2</v>
      </c>
      <c r="AU215" s="47">
        <f>=H215*15.88</f>
        <v>794</v>
      </c>
    </row>
    <row r="216" spans="1:47">
      <c r="A216" s="24" t="s">
        <v>1536</v>
      </c>
      <c r="B216" s="24">
        <v>11521</v>
      </c>
      <c r="C216" s="24" t="s">
        <v>1537</v>
      </c>
      <c r="D216" s="24" t="s">
        <v>1538</v>
      </c>
      <c r="E216" s="24">
        <v>900011521</v>
      </c>
      <c r="F216" s="24">
        <v>8417</v>
      </c>
      <c r="G216" s="24">
        <v>83</v>
      </c>
      <c r="H216" s="24">
        <v>45</v>
      </c>
      <c r="I216" s="25">
        <v>0.5</v>
      </c>
      <c r="J216" s="24">
        <v>4161</v>
      </c>
      <c r="K216" s="24" t="b">
        <v>1</v>
      </c>
      <c r="L216" s="25">
        <v>0</v>
      </c>
      <c r="M216" s="47">
        <v>0</v>
      </c>
      <c r="N216" s="25">
        <v>0.0769</v>
      </c>
      <c r="O216" s="47">
        <v>13.0039</v>
      </c>
      <c r="P216" s="25">
        <v>0.5</v>
      </c>
      <c r="Q216" s="24">
        <v>2</v>
      </c>
      <c r="R216" s="24">
        <v>5</v>
      </c>
      <c r="S216" s="25">
        <v>0.5</v>
      </c>
      <c r="T216" s="24">
        <v>0</v>
      </c>
      <c r="U216" s="24">
        <v>-0.2</v>
      </c>
      <c r="V216" s="24">
        <v>0.2</v>
      </c>
      <c r="W216" s="24">
        <v>0</v>
      </c>
      <c r="X216" s="24">
        <v>0</v>
      </c>
      <c r="Y216" s="24">
        <v>0</v>
      </c>
      <c r="Z216" s="24">
        <v>-0.2</v>
      </c>
      <c r="AA216" s="24">
        <v>0.2</v>
      </c>
      <c r="AB216" s="24">
        <v>0</v>
      </c>
      <c r="AC216" s="24">
        <v>0</v>
      </c>
      <c r="AD216" s="24">
        <v>0</v>
      </c>
      <c r="AE216" s="24">
        <v>-0.2</v>
      </c>
      <c r="AF216" s="24">
        <v>0.2</v>
      </c>
      <c r="AG216" s="24">
        <v>0</v>
      </c>
      <c r="AH216" s="24">
        <v>0</v>
      </c>
      <c r="AI216" s="48">
        <v>20001</v>
      </c>
      <c r="AJ216" s="48">
        <v>20012</v>
      </c>
      <c r="AK216" s="48">
        <v>20003</v>
      </c>
      <c r="AL216" s="48">
        <v>20004</v>
      </c>
      <c r="AM216" s="48">
        <v>20005</v>
      </c>
      <c r="AN216" s="25">
        <v>0</v>
      </c>
      <c r="AO216" s="49">
        <v>3</v>
      </c>
      <c r="AP216" s="50">
        <v>75</v>
      </c>
      <c r="AQ216" s="51" t="s">
        <v>1539</v>
      </c>
      <c r="AR216" s="51">
        <f>=F216*247.95</f>
        <v>2086995.15</v>
      </c>
      <c r="AS216" s="51">
        <f>=G216*32.6061</f>
        <v>2706.3063</v>
      </c>
      <c r="AT216" s="51">
        <f>=J216*2.35</f>
        <v>9778.35</v>
      </c>
      <c r="AU216" s="47">
        <f>=H216*15.88</f>
        <v>714.6</v>
      </c>
    </row>
    <row r="217" spans="1:47">
      <c r="A217" s="24" t="s">
        <v>1536</v>
      </c>
      <c r="B217" s="24">
        <v>11522</v>
      </c>
      <c r="C217" s="24" t="s">
        <v>1537</v>
      </c>
      <c r="D217" s="24" t="s">
        <v>1538</v>
      </c>
      <c r="E217" s="24">
        <v>900011522</v>
      </c>
      <c r="F217" s="24">
        <v>8736</v>
      </c>
      <c r="G217" s="24">
        <v>95</v>
      </c>
      <c r="H217" s="24">
        <v>45</v>
      </c>
      <c r="I217" s="25">
        <v>0.5</v>
      </c>
      <c r="J217" s="24">
        <v>4753</v>
      </c>
      <c r="K217" s="24" t="b">
        <v>1</v>
      </c>
      <c r="L217" s="25">
        <v>0</v>
      </c>
      <c r="M217" s="47">
        <v>0</v>
      </c>
      <c r="N217" s="25">
        <v>0.0769</v>
      </c>
      <c r="O217" s="47">
        <v>13.0039</v>
      </c>
      <c r="P217" s="25">
        <v>0.5</v>
      </c>
      <c r="Q217" s="24">
        <v>2</v>
      </c>
      <c r="R217" s="24">
        <v>5</v>
      </c>
      <c r="S217" s="25">
        <v>0.5</v>
      </c>
      <c r="T217" s="24">
        <v>0</v>
      </c>
      <c r="U217" s="24">
        <v>-0.2</v>
      </c>
      <c r="V217" s="24">
        <v>0.2</v>
      </c>
      <c r="W217" s="24">
        <v>0</v>
      </c>
      <c r="X217" s="24">
        <v>0</v>
      </c>
      <c r="Y217" s="24">
        <v>0</v>
      </c>
      <c r="Z217" s="24">
        <v>-0.2</v>
      </c>
      <c r="AA217" s="24">
        <v>0.2</v>
      </c>
      <c r="AB217" s="24">
        <v>0</v>
      </c>
      <c r="AC217" s="24">
        <v>0</v>
      </c>
      <c r="AD217" s="24">
        <v>0</v>
      </c>
      <c r="AE217" s="24">
        <v>-0.2</v>
      </c>
      <c r="AF217" s="24">
        <v>0.2</v>
      </c>
      <c r="AG217" s="24">
        <v>0</v>
      </c>
      <c r="AH217" s="24">
        <v>0</v>
      </c>
      <c r="AI217" s="48">
        <v>20001</v>
      </c>
      <c r="AJ217" s="48">
        <v>20012</v>
      </c>
      <c r="AK217" s="48">
        <v>20003</v>
      </c>
      <c r="AL217" s="48">
        <v>20004</v>
      </c>
      <c r="AM217" s="48">
        <v>20005</v>
      </c>
      <c r="AN217" s="25">
        <v>0</v>
      </c>
      <c r="AO217" s="49">
        <v>3</v>
      </c>
      <c r="AP217" s="50">
        <v>75</v>
      </c>
      <c r="AQ217" s="51" t="s">
        <v>1540</v>
      </c>
      <c r="AR217" s="51">
        <f>=F217*247.95</f>
        <v>2166091.2</v>
      </c>
      <c r="AS217" s="51">
        <f>=G217*32.6061</f>
        <v>3097.5795</v>
      </c>
      <c r="AT217" s="51">
        <f>=J217*2.35</f>
        <v>11169.55</v>
      </c>
      <c r="AU217" s="47">
        <f>=H217*15.88</f>
        <v>714.6</v>
      </c>
    </row>
    <row r="218" spans="1:47">
      <c r="A218" s="24" t="s">
        <v>1541</v>
      </c>
      <c r="B218" s="24">
        <v>11531</v>
      </c>
      <c r="C218" s="24" t="s">
        <v>1542</v>
      </c>
      <c r="D218" s="24" t="s">
        <v>1543</v>
      </c>
      <c r="E218" s="24">
        <v>900011531</v>
      </c>
      <c r="F218" s="24">
        <v>21539</v>
      </c>
      <c r="G218" s="24">
        <v>120</v>
      </c>
      <c r="H218" s="24">
        <v>60</v>
      </c>
      <c r="I218" s="25">
        <v>0.5</v>
      </c>
      <c r="J218" s="24">
        <v>10028</v>
      </c>
      <c r="K218" s="24" t="b">
        <v>1</v>
      </c>
      <c r="L218" s="25">
        <v>0</v>
      </c>
      <c r="M218" s="47">
        <v>0</v>
      </c>
      <c r="N218" s="25">
        <v>0.0833</v>
      </c>
      <c r="O218" s="47">
        <v>12.0048</v>
      </c>
      <c r="P218" s="25">
        <v>0.5</v>
      </c>
      <c r="Q218" s="24">
        <v>3</v>
      </c>
      <c r="R218" s="24">
        <v>99</v>
      </c>
      <c r="S218" s="25">
        <v>0.75</v>
      </c>
      <c r="T218" s="24">
        <v>0</v>
      </c>
      <c r="U218" s="24">
        <v>0</v>
      </c>
      <c r="V218" s="24">
        <v>0</v>
      </c>
      <c r="W218" s="24">
        <v>0</v>
      </c>
      <c r="X218" s="24">
        <v>0</v>
      </c>
      <c r="Y218" s="24">
        <v>0</v>
      </c>
      <c r="Z218" s="24">
        <v>0</v>
      </c>
      <c r="AA218" s="24">
        <v>0</v>
      </c>
      <c r="AB218" s="24">
        <v>0</v>
      </c>
      <c r="AC218" s="24">
        <v>0</v>
      </c>
      <c r="AD218" s="24">
        <v>0</v>
      </c>
      <c r="AE218" s="24">
        <v>0</v>
      </c>
      <c r="AF218" s="24">
        <v>0</v>
      </c>
      <c r="AG218" s="24">
        <v>0</v>
      </c>
      <c r="AH218" s="24">
        <v>0</v>
      </c>
      <c r="AI218" s="48">
        <v>30011</v>
      </c>
      <c r="AJ218" s="48">
        <v>30002</v>
      </c>
      <c r="AK218" s="48">
        <v>30003</v>
      </c>
      <c r="AL218" s="48">
        <v>30004</v>
      </c>
      <c r="AM218" s="48">
        <v>30005</v>
      </c>
      <c r="AN218" s="25">
        <v>0</v>
      </c>
      <c r="AO218" s="49">
        <v>5</v>
      </c>
      <c r="AP218" s="50">
        <v>100</v>
      </c>
      <c r="AQ218" s="51" t="s">
        <v>1544</v>
      </c>
      <c r="AR218" s="51">
        <f>=F218*247.95</f>
        <v>5340595.05</v>
      </c>
      <c r="AS218" s="51">
        <f>=G218*32.6061</f>
        <v>3912.732</v>
      </c>
      <c r="AT218" s="51">
        <f>=J218*2.35</f>
        <v>23565.8</v>
      </c>
      <c r="AU218" s="47">
        <f>=H218*15.88</f>
        <v>952.8</v>
      </c>
    </row>
    <row r="219" spans="1:47">
      <c r="A219" s="24" t="s">
        <v>1545</v>
      </c>
      <c r="B219" s="24">
        <v>11541</v>
      </c>
      <c r="C219" s="24" t="s">
        <v>1546</v>
      </c>
      <c r="D219" s="24" t="s">
        <v>1547</v>
      </c>
      <c r="E219" s="24">
        <v>900011541</v>
      </c>
      <c r="F219" s="24">
        <v>26924</v>
      </c>
      <c r="G219" s="24">
        <v>144</v>
      </c>
      <c r="H219" s="24">
        <v>60</v>
      </c>
      <c r="I219" s="25">
        <v>0.5</v>
      </c>
      <c r="J219" s="24">
        <v>11031</v>
      </c>
      <c r="K219" s="24" t="b">
        <v>1</v>
      </c>
      <c r="L219" s="25">
        <v>0</v>
      </c>
      <c r="M219" s="47">
        <v>0</v>
      </c>
      <c r="N219" s="25">
        <v>0.0833</v>
      </c>
      <c r="O219" s="47">
        <v>12.0048</v>
      </c>
      <c r="P219" s="25">
        <v>0.5</v>
      </c>
      <c r="Q219" s="24">
        <v>3</v>
      </c>
      <c r="R219" s="24">
        <v>99</v>
      </c>
      <c r="S219" s="25">
        <v>0.75</v>
      </c>
      <c r="T219" s="24">
        <v>0</v>
      </c>
      <c r="U219" s="24">
        <v>0</v>
      </c>
      <c r="V219" s="24">
        <v>0</v>
      </c>
      <c r="W219" s="24">
        <v>0</v>
      </c>
      <c r="X219" s="24">
        <v>0</v>
      </c>
      <c r="Y219" s="24">
        <v>0</v>
      </c>
      <c r="Z219" s="24">
        <v>0</v>
      </c>
      <c r="AA219" s="24">
        <v>0</v>
      </c>
      <c r="AB219" s="24">
        <v>0</v>
      </c>
      <c r="AC219" s="24">
        <v>0</v>
      </c>
      <c r="AD219" s="24">
        <v>0</v>
      </c>
      <c r="AE219" s="24">
        <v>0</v>
      </c>
      <c r="AF219" s="24">
        <v>0</v>
      </c>
      <c r="AG219" s="24">
        <v>0</v>
      </c>
      <c r="AH219" s="24">
        <v>0</v>
      </c>
      <c r="AI219" s="48">
        <v>30011</v>
      </c>
      <c r="AJ219" s="48">
        <v>30002</v>
      </c>
      <c r="AK219" s="48">
        <v>30003</v>
      </c>
      <c r="AL219" s="48">
        <v>30004</v>
      </c>
      <c r="AM219" s="48">
        <v>30005</v>
      </c>
      <c r="AN219" s="25">
        <v>0.1</v>
      </c>
      <c r="AO219" s="49">
        <v>5</v>
      </c>
      <c r="AP219" s="50">
        <v>100</v>
      </c>
      <c r="AQ219" s="51" t="s">
        <v>1548</v>
      </c>
      <c r="AR219" s="51">
        <f>=F219*247.95</f>
        <v>6675805.8</v>
      </c>
      <c r="AS219" s="51">
        <f>=G219*32.6061</f>
        <v>4695.2784</v>
      </c>
      <c r="AT219" s="51">
        <f>=J219*2.35</f>
        <v>25922.85</v>
      </c>
      <c r="AU219" s="47">
        <f>=H219*15.88</f>
        <v>952.8</v>
      </c>
    </row>
    <row r="220" spans="1:47" ht="18" customHeight="1">
      <c r="A220" s="24" t="s">
        <v>1545</v>
      </c>
      <c r="B220" s="24">
        <v>11542</v>
      </c>
      <c r="C220" s="24" t="s">
        <v>1546</v>
      </c>
      <c r="D220" s="24" t="s">
        <v>1547</v>
      </c>
      <c r="E220" s="24">
        <v>900011542</v>
      </c>
      <c r="F220" s="24">
        <v>26924</v>
      </c>
      <c r="G220" s="24">
        <v>144</v>
      </c>
      <c r="H220" s="24">
        <v>60</v>
      </c>
      <c r="I220" s="25">
        <v>0.5</v>
      </c>
      <c r="J220" s="24">
        <v>11031</v>
      </c>
      <c r="K220" s="24" t="b">
        <v>1</v>
      </c>
      <c r="L220" s="25">
        <v>0</v>
      </c>
      <c r="M220" s="47">
        <v>0</v>
      </c>
      <c r="N220" s="25">
        <v>0.0833</v>
      </c>
      <c r="O220" s="47">
        <v>12.0048019</v>
      </c>
      <c r="P220" s="25">
        <v>0.5</v>
      </c>
      <c r="Q220" s="24">
        <v>3</v>
      </c>
      <c r="R220" s="24">
        <v>99</v>
      </c>
      <c r="S220" s="25">
        <v>0.75</v>
      </c>
      <c r="T220" s="24">
        <v>0</v>
      </c>
      <c r="U220" s="24">
        <v>0</v>
      </c>
      <c r="V220" s="24">
        <v>0</v>
      </c>
      <c r="W220" s="24">
        <v>0</v>
      </c>
      <c r="X220" s="24">
        <v>0</v>
      </c>
      <c r="Y220" s="24">
        <v>0</v>
      </c>
      <c r="Z220" s="24">
        <v>0</v>
      </c>
      <c r="AA220" s="24">
        <v>0</v>
      </c>
      <c r="AB220" s="24">
        <v>0</v>
      </c>
      <c r="AC220" s="24">
        <v>0</v>
      </c>
      <c r="AD220" s="24">
        <v>0</v>
      </c>
      <c r="AE220" s="24">
        <v>0</v>
      </c>
      <c r="AF220" s="24">
        <v>0</v>
      </c>
      <c r="AG220" s="24">
        <v>0</v>
      </c>
      <c r="AH220" s="24">
        <v>0</v>
      </c>
      <c r="AI220" s="48">
        <v>30011</v>
      </c>
      <c r="AJ220" s="48">
        <v>30002</v>
      </c>
      <c r="AK220" s="48">
        <v>30003</v>
      </c>
      <c r="AL220" s="48">
        <v>30004</v>
      </c>
      <c r="AM220" s="48">
        <v>30005</v>
      </c>
      <c r="AN220" s="25">
        <v>0.1</v>
      </c>
      <c r="AO220" s="49">
        <v>5</v>
      </c>
      <c r="AP220" s="50">
        <v>100</v>
      </c>
      <c r="AQ220" s="51" t="s">
        <v>1549</v>
      </c>
      <c r="AR220" s="51">
        <f>=F220*247.95</f>
        <v>6675805.8</v>
      </c>
      <c r="AS220" s="51">
        <f>=G220*32.6061</f>
        <v>4695.2784</v>
      </c>
      <c r="AT220" s="51">
        <f>=J220*2.35</f>
        <v>25922.85</v>
      </c>
      <c r="AU220" s="47">
        <f>=H220*15.88</f>
        <v>952.8</v>
      </c>
    </row>
    <row r="221" spans="1:47" ht="18" customHeight="1">
      <c r="A221" s="24" t="s">
        <v>1545</v>
      </c>
      <c r="B221" s="24">
        <v>11542</v>
      </c>
      <c r="C221" s="24" t="s">
        <v>1546</v>
      </c>
      <c r="D221" s="24" t="s">
        <v>1547</v>
      </c>
      <c r="E221" s="24">
        <v>900011543</v>
      </c>
      <c r="F221" s="24">
        <v>26924</v>
      </c>
      <c r="G221" s="24">
        <v>144</v>
      </c>
      <c r="H221" s="24">
        <v>60</v>
      </c>
      <c r="I221" s="25">
        <v>0.5</v>
      </c>
      <c r="J221" s="24">
        <v>11031</v>
      </c>
      <c r="K221" s="24" t="b">
        <v>1</v>
      </c>
      <c r="L221" s="25">
        <v>0</v>
      </c>
      <c r="M221" s="47">
        <v>0</v>
      </c>
      <c r="N221" s="25">
        <v>0.0833</v>
      </c>
      <c r="O221" s="47">
        <v>12.0048019</v>
      </c>
      <c r="P221" s="25">
        <v>0.5</v>
      </c>
      <c r="Q221" s="24">
        <v>3</v>
      </c>
      <c r="R221" s="24">
        <v>99</v>
      </c>
      <c r="S221" s="25">
        <v>0.75</v>
      </c>
      <c r="T221" s="24">
        <v>0</v>
      </c>
      <c r="U221" s="24">
        <v>0</v>
      </c>
      <c r="V221" s="24">
        <v>0</v>
      </c>
      <c r="W221" s="24">
        <v>0</v>
      </c>
      <c r="X221" s="24">
        <v>0</v>
      </c>
      <c r="Y221" s="24">
        <v>0</v>
      </c>
      <c r="Z221" s="24">
        <v>0</v>
      </c>
      <c r="AA221" s="24">
        <v>0</v>
      </c>
      <c r="AB221" s="24">
        <v>0</v>
      </c>
      <c r="AC221" s="24">
        <v>0</v>
      </c>
      <c r="AD221" s="24">
        <v>0</v>
      </c>
      <c r="AE221" s="24">
        <v>0</v>
      </c>
      <c r="AF221" s="24">
        <v>0</v>
      </c>
      <c r="AG221" s="24">
        <v>0</v>
      </c>
      <c r="AH221" s="24">
        <v>0</v>
      </c>
      <c r="AI221" s="48">
        <v>30011</v>
      </c>
      <c r="AJ221" s="48">
        <v>30002</v>
      </c>
      <c r="AK221" s="48">
        <v>30003</v>
      </c>
      <c r="AL221" s="48">
        <v>30004</v>
      </c>
      <c r="AM221" s="48">
        <v>30005</v>
      </c>
      <c r="AN221" s="25">
        <v>0.1</v>
      </c>
      <c r="AO221" s="49">
        <v>5</v>
      </c>
      <c r="AP221" s="50">
        <v>100</v>
      </c>
      <c r="AQ221" s="51" t="s">
        <v>1549</v>
      </c>
      <c r="AR221" s="51">
        <f>=F221*247.95</f>
        <v>6675805.8</v>
      </c>
      <c r="AS221" s="51">
        <f>=G221*32.6061</f>
        <v>4695.2784</v>
      </c>
      <c r="AT221" s="51">
        <f>=J221*2.35</f>
        <v>25922.85</v>
      </c>
      <c r="AU221" s="47">
        <f>=H221*15.88</f>
        <v>952.8</v>
      </c>
    </row>
    <row r="222" spans="1:47">
      <c r="A222" s="24" t="s">
        <v>1550</v>
      </c>
      <c r="B222" s="24">
        <v>11561</v>
      </c>
      <c r="C222" s="24" t="s">
        <v>1551</v>
      </c>
      <c r="D222" s="24" t="s">
        <v>1552</v>
      </c>
      <c r="E222" s="24">
        <v>900011561</v>
      </c>
      <c r="F222" s="24">
        <v>1123</v>
      </c>
      <c r="G222" s="24">
        <v>60</v>
      </c>
      <c r="H222" s="24">
        <v>43</v>
      </c>
      <c r="I222" s="25">
        <v>0.5</v>
      </c>
      <c r="J222" s="24">
        <v>600</v>
      </c>
      <c r="K222" s="24" t="b">
        <v>1</v>
      </c>
      <c r="L222" s="25">
        <v>0</v>
      </c>
      <c r="M222" s="47">
        <v>0</v>
      </c>
      <c r="N222" s="25">
        <v>0.1538</v>
      </c>
      <c r="O222" s="47">
        <v>6.501951</v>
      </c>
      <c r="P222" s="25">
        <v>0.5</v>
      </c>
      <c r="Q222" s="24">
        <v>1</v>
      </c>
      <c r="R222" s="24">
        <v>1</v>
      </c>
      <c r="S222" s="25">
        <v>0</v>
      </c>
      <c r="T222" s="24">
        <v>0</v>
      </c>
      <c r="U222" s="24">
        <v>0</v>
      </c>
      <c r="V222" s="24">
        <v>0</v>
      </c>
      <c r="W222" s="24">
        <v>0</v>
      </c>
      <c r="X222" s="24">
        <v>0</v>
      </c>
      <c r="Y222" s="24">
        <v>0</v>
      </c>
      <c r="Z222" s="24">
        <v>0</v>
      </c>
      <c r="AA222" s="24">
        <v>0</v>
      </c>
      <c r="AB222" s="24">
        <v>0</v>
      </c>
      <c r="AC222" s="24">
        <v>0</v>
      </c>
      <c r="AD222" s="24">
        <v>0</v>
      </c>
      <c r="AE222" s="24">
        <v>0</v>
      </c>
      <c r="AF222" s="24">
        <v>0</v>
      </c>
      <c r="AG222" s="24">
        <v>0</v>
      </c>
      <c r="AH222" s="24">
        <v>0</v>
      </c>
      <c r="AI222" s="48">
        <v>10001</v>
      </c>
      <c r="AJ222" s="48">
        <v>10002</v>
      </c>
      <c r="AK222" s="48">
        <v>10003</v>
      </c>
      <c r="AL222" s="48">
        <v>10004</v>
      </c>
      <c r="AM222" s="48">
        <v>10005</v>
      </c>
      <c r="AN222" s="25">
        <v>0</v>
      </c>
      <c r="AO222" s="49">
        <v>2</v>
      </c>
      <c r="AP222" s="50">
        <v>50</v>
      </c>
      <c r="AQ222" s="51" t="s">
        <v>1450</v>
      </c>
      <c r="AR222" s="51">
        <f>=F222*247.95</f>
        <v>278447.85</v>
      </c>
      <c r="AS222" s="51">
        <f>=G222*32.6061</f>
        <v>1956.366</v>
      </c>
      <c r="AT222" s="51">
        <f>=J222*2.35</f>
        <v>1410</v>
      </c>
      <c r="AU222" s="47">
        <f>=H222*15.88</f>
        <v>682.84</v>
      </c>
    </row>
    <row r="223" spans="1:47">
      <c r="A223" s="24" t="s">
        <v>1550</v>
      </c>
      <c r="B223" s="24">
        <v>11562</v>
      </c>
      <c r="C223" s="24" t="s">
        <v>1551</v>
      </c>
      <c r="D223" s="24" t="s">
        <v>1552</v>
      </c>
      <c r="E223" s="24">
        <v>900011562</v>
      </c>
      <c r="F223" s="24">
        <v>923</v>
      </c>
      <c r="G223" s="24">
        <v>60</v>
      </c>
      <c r="H223" s="24">
        <v>43</v>
      </c>
      <c r="I223" s="25">
        <v>0.5</v>
      </c>
      <c r="J223" s="24">
        <v>360</v>
      </c>
      <c r="K223" s="24" t="b">
        <v>1</v>
      </c>
      <c r="L223" s="25">
        <v>0</v>
      </c>
      <c r="M223" s="47">
        <v>0</v>
      </c>
      <c r="N223" s="25">
        <v>0.1538</v>
      </c>
      <c r="O223" s="47">
        <v>6.501951</v>
      </c>
      <c r="P223" s="25">
        <v>0.5</v>
      </c>
      <c r="Q223" s="24">
        <v>1</v>
      </c>
      <c r="R223" s="24">
        <v>1</v>
      </c>
      <c r="S223" s="25">
        <v>0</v>
      </c>
      <c r="T223" s="24">
        <v>0</v>
      </c>
      <c r="U223" s="24">
        <v>0</v>
      </c>
      <c r="V223" s="24">
        <v>0</v>
      </c>
      <c r="W223" s="24">
        <v>0</v>
      </c>
      <c r="X223" s="24">
        <v>0</v>
      </c>
      <c r="Y223" s="24">
        <v>0</v>
      </c>
      <c r="Z223" s="24">
        <v>0</v>
      </c>
      <c r="AA223" s="24">
        <v>0</v>
      </c>
      <c r="AB223" s="24">
        <v>0</v>
      </c>
      <c r="AC223" s="24">
        <v>0</v>
      </c>
      <c r="AD223" s="24">
        <v>0</v>
      </c>
      <c r="AE223" s="24">
        <v>0</v>
      </c>
      <c r="AF223" s="24">
        <v>0</v>
      </c>
      <c r="AG223" s="24">
        <v>0</v>
      </c>
      <c r="AH223" s="24">
        <v>0</v>
      </c>
      <c r="AI223" s="48">
        <v>10001</v>
      </c>
      <c r="AJ223" s="48">
        <v>10002</v>
      </c>
      <c r="AK223" s="48">
        <v>10003</v>
      </c>
      <c r="AL223" s="48">
        <v>10004</v>
      </c>
      <c r="AM223" s="48">
        <v>10005</v>
      </c>
      <c r="AN223" s="25">
        <v>0</v>
      </c>
      <c r="AO223" s="49">
        <v>2</v>
      </c>
      <c r="AP223" s="50">
        <v>50</v>
      </c>
      <c r="AQ223" s="51" t="s">
        <v>1450</v>
      </c>
      <c r="AR223" s="51">
        <f>=F223*247.95</f>
        <v>228857.85</v>
      </c>
      <c r="AS223" s="51">
        <f>=G223*32.6061</f>
        <v>1956.366</v>
      </c>
      <c r="AT223" s="51">
        <f>=J223*2.35</f>
        <v>846</v>
      </c>
      <c r="AU223" s="47">
        <f>=H223*15.88</f>
        <v>682.84</v>
      </c>
    </row>
    <row r="224" spans="1:47">
      <c r="A224" s="24" t="s">
        <v>1553</v>
      </c>
      <c r="B224" s="24">
        <v>11571</v>
      </c>
      <c r="C224" s="24" t="s">
        <v>1554</v>
      </c>
      <c r="D224" s="24" t="s">
        <v>1555</v>
      </c>
      <c r="E224" s="24">
        <v>900011571</v>
      </c>
      <c r="F224" s="24">
        <v>24328</v>
      </c>
      <c r="G224" s="24">
        <v>144</v>
      </c>
      <c r="H224" s="24">
        <v>60</v>
      </c>
      <c r="I224" s="25">
        <v>0.5</v>
      </c>
      <c r="J224" s="24">
        <v>6097</v>
      </c>
      <c r="K224" s="24" t="b">
        <v>1</v>
      </c>
      <c r="L224" s="25">
        <v>0</v>
      </c>
      <c r="M224" s="47">
        <v>0</v>
      </c>
      <c r="N224" s="25">
        <v>0.0833</v>
      </c>
      <c r="O224" s="47">
        <v>12.0048</v>
      </c>
      <c r="P224" s="25">
        <v>0.5</v>
      </c>
      <c r="Q224" s="24">
        <v>3</v>
      </c>
      <c r="R224" s="24">
        <v>5</v>
      </c>
      <c r="S224" s="25">
        <v>0.75</v>
      </c>
      <c r="T224" s="24">
        <v>0</v>
      </c>
      <c r="U224" s="24">
        <v>0</v>
      </c>
      <c r="V224" s="24">
        <v>-0.2</v>
      </c>
      <c r="W224" s="24">
        <v>0</v>
      </c>
      <c r="X224" s="24">
        <v>0.2</v>
      </c>
      <c r="Y224" s="24">
        <v>0</v>
      </c>
      <c r="Z224" s="24">
        <v>0</v>
      </c>
      <c r="AA224" s="24">
        <v>-0.2</v>
      </c>
      <c r="AB224" s="24">
        <v>0</v>
      </c>
      <c r="AC224" s="24">
        <v>0.2</v>
      </c>
      <c r="AD224" s="24">
        <v>0</v>
      </c>
      <c r="AE224" s="24">
        <v>0</v>
      </c>
      <c r="AF224" s="24">
        <v>-0.2</v>
      </c>
      <c r="AG224" s="24">
        <v>0</v>
      </c>
      <c r="AH224" s="24">
        <v>0.2</v>
      </c>
      <c r="AI224" s="48">
        <v>30001</v>
      </c>
      <c r="AJ224" s="48">
        <v>30002</v>
      </c>
      <c r="AK224" s="48">
        <v>30013</v>
      </c>
      <c r="AL224" s="48">
        <v>30004</v>
      </c>
      <c r="AM224" s="48">
        <v>30005</v>
      </c>
      <c r="AN224" s="25">
        <v>0.1</v>
      </c>
      <c r="AO224" s="49">
        <v>5</v>
      </c>
      <c r="AP224" s="50">
        <v>100</v>
      </c>
      <c r="AQ224" s="51" t="s">
        <v>1198</v>
      </c>
      <c r="AR224" s="51">
        <f>=F224*247.95</f>
        <v>6032127.6</v>
      </c>
      <c r="AS224" s="51">
        <f>=G224*32.6061</f>
        <v>4695.2784</v>
      </c>
      <c r="AT224" s="51">
        <f>=J224*2.35</f>
        <v>14327.95</v>
      </c>
      <c r="AU224" s="47">
        <f>=H224*15.88</f>
        <v>952.8</v>
      </c>
    </row>
    <row r="225" spans="1:47">
      <c r="A225" s="24" t="s">
        <v>1556</v>
      </c>
      <c r="B225" s="24">
        <v>11581</v>
      </c>
      <c r="C225" s="24" t="s">
        <v>1557</v>
      </c>
      <c r="D225" s="24" t="s"/>
      <c r="E225" s="24">
        <v>900011581</v>
      </c>
      <c r="F225" s="24">
        <v>168</v>
      </c>
      <c r="G225" s="24">
        <v>54</v>
      </c>
      <c r="H225" s="24">
        <v>40</v>
      </c>
      <c r="I225" s="25">
        <v>0.5</v>
      </c>
      <c r="J225" s="24">
        <v>600</v>
      </c>
      <c r="K225" s="24" t="b">
        <v>1</v>
      </c>
      <c r="L225" s="25">
        <v>0</v>
      </c>
      <c r="M225" s="47">
        <v>0</v>
      </c>
      <c r="N225" s="25">
        <v>0.1538</v>
      </c>
      <c r="O225" s="47">
        <v>6.50195059</v>
      </c>
      <c r="P225" s="25">
        <v>0.5</v>
      </c>
      <c r="Q225" s="24">
        <v>1</v>
      </c>
      <c r="R225" s="24">
        <v>99</v>
      </c>
      <c r="S225" s="25">
        <v>0</v>
      </c>
      <c r="T225" s="24">
        <v>0</v>
      </c>
      <c r="U225" s="24">
        <v>0</v>
      </c>
      <c r="V225" s="24">
        <v>-0.2</v>
      </c>
      <c r="W225" s="24">
        <v>0</v>
      </c>
      <c r="X225" s="24">
        <v>0</v>
      </c>
      <c r="Y225" s="24">
        <v>0</v>
      </c>
      <c r="Z225" s="24">
        <v>0</v>
      </c>
      <c r="AA225" s="24">
        <v>-0.2</v>
      </c>
      <c r="AB225" s="24">
        <v>0</v>
      </c>
      <c r="AC225" s="24">
        <v>0</v>
      </c>
      <c r="AD225" s="24">
        <v>0</v>
      </c>
      <c r="AE225" s="24">
        <v>0</v>
      </c>
      <c r="AF225" s="24">
        <v>-0.2</v>
      </c>
      <c r="AG225" s="24">
        <v>0</v>
      </c>
      <c r="AH225" s="24">
        <v>0</v>
      </c>
      <c r="AI225" s="43">
        <v>10001</v>
      </c>
      <c r="AJ225" s="43">
        <v>10002</v>
      </c>
      <c r="AK225" s="43">
        <v>10013</v>
      </c>
      <c r="AL225" s="43">
        <v>10004</v>
      </c>
      <c r="AM225" s="43">
        <v>10005</v>
      </c>
      <c r="AN225" s="22">
        <v>0</v>
      </c>
      <c r="AP225" s="50">
        <v>50</v>
      </c>
      <c r="AQ225" s="51" t="s">
        <v>1558</v>
      </c>
      <c r="AR225" s="51">
        <f>=F225*247.95</f>
        <v>41655.6</v>
      </c>
      <c r="AS225" s="51">
        <f>=G225*32.6061</f>
        <v>1760.7294</v>
      </c>
      <c r="AT225" s="51">
        <f>=J225*2.35</f>
        <v>1410</v>
      </c>
      <c r="AU225" s="47">
        <f>=H225*15.88</f>
        <v>635.2</v>
      </c>
    </row>
    <row r="226" spans="1:47">
      <c r="A226" s="24" t="s">
        <v>1559</v>
      </c>
      <c r="B226" s="24">
        <v>11601</v>
      </c>
      <c r="C226" s="24" t="s">
        <v>1560</v>
      </c>
      <c r="D226" s="24" t="s">
        <v>1561</v>
      </c>
      <c r="E226" s="24">
        <v>900011601</v>
      </c>
      <c r="F226" s="24">
        <v>9904</v>
      </c>
      <c r="G226" s="24">
        <v>83</v>
      </c>
      <c r="H226" s="24">
        <v>50</v>
      </c>
      <c r="I226" s="25">
        <v>0.5</v>
      </c>
      <c r="J226" s="24">
        <v>5253</v>
      </c>
      <c r="K226" s="24" t="b">
        <v>1</v>
      </c>
      <c r="L226" s="25">
        <v>0</v>
      </c>
      <c r="M226" s="47">
        <v>0</v>
      </c>
      <c r="N226" s="25">
        <v>0.1428</v>
      </c>
      <c r="O226" s="47">
        <v>7.002801</v>
      </c>
      <c r="P226" s="25">
        <v>1</v>
      </c>
      <c r="Q226" s="24">
        <v>2</v>
      </c>
      <c r="R226" s="24">
        <v>3</v>
      </c>
      <c r="S226" s="25">
        <v>0.5</v>
      </c>
      <c r="T226" s="24">
        <v>0.2</v>
      </c>
      <c r="U226" s="24">
        <v>-0.2</v>
      </c>
      <c r="V226" s="24">
        <v>0</v>
      </c>
      <c r="W226" s="24">
        <v>-0.2</v>
      </c>
      <c r="X226" s="24">
        <v>0</v>
      </c>
      <c r="Y226" s="24">
        <v>0.2</v>
      </c>
      <c r="Z226" s="24">
        <v>-0.2</v>
      </c>
      <c r="AA226" s="24">
        <v>0</v>
      </c>
      <c r="AB226" s="24">
        <v>-0.2</v>
      </c>
      <c r="AC226" s="24">
        <v>0</v>
      </c>
      <c r="AD226" s="24">
        <v>0.2</v>
      </c>
      <c r="AE226" s="24">
        <v>-0.2</v>
      </c>
      <c r="AF226" s="24">
        <v>0</v>
      </c>
      <c r="AG226" s="24">
        <v>-0.2</v>
      </c>
      <c r="AH226" s="24">
        <v>0</v>
      </c>
      <c r="AI226" s="48">
        <v>20001</v>
      </c>
      <c r="AJ226" s="48">
        <v>20012</v>
      </c>
      <c r="AK226" s="48">
        <v>20003</v>
      </c>
      <c r="AL226" s="48">
        <v>20004</v>
      </c>
      <c r="AM226" s="48">
        <v>20005</v>
      </c>
      <c r="AN226" s="25">
        <v>0</v>
      </c>
      <c r="AO226" s="49">
        <v>3</v>
      </c>
      <c r="AP226" s="50">
        <v>75</v>
      </c>
      <c r="AQ226" s="51" t="s">
        <v>1562</v>
      </c>
      <c r="AR226" s="51">
        <f>=F226*247.95</f>
        <v>2455696.8</v>
      </c>
      <c r="AS226" s="51">
        <f>=G226*32.6061</f>
        <v>2706.3063</v>
      </c>
      <c r="AT226" s="51">
        <f>=J226*2.35</f>
        <v>12344.55</v>
      </c>
      <c r="AU226" s="47">
        <f>=H226*15.88</f>
        <v>794</v>
      </c>
    </row>
    <row r="227" spans="1:47">
      <c r="A227" s="24" t="s">
        <v>1563</v>
      </c>
      <c r="B227" s="24">
        <v>11602</v>
      </c>
      <c r="C227" s="24" t="s">
        <v>1564</v>
      </c>
      <c r="D227" s="24" t="s">
        <v>1565</v>
      </c>
      <c r="E227" s="24">
        <v>900011602</v>
      </c>
      <c r="F227" s="24">
        <v>9904</v>
      </c>
      <c r="G227" s="24">
        <v>83</v>
      </c>
      <c r="H227" s="24">
        <v>50</v>
      </c>
      <c r="I227" s="25">
        <v>0.5</v>
      </c>
      <c r="J227" s="24">
        <v>5253</v>
      </c>
      <c r="K227" s="24" t="b">
        <v>1</v>
      </c>
      <c r="L227" s="25">
        <v>0</v>
      </c>
      <c r="M227" s="47">
        <v>0</v>
      </c>
      <c r="N227" s="25">
        <v>0.1428</v>
      </c>
      <c r="O227" s="47">
        <v>7.002801</v>
      </c>
      <c r="P227" s="25">
        <v>1</v>
      </c>
      <c r="Q227" s="24">
        <v>2</v>
      </c>
      <c r="R227" s="24">
        <v>3</v>
      </c>
      <c r="S227" s="25">
        <v>0.5</v>
      </c>
      <c r="T227" s="24">
        <v>0.2</v>
      </c>
      <c r="U227" s="24">
        <v>-0.2</v>
      </c>
      <c r="V227" s="24">
        <v>0</v>
      </c>
      <c r="W227" s="24">
        <v>-0.2</v>
      </c>
      <c r="X227" s="24">
        <v>0</v>
      </c>
      <c r="Y227" s="24">
        <v>0.2</v>
      </c>
      <c r="Z227" s="24">
        <v>-0.2</v>
      </c>
      <c r="AA227" s="24">
        <v>0</v>
      </c>
      <c r="AB227" s="24">
        <v>-0.2</v>
      </c>
      <c r="AC227" s="24">
        <v>0</v>
      </c>
      <c r="AD227" s="24">
        <v>0.2</v>
      </c>
      <c r="AE227" s="24">
        <v>-0.2</v>
      </c>
      <c r="AF227" s="24">
        <v>0</v>
      </c>
      <c r="AG227" s="24">
        <v>-0.2</v>
      </c>
      <c r="AH227" s="24">
        <v>0</v>
      </c>
      <c r="AI227" s="48">
        <v>20001</v>
      </c>
      <c r="AJ227" s="48">
        <v>20012</v>
      </c>
      <c r="AK227" s="48">
        <v>20003</v>
      </c>
      <c r="AL227" s="48">
        <v>20004</v>
      </c>
      <c r="AM227" s="48">
        <v>20005</v>
      </c>
      <c r="AN227" s="25">
        <v>0</v>
      </c>
      <c r="AO227" s="49">
        <v>3</v>
      </c>
      <c r="AP227" s="50">
        <v>75</v>
      </c>
      <c r="AQ227" s="51" t="s">
        <v>1566</v>
      </c>
      <c r="AR227" s="51">
        <f>=F227*247.95</f>
        <v>2455696.8</v>
      </c>
      <c r="AS227" s="51">
        <f>=G227*32.6061</f>
        <v>2706.3063</v>
      </c>
      <c r="AT227" s="51">
        <f>=J227*2.35</f>
        <v>12344.55</v>
      </c>
      <c r="AU227" s="47">
        <f>=H227*15.88</f>
        <v>794</v>
      </c>
    </row>
    <row r="228" spans="1:47">
      <c r="A228" s="24" t="s">
        <v>1563</v>
      </c>
      <c r="B228" s="24">
        <v>11603</v>
      </c>
      <c r="C228" s="24" t="s">
        <v>1564</v>
      </c>
      <c r="D228" s="24" t="s">
        <v>1565</v>
      </c>
      <c r="E228" s="24">
        <v>900011603</v>
      </c>
      <c r="F228" s="24">
        <v>10220</v>
      </c>
      <c r="G228" s="24">
        <v>95</v>
      </c>
      <c r="H228" s="24">
        <v>50</v>
      </c>
      <c r="I228" s="25">
        <v>0.5</v>
      </c>
      <c r="J228" s="24">
        <v>5958</v>
      </c>
      <c r="K228" s="24" t="b">
        <v>1</v>
      </c>
      <c r="L228" s="25">
        <v>0</v>
      </c>
      <c r="M228" s="47">
        <v>0</v>
      </c>
      <c r="N228" s="25">
        <v>0.1428</v>
      </c>
      <c r="O228" s="47">
        <v>7.002801</v>
      </c>
      <c r="P228" s="25">
        <v>1</v>
      </c>
      <c r="Q228" s="24">
        <v>2</v>
      </c>
      <c r="R228" s="24">
        <v>4</v>
      </c>
      <c r="S228" s="25">
        <v>0.5</v>
      </c>
      <c r="T228" s="24">
        <v>0.2</v>
      </c>
      <c r="U228" s="24">
        <v>-0.2</v>
      </c>
      <c r="V228" s="24">
        <v>0</v>
      </c>
      <c r="W228" s="24">
        <v>-0.2</v>
      </c>
      <c r="X228" s="24">
        <v>0</v>
      </c>
      <c r="Y228" s="24">
        <v>0.2</v>
      </c>
      <c r="Z228" s="24">
        <v>-0.2</v>
      </c>
      <c r="AA228" s="24">
        <v>0</v>
      </c>
      <c r="AB228" s="24">
        <v>-0.2</v>
      </c>
      <c r="AC228" s="24">
        <v>0</v>
      </c>
      <c r="AD228" s="24">
        <v>0.2</v>
      </c>
      <c r="AE228" s="24">
        <v>-0.2</v>
      </c>
      <c r="AF228" s="24">
        <v>0</v>
      </c>
      <c r="AG228" s="24">
        <v>-0.2</v>
      </c>
      <c r="AH228" s="24">
        <v>0</v>
      </c>
      <c r="AI228" s="48">
        <v>20001</v>
      </c>
      <c r="AJ228" s="48">
        <v>20012</v>
      </c>
      <c r="AK228" s="48">
        <v>20003</v>
      </c>
      <c r="AL228" s="48">
        <v>20004</v>
      </c>
      <c r="AM228" s="48">
        <v>20005</v>
      </c>
      <c r="AN228" s="25">
        <v>0</v>
      </c>
      <c r="AO228" s="49">
        <v>3</v>
      </c>
      <c r="AP228" s="50">
        <v>75</v>
      </c>
      <c r="AQ228" s="51" t="s">
        <v>1567</v>
      </c>
      <c r="AR228" s="51">
        <f>=F228*247.95</f>
        <v>2534049</v>
      </c>
      <c r="AS228" s="51">
        <f>=G228*32.6061</f>
        <v>3097.5795</v>
      </c>
      <c r="AT228" s="51">
        <f>=J228*2.35</f>
        <v>14001.3</v>
      </c>
      <c r="AU228" s="47">
        <f>=H228*15.88</f>
        <v>794</v>
      </c>
    </row>
    <row r="229" spans="1:47">
      <c r="A229" s="24" t="s">
        <v>1568</v>
      </c>
      <c r="B229" s="24">
        <v>11611</v>
      </c>
      <c r="C229" s="24" t="s">
        <v>1569</v>
      </c>
      <c r="D229" s="24" t="s">
        <v>1570</v>
      </c>
      <c r="E229" s="24">
        <v>900011611</v>
      </c>
      <c r="F229" s="24">
        <v>10545</v>
      </c>
      <c r="G229" s="24">
        <v>102</v>
      </c>
      <c r="H229" s="24">
        <v>50</v>
      </c>
      <c r="I229" s="25">
        <v>0.5</v>
      </c>
      <c r="J229" s="24">
        <v>6256</v>
      </c>
      <c r="K229" s="24" t="b">
        <v>1</v>
      </c>
      <c r="L229" s="25">
        <v>0</v>
      </c>
      <c r="M229" s="47">
        <v>0</v>
      </c>
      <c r="N229" s="25">
        <v>0.0769</v>
      </c>
      <c r="O229" s="47">
        <v>13.0039</v>
      </c>
      <c r="P229" s="25">
        <v>0.5</v>
      </c>
      <c r="Q229" s="24">
        <v>2</v>
      </c>
      <c r="R229" s="24">
        <v>3</v>
      </c>
      <c r="S229" s="25">
        <v>0.5</v>
      </c>
      <c r="T229" s="24">
        <v>0.2</v>
      </c>
      <c r="U229" s="24">
        <v>-0.2</v>
      </c>
      <c r="V229" s="24">
        <v>0</v>
      </c>
      <c r="W229" s="24">
        <v>-0.2</v>
      </c>
      <c r="X229" s="24">
        <v>0</v>
      </c>
      <c r="Y229" s="24">
        <v>0.2</v>
      </c>
      <c r="Z229" s="24">
        <v>-0.2</v>
      </c>
      <c r="AA229" s="24">
        <v>0</v>
      </c>
      <c r="AB229" s="24">
        <v>-0.2</v>
      </c>
      <c r="AC229" s="24">
        <v>0</v>
      </c>
      <c r="AD229" s="24">
        <v>0.2</v>
      </c>
      <c r="AE229" s="24">
        <v>-0.2</v>
      </c>
      <c r="AF229" s="24">
        <v>0</v>
      </c>
      <c r="AG229" s="24">
        <v>-0.2</v>
      </c>
      <c r="AH229" s="24">
        <v>0</v>
      </c>
      <c r="AI229" s="48">
        <v>20001</v>
      </c>
      <c r="AJ229" s="48">
        <v>20012</v>
      </c>
      <c r="AK229" s="48">
        <v>20003</v>
      </c>
      <c r="AL229" s="48">
        <v>20004</v>
      </c>
      <c r="AM229" s="48">
        <v>20005</v>
      </c>
      <c r="AN229" s="25">
        <v>0</v>
      </c>
      <c r="AO229" s="49">
        <v>3</v>
      </c>
      <c r="AP229" s="50">
        <v>75</v>
      </c>
      <c r="AQ229" s="51" t="s">
        <v>1571</v>
      </c>
      <c r="AR229" s="51">
        <f>=F229*247.95</f>
        <v>2614632.75</v>
      </c>
      <c r="AS229" s="51">
        <f>=G229*32.6061</f>
        <v>3325.8222</v>
      </c>
      <c r="AT229" s="51">
        <f>=J229*2.35</f>
        <v>14701.6</v>
      </c>
      <c r="AU229" s="47">
        <f>=H229*15.88</f>
        <v>794</v>
      </c>
    </row>
    <row r="230" spans="1:47">
      <c r="A230" s="24" t="s">
        <v>1572</v>
      </c>
      <c r="B230" s="24">
        <v>11612</v>
      </c>
      <c r="C230" s="24" t="s">
        <v>1573</v>
      </c>
      <c r="D230" s="24" t="s">
        <v>1574</v>
      </c>
      <c r="E230" s="24">
        <v>900011612</v>
      </c>
      <c r="F230" s="24">
        <v>10545</v>
      </c>
      <c r="G230" s="24">
        <v>102</v>
      </c>
      <c r="H230" s="24">
        <v>50</v>
      </c>
      <c r="I230" s="25">
        <v>0.5</v>
      </c>
      <c r="J230" s="24">
        <v>6256</v>
      </c>
      <c r="K230" s="24" t="b">
        <v>1</v>
      </c>
      <c r="L230" s="25">
        <v>0</v>
      </c>
      <c r="M230" s="47">
        <v>0</v>
      </c>
      <c r="N230" s="25">
        <v>0.0769</v>
      </c>
      <c r="O230" s="47">
        <v>13.0039</v>
      </c>
      <c r="P230" s="25">
        <v>0.5</v>
      </c>
      <c r="Q230" s="24">
        <v>2</v>
      </c>
      <c r="R230" s="24">
        <v>3</v>
      </c>
      <c r="S230" s="25">
        <v>0.5</v>
      </c>
      <c r="T230" s="24">
        <v>0.2</v>
      </c>
      <c r="U230" s="24">
        <v>-0.2</v>
      </c>
      <c r="V230" s="24">
        <v>0</v>
      </c>
      <c r="W230" s="24">
        <v>-0.2</v>
      </c>
      <c r="X230" s="24">
        <v>0</v>
      </c>
      <c r="Y230" s="24">
        <v>0.2</v>
      </c>
      <c r="Z230" s="24">
        <v>-0.2</v>
      </c>
      <c r="AA230" s="24">
        <v>0</v>
      </c>
      <c r="AB230" s="24">
        <v>-0.2</v>
      </c>
      <c r="AC230" s="24">
        <v>0</v>
      </c>
      <c r="AD230" s="24">
        <v>0.2</v>
      </c>
      <c r="AE230" s="24">
        <v>-0.2</v>
      </c>
      <c r="AF230" s="24">
        <v>0</v>
      </c>
      <c r="AG230" s="24">
        <v>-0.2</v>
      </c>
      <c r="AH230" s="24">
        <v>0</v>
      </c>
      <c r="AI230" s="48">
        <v>20001</v>
      </c>
      <c r="AJ230" s="48">
        <v>20012</v>
      </c>
      <c r="AK230" s="48">
        <v>20003</v>
      </c>
      <c r="AL230" s="48">
        <v>20004</v>
      </c>
      <c r="AM230" s="48">
        <v>20005</v>
      </c>
      <c r="AN230" s="25">
        <v>0</v>
      </c>
      <c r="AO230" s="49">
        <v>3</v>
      </c>
      <c r="AP230" s="50">
        <v>75</v>
      </c>
      <c r="AQ230" s="51" t="s">
        <v>1575</v>
      </c>
      <c r="AR230" s="51">
        <f>=F230*247.95</f>
        <v>2614632.75</v>
      </c>
      <c r="AS230" s="51">
        <f>=G230*32.6061</f>
        <v>3325.8222</v>
      </c>
      <c r="AT230" s="51">
        <f>=J230*2.35</f>
        <v>14701.6</v>
      </c>
      <c r="AU230" s="47">
        <f>=H230*15.88</f>
        <v>794</v>
      </c>
    </row>
    <row r="231" spans="1:47">
      <c r="A231" s="24" t="s">
        <v>1572</v>
      </c>
      <c r="B231" s="24">
        <v>11613</v>
      </c>
      <c r="C231" s="24" t="s">
        <v>1573</v>
      </c>
      <c r="D231" s="24" t="s">
        <v>1574</v>
      </c>
      <c r="E231" s="24">
        <v>900011613</v>
      </c>
      <c r="F231" s="24">
        <v>10945</v>
      </c>
      <c r="G231" s="24">
        <v>116</v>
      </c>
      <c r="H231" s="24">
        <v>50</v>
      </c>
      <c r="I231" s="25">
        <v>0.5</v>
      </c>
      <c r="J231" s="24">
        <v>7146</v>
      </c>
      <c r="K231" s="24" t="b">
        <v>1</v>
      </c>
      <c r="L231" s="25">
        <v>0</v>
      </c>
      <c r="M231" s="47">
        <v>0</v>
      </c>
      <c r="N231" s="25">
        <v>0.0769</v>
      </c>
      <c r="O231" s="47">
        <v>13.0039</v>
      </c>
      <c r="P231" s="25">
        <v>0.5</v>
      </c>
      <c r="Q231" s="24">
        <v>2</v>
      </c>
      <c r="R231" s="24">
        <v>4</v>
      </c>
      <c r="S231" s="25">
        <v>0.5</v>
      </c>
      <c r="T231" s="24">
        <v>0.2</v>
      </c>
      <c r="U231" s="24">
        <v>-0.2</v>
      </c>
      <c r="V231" s="24">
        <v>0</v>
      </c>
      <c r="W231" s="24">
        <v>-0.2</v>
      </c>
      <c r="X231" s="24">
        <v>0</v>
      </c>
      <c r="Y231" s="24">
        <v>0.2</v>
      </c>
      <c r="Z231" s="24">
        <v>-0.2</v>
      </c>
      <c r="AA231" s="24">
        <v>0</v>
      </c>
      <c r="AB231" s="24">
        <v>-0.2</v>
      </c>
      <c r="AC231" s="24">
        <v>0</v>
      </c>
      <c r="AD231" s="24">
        <v>0.2</v>
      </c>
      <c r="AE231" s="24">
        <v>-0.2</v>
      </c>
      <c r="AF231" s="24">
        <v>0</v>
      </c>
      <c r="AG231" s="24">
        <v>-0.2</v>
      </c>
      <c r="AH231" s="24">
        <v>0</v>
      </c>
      <c r="AI231" s="48">
        <v>20001</v>
      </c>
      <c r="AJ231" s="48">
        <v>20012</v>
      </c>
      <c r="AK231" s="48">
        <v>20003</v>
      </c>
      <c r="AL231" s="48">
        <v>20004</v>
      </c>
      <c r="AM231" s="48">
        <v>20005</v>
      </c>
      <c r="AN231" s="25">
        <v>0</v>
      </c>
      <c r="AO231" s="49">
        <v>3</v>
      </c>
      <c r="AP231" s="50">
        <v>75</v>
      </c>
      <c r="AQ231" s="51" t="s">
        <v>1576</v>
      </c>
      <c r="AR231" s="51">
        <f>=F231*247.95</f>
        <v>2713812.75</v>
      </c>
      <c r="AS231" s="51">
        <f>=G231*32.6061</f>
        <v>3782.3076</v>
      </c>
      <c r="AT231" s="51">
        <f>=J231*2.35</f>
        <v>16793.1</v>
      </c>
      <c r="AU231" s="47">
        <f>=H231*15.88</f>
        <v>794</v>
      </c>
    </row>
    <row r="232" spans="1:47">
      <c r="A232" s="24" t="s">
        <v>659</v>
      </c>
      <c r="B232" s="24">
        <v>11621</v>
      </c>
      <c r="C232" s="24" t="s">
        <v>1577</v>
      </c>
      <c r="D232" s="24" t="s">
        <v>1056</v>
      </c>
      <c r="E232" s="24">
        <v>900011621</v>
      </c>
      <c r="F232" s="24">
        <v>9904</v>
      </c>
      <c r="G232" s="24">
        <v>102</v>
      </c>
      <c r="H232" s="24">
        <v>50</v>
      </c>
      <c r="I232" s="25">
        <v>0.5</v>
      </c>
      <c r="J232" s="24">
        <v>5253</v>
      </c>
      <c r="K232" s="24" t="b">
        <v>1</v>
      </c>
      <c r="L232" s="25">
        <v>0</v>
      </c>
      <c r="M232" s="47">
        <v>0</v>
      </c>
      <c r="N232" s="25">
        <v>0.1428</v>
      </c>
      <c r="O232" s="47">
        <v>7.002801</v>
      </c>
      <c r="P232" s="25">
        <v>1</v>
      </c>
      <c r="Q232" s="24">
        <v>2</v>
      </c>
      <c r="R232" s="24">
        <v>3</v>
      </c>
      <c r="S232" s="25">
        <v>0.5</v>
      </c>
      <c r="T232" s="24">
        <v>0.2</v>
      </c>
      <c r="U232" s="24">
        <v>-0.2</v>
      </c>
      <c r="V232" s="24">
        <v>0</v>
      </c>
      <c r="W232" s="24">
        <v>-0.2</v>
      </c>
      <c r="X232" s="24">
        <v>0</v>
      </c>
      <c r="Y232" s="24">
        <v>0.2</v>
      </c>
      <c r="Z232" s="24">
        <v>-0.2</v>
      </c>
      <c r="AA232" s="24">
        <v>0</v>
      </c>
      <c r="AB232" s="24">
        <v>-0.2</v>
      </c>
      <c r="AC232" s="24">
        <v>0</v>
      </c>
      <c r="AD232" s="24">
        <v>0.2</v>
      </c>
      <c r="AE232" s="24">
        <v>-0.2</v>
      </c>
      <c r="AF232" s="24">
        <v>0</v>
      </c>
      <c r="AG232" s="24">
        <v>-0.2</v>
      </c>
      <c r="AH232" s="24">
        <v>0</v>
      </c>
      <c r="AI232" s="48">
        <v>20001</v>
      </c>
      <c r="AJ232" s="48">
        <v>20012</v>
      </c>
      <c r="AK232" s="48">
        <v>20003</v>
      </c>
      <c r="AL232" s="48">
        <v>20004</v>
      </c>
      <c r="AM232" s="48">
        <v>20005</v>
      </c>
      <c r="AN232" s="25">
        <v>0</v>
      </c>
      <c r="AO232" s="49">
        <v>3</v>
      </c>
      <c r="AP232" s="50">
        <v>75</v>
      </c>
      <c r="AQ232" s="51" t="s">
        <v>1562</v>
      </c>
      <c r="AR232" s="51">
        <f>=F232*247.95</f>
        <v>2455696.8</v>
      </c>
      <c r="AS232" s="51">
        <f>=G232*32.6061</f>
        <v>3325.8222</v>
      </c>
      <c r="AT232" s="51">
        <f>=J232*2.35</f>
        <v>12344.55</v>
      </c>
      <c r="AU232" s="47">
        <f>=H232*15.88</f>
        <v>794</v>
      </c>
    </row>
    <row r="233" spans="1:47">
      <c r="A233" s="24" t="s">
        <v>1578</v>
      </c>
      <c r="B233" s="24">
        <v>11622</v>
      </c>
      <c r="C233" s="24" t="s">
        <v>1579</v>
      </c>
      <c r="D233" s="24" t="s">
        <v>1580</v>
      </c>
      <c r="E233" s="24">
        <v>900011622</v>
      </c>
      <c r="F233" s="24">
        <v>9904</v>
      </c>
      <c r="G233" s="24">
        <v>102</v>
      </c>
      <c r="H233" s="24">
        <v>50</v>
      </c>
      <c r="I233" s="25">
        <v>0.5</v>
      </c>
      <c r="J233" s="24">
        <v>5253</v>
      </c>
      <c r="K233" s="24" t="b">
        <v>1</v>
      </c>
      <c r="L233" s="25">
        <v>0</v>
      </c>
      <c r="M233" s="47">
        <v>0</v>
      </c>
      <c r="N233" s="25">
        <v>0.1428</v>
      </c>
      <c r="O233" s="47">
        <v>7.002801</v>
      </c>
      <c r="P233" s="25">
        <v>1</v>
      </c>
      <c r="Q233" s="24">
        <v>2</v>
      </c>
      <c r="R233" s="24">
        <v>3</v>
      </c>
      <c r="S233" s="25">
        <v>0.5</v>
      </c>
      <c r="T233" s="24">
        <v>0.2</v>
      </c>
      <c r="U233" s="24">
        <v>-0.2</v>
      </c>
      <c r="V233" s="24">
        <v>0</v>
      </c>
      <c r="W233" s="24">
        <v>-0.2</v>
      </c>
      <c r="X233" s="24">
        <v>0</v>
      </c>
      <c r="Y233" s="24">
        <v>0.2</v>
      </c>
      <c r="Z233" s="24">
        <v>-0.2</v>
      </c>
      <c r="AA233" s="24">
        <v>0</v>
      </c>
      <c r="AB233" s="24">
        <v>-0.2</v>
      </c>
      <c r="AC233" s="24">
        <v>0</v>
      </c>
      <c r="AD233" s="24">
        <v>0.2</v>
      </c>
      <c r="AE233" s="24">
        <v>-0.2</v>
      </c>
      <c r="AF233" s="24">
        <v>0</v>
      </c>
      <c r="AG233" s="24">
        <v>-0.2</v>
      </c>
      <c r="AH233" s="24">
        <v>0</v>
      </c>
      <c r="AI233" s="48">
        <v>20001</v>
      </c>
      <c r="AJ233" s="48">
        <v>20012</v>
      </c>
      <c r="AK233" s="48">
        <v>20003</v>
      </c>
      <c r="AL233" s="48">
        <v>20004</v>
      </c>
      <c r="AM233" s="48">
        <v>20005</v>
      </c>
      <c r="AN233" s="25">
        <v>0</v>
      </c>
      <c r="AO233" s="49">
        <v>3</v>
      </c>
      <c r="AP233" s="50">
        <v>75</v>
      </c>
      <c r="AQ233" s="51" t="s">
        <v>1566</v>
      </c>
      <c r="AR233" s="51">
        <f>=F233*247.95</f>
        <v>2455696.8</v>
      </c>
      <c r="AS233" s="51">
        <f>=G233*32.6061</f>
        <v>3325.8222</v>
      </c>
      <c r="AT233" s="51">
        <f>=J233*2.35</f>
        <v>12344.55</v>
      </c>
      <c r="AU233" s="47">
        <f>=H233*15.88</f>
        <v>794</v>
      </c>
    </row>
    <row r="234" spans="1:47">
      <c r="A234" s="24" t="s">
        <v>1578</v>
      </c>
      <c r="B234" s="24">
        <v>11623</v>
      </c>
      <c r="C234" s="24" t="s">
        <v>1579</v>
      </c>
      <c r="D234" s="24" t="s">
        <v>1580</v>
      </c>
      <c r="E234" s="24">
        <v>900011623</v>
      </c>
      <c r="F234" s="24">
        <v>10220</v>
      </c>
      <c r="G234" s="24">
        <v>116</v>
      </c>
      <c r="H234" s="24">
        <v>50</v>
      </c>
      <c r="I234" s="25">
        <v>0.5</v>
      </c>
      <c r="J234" s="24">
        <v>5958</v>
      </c>
      <c r="K234" s="24" t="b">
        <v>1</v>
      </c>
      <c r="L234" s="25">
        <v>0</v>
      </c>
      <c r="M234" s="47">
        <v>0</v>
      </c>
      <c r="N234" s="25">
        <v>0.1428</v>
      </c>
      <c r="O234" s="47">
        <v>7.002801</v>
      </c>
      <c r="P234" s="25">
        <v>1</v>
      </c>
      <c r="Q234" s="24">
        <v>2</v>
      </c>
      <c r="R234" s="24">
        <v>4</v>
      </c>
      <c r="S234" s="25">
        <v>0.5</v>
      </c>
      <c r="T234" s="24">
        <v>0.2</v>
      </c>
      <c r="U234" s="24">
        <v>-0.2</v>
      </c>
      <c r="V234" s="24">
        <v>0</v>
      </c>
      <c r="W234" s="24">
        <v>-0.2</v>
      </c>
      <c r="X234" s="24">
        <v>0</v>
      </c>
      <c r="Y234" s="24">
        <v>0.2</v>
      </c>
      <c r="Z234" s="24">
        <v>-0.2</v>
      </c>
      <c r="AA234" s="24">
        <v>0</v>
      </c>
      <c r="AB234" s="24">
        <v>-0.2</v>
      </c>
      <c r="AC234" s="24">
        <v>0</v>
      </c>
      <c r="AD234" s="24">
        <v>0.2</v>
      </c>
      <c r="AE234" s="24">
        <v>-0.2</v>
      </c>
      <c r="AF234" s="24">
        <v>0</v>
      </c>
      <c r="AG234" s="24">
        <v>-0.2</v>
      </c>
      <c r="AH234" s="24">
        <v>0</v>
      </c>
      <c r="AI234" s="48">
        <v>20001</v>
      </c>
      <c r="AJ234" s="48">
        <v>20012</v>
      </c>
      <c r="AK234" s="48">
        <v>20003</v>
      </c>
      <c r="AL234" s="48">
        <v>20004</v>
      </c>
      <c r="AM234" s="48">
        <v>20005</v>
      </c>
      <c r="AN234" s="25">
        <v>0</v>
      </c>
      <c r="AO234" s="49">
        <v>3</v>
      </c>
      <c r="AP234" s="50">
        <v>75</v>
      </c>
      <c r="AQ234" s="51" t="s">
        <v>1567</v>
      </c>
      <c r="AR234" s="51">
        <f>=F234*247.95</f>
        <v>2534049</v>
      </c>
      <c r="AS234" s="51">
        <f>=G234*32.6061</f>
        <v>3782.3076</v>
      </c>
      <c r="AT234" s="51">
        <f>=J234*2.35</f>
        <v>14001.3</v>
      </c>
      <c r="AU234" s="47">
        <f>=H234*15.88</f>
        <v>794</v>
      </c>
    </row>
    <row r="235" spans="1:47">
      <c r="A235" s="24" t="s">
        <v>1581</v>
      </c>
      <c r="B235" s="24">
        <v>11641</v>
      </c>
      <c r="C235" s="24" t="s">
        <v>1582</v>
      </c>
      <c r="D235" s="24" t="s">
        <v>1583</v>
      </c>
      <c r="E235" s="24">
        <v>900011641</v>
      </c>
      <c r="F235" s="24">
        <v>17918</v>
      </c>
      <c r="G235" s="24">
        <v>120</v>
      </c>
      <c r="H235" s="24">
        <v>60</v>
      </c>
      <c r="I235" s="25">
        <v>0.5</v>
      </c>
      <c r="J235" s="24">
        <v>5543</v>
      </c>
      <c r="K235" s="24" t="b">
        <v>1</v>
      </c>
      <c r="L235" s="25">
        <v>0</v>
      </c>
      <c r="M235" s="47">
        <v>0</v>
      </c>
      <c r="N235" s="25">
        <v>0.1428</v>
      </c>
      <c r="O235" s="47">
        <v>7.002801</v>
      </c>
      <c r="P235" s="25">
        <v>1</v>
      </c>
      <c r="Q235" s="24">
        <v>3</v>
      </c>
      <c r="R235" s="24">
        <v>1</v>
      </c>
      <c r="S235" s="25">
        <v>0.75</v>
      </c>
      <c r="T235" s="24">
        <v>0</v>
      </c>
      <c r="U235" s="24">
        <v>0</v>
      </c>
      <c r="V235" s="24">
        <v>0</v>
      </c>
      <c r="W235" s="24">
        <v>0</v>
      </c>
      <c r="X235" s="24">
        <v>0</v>
      </c>
      <c r="Y235" s="24">
        <v>0</v>
      </c>
      <c r="Z235" s="24">
        <v>0</v>
      </c>
      <c r="AA235" s="24">
        <v>0</v>
      </c>
      <c r="AB235" s="24">
        <v>0</v>
      </c>
      <c r="AC235" s="24">
        <v>0</v>
      </c>
      <c r="AD235" s="24">
        <v>0</v>
      </c>
      <c r="AE235" s="24">
        <v>0</v>
      </c>
      <c r="AF235" s="24">
        <v>0</v>
      </c>
      <c r="AG235" s="24">
        <v>0</v>
      </c>
      <c r="AH235" s="24">
        <v>0</v>
      </c>
      <c r="AI235" s="48">
        <v>30011</v>
      </c>
      <c r="AJ235" s="48">
        <v>30002</v>
      </c>
      <c r="AK235" s="48">
        <v>30003</v>
      </c>
      <c r="AL235" s="48">
        <v>30004</v>
      </c>
      <c r="AM235" s="48">
        <v>30005</v>
      </c>
      <c r="AN235" s="25">
        <v>0</v>
      </c>
      <c r="AO235" s="49">
        <v>5</v>
      </c>
      <c r="AP235" s="50">
        <v>100</v>
      </c>
      <c r="AQ235" s="51" t="s">
        <v>1584</v>
      </c>
      <c r="AR235" s="51">
        <f>=F235*247.95</f>
        <v>4442768.1</v>
      </c>
      <c r="AS235" s="51">
        <f>=G235*32.6061</f>
        <v>3912.732</v>
      </c>
      <c r="AT235" s="51">
        <f>=J235*2.35</f>
        <v>13026.05</v>
      </c>
      <c r="AU235" s="47">
        <f>=H235*15.88</f>
        <v>952.8</v>
      </c>
    </row>
    <row r="236" spans="1:47">
      <c r="A236" s="24" t="s">
        <v>1585</v>
      </c>
      <c r="B236" s="24">
        <v>11642</v>
      </c>
      <c r="C236" s="24" t="s">
        <v>1586</v>
      </c>
      <c r="D236" s="24" t="s">
        <v>1587</v>
      </c>
      <c r="E236" s="24">
        <v>900011642</v>
      </c>
      <c r="F236" s="24">
        <v>17918</v>
      </c>
      <c r="G236" s="24">
        <v>120</v>
      </c>
      <c r="H236" s="24">
        <v>60</v>
      </c>
      <c r="I236" s="25">
        <v>0.5</v>
      </c>
      <c r="J236" s="24">
        <v>5543</v>
      </c>
      <c r="K236" s="24" t="b">
        <v>1</v>
      </c>
      <c r="L236" s="25">
        <v>0</v>
      </c>
      <c r="M236" s="47">
        <v>0</v>
      </c>
      <c r="N236" s="25">
        <v>0.1428</v>
      </c>
      <c r="O236" s="47">
        <v>7.002801</v>
      </c>
      <c r="P236" s="25">
        <v>1</v>
      </c>
      <c r="Q236" s="24">
        <v>3</v>
      </c>
      <c r="R236" s="24">
        <v>1</v>
      </c>
      <c r="S236" s="25">
        <v>0.75</v>
      </c>
      <c r="T236" s="24">
        <v>0.2</v>
      </c>
      <c r="U236" s="24">
        <v>0</v>
      </c>
      <c r="V236" s="24">
        <v>0</v>
      </c>
      <c r="W236" s="24">
        <v>-0.2</v>
      </c>
      <c r="X236" s="24">
        <v>0</v>
      </c>
      <c r="Y236" s="24">
        <v>0.2</v>
      </c>
      <c r="Z236" s="24">
        <v>0</v>
      </c>
      <c r="AA236" s="24">
        <v>0</v>
      </c>
      <c r="AB236" s="24">
        <v>-0.2</v>
      </c>
      <c r="AC236" s="24">
        <v>0</v>
      </c>
      <c r="AD236" s="24">
        <v>0.2</v>
      </c>
      <c r="AE236" s="24">
        <v>0</v>
      </c>
      <c r="AF236" s="24">
        <v>0</v>
      </c>
      <c r="AG236" s="24">
        <v>-0.2</v>
      </c>
      <c r="AH236" s="24">
        <v>0</v>
      </c>
      <c r="AI236" s="48">
        <v>30011</v>
      </c>
      <c r="AJ236" s="48">
        <v>30002</v>
      </c>
      <c r="AK236" s="48">
        <v>30003</v>
      </c>
      <c r="AL236" s="48">
        <v>30004</v>
      </c>
      <c r="AM236" s="48">
        <v>30005</v>
      </c>
      <c r="AN236" s="25">
        <v>0</v>
      </c>
      <c r="AO236" s="49">
        <v>5</v>
      </c>
      <c r="AP236" s="50">
        <v>100</v>
      </c>
      <c r="AQ236" s="51" t="s">
        <v>1588</v>
      </c>
      <c r="AR236" s="51">
        <f>=F236*247.95</f>
        <v>4442768.1</v>
      </c>
      <c r="AS236" s="51">
        <f>=G236*32.6061</f>
        <v>3912.732</v>
      </c>
      <c r="AT236" s="51">
        <f>=J236*2.35</f>
        <v>13026.05</v>
      </c>
      <c r="AU236" s="47">
        <f>=H236*15.88</f>
        <v>952.8</v>
      </c>
    </row>
    <row r="237" spans="1:47">
      <c r="A237" s="24" t="s">
        <v>1589</v>
      </c>
      <c r="B237" s="24">
        <v>11651</v>
      </c>
      <c r="C237" s="24" t="s">
        <v>1590</v>
      </c>
      <c r="D237" s="24" t="s">
        <v>1591</v>
      </c>
      <c r="E237" s="24">
        <v>900011651</v>
      </c>
      <c r="F237" s="24">
        <v>472</v>
      </c>
      <c r="G237" s="24">
        <v>63</v>
      </c>
      <c r="H237" s="24">
        <v>36</v>
      </c>
      <c r="I237" s="25">
        <v>0.5</v>
      </c>
      <c r="J237" s="24">
        <v>630</v>
      </c>
      <c r="K237" s="24" t="b">
        <v>0</v>
      </c>
      <c r="L237" s="25">
        <v>0</v>
      </c>
      <c r="M237" s="47">
        <v>0</v>
      </c>
      <c r="N237" s="25">
        <v>0.1538</v>
      </c>
      <c r="O237" s="47">
        <v>6.5</v>
      </c>
      <c r="P237" s="25">
        <v>0.5</v>
      </c>
      <c r="Q237" s="24">
        <v>1</v>
      </c>
      <c r="R237" s="24">
        <v>99</v>
      </c>
      <c r="S237" s="22">
        <v>0</v>
      </c>
      <c r="T237" s="24">
        <v>0</v>
      </c>
      <c r="U237" s="24">
        <v>0</v>
      </c>
      <c r="V237" s="24">
        <v>0</v>
      </c>
      <c r="W237" s="24">
        <v>0</v>
      </c>
      <c r="X237" s="24">
        <v>0</v>
      </c>
      <c r="Y237" s="24">
        <v>0</v>
      </c>
      <c r="Z237" s="24">
        <v>0</v>
      </c>
      <c r="AA237" s="24">
        <v>0</v>
      </c>
      <c r="AB237" s="24">
        <v>0</v>
      </c>
      <c r="AC237" s="24">
        <v>0</v>
      </c>
      <c r="AD237" s="24">
        <v>0</v>
      </c>
      <c r="AE237" s="24">
        <v>0</v>
      </c>
      <c r="AF237" s="24">
        <v>0</v>
      </c>
      <c r="AG237" s="24">
        <v>0</v>
      </c>
      <c r="AH237" s="24">
        <v>0</v>
      </c>
      <c r="AI237" s="48">
        <v>10001</v>
      </c>
      <c r="AJ237" s="48">
        <v>10002</v>
      </c>
      <c r="AK237" s="48">
        <v>10003</v>
      </c>
      <c r="AL237" s="48">
        <v>10004</v>
      </c>
      <c r="AM237" s="48">
        <v>10005</v>
      </c>
      <c r="AN237" s="25">
        <v>0</v>
      </c>
      <c r="AO237" s="49">
        <v>3</v>
      </c>
      <c r="AP237" s="50">
        <v>50</v>
      </c>
      <c r="AQ237" s="51" t="s">
        <v>1455</v>
      </c>
      <c r="AR237" s="51">
        <f>=F237*247.95</f>
        <v>117032.4</v>
      </c>
      <c r="AS237" s="51">
        <f>=G237*32.6061</f>
        <v>2054.1843</v>
      </c>
      <c r="AT237" s="51">
        <f>=J237*2.35</f>
        <v>1480.5</v>
      </c>
      <c r="AU237" s="47">
        <f>=H237*15.88</f>
        <v>571.68</v>
      </c>
    </row>
    <row r="238" spans="1:47">
      <c r="A238" s="24" t="s">
        <v>1589</v>
      </c>
      <c r="B238" s="24">
        <v>11652</v>
      </c>
      <c r="C238" s="24" t="s">
        <v>1590</v>
      </c>
      <c r="D238" s="24" t="s">
        <v>1591</v>
      </c>
      <c r="E238" s="24">
        <v>900011652</v>
      </c>
      <c r="F238" s="24">
        <v>472</v>
      </c>
      <c r="G238" s="24">
        <v>63</v>
      </c>
      <c r="H238" s="24">
        <v>36</v>
      </c>
      <c r="I238" s="25">
        <v>0.5</v>
      </c>
      <c r="J238" s="24">
        <v>630</v>
      </c>
      <c r="K238" s="24" t="b">
        <v>0</v>
      </c>
      <c r="L238" s="25">
        <v>0</v>
      </c>
      <c r="M238" s="47">
        <v>0</v>
      </c>
      <c r="N238" s="25">
        <v>0.1538</v>
      </c>
      <c r="O238" s="47">
        <v>6.5</v>
      </c>
      <c r="P238" s="25">
        <v>0.5</v>
      </c>
      <c r="Q238" s="24">
        <v>1</v>
      </c>
      <c r="R238" s="24">
        <v>99</v>
      </c>
      <c r="S238" s="22">
        <v>0</v>
      </c>
      <c r="T238" s="24">
        <v>0</v>
      </c>
      <c r="U238" s="24">
        <v>0</v>
      </c>
      <c r="V238" s="24">
        <v>0</v>
      </c>
      <c r="W238" s="24">
        <v>0</v>
      </c>
      <c r="X238" s="24">
        <v>0</v>
      </c>
      <c r="Y238" s="24">
        <v>0</v>
      </c>
      <c r="Z238" s="24">
        <v>0</v>
      </c>
      <c r="AA238" s="24">
        <v>0</v>
      </c>
      <c r="AB238" s="24">
        <v>0</v>
      </c>
      <c r="AC238" s="24">
        <v>0</v>
      </c>
      <c r="AD238" s="24">
        <v>0</v>
      </c>
      <c r="AE238" s="24">
        <v>0</v>
      </c>
      <c r="AF238" s="24">
        <v>0</v>
      </c>
      <c r="AG238" s="24">
        <v>0</v>
      </c>
      <c r="AH238" s="24">
        <v>0</v>
      </c>
      <c r="AI238" s="48">
        <v>10001</v>
      </c>
      <c r="AJ238" s="48">
        <v>10002</v>
      </c>
      <c r="AK238" s="48">
        <v>10003</v>
      </c>
      <c r="AL238" s="48">
        <v>10004</v>
      </c>
      <c r="AM238" s="48">
        <v>10005</v>
      </c>
      <c r="AN238" s="25">
        <v>0</v>
      </c>
      <c r="AO238" s="49">
        <v>3</v>
      </c>
      <c r="AP238" s="50">
        <v>50</v>
      </c>
      <c r="AQ238" s="51" t="s">
        <v>1455</v>
      </c>
      <c r="AR238" s="51">
        <f>=F238*247.95</f>
        <v>117032.4</v>
      </c>
      <c r="AS238" s="51">
        <f>=G238*32.6061</f>
        <v>2054.1843</v>
      </c>
      <c r="AT238" s="51">
        <f>=J238*2.35</f>
        <v>1480.5</v>
      </c>
      <c r="AU238" s="47">
        <f>=H238*15.88</f>
        <v>571.68</v>
      </c>
    </row>
    <row r="239" spans="1:47">
      <c r="A239" s="24" t="s">
        <v>1589</v>
      </c>
      <c r="B239" s="24">
        <v>11653</v>
      </c>
      <c r="C239" s="24" t="s">
        <v>1590</v>
      </c>
      <c r="D239" s="24" t="s">
        <v>1591</v>
      </c>
      <c r="E239" s="24">
        <v>900011653</v>
      </c>
      <c r="F239" s="24">
        <v>472</v>
      </c>
      <c r="G239" s="24">
        <v>63</v>
      </c>
      <c r="H239" s="24">
        <v>36</v>
      </c>
      <c r="I239" s="25">
        <v>0.5</v>
      </c>
      <c r="J239" s="24">
        <v>630</v>
      </c>
      <c r="K239" s="24" t="b">
        <v>0</v>
      </c>
      <c r="L239" s="25">
        <v>0</v>
      </c>
      <c r="M239" s="47">
        <v>0</v>
      </c>
      <c r="N239" s="25">
        <v>0.1538</v>
      </c>
      <c r="O239" s="47">
        <v>6.5</v>
      </c>
      <c r="P239" s="25">
        <v>0.5</v>
      </c>
      <c r="Q239" s="24">
        <v>1</v>
      </c>
      <c r="R239" s="24">
        <v>99</v>
      </c>
      <c r="S239" s="22">
        <v>0</v>
      </c>
      <c r="T239" s="24">
        <v>0</v>
      </c>
      <c r="U239" s="24">
        <v>0</v>
      </c>
      <c r="V239" s="24">
        <v>0</v>
      </c>
      <c r="W239" s="24">
        <v>0</v>
      </c>
      <c r="X239" s="24">
        <v>0</v>
      </c>
      <c r="Y239" s="24">
        <v>0</v>
      </c>
      <c r="Z239" s="24">
        <v>0</v>
      </c>
      <c r="AA239" s="24">
        <v>0</v>
      </c>
      <c r="AB239" s="24">
        <v>0</v>
      </c>
      <c r="AC239" s="24">
        <v>0</v>
      </c>
      <c r="AD239" s="24">
        <v>0</v>
      </c>
      <c r="AE239" s="24">
        <v>0</v>
      </c>
      <c r="AF239" s="24">
        <v>0</v>
      </c>
      <c r="AG239" s="24">
        <v>0</v>
      </c>
      <c r="AH239" s="24">
        <v>0</v>
      </c>
      <c r="AI239" s="48">
        <v>10001</v>
      </c>
      <c r="AJ239" s="48">
        <v>10002</v>
      </c>
      <c r="AK239" s="48">
        <v>10003</v>
      </c>
      <c r="AL239" s="48">
        <v>10004</v>
      </c>
      <c r="AM239" s="48">
        <v>10005</v>
      </c>
      <c r="AN239" s="25">
        <v>0</v>
      </c>
      <c r="AO239" s="49">
        <v>3</v>
      </c>
      <c r="AP239" s="50">
        <v>50</v>
      </c>
      <c r="AQ239" s="51" t="s">
        <v>1455</v>
      </c>
      <c r="AR239" s="51">
        <f>=F239*247.95</f>
        <v>117032.4</v>
      </c>
      <c r="AS239" s="51">
        <f>=G239*32.6061</f>
        <v>2054.1843</v>
      </c>
      <c r="AT239" s="51">
        <f>=J239*2.35</f>
        <v>1480.5</v>
      </c>
      <c r="AU239" s="47">
        <f>=H239*15.88</f>
        <v>571.68</v>
      </c>
    </row>
    <row r="240" spans="1:47">
      <c r="A240" s="24" t="s">
        <v>1589</v>
      </c>
      <c r="B240" s="24">
        <v>11654</v>
      </c>
      <c r="C240" s="24" t="s">
        <v>1590</v>
      </c>
      <c r="D240" s="24" t="s">
        <v>1591</v>
      </c>
      <c r="E240" s="24">
        <v>900011654</v>
      </c>
      <c r="F240" s="24">
        <v>472</v>
      </c>
      <c r="G240" s="24">
        <v>63</v>
      </c>
      <c r="H240" s="24">
        <v>36</v>
      </c>
      <c r="I240" s="25">
        <v>0.5</v>
      </c>
      <c r="J240" s="24">
        <v>630</v>
      </c>
      <c r="K240" s="24" t="b">
        <v>0</v>
      </c>
      <c r="L240" s="25">
        <v>0</v>
      </c>
      <c r="M240" s="47">
        <v>0</v>
      </c>
      <c r="N240" s="25">
        <v>0.1538</v>
      </c>
      <c r="O240" s="47">
        <v>6.5</v>
      </c>
      <c r="P240" s="25">
        <v>0.5</v>
      </c>
      <c r="Q240" s="24">
        <v>1</v>
      </c>
      <c r="R240" s="24">
        <v>99</v>
      </c>
      <c r="S240" s="22">
        <v>0</v>
      </c>
      <c r="T240" s="24">
        <v>0</v>
      </c>
      <c r="U240" s="24">
        <v>0</v>
      </c>
      <c r="V240" s="24">
        <v>0</v>
      </c>
      <c r="W240" s="24">
        <v>0</v>
      </c>
      <c r="X240" s="24">
        <v>0</v>
      </c>
      <c r="Y240" s="24">
        <v>0</v>
      </c>
      <c r="Z240" s="24">
        <v>0</v>
      </c>
      <c r="AA240" s="24">
        <v>0</v>
      </c>
      <c r="AB240" s="24">
        <v>0</v>
      </c>
      <c r="AC240" s="24">
        <v>0</v>
      </c>
      <c r="AD240" s="24">
        <v>0</v>
      </c>
      <c r="AE240" s="24">
        <v>0</v>
      </c>
      <c r="AF240" s="24">
        <v>0</v>
      </c>
      <c r="AG240" s="24">
        <v>0</v>
      </c>
      <c r="AH240" s="24">
        <v>0</v>
      </c>
      <c r="AI240" s="48">
        <v>10001</v>
      </c>
      <c r="AJ240" s="48">
        <v>10002</v>
      </c>
      <c r="AK240" s="48">
        <v>10003</v>
      </c>
      <c r="AL240" s="48">
        <v>10004</v>
      </c>
      <c r="AM240" s="48">
        <v>10005</v>
      </c>
      <c r="AN240" s="25">
        <v>0</v>
      </c>
      <c r="AO240" s="49">
        <v>3</v>
      </c>
      <c r="AP240" s="50">
        <v>50</v>
      </c>
      <c r="AQ240" s="51" t="s">
        <v>1455</v>
      </c>
      <c r="AR240" s="51">
        <f>=F240*247.95</f>
        <v>117032.4</v>
      </c>
      <c r="AS240" s="51">
        <f>=G240*32.6061</f>
        <v>2054.1843</v>
      </c>
      <c r="AT240" s="51">
        <f>=J240*2.35</f>
        <v>1480.5</v>
      </c>
      <c r="AU240" s="47">
        <f>=H240*15.88</f>
        <v>571.68</v>
      </c>
    </row>
    <row r="241" spans="1:47">
      <c r="A241" s="24" t="s">
        <v>1589</v>
      </c>
      <c r="B241" s="24">
        <v>11661</v>
      </c>
      <c r="C241" s="24" t="s">
        <v>1590</v>
      </c>
      <c r="D241" s="24" t="s">
        <v>1591</v>
      </c>
      <c r="E241" s="24">
        <v>900011661</v>
      </c>
      <c r="F241" s="24">
        <v>472</v>
      </c>
      <c r="G241" s="24">
        <v>63</v>
      </c>
      <c r="H241" s="24">
        <v>36</v>
      </c>
      <c r="I241" s="25">
        <v>0.5</v>
      </c>
      <c r="J241" s="24">
        <v>630</v>
      </c>
      <c r="K241" s="24" t="b">
        <v>0</v>
      </c>
      <c r="L241" s="25">
        <v>0</v>
      </c>
      <c r="M241" s="47">
        <v>0</v>
      </c>
      <c r="N241" s="25">
        <v>0.1538</v>
      </c>
      <c r="O241" s="47">
        <v>6.5</v>
      </c>
      <c r="P241" s="25">
        <v>0.5</v>
      </c>
      <c r="Q241" s="24">
        <v>1</v>
      </c>
      <c r="R241" s="24">
        <v>99</v>
      </c>
      <c r="S241" s="22">
        <v>0</v>
      </c>
      <c r="T241" s="24">
        <v>0</v>
      </c>
      <c r="U241" s="24">
        <v>0</v>
      </c>
      <c r="V241" s="24">
        <v>0</v>
      </c>
      <c r="W241" s="24">
        <v>0</v>
      </c>
      <c r="X241" s="24">
        <v>0</v>
      </c>
      <c r="Y241" s="24">
        <v>0</v>
      </c>
      <c r="Z241" s="24">
        <v>0</v>
      </c>
      <c r="AA241" s="24">
        <v>0</v>
      </c>
      <c r="AB241" s="24">
        <v>0</v>
      </c>
      <c r="AC241" s="24">
        <v>0</v>
      </c>
      <c r="AD241" s="24">
        <v>0</v>
      </c>
      <c r="AE241" s="24">
        <v>0</v>
      </c>
      <c r="AF241" s="24">
        <v>0</v>
      </c>
      <c r="AG241" s="24">
        <v>0</v>
      </c>
      <c r="AH241" s="24">
        <v>0</v>
      </c>
      <c r="AI241" s="48">
        <v>10001</v>
      </c>
      <c r="AJ241" s="48">
        <v>10002</v>
      </c>
      <c r="AK241" s="48">
        <v>10003</v>
      </c>
      <c r="AL241" s="48">
        <v>10004</v>
      </c>
      <c r="AM241" s="48">
        <v>10005</v>
      </c>
      <c r="AN241" s="25">
        <v>0</v>
      </c>
      <c r="AO241" s="49">
        <v>3</v>
      </c>
      <c r="AP241" s="50">
        <v>50</v>
      </c>
      <c r="AQ241" s="51" t="s">
        <v>1455</v>
      </c>
      <c r="AR241" s="51">
        <f>=F241*247.95</f>
        <v>117032.4</v>
      </c>
      <c r="AS241" s="51">
        <f>=G241*32.6061</f>
        <v>2054.1843</v>
      </c>
      <c r="AT241" s="51">
        <f>=J241*2.35</f>
        <v>1480.5</v>
      </c>
      <c r="AU241" s="47">
        <f>=H241*15.88</f>
        <v>571.68</v>
      </c>
    </row>
    <row r="242" spans="1:47">
      <c r="A242" s="24" t="s">
        <v>1592</v>
      </c>
      <c r="B242" s="24">
        <v>11671</v>
      </c>
      <c r="C242" s="24" t="s">
        <v>1593</v>
      </c>
      <c r="D242" s="24" t="s">
        <v>1594</v>
      </c>
      <c r="E242" s="24">
        <v>900011671</v>
      </c>
      <c r="F242" s="24">
        <v>21811</v>
      </c>
      <c r="G242" s="24">
        <v>132</v>
      </c>
      <c r="H242" s="24">
        <v>60</v>
      </c>
      <c r="I242" s="25">
        <v>0.5</v>
      </c>
      <c r="J242" s="24">
        <v>5543</v>
      </c>
      <c r="K242" s="24" t="b">
        <v>1</v>
      </c>
      <c r="L242" s="25">
        <v>0</v>
      </c>
      <c r="M242" s="47">
        <v>0</v>
      </c>
      <c r="N242" s="25">
        <v>0.0833</v>
      </c>
      <c r="O242" s="47">
        <v>12.0048</v>
      </c>
      <c r="P242" s="25">
        <v>0.5</v>
      </c>
      <c r="Q242" s="24">
        <v>3</v>
      </c>
      <c r="R242" s="24">
        <v>5</v>
      </c>
      <c r="S242" s="25">
        <v>0.75</v>
      </c>
      <c r="T242" s="24">
        <v>0.2</v>
      </c>
      <c r="U242" s="24">
        <v>-0.2</v>
      </c>
      <c r="V242" s="24">
        <v>0</v>
      </c>
      <c r="W242" s="24">
        <v>-0.2</v>
      </c>
      <c r="X242" s="24">
        <v>0</v>
      </c>
      <c r="Y242" s="24">
        <v>0.2</v>
      </c>
      <c r="Z242" s="24">
        <v>-0.2</v>
      </c>
      <c r="AA242" s="24">
        <v>0</v>
      </c>
      <c r="AB242" s="24">
        <v>-0.2</v>
      </c>
      <c r="AC242" s="24">
        <v>0</v>
      </c>
      <c r="AD242" s="24">
        <v>0.2</v>
      </c>
      <c r="AE242" s="24">
        <v>-0.2</v>
      </c>
      <c r="AF242" s="24">
        <v>0</v>
      </c>
      <c r="AG242" s="24">
        <v>-0.2</v>
      </c>
      <c r="AH242" s="24">
        <v>0</v>
      </c>
      <c r="AI242" s="48">
        <v>30001</v>
      </c>
      <c r="AJ242" s="48">
        <v>30012</v>
      </c>
      <c r="AK242" s="48">
        <v>30003</v>
      </c>
      <c r="AL242" s="48">
        <v>30004</v>
      </c>
      <c r="AM242" s="48">
        <v>30005</v>
      </c>
      <c r="AN242" s="25">
        <v>0</v>
      </c>
      <c r="AO242" s="49">
        <v>5</v>
      </c>
      <c r="AP242" s="50">
        <v>100</v>
      </c>
      <c r="AQ242" s="51" t="s">
        <v>1435</v>
      </c>
      <c r="AR242" s="51">
        <f>=F242*247.95</f>
        <v>5408037.45</v>
      </c>
      <c r="AS242" s="51">
        <f>=G242*32.6061</f>
        <v>4304.0052</v>
      </c>
      <c r="AT242" s="51">
        <f>=J242*2.35</f>
        <v>13026.05</v>
      </c>
      <c r="AU242" s="47">
        <f>=H242*15.88</f>
        <v>952.8</v>
      </c>
    </row>
    <row r="243" spans="1:47">
      <c r="A243" s="24" t="s">
        <v>1595</v>
      </c>
      <c r="B243" s="24">
        <v>11681</v>
      </c>
      <c r="C243" s="24" t="s">
        <v>1596</v>
      </c>
      <c r="D243" s="24" t="s">
        <v>1597</v>
      </c>
      <c r="E243" s="24">
        <v>900011681</v>
      </c>
      <c r="F243" s="24">
        <v>1238</v>
      </c>
      <c r="G243" s="24">
        <v>76</v>
      </c>
      <c r="H243" s="24">
        <v>40</v>
      </c>
      <c r="I243" s="25">
        <v>0.5</v>
      </c>
      <c r="J243" s="24">
        <v>662</v>
      </c>
      <c r="K243" s="24" t="b">
        <v>1</v>
      </c>
      <c r="L243" s="25">
        <v>0</v>
      </c>
      <c r="M243" s="47">
        <v>0</v>
      </c>
      <c r="N243" s="25">
        <v>0.1538</v>
      </c>
      <c r="O243" s="47">
        <v>6.501951</v>
      </c>
      <c r="P243" s="25">
        <v>0.25</v>
      </c>
      <c r="Q243" s="24">
        <v>1</v>
      </c>
      <c r="R243" s="24">
        <v>1</v>
      </c>
      <c r="S243" s="25">
        <v>0</v>
      </c>
      <c r="T243" s="24">
        <v>-0.2</v>
      </c>
      <c r="U243" s="24">
        <v>0</v>
      </c>
      <c r="V243" s="24">
        <v>0</v>
      </c>
      <c r="W243" s="24">
        <v>0</v>
      </c>
      <c r="X243" s="24">
        <v>-0.2</v>
      </c>
      <c r="Y243" s="24">
        <v>-0.2</v>
      </c>
      <c r="Z243" s="24">
        <v>0</v>
      </c>
      <c r="AA243" s="24">
        <v>0</v>
      </c>
      <c r="AB243" s="24">
        <v>0</v>
      </c>
      <c r="AC243" s="24">
        <v>-0.2</v>
      </c>
      <c r="AD243" s="24">
        <v>-0.2</v>
      </c>
      <c r="AE243" s="24">
        <v>0</v>
      </c>
      <c r="AF243" s="24">
        <v>0</v>
      </c>
      <c r="AG243" s="24">
        <v>0</v>
      </c>
      <c r="AH243" s="24">
        <v>-0.2</v>
      </c>
      <c r="AI243" s="48">
        <v>10001</v>
      </c>
      <c r="AJ243" s="48">
        <v>10002</v>
      </c>
      <c r="AK243" s="48">
        <v>10003</v>
      </c>
      <c r="AL243" s="48">
        <v>10004</v>
      </c>
      <c r="AM243" s="48">
        <v>10015</v>
      </c>
      <c r="AN243" s="25">
        <v>0</v>
      </c>
      <c r="AO243" s="49" t="s"/>
      <c r="AP243" s="50">
        <v>50</v>
      </c>
      <c r="AQ243" s="51" t="s">
        <v>1147</v>
      </c>
      <c r="AR243" s="51">
        <f>=F243*247.95</f>
        <v>306962.1</v>
      </c>
      <c r="AS243" s="51">
        <f>=G243*32.6061</f>
        <v>2478.0636</v>
      </c>
      <c r="AT243" s="51">
        <f>=J243*2.35</f>
        <v>1555.7</v>
      </c>
      <c r="AU243" s="47">
        <f>=H243*15.88</f>
        <v>635.2</v>
      </c>
    </row>
    <row r="244" spans="1:47">
      <c r="A244" s="24" t="s">
        <v>1595</v>
      </c>
      <c r="B244" s="24">
        <v>11682</v>
      </c>
      <c r="C244" s="24" t="s">
        <v>1596</v>
      </c>
      <c r="D244" s="24" t="s">
        <v>1597</v>
      </c>
      <c r="E244" s="24">
        <v>900011682</v>
      </c>
      <c r="F244" s="24">
        <v>1514</v>
      </c>
      <c r="G244" s="24">
        <v>76</v>
      </c>
      <c r="H244" s="24">
        <v>40</v>
      </c>
      <c r="I244" s="25">
        <v>0.5</v>
      </c>
      <c r="J244" s="24">
        <v>992</v>
      </c>
      <c r="K244" s="24" t="b">
        <v>1</v>
      </c>
      <c r="L244" s="25">
        <v>0</v>
      </c>
      <c r="M244" s="47">
        <v>0</v>
      </c>
      <c r="N244" s="25">
        <v>0.1538</v>
      </c>
      <c r="O244" s="47">
        <v>6.501951</v>
      </c>
      <c r="P244" s="25">
        <v>0.25</v>
      </c>
      <c r="Q244" s="24">
        <v>1</v>
      </c>
      <c r="R244" s="24">
        <v>1</v>
      </c>
      <c r="S244" s="25">
        <v>0</v>
      </c>
      <c r="T244" s="24">
        <v>-0.2</v>
      </c>
      <c r="U244" s="24">
        <v>0</v>
      </c>
      <c r="V244" s="24">
        <v>0</v>
      </c>
      <c r="W244" s="24">
        <v>0</v>
      </c>
      <c r="X244" s="24">
        <v>-0.2</v>
      </c>
      <c r="Y244" s="24">
        <v>-0.2</v>
      </c>
      <c r="Z244" s="24">
        <v>0</v>
      </c>
      <c r="AA244" s="24">
        <v>0</v>
      </c>
      <c r="AB244" s="24">
        <v>0</v>
      </c>
      <c r="AC244" s="24">
        <v>-0.2</v>
      </c>
      <c r="AD244" s="24">
        <v>-0.2</v>
      </c>
      <c r="AE244" s="24">
        <v>0</v>
      </c>
      <c r="AF244" s="24">
        <v>0</v>
      </c>
      <c r="AG244" s="24">
        <v>0</v>
      </c>
      <c r="AH244" s="24">
        <v>-0.2</v>
      </c>
      <c r="AI244" s="48">
        <v>10001</v>
      </c>
      <c r="AJ244" s="48">
        <v>10002</v>
      </c>
      <c r="AK244" s="48">
        <v>10003</v>
      </c>
      <c r="AL244" s="48">
        <v>10004</v>
      </c>
      <c r="AM244" s="48">
        <v>10015</v>
      </c>
      <c r="AN244" s="25">
        <v>0</v>
      </c>
      <c r="AO244" s="49" t="s"/>
      <c r="AP244" s="50">
        <v>50</v>
      </c>
      <c r="AQ244" s="51" t="s">
        <v>1215</v>
      </c>
      <c r="AR244" s="51">
        <f>=F244*247.95</f>
        <v>375396.3</v>
      </c>
      <c r="AS244" s="51">
        <f>=G244*32.6061</f>
        <v>2478.0636</v>
      </c>
      <c r="AT244" s="51">
        <f>=J244*2.35</f>
        <v>2331.2</v>
      </c>
      <c r="AU244" s="47">
        <f>=H244*15.88</f>
        <v>635.2</v>
      </c>
    </row>
    <row r="245" spans="1:47">
      <c r="A245" s="24" t="s">
        <v>1598</v>
      </c>
      <c r="B245" s="24">
        <v>11683</v>
      </c>
      <c r="C245" s="24" t="s">
        <v>1599</v>
      </c>
      <c r="D245" s="24" t="s">
        <v>1600</v>
      </c>
      <c r="E245" s="24">
        <v>900011683</v>
      </c>
      <c r="F245" s="24">
        <v>1238</v>
      </c>
      <c r="G245" s="24">
        <v>76</v>
      </c>
      <c r="H245" s="24">
        <v>40</v>
      </c>
      <c r="I245" s="25">
        <v>0.5</v>
      </c>
      <c r="J245" s="24">
        <v>662</v>
      </c>
      <c r="K245" s="24" t="b">
        <v>1</v>
      </c>
      <c r="L245" s="25">
        <v>0</v>
      </c>
      <c r="M245" s="47">
        <v>0</v>
      </c>
      <c r="N245" s="25">
        <v>0.1538</v>
      </c>
      <c r="O245" s="47">
        <v>6.501951</v>
      </c>
      <c r="P245" s="25">
        <v>0.25</v>
      </c>
      <c r="Q245" s="24">
        <v>1</v>
      </c>
      <c r="R245" s="24">
        <v>1</v>
      </c>
      <c r="S245" s="25">
        <v>0</v>
      </c>
      <c r="T245" s="24">
        <v>0</v>
      </c>
      <c r="U245" s="24">
        <v>-0.2</v>
      </c>
      <c r="V245" s="24">
        <v>0</v>
      </c>
      <c r="W245" s="24">
        <v>0</v>
      </c>
      <c r="X245" s="24">
        <v>0</v>
      </c>
      <c r="Y245" s="24">
        <v>0</v>
      </c>
      <c r="Z245" s="24">
        <v>-0.2</v>
      </c>
      <c r="AA245" s="24">
        <v>0</v>
      </c>
      <c r="AB245" s="24">
        <v>0</v>
      </c>
      <c r="AC245" s="24">
        <v>0</v>
      </c>
      <c r="AD245" s="24">
        <v>0</v>
      </c>
      <c r="AE245" s="24">
        <v>-0.2</v>
      </c>
      <c r="AF245" s="24">
        <v>0</v>
      </c>
      <c r="AG245" s="24">
        <v>0</v>
      </c>
      <c r="AH245" s="24">
        <v>0</v>
      </c>
      <c r="AI245" s="48">
        <v>10001</v>
      </c>
      <c r="AJ245" s="48">
        <v>10012</v>
      </c>
      <c r="AK245" s="48">
        <v>10003</v>
      </c>
      <c r="AL245" s="48">
        <v>10004</v>
      </c>
      <c r="AM245" s="48">
        <v>10005</v>
      </c>
      <c r="AN245" s="25">
        <v>0</v>
      </c>
      <c r="AO245" s="49" t="s"/>
      <c r="AP245" s="50">
        <v>50</v>
      </c>
      <c r="AQ245" s="51" t="s">
        <v>1219</v>
      </c>
      <c r="AR245" s="51">
        <f>=F245*247.95</f>
        <v>306962.1</v>
      </c>
      <c r="AS245" s="51">
        <f>=G245*32.6061</f>
        <v>2478.0636</v>
      </c>
      <c r="AT245" s="51">
        <f>=J245*2.35</f>
        <v>1555.7</v>
      </c>
      <c r="AU245" s="47">
        <f>=H245*15.88</f>
        <v>635.2</v>
      </c>
    </row>
    <row r="246" spans="1:47">
      <c r="A246" s="24" t="s">
        <v>1598</v>
      </c>
      <c r="B246" s="24">
        <v>11684</v>
      </c>
      <c r="C246" s="24" t="s">
        <v>1599</v>
      </c>
      <c r="D246" s="24" t="s">
        <v>1600</v>
      </c>
      <c r="E246" s="24">
        <v>900011684</v>
      </c>
      <c r="F246" s="24">
        <v>1514</v>
      </c>
      <c r="G246" s="24">
        <v>76</v>
      </c>
      <c r="H246" s="24">
        <v>40</v>
      </c>
      <c r="I246" s="25">
        <v>0.5</v>
      </c>
      <c r="J246" s="24">
        <v>992</v>
      </c>
      <c r="K246" s="24" t="b">
        <v>1</v>
      </c>
      <c r="L246" s="25">
        <v>0</v>
      </c>
      <c r="M246" s="47">
        <v>0</v>
      </c>
      <c r="N246" s="25">
        <v>0.1538</v>
      </c>
      <c r="O246" s="47">
        <v>6.501951</v>
      </c>
      <c r="P246" s="25">
        <v>0.25</v>
      </c>
      <c r="Q246" s="24">
        <v>1</v>
      </c>
      <c r="R246" s="24">
        <v>1</v>
      </c>
      <c r="S246" s="25">
        <v>0</v>
      </c>
      <c r="T246" s="24">
        <v>0</v>
      </c>
      <c r="U246" s="24">
        <v>-0.2</v>
      </c>
      <c r="V246" s="24">
        <v>0</v>
      </c>
      <c r="W246" s="24">
        <v>0</v>
      </c>
      <c r="X246" s="24">
        <v>0</v>
      </c>
      <c r="Y246" s="24">
        <v>0</v>
      </c>
      <c r="Z246" s="24">
        <v>-0.2</v>
      </c>
      <c r="AA246" s="24">
        <v>0</v>
      </c>
      <c r="AB246" s="24">
        <v>0</v>
      </c>
      <c r="AC246" s="24">
        <v>0</v>
      </c>
      <c r="AD246" s="24">
        <v>0</v>
      </c>
      <c r="AE246" s="24">
        <v>-0.2</v>
      </c>
      <c r="AF246" s="24">
        <v>0</v>
      </c>
      <c r="AG246" s="24">
        <v>0</v>
      </c>
      <c r="AH246" s="24">
        <v>0</v>
      </c>
      <c r="AI246" s="48">
        <v>10001</v>
      </c>
      <c r="AJ246" s="48">
        <v>10012</v>
      </c>
      <c r="AK246" s="48">
        <v>10003</v>
      </c>
      <c r="AL246" s="48">
        <v>10004</v>
      </c>
      <c r="AM246" s="48">
        <v>10005</v>
      </c>
      <c r="AN246" s="25">
        <v>0</v>
      </c>
      <c r="AO246" s="49" t="s"/>
      <c r="AP246" s="50">
        <v>50</v>
      </c>
      <c r="AQ246" s="51" t="s">
        <v>1220</v>
      </c>
      <c r="AR246" s="51">
        <f>=F246*247.95</f>
        <v>375396.3</v>
      </c>
      <c r="AS246" s="51">
        <f>=G246*32.6061</f>
        <v>2478.0636</v>
      </c>
      <c r="AT246" s="51">
        <f>=J246*2.35</f>
        <v>2331.2</v>
      </c>
      <c r="AU246" s="47">
        <f>=H246*15.88</f>
        <v>635.2</v>
      </c>
    </row>
    <row r="247" spans="1:47">
      <c r="A247" s="24" t="s">
        <v>1601</v>
      </c>
      <c r="B247" s="24">
        <v>11691</v>
      </c>
      <c r="C247" s="24" t="s">
        <v>1602</v>
      </c>
      <c r="D247" s="24" t="s">
        <v>1603</v>
      </c>
      <c r="E247" s="24">
        <v>900011691</v>
      </c>
      <c r="F247" s="24">
        <v>1238</v>
      </c>
      <c r="G247" s="24">
        <v>76</v>
      </c>
      <c r="H247" s="24">
        <v>40</v>
      </c>
      <c r="I247" s="25">
        <v>0.5</v>
      </c>
      <c r="J247" s="24">
        <v>662</v>
      </c>
      <c r="K247" s="24" t="b">
        <v>1</v>
      </c>
      <c r="L247" s="25">
        <v>0.05</v>
      </c>
      <c r="M247" s="47">
        <v>0</v>
      </c>
      <c r="N247" s="25">
        <v>0.1538</v>
      </c>
      <c r="O247" s="47">
        <v>6.501951</v>
      </c>
      <c r="P247" s="25">
        <v>0.5</v>
      </c>
      <c r="Q247" s="24">
        <v>1</v>
      </c>
      <c r="R247" s="24">
        <v>1</v>
      </c>
      <c r="S247" s="25">
        <v>0</v>
      </c>
      <c r="T247" s="24">
        <v>-0.2</v>
      </c>
      <c r="U247" s="24">
        <v>0</v>
      </c>
      <c r="V247" s="24">
        <v>0</v>
      </c>
      <c r="W247" s="24">
        <v>0</v>
      </c>
      <c r="X247" s="24">
        <v>-0.2</v>
      </c>
      <c r="Y247" s="24">
        <v>-0.2</v>
      </c>
      <c r="Z247" s="24">
        <v>0</v>
      </c>
      <c r="AA247" s="24">
        <v>0</v>
      </c>
      <c r="AB247" s="24">
        <v>0</v>
      </c>
      <c r="AC247" s="24">
        <v>-0.2</v>
      </c>
      <c r="AD247" s="24">
        <v>-0.2</v>
      </c>
      <c r="AE247" s="24">
        <v>0</v>
      </c>
      <c r="AF247" s="24">
        <v>0</v>
      </c>
      <c r="AG247" s="24">
        <v>0</v>
      </c>
      <c r="AH247" s="24">
        <v>-0.2</v>
      </c>
      <c r="AI247" s="48">
        <v>10001</v>
      </c>
      <c r="AJ247" s="48">
        <v>10002</v>
      </c>
      <c r="AK247" s="48">
        <v>10003</v>
      </c>
      <c r="AL247" s="48">
        <v>10004</v>
      </c>
      <c r="AM247" s="48">
        <v>10015</v>
      </c>
      <c r="AN247" s="25">
        <v>0</v>
      </c>
      <c r="AO247" s="49" t="s"/>
      <c r="AP247" s="50">
        <v>50</v>
      </c>
      <c r="AQ247" s="51" t="s">
        <v>1147</v>
      </c>
      <c r="AR247" s="51">
        <f>=F247*247.95</f>
        <v>306962.1</v>
      </c>
      <c r="AS247" s="51">
        <f>=G247*32.6061</f>
        <v>2478.0636</v>
      </c>
      <c r="AT247" s="51">
        <f>=J247*2.35</f>
        <v>1555.7</v>
      </c>
      <c r="AU247" s="47">
        <f>=H247*15.88</f>
        <v>635.2</v>
      </c>
    </row>
    <row r="248" spans="1:47">
      <c r="A248" s="24" t="s">
        <v>1601</v>
      </c>
      <c r="B248" s="24">
        <v>11692</v>
      </c>
      <c r="C248" s="24" t="s">
        <v>1602</v>
      </c>
      <c r="D248" s="24" t="s">
        <v>1603</v>
      </c>
      <c r="E248" s="24">
        <v>900011692</v>
      </c>
      <c r="F248" s="24">
        <v>1514</v>
      </c>
      <c r="G248" s="24">
        <v>69</v>
      </c>
      <c r="H248" s="24">
        <v>40</v>
      </c>
      <c r="I248" s="25">
        <v>0.5</v>
      </c>
      <c r="J248" s="24">
        <v>992</v>
      </c>
      <c r="K248" s="24" t="b">
        <v>1</v>
      </c>
      <c r="L248" s="25">
        <v>0.05</v>
      </c>
      <c r="M248" s="47">
        <v>0</v>
      </c>
      <c r="N248" s="25">
        <v>0.1538</v>
      </c>
      <c r="O248" s="47">
        <v>6.501951</v>
      </c>
      <c r="P248" s="25">
        <v>0.5</v>
      </c>
      <c r="Q248" s="24">
        <v>1</v>
      </c>
      <c r="R248" s="24">
        <v>1</v>
      </c>
      <c r="S248" s="25">
        <v>0</v>
      </c>
      <c r="T248" s="24">
        <v>-0.2</v>
      </c>
      <c r="U248" s="24">
        <v>0</v>
      </c>
      <c r="V248" s="24">
        <v>0</v>
      </c>
      <c r="W248" s="24">
        <v>0</v>
      </c>
      <c r="X248" s="24">
        <v>-0.2</v>
      </c>
      <c r="Y248" s="24">
        <v>-0.2</v>
      </c>
      <c r="Z248" s="24">
        <v>0</v>
      </c>
      <c r="AA248" s="24">
        <v>0</v>
      </c>
      <c r="AB248" s="24">
        <v>0</v>
      </c>
      <c r="AC248" s="24">
        <v>-0.2</v>
      </c>
      <c r="AD248" s="24">
        <v>-0.2</v>
      </c>
      <c r="AE248" s="24">
        <v>0</v>
      </c>
      <c r="AF248" s="24">
        <v>0</v>
      </c>
      <c r="AG248" s="24">
        <v>0</v>
      </c>
      <c r="AH248" s="24">
        <v>-0.2</v>
      </c>
      <c r="AI248" s="48">
        <v>10001</v>
      </c>
      <c r="AJ248" s="48">
        <v>10002</v>
      </c>
      <c r="AK248" s="48">
        <v>10003</v>
      </c>
      <c r="AL248" s="48">
        <v>10004</v>
      </c>
      <c r="AM248" s="48">
        <v>10015</v>
      </c>
      <c r="AN248" s="25">
        <v>0</v>
      </c>
      <c r="AO248" s="49" t="s"/>
      <c r="AP248" s="50">
        <v>50</v>
      </c>
      <c r="AQ248" s="51" t="s">
        <v>1215</v>
      </c>
      <c r="AR248" s="51">
        <f>=F248*247.95</f>
        <v>375396.3</v>
      </c>
      <c r="AS248" s="51">
        <f>=G248*32.6061</f>
        <v>2249.8209</v>
      </c>
      <c r="AT248" s="51">
        <f>=J248*2.35</f>
        <v>2331.2</v>
      </c>
      <c r="AU248" s="47">
        <f>=H248*15.88</f>
        <v>635.2</v>
      </c>
    </row>
    <row r="249" spans="1:47">
      <c r="A249" s="24" t="s">
        <v>1604</v>
      </c>
      <c r="B249" s="24">
        <v>11693</v>
      </c>
      <c r="C249" s="24" t="s">
        <v>1605</v>
      </c>
      <c r="D249" s="24" t="s">
        <v>1606</v>
      </c>
      <c r="E249" s="24">
        <v>900011693</v>
      </c>
      <c r="F249" s="24">
        <v>1238</v>
      </c>
      <c r="G249" s="24">
        <v>69</v>
      </c>
      <c r="H249" s="24">
        <v>40</v>
      </c>
      <c r="I249" s="25">
        <v>0.5</v>
      </c>
      <c r="J249" s="24">
        <v>662</v>
      </c>
      <c r="K249" s="24" t="b">
        <v>1</v>
      </c>
      <c r="L249" s="25">
        <v>0.05</v>
      </c>
      <c r="M249" s="47">
        <v>0</v>
      </c>
      <c r="N249" s="25">
        <v>0.1538</v>
      </c>
      <c r="O249" s="47">
        <v>6.501951</v>
      </c>
      <c r="P249" s="25">
        <v>0.5</v>
      </c>
      <c r="Q249" s="24">
        <v>1</v>
      </c>
      <c r="R249" s="24">
        <v>1</v>
      </c>
      <c r="S249" s="25">
        <v>0</v>
      </c>
      <c r="T249" s="24">
        <v>0</v>
      </c>
      <c r="U249" s="24">
        <v>-0.2</v>
      </c>
      <c r="V249" s="24">
        <v>0</v>
      </c>
      <c r="W249" s="24">
        <v>0</v>
      </c>
      <c r="X249" s="24">
        <v>0</v>
      </c>
      <c r="Y249" s="24">
        <v>0</v>
      </c>
      <c r="Z249" s="24">
        <v>-0.2</v>
      </c>
      <c r="AA249" s="24">
        <v>0</v>
      </c>
      <c r="AB249" s="24">
        <v>0</v>
      </c>
      <c r="AC249" s="24">
        <v>0</v>
      </c>
      <c r="AD249" s="24">
        <v>0</v>
      </c>
      <c r="AE249" s="24">
        <v>-0.2</v>
      </c>
      <c r="AF249" s="24">
        <v>0</v>
      </c>
      <c r="AG249" s="24">
        <v>0</v>
      </c>
      <c r="AH249" s="24">
        <v>0</v>
      </c>
      <c r="AI249" s="48">
        <v>10001</v>
      </c>
      <c r="AJ249" s="48">
        <v>10012</v>
      </c>
      <c r="AK249" s="48">
        <v>10003</v>
      </c>
      <c r="AL249" s="48">
        <v>10004</v>
      </c>
      <c r="AM249" s="48">
        <v>10005</v>
      </c>
      <c r="AN249" s="25">
        <v>0</v>
      </c>
      <c r="AO249" s="49" t="s"/>
      <c r="AP249" s="50">
        <v>50</v>
      </c>
      <c r="AQ249" s="51" t="s">
        <v>1219</v>
      </c>
      <c r="AR249" s="51">
        <f>=F249*247.95</f>
        <v>306962.1</v>
      </c>
      <c r="AS249" s="51">
        <f>=G249*32.6061</f>
        <v>2249.8209</v>
      </c>
      <c r="AT249" s="51">
        <f>=J249*2.35</f>
        <v>1555.7</v>
      </c>
      <c r="AU249" s="47">
        <f>=H249*15.88</f>
        <v>635.2</v>
      </c>
    </row>
    <row r="250" spans="1:47">
      <c r="A250" s="24" t="s">
        <v>1604</v>
      </c>
      <c r="B250" s="24">
        <v>11694</v>
      </c>
      <c r="C250" s="24" t="s">
        <v>1605</v>
      </c>
      <c r="D250" s="24" t="s">
        <v>1606</v>
      </c>
      <c r="E250" s="24">
        <v>900011694</v>
      </c>
      <c r="F250" s="24">
        <v>1514</v>
      </c>
      <c r="G250" s="24">
        <v>69</v>
      </c>
      <c r="H250" s="24">
        <v>40</v>
      </c>
      <c r="I250" s="25">
        <v>0.5</v>
      </c>
      <c r="J250" s="24">
        <v>992</v>
      </c>
      <c r="K250" s="24" t="b">
        <v>1</v>
      </c>
      <c r="L250" s="25">
        <v>0.05</v>
      </c>
      <c r="M250" s="47">
        <v>0</v>
      </c>
      <c r="N250" s="25">
        <v>0.1538</v>
      </c>
      <c r="O250" s="47">
        <v>6.501951</v>
      </c>
      <c r="P250" s="25">
        <v>0.5</v>
      </c>
      <c r="Q250" s="24">
        <v>1</v>
      </c>
      <c r="R250" s="24">
        <v>1</v>
      </c>
      <c r="S250" s="25">
        <v>0</v>
      </c>
      <c r="T250" s="24">
        <v>0</v>
      </c>
      <c r="U250" s="24">
        <v>-0.2</v>
      </c>
      <c r="V250" s="24">
        <v>0</v>
      </c>
      <c r="W250" s="24">
        <v>0</v>
      </c>
      <c r="X250" s="24">
        <v>0</v>
      </c>
      <c r="Y250" s="24">
        <v>0</v>
      </c>
      <c r="Z250" s="24">
        <v>-0.2</v>
      </c>
      <c r="AA250" s="24">
        <v>0</v>
      </c>
      <c r="AB250" s="24">
        <v>0</v>
      </c>
      <c r="AC250" s="24">
        <v>0</v>
      </c>
      <c r="AD250" s="24">
        <v>0</v>
      </c>
      <c r="AE250" s="24">
        <v>-0.2</v>
      </c>
      <c r="AF250" s="24">
        <v>0</v>
      </c>
      <c r="AG250" s="24">
        <v>0</v>
      </c>
      <c r="AH250" s="24">
        <v>0</v>
      </c>
      <c r="AI250" s="48">
        <v>10001</v>
      </c>
      <c r="AJ250" s="48">
        <v>10012</v>
      </c>
      <c r="AK250" s="48">
        <v>10003</v>
      </c>
      <c r="AL250" s="48">
        <v>10004</v>
      </c>
      <c r="AM250" s="48">
        <v>10005</v>
      </c>
      <c r="AN250" s="25">
        <v>0</v>
      </c>
      <c r="AO250" s="49" t="s"/>
      <c r="AP250" s="50">
        <v>50</v>
      </c>
      <c r="AQ250" s="51" t="s">
        <v>1220</v>
      </c>
      <c r="AR250" s="51">
        <f>=F250*247.95</f>
        <v>375396.3</v>
      </c>
      <c r="AS250" s="51">
        <f>=G250*32.6061</f>
        <v>2249.8209</v>
      </c>
      <c r="AT250" s="51">
        <f>=J250*2.35</f>
        <v>2331.2</v>
      </c>
      <c r="AU250" s="47">
        <f>=H250*15.88</f>
        <v>635.2</v>
      </c>
    </row>
    <row r="251" spans="1:47">
      <c r="A251" s="24" t="s">
        <v>1607</v>
      </c>
      <c r="B251" s="24">
        <v>11701</v>
      </c>
      <c r="C251" s="24" t="s">
        <v>1608</v>
      </c>
      <c r="D251" s="24" t="s">
        <v>1609</v>
      </c>
      <c r="E251" s="24">
        <v>900011701</v>
      </c>
      <c r="F251" s="24">
        <v>11129</v>
      </c>
      <c r="G251" s="24">
        <v>132</v>
      </c>
      <c r="H251" s="24">
        <v>60</v>
      </c>
      <c r="I251" s="25">
        <v>0.5</v>
      </c>
      <c r="J251" s="24">
        <v>6762</v>
      </c>
      <c r="K251" s="24" t="b">
        <v>1</v>
      </c>
      <c r="L251" s="25">
        <v>0</v>
      </c>
      <c r="M251" s="47">
        <v>0</v>
      </c>
      <c r="N251" s="25">
        <v>0.0833</v>
      </c>
      <c r="O251" s="47">
        <v>12.0048</v>
      </c>
      <c r="P251" s="25">
        <v>0.5</v>
      </c>
      <c r="Q251" s="24">
        <v>3</v>
      </c>
      <c r="R251" s="24">
        <v>5</v>
      </c>
      <c r="S251" s="25">
        <v>0.75</v>
      </c>
      <c r="T251" s="24">
        <v>0</v>
      </c>
      <c r="U251" s="24">
        <v>-0.2</v>
      </c>
      <c r="V251" s="24">
        <v>0.4</v>
      </c>
      <c r="W251" s="24">
        <v>0</v>
      </c>
      <c r="X251" s="24">
        <v>0</v>
      </c>
      <c r="Y251" s="24">
        <v>0</v>
      </c>
      <c r="Z251" s="24">
        <v>-0.2</v>
      </c>
      <c r="AA251" s="24">
        <v>0.2</v>
      </c>
      <c r="AB251" s="24">
        <v>0</v>
      </c>
      <c r="AC251" s="24">
        <v>0</v>
      </c>
      <c r="AD251" s="24">
        <v>0</v>
      </c>
      <c r="AE251" s="24">
        <v>-0.2</v>
      </c>
      <c r="AF251" s="24">
        <v>0.2</v>
      </c>
      <c r="AG251" s="24">
        <v>0</v>
      </c>
      <c r="AH251" s="24">
        <v>0</v>
      </c>
      <c r="AI251" s="48">
        <v>30011</v>
      </c>
      <c r="AJ251" s="48">
        <v>30012</v>
      </c>
      <c r="AK251" s="48">
        <v>30003</v>
      </c>
      <c r="AL251" s="48">
        <v>30004</v>
      </c>
      <c r="AM251" s="48">
        <v>30005</v>
      </c>
      <c r="AN251" s="25">
        <v>0</v>
      </c>
      <c r="AO251" s="49">
        <v>5</v>
      </c>
      <c r="AP251" s="50">
        <v>100</v>
      </c>
      <c r="AQ251" s="51" t="s">
        <v>1610</v>
      </c>
      <c r="AR251" s="51">
        <f>=F251*247.95</f>
        <v>2759435.55</v>
      </c>
      <c r="AS251" s="51">
        <f>=G251*32.6061</f>
        <v>4304.0052</v>
      </c>
      <c r="AT251" s="51">
        <f>=J251*2.35</f>
        <v>15890.7</v>
      </c>
      <c r="AU251" s="47">
        <f>=H251*15.88</f>
        <v>952.8</v>
      </c>
    </row>
    <row r="252" spans="1:47">
      <c r="A252" s="24" t="s">
        <v>1607</v>
      </c>
      <c r="B252" s="24">
        <v>11702</v>
      </c>
      <c r="C252" s="24" t="s">
        <v>1608</v>
      </c>
      <c r="D252" s="24" t="s">
        <v>1609</v>
      </c>
      <c r="E252" s="24">
        <v>900011702</v>
      </c>
      <c r="F252" s="24">
        <v>18925</v>
      </c>
      <c r="G252" s="24">
        <v>158</v>
      </c>
      <c r="H252" s="24">
        <v>60</v>
      </c>
      <c r="I252" s="25">
        <v>0.5</v>
      </c>
      <c r="J252" s="24">
        <v>6762</v>
      </c>
      <c r="K252" s="24" t="b">
        <v>1</v>
      </c>
      <c r="L252" s="25">
        <v>0</v>
      </c>
      <c r="M252" s="47">
        <v>0</v>
      </c>
      <c r="N252" s="25">
        <v>0.0833</v>
      </c>
      <c r="O252" s="47">
        <v>12.0048</v>
      </c>
      <c r="P252" s="25">
        <v>0.5</v>
      </c>
      <c r="Q252" s="24">
        <v>3</v>
      </c>
      <c r="R252" s="24">
        <v>5</v>
      </c>
      <c r="S252" s="25">
        <v>0.75</v>
      </c>
      <c r="T252" s="24">
        <v>0</v>
      </c>
      <c r="U252" s="24">
        <v>-0.2</v>
      </c>
      <c r="V252" s="24">
        <v>0.4</v>
      </c>
      <c r="W252" s="24">
        <v>0</v>
      </c>
      <c r="X252" s="24">
        <v>0</v>
      </c>
      <c r="Y252" s="24">
        <v>0</v>
      </c>
      <c r="Z252" s="24">
        <v>-0.2</v>
      </c>
      <c r="AA252" s="24">
        <v>0.2</v>
      </c>
      <c r="AB252" s="24">
        <v>0</v>
      </c>
      <c r="AC252" s="24">
        <v>0</v>
      </c>
      <c r="AD252" s="24">
        <v>0</v>
      </c>
      <c r="AE252" s="24">
        <v>-0.2</v>
      </c>
      <c r="AF252" s="24">
        <v>0.2</v>
      </c>
      <c r="AG252" s="24">
        <v>0</v>
      </c>
      <c r="AH252" s="24">
        <v>0</v>
      </c>
      <c r="AI252" s="48">
        <v>30011</v>
      </c>
      <c r="AJ252" s="48">
        <v>30012</v>
      </c>
      <c r="AK252" s="48">
        <v>30003</v>
      </c>
      <c r="AL252" s="48">
        <v>30004</v>
      </c>
      <c r="AM252" s="48">
        <v>30005</v>
      </c>
      <c r="AN252" s="25">
        <v>0</v>
      </c>
      <c r="AO252" s="49">
        <v>5</v>
      </c>
      <c r="AP252" s="50">
        <v>100</v>
      </c>
      <c r="AQ252" s="51" t="s">
        <v>1610</v>
      </c>
      <c r="AR252" s="51">
        <f>=F252*247.95</f>
        <v>4692453.75</v>
      </c>
      <c r="AS252" s="51">
        <f>=G252*32.6061</f>
        <v>5151.7638</v>
      </c>
      <c r="AT252" s="51">
        <f>=J252*2.35</f>
        <v>15890.7</v>
      </c>
      <c r="AU252" s="47">
        <f>=H252*15.88</f>
        <v>952.8</v>
      </c>
    </row>
    <row r="253" spans="1:47">
      <c r="A253" s="24" t="s">
        <v>1607</v>
      </c>
      <c r="B253" s="24">
        <v>11703</v>
      </c>
      <c r="C253" s="24" t="s">
        <v>1608</v>
      </c>
      <c r="D253" s="24" t="s">
        <v>1609</v>
      </c>
      <c r="E253" s="24">
        <v>900011703</v>
      </c>
      <c r="F253" s="24">
        <v>20728</v>
      </c>
      <c r="G253" s="24">
        <v>173</v>
      </c>
      <c r="H253" s="24">
        <v>60</v>
      </c>
      <c r="I253" s="25">
        <v>0.5</v>
      </c>
      <c r="J253" s="24">
        <v>7084</v>
      </c>
      <c r="K253" s="24" t="b">
        <v>1</v>
      </c>
      <c r="L253" s="25">
        <v>0</v>
      </c>
      <c r="M253" s="47">
        <v>0</v>
      </c>
      <c r="N253" s="25">
        <v>0.0833</v>
      </c>
      <c r="O253" s="47">
        <v>12.0048</v>
      </c>
      <c r="P253" s="25">
        <v>0.5</v>
      </c>
      <c r="Q253" s="24">
        <v>3</v>
      </c>
      <c r="R253" s="24">
        <v>5</v>
      </c>
      <c r="S253" s="25">
        <v>0.75</v>
      </c>
      <c r="T253" s="24">
        <v>0</v>
      </c>
      <c r="U253" s="24">
        <v>-0.2</v>
      </c>
      <c r="V253" s="24">
        <v>0.4</v>
      </c>
      <c r="W253" s="24">
        <v>0</v>
      </c>
      <c r="X253" s="24">
        <v>0</v>
      </c>
      <c r="Y253" s="24">
        <v>0</v>
      </c>
      <c r="Z253" s="24">
        <v>-0.2</v>
      </c>
      <c r="AA253" s="24">
        <v>0.2</v>
      </c>
      <c r="AB253" s="24">
        <v>0</v>
      </c>
      <c r="AC253" s="24">
        <v>0</v>
      </c>
      <c r="AD253" s="24">
        <v>0</v>
      </c>
      <c r="AE253" s="24">
        <v>-0.2</v>
      </c>
      <c r="AF253" s="24">
        <v>0.2</v>
      </c>
      <c r="AG253" s="24">
        <v>0</v>
      </c>
      <c r="AH253" s="24">
        <v>0</v>
      </c>
      <c r="AI253" s="48">
        <v>30011</v>
      </c>
      <c r="AJ253" s="48">
        <v>30012</v>
      </c>
      <c r="AK253" s="48">
        <v>30003</v>
      </c>
      <c r="AL253" s="48">
        <v>30004</v>
      </c>
      <c r="AM253" s="48">
        <v>30005</v>
      </c>
      <c r="AN253" s="25">
        <v>0.1</v>
      </c>
      <c r="AO253" s="49">
        <v>5</v>
      </c>
      <c r="AP253" s="50">
        <v>100</v>
      </c>
      <c r="AQ253" s="51" t="s">
        <v>1611</v>
      </c>
      <c r="AR253" s="51">
        <f>=F253*247.95</f>
        <v>5139507.6</v>
      </c>
      <c r="AS253" s="51">
        <f>=G253*32.6061</f>
        <v>5640.8553</v>
      </c>
      <c r="AT253" s="51">
        <f>=J253*2.35</f>
        <v>16647.4</v>
      </c>
      <c r="AU253" s="47">
        <f>=H253*15.88</f>
        <v>952.8</v>
      </c>
    </row>
    <row r="254" spans="1:47">
      <c r="A254" s="24" t="s">
        <v>1612</v>
      </c>
      <c r="B254" s="24">
        <v>11711</v>
      </c>
      <c r="C254" s="24" t="s">
        <v>1613</v>
      </c>
      <c r="D254" s="24" t="s">
        <v>1614</v>
      </c>
      <c r="E254" s="24">
        <v>900011711</v>
      </c>
      <c r="F254" s="24">
        <v>18456</v>
      </c>
      <c r="G254" s="24">
        <v>132</v>
      </c>
      <c r="H254" s="24">
        <v>60</v>
      </c>
      <c r="I254" s="25">
        <v>0.5</v>
      </c>
      <c r="J254" s="24">
        <v>5820</v>
      </c>
      <c r="K254" s="24" t="b">
        <v>1</v>
      </c>
      <c r="L254" s="25">
        <v>0</v>
      </c>
      <c r="M254" s="47">
        <v>0</v>
      </c>
      <c r="N254" s="25">
        <v>0.0833</v>
      </c>
      <c r="O254" s="47">
        <v>12.0048</v>
      </c>
      <c r="P254" s="25">
        <v>0.5</v>
      </c>
      <c r="Q254" s="24">
        <v>3</v>
      </c>
      <c r="R254" s="24">
        <v>5</v>
      </c>
      <c r="S254" s="25">
        <v>0.75</v>
      </c>
      <c r="T254" s="24">
        <v>-0.2</v>
      </c>
      <c r="U254" s="24">
        <v>0</v>
      </c>
      <c r="V254" s="24">
        <v>0</v>
      </c>
      <c r="W254" s="24">
        <v>0</v>
      </c>
      <c r="X254" s="24">
        <v>-0.2</v>
      </c>
      <c r="Y254" s="24">
        <v>-0.2</v>
      </c>
      <c r="Z254" s="24">
        <v>0</v>
      </c>
      <c r="AA254" s="24">
        <v>0</v>
      </c>
      <c r="AB254" s="24">
        <v>0</v>
      </c>
      <c r="AC254" s="24">
        <v>-0.2</v>
      </c>
      <c r="AD254" s="24">
        <v>-0.2</v>
      </c>
      <c r="AE254" s="24">
        <v>0</v>
      </c>
      <c r="AF254" s="24">
        <v>0</v>
      </c>
      <c r="AG254" s="24">
        <v>0</v>
      </c>
      <c r="AH254" s="24">
        <v>-0.2</v>
      </c>
      <c r="AI254" s="48">
        <v>30001</v>
      </c>
      <c r="AJ254" s="48">
        <v>30002</v>
      </c>
      <c r="AK254" s="48">
        <v>30003</v>
      </c>
      <c r="AL254" s="48">
        <v>30004</v>
      </c>
      <c r="AM254" s="48">
        <v>30015</v>
      </c>
      <c r="AN254" s="25">
        <v>0</v>
      </c>
      <c r="AO254" s="49">
        <v>5</v>
      </c>
      <c r="AP254" s="50">
        <v>100</v>
      </c>
      <c r="AQ254" s="51" t="s">
        <v>1135</v>
      </c>
      <c r="AR254" s="51">
        <f>=F254*247.95</f>
        <v>4576165.2</v>
      </c>
      <c r="AS254" s="51">
        <f>=G254*32.6061</f>
        <v>4304.0052</v>
      </c>
      <c r="AT254" s="51">
        <f>=J254*2.35</f>
        <v>13677</v>
      </c>
      <c r="AU254" s="47">
        <f>=H254*15.88</f>
        <v>952.8</v>
      </c>
    </row>
    <row r="255" spans="1:47" ht="18" customHeight="1">
      <c r="A255" s="24" t="s">
        <v>1612</v>
      </c>
      <c r="B255" s="24">
        <v>11712</v>
      </c>
      <c r="C255" s="24" t="s">
        <v>1613</v>
      </c>
      <c r="D255" s="24" t="s">
        <v>1614</v>
      </c>
      <c r="E255" s="24">
        <v>900011712</v>
      </c>
      <c r="F255" s="24">
        <v>18456</v>
      </c>
      <c r="G255" s="24">
        <v>132</v>
      </c>
      <c r="H255" s="24">
        <v>60</v>
      </c>
      <c r="I255" s="25">
        <v>0.5</v>
      </c>
      <c r="J255" s="24">
        <v>5820</v>
      </c>
      <c r="K255" s="24" t="b">
        <v>1</v>
      </c>
      <c r="L255" s="25">
        <v>0</v>
      </c>
      <c r="M255" s="47">
        <v>0</v>
      </c>
      <c r="N255" s="25">
        <v>0.0833</v>
      </c>
      <c r="O255" s="47">
        <v>12.0048</v>
      </c>
      <c r="P255" s="25">
        <v>0.5</v>
      </c>
      <c r="Q255" s="24">
        <v>3</v>
      </c>
      <c r="R255" s="24">
        <v>5</v>
      </c>
      <c r="S255" s="25">
        <v>0.75</v>
      </c>
      <c r="T255" s="24">
        <v>-0.2</v>
      </c>
      <c r="U255" s="24">
        <v>0</v>
      </c>
      <c r="V255" s="24">
        <v>0</v>
      </c>
      <c r="W255" s="24">
        <v>0</v>
      </c>
      <c r="X255" s="24">
        <v>-0.2</v>
      </c>
      <c r="Y255" s="24">
        <v>-0.2</v>
      </c>
      <c r="Z255" s="24">
        <v>0</v>
      </c>
      <c r="AA255" s="24">
        <v>0</v>
      </c>
      <c r="AB255" s="24">
        <v>0</v>
      </c>
      <c r="AC255" s="24">
        <v>-0.2</v>
      </c>
      <c r="AD255" s="24">
        <v>-0.2</v>
      </c>
      <c r="AE255" s="24">
        <v>0</v>
      </c>
      <c r="AF255" s="24">
        <v>0</v>
      </c>
      <c r="AG255" s="24">
        <v>0</v>
      </c>
      <c r="AH255" s="24">
        <v>-0.2</v>
      </c>
      <c r="AI255" s="48">
        <v>30001</v>
      </c>
      <c r="AJ255" s="48">
        <v>30002</v>
      </c>
      <c r="AK255" s="48">
        <v>30003</v>
      </c>
      <c r="AL255" s="48">
        <v>30004</v>
      </c>
      <c r="AM255" s="48">
        <v>30015</v>
      </c>
      <c r="AN255" s="25">
        <v>0</v>
      </c>
      <c r="AO255" s="49">
        <v>5</v>
      </c>
      <c r="AP255" s="50">
        <v>100</v>
      </c>
      <c r="AQ255" s="51" t="s">
        <v>1615</v>
      </c>
      <c r="AR255" s="51">
        <f>=F255*247.95</f>
        <v>4576165.2</v>
      </c>
      <c r="AS255" s="51">
        <f>=G255*32.6061</f>
        <v>4304.0052</v>
      </c>
      <c r="AT255" s="51">
        <f>=J255*2.35</f>
        <v>13677</v>
      </c>
      <c r="AU255" s="47">
        <f>=H255*15.88</f>
        <v>952.8</v>
      </c>
    </row>
    <row r="256" spans="1:47">
      <c r="A256" s="24" t="s">
        <v>1616</v>
      </c>
      <c r="B256" s="24">
        <v>11721</v>
      </c>
      <c r="C256" s="24" t="s">
        <v>1617</v>
      </c>
      <c r="D256" s="24" t="s">
        <v>1618</v>
      </c>
      <c r="E256" s="24">
        <v>900011721</v>
      </c>
      <c r="F256" s="24">
        <v>6759</v>
      </c>
      <c r="G256" s="24">
        <v>92</v>
      </c>
      <c r="H256" s="24">
        <v>45</v>
      </c>
      <c r="I256" s="25">
        <v>0.5</v>
      </c>
      <c r="J256" s="24">
        <v>3335</v>
      </c>
      <c r="K256" s="24" t="b">
        <v>1</v>
      </c>
      <c r="L256" s="25">
        <v>0</v>
      </c>
      <c r="M256" s="47">
        <v>0</v>
      </c>
      <c r="N256" s="25">
        <v>0.1</v>
      </c>
      <c r="O256" s="47">
        <v>10</v>
      </c>
      <c r="P256" s="25">
        <v>0.5</v>
      </c>
      <c r="Q256" s="24">
        <v>2</v>
      </c>
      <c r="R256" s="24">
        <v>3</v>
      </c>
      <c r="S256" s="25">
        <v>0.5</v>
      </c>
      <c r="T256" s="24">
        <v>0</v>
      </c>
      <c r="U256" s="24">
        <v>-0.2</v>
      </c>
      <c r="V256" s="24">
        <v>0.2</v>
      </c>
      <c r="W256" s="24">
        <v>0</v>
      </c>
      <c r="X256" s="24">
        <v>0</v>
      </c>
      <c r="Y256" s="24">
        <v>0</v>
      </c>
      <c r="Z256" s="24">
        <v>-0.2</v>
      </c>
      <c r="AA256" s="24">
        <v>0.2</v>
      </c>
      <c r="AB256" s="24">
        <v>0</v>
      </c>
      <c r="AC256" s="24">
        <v>0</v>
      </c>
      <c r="AD256" s="24">
        <v>0</v>
      </c>
      <c r="AE256" s="24">
        <v>-0.2</v>
      </c>
      <c r="AF256" s="24">
        <v>0.2</v>
      </c>
      <c r="AG256" s="24">
        <v>0</v>
      </c>
      <c r="AH256" s="24">
        <v>0</v>
      </c>
      <c r="AI256" s="48">
        <v>20001</v>
      </c>
      <c r="AJ256" s="48">
        <v>20012</v>
      </c>
      <c r="AK256" s="48">
        <v>20003</v>
      </c>
      <c r="AL256" s="48">
        <v>20004</v>
      </c>
      <c r="AM256" s="48">
        <v>20005</v>
      </c>
      <c r="AN256" s="25">
        <v>0</v>
      </c>
      <c r="AO256" s="49">
        <v>3</v>
      </c>
      <c r="AP256" s="50">
        <v>75</v>
      </c>
      <c r="AQ256" s="51" t="s">
        <v>1619</v>
      </c>
      <c r="AR256" s="51">
        <f>=F256*247.95</f>
        <v>1675894.05</v>
      </c>
      <c r="AS256" s="51">
        <f>=G256*32.6061</f>
        <v>2999.7612</v>
      </c>
      <c r="AT256" s="51">
        <f>=J256*2.35</f>
        <v>7837.25</v>
      </c>
      <c r="AU256" s="47">
        <f>=H256*15.88</f>
        <v>714.6</v>
      </c>
    </row>
    <row r="257" spans="1:47">
      <c r="A257" s="24" t="s">
        <v>1616</v>
      </c>
      <c r="B257" s="24">
        <v>11722</v>
      </c>
      <c r="C257" s="24" t="s">
        <v>1617</v>
      </c>
      <c r="D257" s="24" t="s">
        <v>1618</v>
      </c>
      <c r="E257" s="24">
        <v>900011722</v>
      </c>
      <c r="F257" s="24">
        <v>7001</v>
      </c>
      <c r="G257" s="24">
        <v>106</v>
      </c>
      <c r="H257" s="24">
        <v>45</v>
      </c>
      <c r="I257" s="25">
        <v>0.5</v>
      </c>
      <c r="J257" s="24">
        <v>3783</v>
      </c>
      <c r="K257" s="24" t="b">
        <v>1</v>
      </c>
      <c r="L257" s="25">
        <v>0</v>
      </c>
      <c r="M257" s="47">
        <v>0</v>
      </c>
      <c r="N257" s="25">
        <v>0.1</v>
      </c>
      <c r="O257" s="47">
        <v>10</v>
      </c>
      <c r="P257" s="25">
        <v>0.5</v>
      </c>
      <c r="Q257" s="24">
        <v>2</v>
      </c>
      <c r="R257" s="24">
        <v>5</v>
      </c>
      <c r="S257" s="25">
        <v>0.5</v>
      </c>
      <c r="T257" s="24">
        <v>0</v>
      </c>
      <c r="U257" s="24">
        <v>-0.2</v>
      </c>
      <c r="V257" s="24">
        <v>0.2</v>
      </c>
      <c r="W257" s="24">
        <v>0</v>
      </c>
      <c r="X257" s="24">
        <v>0</v>
      </c>
      <c r="Y257" s="24">
        <v>0</v>
      </c>
      <c r="Z257" s="24">
        <v>-0.2</v>
      </c>
      <c r="AA257" s="24">
        <v>0.2</v>
      </c>
      <c r="AB257" s="24">
        <v>0</v>
      </c>
      <c r="AC257" s="24">
        <v>0</v>
      </c>
      <c r="AD257" s="24">
        <v>0</v>
      </c>
      <c r="AE257" s="24">
        <v>-0.2</v>
      </c>
      <c r="AF257" s="24">
        <v>0.2</v>
      </c>
      <c r="AG257" s="24">
        <v>0</v>
      </c>
      <c r="AH257" s="24">
        <v>0</v>
      </c>
      <c r="AI257" s="48">
        <v>20001</v>
      </c>
      <c r="AJ257" s="48">
        <v>20012</v>
      </c>
      <c r="AK257" s="48">
        <v>20003</v>
      </c>
      <c r="AL257" s="48">
        <v>20004</v>
      </c>
      <c r="AM257" s="48">
        <v>20005</v>
      </c>
      <c r="AN257" s="25">
        <v>0</v>
      </c>
      <c r="AO257" s="49">
        <v>3</v>
      </c>
      <c r="AP257" s="50">
        <v>75</v>
      </c>
      <c r="AQ257" s="51" t="s">
        <v>1620</v>
      </c>
      <c r="AR257" s="51">
        <f>=F257*247.95</f>
        <v>1735897.95</v>
      </c>
      <c r="AS257" s="51">
        <f>=G257*32.6061</f>
        <v>3456.2466</v>
      </c>
      <c r="AT257" s="51">
        <f>=J257*2.35</f>
        <v>8890.05</v>
      </c>
      <c r="AU257" s="47">
        <f>=H257*15.88</f>
        <v>714.6</v>
      </c>
    </row>
    <row r="258" spans="1:47">
      <c r="A258" s="24" t="s">
        <v>1621</v>
      </c>
      <c r="B258" s="24">
        <v>11723</v>
      </c>
      <c r="C258" s="24" t="s">
        <v>1622</v>
      </c>
      <c r="D258" s="24" t="s">
        <v>1623</v>
      </c>
      <c r="E258" s="24">
        <v>900011723</v>
      </c>
      <c r="F258" s="24">
        <v>6759</v>
      </c>
      <c r="G258" s="24">
        <v>92</v>
      </c>
      <c r="H258" s="24">
        <v>45</v>
      </c>
      <c r="I258" s="25">
        <v>0.5</v>
      </c>
      <c r="J258" s="24">
        <v>3335</v>
      </c>
      <c r="K258" s="24" t="b">
        <v>1</v>
      </c>
      <c r="L258" s="25">
        <v>0</v>
      </c>
      <c r="M258" s="47">
        <v>0</v>
      </c>
      <c r="N258" s="25">
        <v>0.1</v>
      </c>
      <c r="O258" s="47">
        <v>10</v>
      </c>
      <c r="P258" s="25">
        <v>0.5</v>
      </c>
      <c r="Q258" s="24">
        <v>2</v>
      </c>
      <c r="R258" s="24">
        <v>3</v>
      </c>
      <c r="S258" s="25">
        <v>0.5</v>
      </c>
      <c r="T258" s="24">
        <v>0</v>
      </c>
      <c r="U258" s="24">
        <v>-0.2</v>
      </c>
      <c r="V258" s="24">
        <v>0.2</v>
      </c>
      <c r="W258" s="24">
        <v>0</v>
      </c>
      <c r="X258" s="24">
        <v>0</v>
      </c>
      <c r="Y258" s="24">
        <v>0</v>
      </c>
      <c r="Z258" s="24">
        <v>-0.2</v>
      </c>
      <c r="AA258" s="24">
        <v>0.2</v>
      </c>
      <c r="AB258" s="24">
        <v>0</v>
      </c>
      <c r="AC258" s="24">
        <v>0</v>
      </c>
      <c r="AD258" s="24">
        <v>0</v>
      </c>
      <c r="AE258" s="24">
        <v>-0.2</v>
      </c>
      <c r="AF258" s="24">
        <v>0.2</v>
      </c>
      <c r="AG258" s="24">
        <v>0</v>
      </c>
      <c r="AH258" s="24">
        <v>0</v>
      </c>
      <c r="AI258" s="48">
        <v>20001</v>
      </c>
      <c r="AJ258" s="48">
        <v>20012</v>
      </c>
      <c r="AK258" s="48">
        <v>20003</v>
      </c>
      <c r="AL258" s="48">
        <v>20004</v>
      </c>
      <c r="AM258" s="48">
        <v>20005</v>
      </c>
      <c r="AN258" s="25">
        <v>0</v>
      </c>
      <c r="AO258" s="49">
        <v>3</v>
      </c>
      <c r="AP258" s="50">
        <v>75</v>
      </c>
      <c r="AQ258" s="51" t="s">
        <v>1624</v>
      </c>
      <c r="AR258" s="51">
        <f>=F258*247.95</f>
        <v>1675894.05</v>
      </c>
      <c r="AS258" s="51">
        <f>=G258*32.6061</f>
        <v>2999.7612</v>
      </c>
      <c r="AT258" s="51">
        <f>=J258*2.35</f>
        <v>7837.25</v>
      </c>
      <c r="AU258" s="47">
        <f>=H258*15.88</f>
        <v>714.6</v>
      </c>
    </row>
    <row r="259" spans="1:47">
      <c r="A259" s="24" t="s">
        <v>1621</v>
      </c>
      <c r="B259" s="24">
        <v>11724</v>
      </c>
      <c r="C259" s="24" t="s">
        <v>1622</v>
      </c>
      <c r="D259" s="24" t="s">
        <v>1623</v>
      </c>
      <c r="E259" s="24">
        <v>900011724</v>
      </c>
      <c r="F259" s="24">
        <v>7001</v>
      </c>
      <c r="G259" s="24">
        <v>106</v>
      </c>
      <c r="H259" s="24">
        <v>45</v>
      </c>
      <c r="I259" s="25">
        <v>0.5</v>
      </c>
      <c r="J259" s="24">
        <v>3783</v>
      </c>
      <c r="K259" s="24" t="b">
        <v>1</v>
      </c>
      <c r="L259" s="25">
        <v>0</v>
      </c>
      <c r="M259" s="47">
        <v>0</v>
      </c>
      <c r="N259" s="25">
        <v>0.1</v>
      </c>
      <c r="O259" s="47">
        <v>10</v>
      </c>
      <c r="P259" s="25">
        <v>0.5</v>
      </c>
      <c r="Q259" s="24">
        <v>2</v>
      </c>
      <c r="R259" s="24">
        <v>5</v>
      </c>
      <c r="S259" s="25">
        <v>0.5</v>
      </c>
      <c r="T259" s="24">
        <v>0</v>
      </c>
      <c r="U259" s="24">
        <v>-0.2</v>
      </c>
      <c r="V259" s="24">
        <v>0.2</v>
      </c>
      <c r="W259" s="24">
        <v>0</v>
      </c>
      <c r="X259" s="24">
        <v>0</v>
      </c>
      <c r="Y259" s="24">
        <v>0</v>
      </c>
      <c r="Z259" s="24">
        <v>-0.2</v>
      </c>
      <c r="AA259" s="24">
        <v>0.2</v>
      </c>
      <c r="AB259" s="24">
        <v>0</v>
      </c>
      <c r="AC259" s="24">
        <v>0</v>
      </c>
      <c r="AD259" s="24">
        <v>0</v>
      </c>
      <c r="AE259" s="24">
        <v>-0.2</v>
      </c>
      <c r="AF259" s="24">
        <v>0.2</v>
      </c>
      <c r="AG259" s="24">
        <v>0</v>
      </c>
      <c r="AH259" s="24">
        <v>0</v>
      </c>
      <c r="AI259" s="48">
        <v>20001</v>
      </c>
      <c r="AJ259" s="48">
        <v>20012</v>
      </c>
      <c r="AK259" s="48">
        <v>20003</v>
      </c>
      <c r="AL259" s="48">
        <v>20004</v>
      </c>
      <c r="AM259" s="48">
        <v>20005</v>
      </c>
      <c r="AN259" s="25">
        <v>0</v>
      </c>
      <c r="AO259" s="49">
        <v>3</v>
      </c>
      <c r="AP259" s="50">
        <v>75</v>
      </c>
      <c r="AQ259" s="51" t="s">
        <v>1625</v>
      </c>
      <c r="AR259" s="51">
        <f>=F259*247.95</f>
        <v>1735897.95</v>
      </c>
      <c r="AS259" s="51">
        <f>=G259*32.6061</f>
        <v>3456.2466</v>
      </c>
      <c r="AT259" s="51">
        <f>=J259*2.35</f>
        <v>8890.05</v>
      </c>
      <c r="AU259" s="47">
        <f>=H259*15.88</f>
        <v>714.6</v>
      </c>
    </row>
    <row r="260" spans="1:47">
      <c r="A260" s="24" t="s">
        <v>1626</v>
      </c>
      <c r="B260" s="24">
        <v>11731</v>
      </c>
      <c r="C260" s="24" t="s">
        <v>1627</v>
      </c>
      <c r="D260" s="24" t="s">
        <v>1628</v>
      </c>
      <c r="E260" s="24">
        <v>900011731</v>
      </c>
      <c r="F260" s="24">
        <v>8417</v>
      </c>
      <c r="G260" s="24">
        <v>92</v>
      </c>
      <c r="H260" s="24">
        <v>45</v>
      </c>
      <c r="I260" s="25">
        <v>0.5</v>
      </c>
      <c r="J260" s="24">
        <v>4161</v>
      </c>
      <c r="K260" s="24" t="b">
        <v>1</v>
      </c>
      <c r="L260" s="25">
        <v>0</v>
      </c>
      <c r="M260" s="47">
        <v>0</v>
      </c>
      <c r="N260" s="25">
        <v>0.0769</v>
      </c>
      <c r="O260" s="47">
        <v>13.0039</v>
      </c>
      <c r="P260" s="25">
        <v>0.5</v>
      </c>
      <c r="Q260" s="24">
        <v>2</v>
      </c>
      <c r="R260" s="24">
        <v>5</v>
      </c>
      <c r="S260" s="25">
        <v>0.5</v>
      </c>
      <c r="T260" s="24">
        <v>0.2</v>
      </c>
      <c r="U260" s="24">
        <v>0</v>
      </c>
      <c r="V260" s="24">
        <v>0</v>
      </c>
      <c r="W260" s="24">
        <v>0</v>
      </c>
      <c r="X260" s="24">
        <v>-0.2</v>
      </c>
      <c r="Y260" s="24">
        <v>0.2</v>
      </c>
      <c r="Z260" s="24">
        <v>0</v>
      </c>
      <c r="AA260" s="24">
        <v>0</v>
      </c>
      <c r="AB260" s="24">
        <v>0</v>
      </c>
      <c r="AC260" s="24">
        <v>-0.2</v>
      </c>
      <c r="AD260" s="24">
        <v>0.2</v>
      </c>
      <c r="AE260" s="24">
        <v>0</v>
      </c>
      <c r="AF260" s="24">
        <v>0</v>
      </c>
      <c r="AG260" s="24">
        <v>0</v>
      </c>
      <c r="AH260" s="24">
        <v>-0.2</v>
      </c>
      <c r="AI260" s="48">
        <v>20001</v>
      </c>
      <c r="AJ260" s="48">
        <v>20002</v>
      </c>
      <c r="AK260" s="48">
        <v>20003</v>
      </c>
      <c r="AL260" s="48">
        <v>20004</v>
      </c>
      <c r="AM260" s="48">
        <v>20015</v>
      </c>
      <c r="AN260" s="25">
        <v>0</v>
      </c>
      <c r="AO260" s="49">
        <v>3</v>
      </c>
      <c r="AP260" s="50">
        <v>75</v>
      </c>
      <c r="AQ260" s="51" t="s">
        <v>1629</v>
      </c>
      <c r="AR260" s="51">
        <f>=F260*247.95</f>
        <v>2086995.15</v>
      </c>
      <c r="AS260" s="51">
        <f>=G260*32.6061</f>
        <v>2999.7612</v>
      </c>
      <c r="AT260" s="51">
        <f>=J260*2.35</f>
        <v>9778.35</v>
      </c>
      <c r="AU260" s="47">
        <f>=H260*15.88</f>
        <v>714.6</v>
      </c>
    </row>
    <row r="261" spans="1:47">
      <c r="A261" s="24" t="s">
        <v>1626</v>
      </c>
      <c r="B261" s="24">
        <v>11732</v>
      </c>
      <c r="C261" s="24" t="s">
        <v>1627</v>
      </c>
      <c r="D261" s="24" t="s">
        <v>1628</v>
      </c>
      <c r="E261" s="24">
        <v>900011732</v>
      </c>
      <c r="F261" s="24">
        <v>8736</v>
      </c>
      <c r="G261" s="24">
        <v>106</v>
      </c>
      <c r="H261" s="24">
        <v>45</v>
      </c>
      <c r="I261" s="25">
        <v>0.5</v>
      </c>
      <c r="J261" s="24">
        <v>4753</v>
      </c>
      <c r="K261" s="24" t="b">
        <v>1</v>
      </c>
      <c r="L261" s="25">
        <v>0</v>
      </c>
      <c r="M261" s="47">
        <v>0</v>
      </c>
      <c r="N261" s="25">
        <v>0.0769</v>
      </c>
      <c r="O261" s="47">
        <v>13.0039</v>
      </c>
      <c r="P261" s="25">
        <v>0.5</v>
      </c>
      <c r="Q261" s="24">
        <v>2</v>
      </c>
      <c r="R261" s="24">
        <v>5</v>
      </c>
      <c r="S261" s="25">
        <v>0.5</v>
      </c>
      <c r="T261" s="24">
        <v>0.2</v>
      </c>
      <c r="U261" s="24">
        <v>0</v>
      </c>
      <c r="V261" s="24">
        <v>0</v>
      </c>
      <c r="W261" s="24">
        <v>0</v>
      </c>
      <c r="X261" s="24">
        <v>-0.2</v>
      </c>
      <c r="Y261" s="24">
        <v>0.2</v>
      </c>
      <c r="Z261" s="24">
        <v>0</v>
      </c>
      <c r="AA261" s="24">
        <v>0</v>
      </c>
      <c r="AB261" s="24">
        <v>0</v>
      </c>
      <c r="AC261" s="24">
        <v>-0.2</v>
      </c>
      <c r="AD261" s="24">
        <v>0.2</v>
      </c>
      <c r="AE261" s="24">
        <v>0</v>
      </c>
      <c r="AF261" s="24">
        <v>0</v>
      </c>
      <c r="AG261" s="24">
        <v>0</v>
      </c>
      <c r="AH261" s="24">
        <v>-0.2</v>
      </c>
      <c r="AI261" s="48">
        <v>20001</v>
      </c>
      <c r="AJ261" s="48">
        <v>20002</v>
      </c>
      <c r="AK261" s="48">
        <v>20003</v>
      </c>
      <c r="AL261" s="48">
        <v>20004</v>
      </c>
      <c r="AM261" s="48">
        <v>20015</v>
      </c>
      <c r="AN261" s="25">
        <v>0</v>
      </c>
      <c r="AO261" s="49">
        <v>3</v>
      </c>
      <c r="AP261" s="50">
        <v>75</v>
      </c>
      <c r="AQ261" s="51" t="s">
        <v>1630</v>
      </c>
      <c r="AR261" s="51">
        <f>=F261*247.95</f>
        <v>2166091.2</v>
      </c>
      <c r="AS261" s="51">
        <f>=G261*32.6061</f>
        <v>3456.2466</v>
      </c>
      <c r="AT261" s="51">
        <f>=J261*2.35</f>
        <v>11169.55</v>
      </c>
      <c r="AU261" s="47">
        <f>=H261*15.88</f>
        <v>714.6</v>
      </c>
    </row>
    <row r="262" spans="1:47">
      <c r="A262" s="24" t="s">
        <v>1631</v>
      </c>
      <c r="B262" s="24">
        <v>11741</v>
      </c>
      <c r="C262" s="24" t="s">
        <v>1632</v>
      </c>
      <c r="D262" s="24" t="s">
        <v>1633</v>
      </c>
      <c r="E262" s="24">
        <v>900011741</v>
      </c>
      <c r="F262" s="24">
        <v>7951</v>
      </c>
      <c r="G262" s="24">
        <v>97</v>
      </c>
      <c r="H262" s="24">
        <v>45</v>
      </c>
      <c r="I262" s="25">
        <v>0.5</v>
      </c>
      <c r="J262" s="24">
        <v>2451</v>
      </c>
      <c r="K262" s="24" t="b">
        <v>1</v>
      </c>
      <c r="L262" s="25">
        <v>0</v>
      </c>
      <c r="M262" s="47">
        <v>0</v>
      </c>
      <c r="N262" s="25">
        <v>0.1</v>
      </c>
      <c r="O262" s="47">
        <v>10</v>
      </c>
      <c r="P262" s="25">
        <v>1</v>
      </c>
      <c r="Q262" s="24">
        <v>2</v>
      </c>
      <c r="R262" s="24">
        <v>3</v>
      </c>
      <c r="S262" s="25">
        <v>0.5</v>
      </c>
      <c r="T262" s="24">
        <v>0.2</v>
      </c>
      <c r="U262" s="24">
        <v>0</v>
      </c>
      <c r="V262" s="24">
        <v>0</v>
      </c>
      <c r="W262" s="24">
        <v>0</v>
      </c>
      <c r="X262" s="24">
        <v>-0.2</v>
      </c>
      <c r="Y262" s="24">
        <v>0.2</v>
      </c>
      <c r="Z262" s="24">
        <v>0</v>
      </c>
      <c r="AA262" s="24">
        <v>0</v>
      </c>
      <c r="AB262" s="24">
        <v>0</v>
      </c>
      <c r="AC262" s="24">
        <v>-0.2</v>
      </c>
      <c r="AD262" s="24">
        <v>0.2</v>
      </c>
      <c r="AE262" s="24">
        <v>0</v>
      </c>
      <c r="AF262" s="24">
        <v>0</v>
      </c>
      <c r="AG262" s="24">
        <v>0</v>
      </c>
      <c r="AH262" s="24">
        <v>-0.2</v>
      </c>
      <c r="AI262" s="48">
        <v>20001</v>
      </c>
      <c r="AJ262" s="48">
        <v>20002</v>
      </c>
      <c r="AK262" s="48">
        <v>20003</v>
      </c>
      <c r="AL262" s="48">
        <v>20004</v>
      </c>
      <c r="AM262" s="48">
        <v>20015</v>
      </c>
      <c r="AN262" s="25">
        <v>0</v>
      </c>
      <c r="AO262" s="49">
        <v>3</v>
      </c>
      <c r="AP262" s="50">
        <v>75</v>
      </c>
      <c r="AQ262" s="51" t="s">
        <v>1634</v>
      </c>
      <c r="AR262" s="51">
        <f>=F262*247.95</f>
        <v>1971450.45</v>
      </c>
      <c r="AS262" s="51">
        <f>=G262*32.6061</f>
        <v>3162.7917</v>
      </c>
      <c r="AT262" s="51">
        <f>=J262*2.35</f>
        <v>5759.85</v>
      </c>
      <c r="AU262" s="47">
        <f>=H262*15.88</f>
        <v>714.6</v>
      </c>
    </row>
    <row r="263" spans="1:47">
      <c r="A263" s="24" t="s">
        <v>1631</v>
      </c>
      <c r="B263" s="24">
        <v>11742</v>
      </c>
      <c r="C263" s="24" t="s">
        <v>1632</v>
      </c>
      <c r="D263" s="24" t="s">
        <v>1633</v>
      </c>
      <c r="E263" s="24">
        <v>900011742</v>
      </c>
      <c r="F263" s="24">
        <v>8179</v>
      </c>
      <c r="G263" s="24">
        <v>111</v>
      </c>
      <c r="H263" s="24">
        <v>45</v>
      </c>
      <c r="I263" s="25">
        <v>0.5</v>
      </c>
      <c r="J263" s="24">
        <v>2781</v>
      </c>
      <c r="K263" s="24" t="b">
        <v>1</v>
      </c>
      <c r="L263" s="25">
        <v>0</v>
      </c>
      <c r="M263" s="47">
        <v>0</v>
      </c>
      <c r="N263" s="25">
        <v>0.1</v>
      </c>
      <c r="O263" s="47">
        <v>10</v>
      </c>
      <c r="P263" s="25">
        <v>1</v>
      </c>
      <c r="Q263" s="24">
        <v>2</v>
      </c>
      <c r="R263" s="24">
        <v>5</v>
      </c>
      <c r="S263" s="25">
        <v>0.5</v>
      </c>
      <c r="T263" s="24">
        <v>0.2</v>
      </c>
      <c r="U263" s="24">
        <v>0</v>
      </c>
      <c r="V263" s="24">
        <v>0</v>
      </c>
      <c r="W263" s="24">
        <v>0</v>
      </c>
      <c r="X263" s="24">
        <v>-0.2</v>
      </c>
      <c r="Y263" s="24">
        <v>0.2</v>
      </c>
      <c r="Z263" s="24">
        <v>0</v>
      </c>
      <c r="AA263" s="24">
        <v>0</v>
      </c>
      <c r="AB263" s="24">
        <v>0</v>
      </c>
      <c r="AC263" s="24">
        <v>-0.2</v>
      </c>
      <c r="AD263" s="24">
        <v>0.2</v>
      </c>
      <c r="AE263" s="24">
        <v>0</v>
      </c>
      <c r="AF263" s="24">
        <v>0</v>
      </c>
      <c r="AG263" s="24">
        <v>0</v>
      </c>
      <c r="AH263" s="24">
        <v>-0.2</v>
      </c>
      <c r="AI263" s="48">
        <v>20001</v>
      </c>
      <c r="AJ263" s="48">
        <v>20002</v>
      </c>
      <c r="AK263" s="48">
        <v>20003</v>
      </c>
      <c r="AL263" s="48">
        <v>20004</v>
      </c>
      <c r="AM263" s="48">
        <v>20015</v>
      </c>
      <c r="AN263" s="25">
        <v>0</v>
      </c>
      <c r="AO263" s="49">
        <v>3</v>
      </c>
      <c r="AP263" s="50">
        <v>75</v>
      </c>
      <c r="AQ263" s="51" t="s">
        <v>1635</v>
      </c>
      <c r="AR263" s="51">
        <f>=F263*247.95</f>
        <v>2027983.05</v>
      </c>
      <c r="AS263" s="51">
        <f>=G263*32.6061</f>
        <v>3619.2771</v>
      </c>
      <c r="AT263" s="51">
        <f>=J263*2.35</f>
        <v>6535.35</v>
      </c>
      <c r="AU263" s="47">
        <f>=H263*15.88</f>
        <v>714.6</v>
      </c>
    </row>
    <row r="264" spans="1:47">
      <c r="A264" s="24" t="s">
        <v>1636</v>
      </c>
      <c r="B264" s="24">
        <v>11751</v>
      </c>
      <c r="C264" s="24" t="s">
        <v>1637</v>
      </c>
      <c r="D264" s="24" t="s">
        <v>1638</v>
      </c>
      <c r="E264" s="24">
        <v>900011751</v>
      </c>
      <c r="F264" s="24">
        <v>7097</v>
      </c>
      <c r="G264" s="24">
        <v>97</v>
      </c>
      <c r="H264" s="24">
        <v>58</v>
      </c>
      <c r="I264" s="25">
        <v>0.5</v>
      </c>
      <c r="J264" s="24">
        <v>3502</v>
      </c>
      <c r="K264" s="24" t="b">
        <v>1</v>
      </c>
      <c r="L264" s="25">
        <v>0</v>
      </c>
      <c r="M264" s="47">
        <v>0</v>
      </c>
      <c r="N264" s="25">
        <v>0.1</v>
      </c>
      <c r="O264" s="47">
        <v>10</v>
      </c>
      <c r="P264" s="25">
        <v>0.5</v>
      </c>
      <c r="Q264" s="24">
        <v>2</v>
      </c>
      <c r="R264" s="24">
        <v>3</v>
      </c>
      <c r="S264" s="25">
        <v>0.5</v>
      </c>
      <c r="T264" s="24">
        <v>0.2</v>
      </c>
      <c r="U264" s="24">
        <v>0</v>
      </c>
      <c r="V264" s="24">
        <v>0</v>
      </c>
      <c r="W264" s="24">
        <v>0</v>
      </c>
      <c r="X264" s="24">
        <v>-0.2</v>
      </c>
      <c r="Y264" s="24">
        <v>0.2</v>
      </c>
      <c r="Z264" s="24">
        <v>0</v>
      </c>
      <c r="AA264" s="24">
        <v>0</v>
      </c>
      <c r="AB264" s="24">
        <v>0</v>
      </c>
      <c r="AC264" s="24">
        <v>-0.2</v>
      </c>
      <c r="AD264" s="24">
        <v>0.2</v>
      </c>
      <c r="AE264" s="24">
        <v>0</v>
      </c>
      <c r="AF264" s="24">
        <v>0</v>
      </c>
      <c r="AG264" s="24">
        <v>0</v>
      </c>
      <c r="AH264" s="24">
        <v>-0.2</v>
      </c>
      <c r="AI264" s="48">
        <v>20001</v>
      </c>
      <c r="AJ264" s="48">
        <v>20002</v>
      </c>
      <c r="AK264" s="48">
        <v>20003</v>
      </c>
      <c r="AL264" s="48">
        <v>20004</v>
      </c>
      <c r="AM264" s="48">
        <v>20015</v>
      </c>
      <c r="AN264" s="25">
        <v>0</v>
      </c>
      <c r="AO264" s="49">
        <v>3</v>
      </c>
      <c r="AP264" s="50">
        <v>75</v>
      </c>
      <c r="AQ264" s="51" t="s">
        <v>1634</v>
      </c>
      <c r="AR264" s="51">
        <f>=F264*247.95</f>
        <v>1759701.15</v>
      </c>
      <c r="AS264" s="51">
        <f>=G264*32.6061</f>
        <v>3162.7917</v>
      </c>
      <c r="AT264" s="51">
        <f>=J264*2.35</f>
        <v>8229.7</v>
      </c>
      <c r="AU264" s="47">
        <f>=H264*15.88</f>
        <v>921.04</v>
      </c>
    </row>
    <row r="265" spans="1:47">
      <c r="A265" s="24" t="s">
        <v>1636</v>
      </c>
      <c r="B265" s="24">
        <v>11752</v>
      </c>
      <c r="C265" s="24" t="s">
        <v>1637</v>
      </c>
      <c r="D265" s="24" t="s">
        <v>1638</v>
      </c>
      <c r="E265" s="24">
        <v>900011752</v>
      </c>
      <c r="F265" s="24">
        <v>7351</v>
      </c>
      <c r="G265" s="24">
        <v>111</v>
      </c>
      <c r="H265" s="24">
        <v>58</v>
      </c>
      <c r="I265" s="25">
        <v>0.5</v>
      </c>
      <c r="J265" s="24">
        <v>3972</v>
      </c>
      <c r="K265" s="24" t="b">
        <v>1</v>
      </c>
      <c r="L265" s="25">
        <v>0</v>
      </c>
      <c r="M265" s="47">
        <v>0</v>
      </c>
      <c r="N265" s="25">
        <v>0.1</v>
      </c>
      <c r="O265" s="47">
        <v>10</v>
      </c>
      <c r="P265" s="25">
        <v>0.5</v>
      </c>
      <c r="Q265" s="24">
        <v>2</v>
      </c>
      <c r="R265" s="24">
        <v>5</v>
      </c>
      <c r="S265" s="25">
        <v>0.5</v>
      </c>
      <c r="T265" s="24">
        <v>0.2</v>
      </c>
      <c r="U265" s="24">
        <v>0</v>
      </c>
      <c r="V265" s="24">
        <v>0</v>
      </c>
      <c r="W265" s="24">
        <v>0</v>
      </c>
      <c r="X265" s="24">
        <v>-0.2</v>
      </c>
      <c r="Y265" s="24">
        <v>0.2</v>
      </c>
      <c r="Z265" s="24">
        <v>0</v>
      </c>
      <c r="AA265" s="24">
        <v>0</v>
      </c>
      <c r="AB265" s="24">
        <v>0</v>
      </c>
      <c r="AC265" s="24">
        <v>-0.2</v>
      </c>
      <c r="AD265" s="24">
        <v>0.2</v>
      </c>
      <c r="AE265" s="24">
        <v>0</v>
      </c>
      <c r="AF265" s="24">
        <v>0</v>
      </c>
      <c r="AG265" s="24">
        <v>0</v>
      </c>
      <c r="AH265" s="24">
        <v>-0.2</v>
      </c>
      <c r="AI265" s="48">
        <v>20001</v>
      </c>
      <c r="AJ265" s="48">
        <v>20002</v>
      </c>
      <c r="AK265" s="48">
        <v>20003</v>
      </c>
      <c r="AL265" s="48">
        <v>20004</v>
      </c>
      <c r="AM265" s="48">
        <v>20015</v>
      </c>
      <c r="AN265" s="25">
        <v>0</v>
      </c>
      <c r="AO265" s="49">
        <v>3</v>
      </c>
      <c r="AP265" s="50">
        <v>75</v>
      </c>
      <c r="AQ265" s="51" t="s">
        <v>1635</v>
      </c>
      <c r="AR265" s="51">
        <f>=F265*247.95</f>
        <v>1822680.45</v>
      </c>
      <c r="AS265" s="51">
        <f>=G265*32.6061</f>
        <v>3619.2771</v>
      </c>
      <c r="AT265" s="51">
        <f>=J265*2.35</f>
        <v>9334.2</v>
      </c>
      <c r="AU265" s="47">
        <f>=H265*15.88</f>
        <v>921.04</v>
      </c>
    </row>
    <row r="266" spans="1:47">
      <c r="A266" s="24" t="s">
        <v>1639</v>
      </c>
      <c r="B266" s="24">
        <v>11761</v>
      </c>
      <c r="C266" s="24" t="s">
        <v>1640</v>
      </c>
      <c r="D266" s="24" t="s">
        <v>1641</v>
      </c>
      <c r="E266" s="24">
        <v>900011761</v>
      </c>
      <c r="F266" s="24">
        <v>1235</v>
      </c>
      <c r="G266" s="24">
        <v>59</v>
      </c>
      <c r="H266" s="24">
        <v>40</v>
      </c>
      <c r="I266" s="25">
        <v>0.5</v>
      </c>
      <c r="J266" s="24">
        <v>630</v>
      </c>
      <c r="K266" s="24" t="b">
        <v>1</v>
      </c>
      <c r="L266" s="25">
        <v>0</v>
      </c>
      <c r="M266" s="47">
        <v>0</v>
      </c>
      <c r="N266" s="25">
        <v>0.1538</v>
      </c>
      <c r="O266" s="47">
        <v>6.501951</v>
      </c>
      <c r="P266" s="25">
        <v>0.5</v>
      </c>
      <c r="Q266" s="24">
        <v>1</v>
      </c>
      <c r="R266" s="24">
        <v>1</v>
      </c>
      <c r="S266" s="25">
        <v>0</v>
      </c>
      <c r="T266" s="24">
        <v>0</v>
      </c>
      <c r="U266" s="24">
        <v>0</v>
      </c>
      <c r="V266" s="24">
        <v>-0.2</v>
      </c>
      <c r="W266" s="24">
        <v>0</v>
      </c>
      <c r="X266" s="24">
        <v>0</v>
      </c>
      <c r="Y266" s="24">
        <v>0</v>
      </c>
      <c r="Z266" s="24">
        <v>0</v>
      </c>
      <c r="AA266" s="24">
        <v>-0.2</v>
      </c>
      <c r="AB266" s="24">
        <v>0</v>
      </c>
      <c r="AC266" s="24">
        <v>0</v>
      </c>
      <c r="AD266" s="24">
        <v>0</v>
      </c>
      <c r="AE266" s="24">
        <v>0</v>
      </c>
      <c r="AF266" s="24">
        <v>-0.2</v>
      </c>
      <c r="AG266" s="24">
        <v>0</v>
      </c>
      <c r="AH266" s="24">
        <v>0</v>
      </c>
      <c r="AI266" s="48">
        <v>10001</v>
      </c>
      <c r="AJ266" s="48">
        <v>10002</v>
      </c>
      <c r="AK266" s="48">
        <v>10013</v>
      </c>
      <c r="AL266" s="48">
        <v>10004</v>
      </c>
      <c r="AM266" s="48">
        <v>10005</v>
      </c>
      <c r="AN266" s="25">
        <v>0</v>
      </c>
      <c r="AO266" s="49" t="s"/>
      <c r="AP266" s="50">
        <v>50</v>
      </c>
      <c r="AQ266" s="51" t="s">
        <v>1401</v>
      </c>
      <c r="AR266" s="51">
        <f>=F266*247.95</f>
        <v>306218.25</v>
      </c>
      <c r="AS266" s="51">
        <f>=G266*32.6061</f>
        <v>1923.7599</v>
      </c>
      <c r="AT266" s="51">
        <f>=J266*2.35</f>
        <v>1480.5</v>
      </c>
      <c r="AU266" s="47">
        <f>=H266*15.88</f>
        <v>635.2</v>
      </c>
    </row>
    <row r="267" spans="1:47">
      <c r="A267" s="24" t="s">
        <v>1639</v>
      </c>
      <c r="B267" s="24">
        <v>11762</v>
      </c>
      <c r="C267" s="24" t="s">
        <v>1640</v>
      </c>
      <c r="D267" s="24" t="s">
        <v>1641</v>
      </c>
      <c r="E267" s="24">
        <v>900011762</v>
      </c>
      <c r="F267" s="24">
        <v>1510</v>
      </c>
      <c r="G267" s="24">
        <v>59</v>
      </c>
      <c r="H267" s="24">
        <v>40</v>
      </c>
      <c r="I267" s="25">
        <v>0.5</v>
      </c>
      <c r="J267" s="24">
        <v>945</v>
      </c>
      <c r="K267" s="24" t="b">
        <v>1</v>
      </c>
      <c r="L267" s="25">
        <v>0</v>
      </c>
      <c r="M267" s="47">
        <v>0</v>
      </c>
      <c r="N267" s="25">
        <v>0.1538</v>
      </c>
      <c r="O267" s="47">
        <v>6.501951</v>
      </c>
      <c r="P267" s="25">
        <v>0.5</v>
      </c>
      <c r="Q267" s="24">
        <v>1</v>
      </c>
      <c r="R267" s="24">
        <v>1</v>
      </c>
      <c r="S267" s="25">
        <v>0</v>
      </c>
      <c r="T267" s="24">
        <v>0</v>
      </c>
      <c r="U267" s="24">
        <v>0</v>
      </c>
      <c r="V267" s="24">
        <v>-0.2</v>
      </c>
      <c r="W267" s="24">
        <v>0</v>
      </c>
      <c r="X267" s="24">
        <v>0</v>
      </c>
      <c r="Y267" s="24">
        <v>0</v>
      </c>
      <c r="Z267" s="24">
        <v>0</v>
      </c>
      <c r="AA267" s="24">
        <v>-0.2</v>
      </c>
      <c r="AB267" s="24">
        <v>0</v>
      </c>
      <c r="AC267" s="24">
        <v>0</v>
      </c>
      <c r="AD267" s="24">
        <v>0</v>
      </c>
      <c r="AE267" s="24">
        <v>0</v>
      </c>
      <c r="AF267" s="24">
        <v>-0.2</v>
      </c>
      <c r="AG267" s="24">
        <v>0</v>
      </c>
      <c r="AH267" s="24">
        <v>0</v>
      </c>
      <c r="AI267" s="48">
        <v>10001</v>
      </c>
      <c r="AJ267" s="48">
        <v>10002</v>
      </c>
      <c r="AK267" s="48">
        <v>10013</v>
      </c>
      <c r="AL267" s="48">
        <v>10004</v>
      </c>
      <c r="AM267" s="48">
        <v>10005</v>
      </c>
      <c r="AN267" s="25">
        <v>0</v>
      </c>
      <c r="AO267" s="49" t="s"/>
      <c r="AP267" s="50">
        <v>50</v>
      </c>
      <c r="AQ267" s="51" t="s">
        <v>1402</v>
      </c>
      <c r="AR267" s="51">
        <f>=F267*247.95</f>
        <v>374404.5</v>
      </c>
      <c r="AS267" s="51">
        <f>=G267*32.6061</f>
        <v>1923.7599</v>
      </c>
      <c r="AT267" s="51">
        <f>=J267*2.35</f>
        <v>2220.75</v>
      </c>
      <c r="AU267" s="47">
        <f>=H267*15.88</f>
        <v>635.2</v>
      </c>
    </row>
    <row r="268" spans="1:47">
      <c r="A268" s="24" t="s">
        <v>1642</v>
      </c>
      <c r="B268" s="24">
        <v>11763</v>
      </c>
      <c r="C268" s="24" t="s">
        <v>1643</v>
      </c>
      <c r="D268" s="24" t="s">
        <v>1644</v>
      </c>
      <c r="E268" s="24">
        <v>900011763</v>
      </c>
      <c r="F268" s="24">
        <v>1235</v>
      </c>
      <c r="G268" s="24">
        <v>59</v>
      </c>
      <c r="H268" s="24">
        <v>40</v>
      </c>
      <c r="I268" s="25">
        <v>0.5</v>
      </c>
      <c r="J268" s="24">
        <v>630</v>
      </c>
      <c r="K268" s="24" t="b">
        <v>1</v>
      </c>
      <c r="L268" s="25">
        <v>0</v>
      </c>
      <c r="M268" s="47">
        <v>0</v>
      </c>
      <c r="N268" s="25">
        <v>0.1538</v>
      </c>
      <c r="O268" s="47">
        <v>6.501951</v>
      </c>
      <c r="P268" s="25">
        <v>0.5</v>
      </c>
      <c r="Q268" s="24">
        <v>1</v>
      </c>
      <c r="R268" s="24">
        <v>1</v>
      </c>
      <c r="S268" s="25">
        <v>0</v>
      </c>
      <c r="T268" s="24">
        <v>0</v>
      </c>
      <c r="U268" s="24">
        <v>-0.2</v>
      </c>
      <c r="V268" s="24">
        <v>0</v>
      </c>
      <c r="W268" s="24">
        <v>-0.2</v>
      </c>
      <c r="X268" s="24">
        <v>0</v>
      </c>
      <c r="Y268" s="24">
        <v>0</v>
      </c>
      <c r="Z268" s="24">
        <v>-0.2</v>
      </c>
      <c r="AA268" s="24">
        <v>0</v>
      </c>
      <c r="AB268" s="24">
        <v>-0.2</v>
      </c>
      <c r="AC268" s="24">
        <v>0</v>
      </c>
      <c r="AD268" s="24">
        <v>0</v>
      </c>
      <c r="AE268" s="24">
        <v>-0.2</v>
      </c>
      <c r="AF268" s="24">
        <v>0</v>
      </c>
      <c r="AG268" s="24">
        <v>-0.2</v>
      </c>
      <c r="AH268" s="24">
        <v>0</v>
      </c>
      <c r="AI268" s="48">
        <v>10001</v>
      </c>
      <c r="AJ268" s="48">
        <v>10012</v>
      </c>
      <c r="AK268" s="48">
        <v>10003</v>
      </c>
      <c r="AL268" s="48">
        <v>10004</v>
      </c>
      <c r="AM268" s="48">
        <v>10005</v>
      </c>
      <c r="AN268" s="25">
        <v>0</v>
      </c>
      <c r="AO268" s="49" t="s"/>
      <c r="AP268" s="50">
        <v>50</v>
      </c>
      <c r="AQ268" s="51" t="s">
        <v>1401</v>
      </c>
      <c r="AR268" s="51">
        <f>=F268*247.95</f>
        <v>306218.25</v>
      </c>
      <c r="AS268" s="51">
        <f>=G268*32.6061</f>
        <v>1923.7599</v>
      </c>
      <c r="AT268" s="51">
        <f>=J268*2.35</f>
        <v>1480.5</v>
      </c>
      <c r="AU268" s="47">
        <f>=H268*15.88</f>
        <v>635.2</v>
      </c>
    </row>
    <row r="269" spans="1:47">
      <c r="A269" s="24" t="s">
        <v>1642</v>
      </c>
      <c r="B269" s="24">
        <v>11764</v>
      </c>
      <c r="C269" s="24" t="s">
        <v>1643</v>
      </c>
      <c r="D269" s="24" t="s">
        <v>1644</v>
      </c>
      <c r="E269" s="24">
        <v>900011764</v>
      </c>
      <c r="F269" s="24">
        <v>1510</v>
      </c>
      <c r="G269" s="24">
        <v>59</v>
      </c>
      <c r="H269" s="24">
        <v>40</v>
      </c>
      <c r="I269" s="25">
        <v>0.5</v>
      </c>
      <c r="J269" s="24">
        <v>945</v>
      </c>
      <c r="K269" s="24" t="b">
        <v>1</v>
      </c>
      <c r="L269" s="25">
        <v>0</v>
      </c>
      <c r="M269" s="47">
        <v>0</v>
      </c>
      <c r="N269" s="25">
        <v>0.1538</v>
      </c>
      <c r="O269" s="47">
        <v>6.501951</v>
      </c>
      <c r="P269" s="25">
        <v>0.5</v>
      </c>
      <c r="Q269" s="24">
        <v>1</v>
      </c>
      <c r="R269" s="24">
        <v>1</v>
      </c>
      <c r="S269" s="25">
        <v>0</v>
      </c>
      <c r="T269" s="24">
        <v>0</v>
      </c>
      <c r="U269" s="24">
        <v>-0.2</v>
      </c>
      <c r="V269" s="24">
        <v>0</v>
      </c>
      <c r="W269" s="24">
        <v>-0.2</v>
      </c>
      <c r="X269" s="24">
        <v>0</v>
      </c>
      <c r="Y269" s="24">
        <v>0</v>
      </c>
      <c r="Z269" s="24">
        <v>-0.2</v>
      </c>
      <c r="AA269" s="24">
        <v>0</v>
      </c>
      <c r="AB269" s="24">
        <v>-0.2</v>
      </c>
      <c r="AC269" s="24">
        <v>0</v>
      </c>
      <c r="AD269" s="24">
        <v>0</v>
      </c>
      <c r="AE269" s="24">
        <v>-0.2</v>
      </c>
      <c r="AF269" s="24">
        <v>0</v>
      </c>
      <c r="AG269" s="24">
        <v>-0.2</v>
      </c>
      <c r="AH269" s="24">
        <v>0</v>
      </c>
      <c r="AI269" s="48">
        <v>10001</v>
      </c>
      <c r="AJ269" s="48">
        <v>10012</v>
      </c>
      <c r="AK269" s="48">
        <v>10003</v>
      </c>
      <c r="AL269" s="48">
        <v>10004</v>
      </c>
      <c r="AM269" s="48">
        <v>10005</v>
      </c>
      <c r="AN269" s="25">
        <v>0</v>
      </c>
      <c r="AO269" s="49" t="s"/>
      <c r="AP269" s="50">
        <v>50</v>
      </c>
      <c r="AQ269" s="51" t="s">
        <v>1402</v>
      </c>
      <c r="AR269" s="51">
        <f>=F269*247.95</f>
        <v>374404.5</v>
      </c>
      <c r="AS269" s="51">
        <f>=G269*32.6061</f>
        <v>1923.7599</v>
      </c>
      <c r="AT269" s="51">
        <f>=J269*2.35</f>
        <v>2220.75</v>
      </c>
      <c r="AU269" s="47">
        <f>=H269*15.88</f>
        <v>635.2</v>
      </c>
    </row>
    <row r="270" spans="1:47">
      <c r="A270" s="24" t="s">
        <v>1645</v>
      </c>
      <c r="B270" s="24">
        <v>11771</v>
      </c>
      <c r="C270" s="24" t="s">
        <v>1646</v>
      </c>
      <c r="D270" s="24" t="s">
        <v>1647</v>
      </c>
      <c r="E270" s="24">
        <v>900011771</v>
      </c>
      <c r="F270" s="24">
        <v>1123</v>
      </c>
      <c r="G270" s="24">
        <v>60</v>
      </c>
      <c r="H270" s="24">
        <v>36</v>
      </c>
      <c r="I270" s="25">
        <v>0.5</v>
      </c>
      <c r="J270" s="24">
        <v>600</v>
      </c>
      <c r="K270" s="24" t="b">
        <v>1</v>
      </c>
      <c r="L270" s="25">
        <v>0</v>
      </c>
      <c r="M270" s="47">
        <v>0</v>
      </c>
      <c r="N270" s="25">
        <v>0.1538</v>
      </c>
      <c r="O270" s="47">
        <v>6.501951</v>
      </c>
      <c r="P270" s="25">
        <v>0.5</v>
      </c>
      <c r="Q270" s="24">
        <v>1</v>
      </c>
      <c r="R270" s="24">
        <v>1</v>
      </c>
      <c r="S270" s="25">
        <v>0</v>
      </c>
      <c r="T270" s="24">
        <v>0</v>
      </c>
      <c r="U270" s="24">
        <v>0</v>
      </c>
      <c r="V270" s="24">
        <v>0</v>
      </c>
      <c r="W270" s="24">
        <v>0</v>
      </c>
      <c r="X270" s="24">
        <v>-0.2</v>
      </c>
      <c r="Y270" s="24">
        <v>0</v>
      </c>
      <c r="Z270" s="24">
        <v>0</v>
      </c>
      <c r="AA270" s="24">
        <v>0</v>
      </c>
      <c r="AB270" s="24">
        <v>0</v>
      </c>
      <c r="AC270" s="24">
        <v>-0.2</v>
      </c>
      <c r="AD270" s="24">
        <v>0</v>
      </c>
      <c r="AE270" s="24">
        <v>0</v>
      </c>
      <c r="AF270" s="24">
        <v>0</v>
      </c>
      <c r="AG270" s="24">
        <v>0</v>
      </c>
      <c r="AH270" s="24">
        <v>-0.2</v>
      </c>
      <c r="AI270" s="48">
        <v>10001</v>
      </c>
      <c r="AJ270" s="48">
        <v>10002</v>
      </c>
      <c r="AK270" s="48">
        <v>10003</v>
      </c>
      <c r="AL270" s="48">
        <v>10004</v>
      </c>
      <c r="AM270" s="48">
        <v>10015</v>
      </c>
      <c r="AN270" s="25">
        <v>0</v>
      </c>
      <c r="AO270" s="49" t="s"/>
      <c r="AP270" s="50">
        <v>50</v>
      </c>
      <c r="AQ270" s="51" t="s">
        <v>1450</v>
      </c>
      <c r="AR270" s="51">
        <f>=F270*247.95</f>
        <v>278447.85</v>
      </c>
      <c r="AS270" s="51">
        <f>=G270*32.6061</f>
        <v>1956.366</v>
      </c>
      <c r="AT270" s="51">
        <f>=J270*2.35</f>
        <v>1410</v>
      </c>
      <c r="AU270" s="47">
        <f>=H270*15.88</f>
        <v>571.68</v>
      </c>
    </row>
    <row r="271" spans="1:47">
      <c r="A271" s="24" t="s">
        <v>1645</v>
      </c>
      <c r="B271" s="24">
        <v>11772</v>
      </c>
      <c r="C271" s="24" t="s">
        <v>1646</v>
      </c>
      <c r="D271" s="24" t="s">
        <v>1647</v>
      </c>
      <c r="E271" s="24">
        <v>900011772</v>
      </c>
      <c r="F271" s="24">
        <v>1373</v>
      </c>
      <c r="G271" s="24">
        <v>60</v>
      </c>
      <c r="H271" s="24">
        <v>36</v>
      </c>
      <c r="I271" s="25">
        <v>0.5</v>
      </c>
      <c r="J271" s="24">
        <v>900</v>
      </c>
      <c r="K271" s="24" t="b">
        <v>1</v>
      </c>
      <c r="L271" s="25">
        <v>0</v>
      </c>
      <c r="M271" s="47">
        <v>0</v>
      </c>
      <c r="N271" s="25">
        <v>0.1538</v>
      </c>
      <c r="O271" s="47">
        <v>6.501951</v>
      </c>
      <c r="P271" s="25">
        <v>0.5</v>
      </c>
      <c r="Q271" s="24">
        <v>1</v>
      </c>
      <c r="R271" s="24">
        <v>1</v>
      </c>
      <c r="S271" s="25">
        <v>0</v>
      </c>
      <c r="T271" s="24">
        <v>0</v>
      </c>
      <c r="U271" s="24">
        <v>0</v>
      </c>
      <c r="V271" s="24">
        <v>0</v>
      </c>
      <c r="W271" s="24">
        <v>0</v>
      </c>
      <c r="X271" s="24">
        <v>-0.2</v>
      </c>
      <c r="Y271" s="24">
        <v>0</v>
      </c>
      <c r="Z271" s="24">
        <v>0</v>
      </c>
      <c r="AA271" s="24">
        <v>0</v>
      </c>
      <c r="AB271" s="24">
        <v>0</v>
      </c>
      <c r="AC271" s="24">
        <v>-0.2</v>
      </c>
      <c r="AD271" s="24">
        <v>0</v>
      </c>
      <c r="AE271" s="24">
        <v>0</v>
      </c>
      <c r="AF271" s="24">
        <v>0</v>
      </c>
      <c r="AG271" s="24">
        <v>0</v>
      </c>
      <c r="AH271" s="24">
        <v>-0.2</v>
      </c>
      <c r="AI271" s="48">
        <v>10001</v>
      </c>
      <c r="AJ271" s="48">
        <v>10002</v>
      </c>
      <c r="AK271" s="48">
        <v>10003</v>
      </c>
      <c r="AL271" s="48">
        <v>10004</v>
      </c>
      <c r="AM271" s="48">
        <v>10015</v>
      </c>
      <c r="AN271" s="25">
        <v>0</v>
      </c>
      <c r="AO271" s="49" t="s"/>
      <c r="AP271" s="50">
        <v>50</v>
      </c>
      <c r="AQ271" s="51" t="s">
        <v>1451</v>
      </c>
      <c r="AR271" s="51">
        <f>=F271*247.95</f>
        <v>340435.35</v>
      </c>
      <c r="AS271" s="51">
        <f>=G271*32.6061</f>
        <v>1956.366</v>
      </c>
      <c r="AT271" s="51">
        <f>=J271*2.35</f>
        <v>2115</v>
      </c>
      <c r="AU271" s="47">
        <f>=H271*15.88</f>
        <v>571.68</v>
      </c>
    </row>
    <row r="272" spans="1:47">
      <c r="A272" s="24" t="s">
        <v>1648</v>
      </c>
      <c r="B272" s="24">
        <v>11781</v>
      </c>
      <c r="C272" s="24" t="s">
        <v>1649</v>
      </c>
      <c r="D272" s="24" t="s">
        <v>1650</v>
      </c>
      <c r="E272" s="24">
        <v>900011781</v>
      </c>
      <c r="F272" s="24">
        <v>1123</v>
      </c>
      <c r="G272" s="24">
        <v>60</v>
      </c>
      <c r="H272" s="24">
        <v>36</v>
      </c>
      <c r="I272" s="25">
        <v>0.5</v>
      </c>
      <c r="J272" s="24">
        <v>600</v>
      </c>
      <c r="K272" s="24" t="b">
        <v>1</v>
      </c>
      <c r="L272" s="25">
        <v>0</v>
      </c>
      <c r="M272" s="47">
        <v>0</v>
      </c>
      <c r="N272" s="25">
        <v>0.1538</v>
      </c>
      <c r="O272" s="47">
        <v>6.501951</v>
      </c>
      <c r="P272" s="25">
        <v>0.5</v>
      </c>
      <c r="Q272" s="24">
        <v>1</v>
      </c>
      <c r="R272" s="24">
        <v>1</v>
      </c>
      <c r="S272" s="25">
        <v>0</v>
      </c>
      <c r="T272" s="24">
        <v>0</v>
      </c>
      <c r="U272" s="24">
        <v>0</v>
      </c>
      <c r="V272" s="24">
        <v>0</v>
      </c>
      <c r="W272" s="24">
        <v>0</v>
      </c>
      <c r="X272" s="24">
        <v>-0.2</v>
      </c>
      <c r="Y272" s="24">
        <v>0</v>
      </c>
      <c r="Z272" s="24">
        <v>0</v>
      </c>
      <c r="AA272" s="24">
        <v>0</v>
      </c>
      <c r="AB272" s="24">
        <v>0</v>
      </c>
      <c r="AC272" s="24">
        <v>-0.2</v>
      </c>
      <c r="AD272" s="24">
        <v>0</v>
      </c>
      <c r="AE272" s="24">
        <v>0</v>
      </c>
      <c r="AF272" s="24">
        <v>0</v>
      </c>
      <c r="AG272" s="24">
        <v>0</v>
      </c>
      <c r="AH272" s="24">
        <v>-0.2</v>
      </c>
      <c r="AI272" s="48">
        <v>10001</v>
      </c>
      <c r="AJ272" s="48">
        <v>10002</v>
      </c>
      <c r="AK272" s="48">
        <v>10003</v>
      </c>
      <c r="AL272" s="48">
        <v>10004</v>
      </c>
      <c r="AM272" s="48">
        <v>10015</v>
      </c>
      <c r="AN272" s="25">
        <v>0</v>
      </c>
      <c r="AO272" s="49" t="s"/>
      <c r="AP272" s="50">
        <v>50</v>
      </c>
      <c r="AQ272" s="51" t="s">
        <v>1450</v>
      </c>
      <c r="AR272" s="51">
        <f>=F272*247.95</f>
        <v>278447.85</v>
      </c>
      <c r="AS272" s="51">
        <f>=G272*32.6061</f>
        <v>1956.366</v>
      </c>
      <c r="AT272" s="51">
        <f>=J272*2.35</f>
        <v>1410</v>
      </c>
      <c r="AU272" s="47">
        <f>=H272*15.88</f>
        <v>571.68</v>
      </c>
    </row>
    <row r="273" spans="1:47">
      <c r="A273" s="24" t="s">
        <v>1648</v>
      </c>
      <c r="B273" s="24">
        <v>11782</v>
      </c>
      <c r="C273" s="24" t="s">
        <v>1649</v>
      </c>
      <c r="D273" s="24" t="s">
        <v>1650</v>
      </c>
      <c r="E273" s="24">
        <v>900011782</v>
      </c>
      <c r="F273" s="24">
        <v>1373</v>
      </c>
      <c r="G273" s="24">
        <v>60</v>
      </c>
      <c r="H273" s="24">
        <v>36</v>
      </c>
      <c r="I273" s="25">
        <v>0.5</v>
      </c>
      <c r="J273" s="24">
        <v>900</v>
      </c>
      <c r="K273" s="24" t="b">
        <v>1</v>
      </c>
      <c r="L273" s="25">
        <v>0</v>
      </c>
      <c r="M273" s="47">
        <v>0</v>
      </c>
      <c r="N273" s="25">
        <v>0.1538</v>
      </c>
      <c r="O273" s="47">
        <v>6.501951</v>
      </c>
      <c r="P273" s="25">
        <v>0.5</v>
      </c>
      <c r="Q273" s="24">
        <v>1</v>
      </c>
      <c r="R273" s="24">
        <v>1</v>
      </c>
      <c r="S273" s="25">
        <v>0</v>
      </c>
      <c r="T273" s="24">
        <v>0</v>
      </c>
      <c r="U273" s="24">
        <v>0</v>
      </c>
      <c r="V273" s="24">
        <v>0</v>
      </c>
      <c r="W273" s="24">
        <v>0</v>
      </c>
      <c r="X273" s="24">
        <v>-0.2</v>
      </c>
      <c r="Y273" s="24">
        <v>0</v>
      </c>
      <c r="Z273" s="24">
        <v>0</v>
      </c>
      <c r="AA273" s="24">
        <v>0</v>
      </c>
      <c r="AB273" s="24">
        <v>0</v>
      </c>
      <c r="AC273" s="24">
        <v>-0.2</v>
      </c>
      <c r="AD273" s="24">
        <v>0</v>
      </c>
      <c r="AE273" s="24">
        <v>0</v>
      </c>
      <c r="AF273" s="24">
        <v>0</v>
      </c>
      <c r="AG273" s="24">
        <v>0</v>
      </c>
      <c r="AH273" s="24">
        <v>-0.2</v>
      </c>
      <c r="AI273" s="48">
        <v>10001</v>
      </c>
      <c r="AJ273" s="48">
        <v>10002</v>
      </c>
      <c r="AK273" s="48">
        <v>10003</v>
      </c>
      <c r="AL273" s="48">
        <v>10004</v>
      </c>
      <c r="AM273" s="48">
        <v>10015</v>
      </c>
      <c r="AN273" s="25">
        <v>0</v>
      </c>
      <c r="AO273" s="49" t="s"/>
      <c r="AP273" s="50">
        <v>50</v>
      </c>
      <c r="AQ273" s="51" t="s">
        <v>1451</v>
      </c>
      <c r="AR273" s="51">
        <f>=F273*247.95</f>
        <v>340435.35</v>
      </c>
      <c r="AS273" s="51">
        <f>=G273*32.6061</f>
        <v>1956.366</v>
      </c>
      <c r="AT273" s="51">
        <f>=J273*2.35</f>
        <v>2115</v>
      </c>
      <c r="AU273" s="47">
        <f>=H273*15.88</f>
        <v>571.68</v>
      </c>
    </row>
    <row r="274" spans="1:47" ht="17.25" customHeight="1">
      <c r="A274" s="24" t="s">
        <v>1651</v>
      </c>
      <c r="B274" s="24">
        <v>11791</v>
      </c>
      <c r="C274" s="24" t="s">
        <v>1652</v>
      </c>
      <c r="D274" s="24" t="s">
        <v>1653</v>
      </c>
      <c r="E274" s="24">
        <v>900011791</v>
      </c>
      <c r="F274" s="24">
        <v>20134</v>
      </c>
      <c r="G274" s="24">
        <v>144</v>
      </c>
      <c r="H274" s="24">
        <v>60</v>
      </c>
      <c r="I274" s="25">
        <v>0.5</v>
      </c>
      <c r="J274" s="24">
        <v>6097</v>
      </c>
      <c r="K274" s="24" t="b">
        <v>1</v>
      </c>
      <c r="L274" s="25">
        <v>0</v>
      </c>
      <c r="M274" s="47">
        <v>0</v>
      </c>
      <c r="N274" s="25">
        <v>0.0833</v>
      </c>
      <c r="O274" s="47">
        <v>12.0048</v>
      </c>
      <c r="P274" s="25">
        <v>0.5</v>
      </c>
      <c r="Q274" s="24">
        <v>3</v>
      </c>
      <c r="R274" s="24">
        <v>5</v>
      </c>
      <c r="S274" s="25">
        <v>0.75</v>
      </c>
      <c r="T274" s="24">
        <v>0.2</v>
      </c>
      <c r="U274" s="24">
        <v>0</v>
      </c>
      <c r="V274" s="24">
        <v>-0.2</v>
      </c>
      <c r="W274" s="24">
        <v>0</v>
      </c>
      <c r="X274" s="24">
        <v>0</v>
      </c>
      <c r="Y274" s="24">
        <v>0.2</v>
      </c>
      <c r="Z274" s="24">
        <v>0</v>
      </c>
      <c r="AA274" s="24">
        <v>-0.2</v>
      </c>
      <c r="AB274" s="24">
        <v>0</v>
      </c>
      <c r="AC274" s="24">
        <v>0</v>
      </c>
      <c r="AD274" s="24">
        <v>0.2</v>
      </c>
      <c r="AE274" s="24">
        <v>0</v>
      </c>
      <c r="AF274" s="24">
        <v>-0.2</v>
      </c>
      <c r="AG274" s="24">
        <v>0</v>
      </c>
      <c r="AH274" s="24">
        <v>0</v>
      </c>
      <c r="AI274" s="48">
        <v>30001</v>
      </c>
      <c r="AJ274" s="48">
        <v>30002</v>
      </c>
      <c r="AK274" s="48">
        <v>30013</v>
      </c>
      <c r="AL274" s="48">
        <v>30004</v>
      </c>
      <c r="AM274" s="48">
        <v>30005</v>
      </c>
      <c r="AN274" s="25">
        <v>0.1</v>
      </c>
      <c r="AO274" s="49">
        <v>5</v>
      </c>
      <c r="AP274" s="50">
        <v>100</v>
      </c>
      <c r="AQ274" s="51" t="s">
        <v>1504</v>
      </c>
      <c r="AR274" s="51">
        <f>=F274*247.95</f>
        <v>4992225.3</v>
      </c>
      <c r="AS274" s="51">
        <f>=G274*32.6061</f>
        <v>4695.2784</v>
      </c>
      <c r="AT274" s="51">
        <f>=J274*2.35</f>
        <v>14327.95</v>
      </c>
      <c r="AU274" s="47">
        <f>=H274*15.88</f>
        <v>952.8</v>
      </c>
    </row>
    <row r="275" spans="1:47" ht="17.25" customHeight="1">
      <c r="A275" s="24" t="s">
        <v>1654</v>
      </c>
      <c r="B275" s="24">
        <v>11811</v>
      </c>
      <c r="C275" s="24" t="s">
        <v>1655</v>
      </c>
      <c r="D275" s="24" t="s">
        <v>1656</v>
      </c>
      <c r="E275" s="24">
        <v>900011811</v>
      </c>
      <c r="F275" s="24">
        <v>12189</v>
      </c>
      <c r="G275" s="24">
        <v>144</v>
      </c>
      <c r="H275" s="24">
        <v>60</v>
      </c>
      <c r="I275" s="25">
        <v>0.5</v>
      </c>
      <c r="J275" s="24">
        <v>7084</v>
      </c>
      <c r="K275" s="24" t="b">
        <v>1</v>
      </c>
      <c r="L275" s="25">
        <v>0</v>
      </c>
      <c r="M275" s="47">
        <v>0</v>
      </c>
      <c r="N275" s="25">
        <v>0.0833</v>
      </c>
      <c r="O275" s="47">
        <v>12.0048</v>
      </c>
      <c r="P275" s="25">
        <v>0.5</v>
      </c>
      <c r="Q275" s="24">
        <v>3</v>
      </c>
      <c r="R275" s="24">
        <v>5</v>
      </c>
      <c r="S275" s="25">
        <v>0.75</v>
      </c>
      <c r="T275" s="24">
        <v>-0.2</v>
      </c>
      <c r="U275" s="24">
        <v>0</v>
      </c>
      <c r="V275" s="24">
        <v>0</v>
      </c>
      <c r="W275" s="24">
        <v>0.2</v>
      </c>
      <c r="X275" s="24">
        <v>0</v>
      </c>
      <c r="Y275" s="24">
        <v>-0.2</v>
      </c>
      <c r="Z275" s="24">
        <v>0</v>
      </c>
      <c r="AA275" s="24">
        <v>0</v>
      </c>
      <c r="AB275" s="24">
        <v>0.2</v>
      </c>
      <c r="AC275" s="24">
        <v>0</v>
      </c>
      <c r="AD275" s="24">
        <v>-0.2</v>
      </c>
      <c r="AE275" s="24">
        <v>0</v>
      </c>
      <c r="AF275" s="24">
        <v>0</v>
      </c>
      <c r="AG275" s="24">
        <v>0.2</v>
      </c>
      <c r="AH275" s="24">
        <v>0</v>
      </c>
      <c r="AI275" s="48">
        <v>30001</v>
      </c>
      <c r="AJ275" s="48">
        <v>30002</v>
      </c>
      <c r="AK275" s="48">
        <v>30003</v>
      </c>
      <c r="AL275" s="48">
        <v>30004</v>
      </c>
      <c r="AM275" s="48">
        <v>30005</v>
      </c>
      <c r="AN275" s="25">
        <v>0.1</v>
      </c>
      <c r="AO275" s="49">
        <v>5</v>
      </c>
      <c r="AP275" s="50">
        <v>100</v>
      </c>
      <c r="AQ275" s="51" t="s">
        <v>1657</v>
      </c>
      <c r="AR275" s="51">
        <f>=F275*247.95</f>
        <v>3022262.55</v>
      </c>
      <c r="AS275" s="51">
        <f>=G275*32.6061</f>
        <v>4695.2784</v>
      </c>
      <c r="AT275" s="51">
        <f>=J275*2.35</f>
        <v>16647.4</v>
      </c>
      <c r="AU275" s="47">
        <f>=H275*15.88</f>
        <v>952.8</v>
      </c>
    </row>
    <row r="276" spans="1:47">
      <c r="A276" s="24" t="s">
        <v>1654</v>
      </c>
      <c r="B276" s="24">
        <v>11812</v>
      </c>
      <c r="C276" s="24" t="s">
        <v>1655</v>
      </c>
      <c r="D276" s="24" t="s">
        <v>1656</v>
      </c>
      <c r="E276" s="24">
        <v>900011812</v>
      </c>
      <c r="F276" s="24">
        <v>20728</v>
      </c>
      <c r="G276" s="24">
        <v>173</v>
      </c>
      <c r="H276" s="24">
        <v>60</v>
      </c>
      <c r="I276" s="25">
        <v>0.5</v>
      </c>
      <c r="J276" s="24">
        <v>7084</v>
      </c>
      <c r="K276" s="24" t="b">
        <v>1</v>
      </c>
      <c r="L276" s="25">
        <v>0</v>
      </c>
      <c r="M276" s="47">
        <v>0</v>
      </c>
      <c r="N276" s="25">
        <v>0.0833</v>
      </c>
      <c r="O276" s="47">
        <v>12.0048</v>
      </c>
      <c r="P276" s="25">
        <v>0.5</v>
      </c>
      <c r="Q276" s="24">
        <v>3</v>
      </c>
      <c r="R276" s="24">
        <v>5</v>
      </c>
      <c r="S276" s="25">
        <v>0.75</v>
      </c>
      <c r="T276" s="24">
        <v>-0.2</v>
      </c>
      <c r="U276" s="24">
        <v>0</v>
      </c>
      <c r="V276" s="24">
        <v>0</v>
      </c>
      <c r="W276" s="24">
        <v>0.2</v>
      </c>
      <c r="X276" s="24">
        <v>0</v>
      </c>
      <c r="Y276" s="24">
        <v>-0.2</v>
      </c>
      <c r="Z276" s="24">
        <v>0</v>
      </c>
      <c r="AA276" s="24">
        <v>0</v>
      </c>
      <c r="AB276" s="24">
        <v>0.2</v>
      </c>
      <c r="AC276" s="24">
        <v>0</v>
      </c>
      <c r="AD276" s="24">
        <v>-0.2</v>
      </c>
      <c r="AE276" s="24">
        <v>0</v>
      </c>
      <c r="AF276" s="24">
        <v>0</v>
      </c>
      <c r="AG276" s="24">
        <v>0.2</v>
      </c>
      <c r="AH276" s="24">
        <v>0</v>
      </c>
      <c r="AI276" s="48">
        <v>30001</v>
      </c>
      <c r="AJ276" s="48">
        <v>30002</v>
      </c>
      <c r="AK276" s="48">
        <v>30003</v>
      </c>
      <c r="AL276" s="48">
        <v>30004</v>
      </c>
      <c r="AM276" s="48">
        <v>30005</v>
      </c>
      <c r="AN276" s="25">
        <v>0.1</v>
      </c>
      <c r="AO276" s="49">
        <v>5</v>
      </c>
      <c r="AP276" s="50">
        <v>100</v>
      </c>
      <c r="AQ276" s="51" t="s">
        <v>1658</v>
      </c>
      <c r="AR276" s="51">
        <f>=F276*247.95</f>
        <v>5139507.6</v>
      </c>
      <c r="AS276" s="51">
        <f>=G276*32.6061</f>
        <v>5640.8553</v>
      </c>
      <c r="AT276" s="51">
        <f>=J276*2.35</f>
        <v>16647.4</v>
      </c>
      <c r="AU276" s="47">
        <f>=H276*15.88</f>
        <v>952.8</v>
      </c>
    </row>
    <row r="277" spans="1:47">
      <c r="A277" s="24" t="s">
        <v>1659</v>
      </c>
      <c r="B277" s="24">
        <v>11813</v>
      </c>
      <c r="C277" s="24" t="s">
        <v>1660</v>
      </c>
      <c r="D277" s="24" t="s">
        <v>1661</v>
      </c>
      <c r="E277" s="24">
        <v>900011813</v>
      </c>
      <c r="F277" s="24">
        <v>2441</v>
      </c>
      <c r="G277" s="24">
        <v>83</v>
      </c>
      <c r="H277" s="24">
        <v>43</v>
      </c>
      <c r="I277" s="25">
        <v>0.5</v>
      </c>
      <c r="J277" s="24">
        <v>693</v>
      </c>
      <c r="K277" s="24" t="b">
        <v>0</v>
      </c>
      <c r="L277" s="25">
        <v>0</v>
      </c>
      <c r="M277" s="47">
        <v>0</v>
      </c>
      <c r="N277" s="25">
        <v>0.1538</v>
      </c>
      <c r="O277" s="47">
        <v>6.50195059</v>
      </c>
      <c r="P277" s="25">
        <v>0.5</v>
      </c>
      <c r="Q277" s="24">
        <v>1</v>
      </c>
      <c r="R277" s="24">
        <v>99</v>
      </c>
      <c r="S277" s="25">
        <v>0</v>
      </c>
      <c r="T277" s="24">
        <v>-0.2</v>
      </c>
      <c r="U277" s="24">
        <v>0</v>
      </c>
      <c r="V277" s="24">
        <v>0</v>
      </c>
      <c r="W277" s="24">
        <v>0</v>
      </c>
      <c r="X277" s="24">
        <v>0</v>
      </c>
      <c r="Y277" s="24">
        <v>-0.2</v>
      </c>
      <c r="Z277" s="24">
        <v>0</v>
      </c>
      <c r="AA277" s="24">
        <v>0</v>
      </c>
      <c r="AB277" s="24">
        <v>0</v>
      </c>
      <c r="AC277" s="24">
        <v>0</v>
      </c>
      <c r="AD277" s="24">
        <v>-0.2</v>
      </c>
      <c r="AE277" s="24">
        <v>0</v>
      </c>
      <c r="AF277" s="24">
        <v>0</v>
      </c>
      <c r="AG277" s="24">
        <v>0</v>
      </c>
      <c r="AH277" s="24">
        <v>0</v>
      </c>
      <c r="AI277" s="43">
        <v>10011</v>
      </c>
      <c r="AJ277" s="43">
        <v>10002</v>
      </c>
      <c r="AK277" s="43">
        <v>10003</v>
      </c>
      <c r="AL277" s="43">
        <v>10004</v>
      </c>
      <c r="AM277" s="43">
        <v>10005</v>
      </c>
      <c r="AN277" s="25">
        <v>0.1</v>
      </c>
      <c r="AO277" s="49" t="s"/>
      <c r="AP277" s="50">
        <v>50</v>
      </c>
      <c r="AQ277" s="51" t="s">
        <v>1662</v>
      </c>
      <c r="AR277" s="51">
        <f>=F277*247.95</f>
        <v>605245.95</v>
      </c>
      <c r="AS277" s="51">
        <f>=G277*32.6061</f>
        <v>2706.3063</v>
      </c>
      <c r="AT277" s="51">
        <f>=J277*2.35</f>
        <v>1628.55</v>
      </c>
      <c r="AU277" s="47">
        <f>=H277*15.88</f>
        <v>682.84</v>
      </c>
    </row>
    <row r="278" spans="1:47">
      <c r="A278" s="24" t="s">
        <v>1663</v>
      </c>
      <c r="B278" s="24">
        <v>11814</v>
      </c>
      <c r="C278" s="24" t="s">
        <v>1664</v>
      </c>
      <c r="D278" s="24" t="s">
        <v>1665</v>
      </c>
      <c r="E278" s="24">
        <v>900011814</v>
      </c>
      <c r="F278" s="24">
        <v>562</v>
      </c>
      <c r="G278" s="24">
        <v>42</v>
      </c>
      <c r="H278" s="24">
        <v>36</v>
      </c>
      <c r="I278" s="25">
        <v>0.5</v>
      </c>
      <c r="J278" s="24">
        <v>300</v>
      </c>
      <c r="K278" s="24" t="b">
        <v>1</v>
      </c>
      <c r="L278" s="25">
        <v>0</v>
      </c>
      <c r="M278" s="47">
        <v>0</v>
      </c>
      <c r="N278" s="25">
        <v>0.1538</v>
      </c>
      <c r="O278" s="47">
        <v>6.501951</v>
      </c>
      <c r="P278" s="25">
        <v>0.5</v>
      </c>
      <c r="Q278" s="24">
        <v>1</v>
      </c>
      <c r="R278" s="24">
        <v>1</v>
      </c>
      <c r="S278" s="25">
        <v>0</v>
      </c>
      <c r="T278" s="24">
        <v>-0.2</v>
      </c>
      <c r="U278" s="24">
        <v>0</v>
      </c>
      <c r="V278" s="24">
        <v>0</v>
      </c>
      <c r="W278" s="24">
        <v>0</v>
      </c>
      <c r="X278" s="24">
        <v>-0.2</v>
      </c>
      <c r="Y278" s="24">
        <v>-0.2</v>
      </c>
      <c r="Z278" s="24">
        <v>0</v>
      </c>
      <c r="AA278" s="24">
        <v>0</v>
      </c>
      <c r="AB278" s="24">
        <v>0</v>
      </c>
      <c r="AC278" s="24">
        <v>-0.2</v>
      </c>
      <c r="AD278" s="24">
        <v>-0.2</v>
      </c>
      <c r="AE278" s="24">
        <v>0</v>
      </c>
      <c r="AF278" s="24">
        <v>0</v>
      </c>
      <c r="AG278" s="24">
        <v>0</v>
      </c>
      <c r="AH278" s="24">
        <v>-0.2</v>
      </c>
      <c r="AI278" s="48">
        <v>10001</v>
      </c>
      <c r="AJ278" s="48">
        <v>10002</v>
      </c>
      <c r="AK278" s="48">
        <v>10003</v>
      </c>
      <c r="AL278" s="48">
        <v>10004</v>
      </c>
      <c r="AM278" s="48">
        <v>10015</v>
      </c>
      <c r="AN278" s="25">
        <v>0</v>
      </c>
      <c r="AO278" s="49" t="s"/>
      <c r="AP278" s="50">
        <v>50</v>
      </c>
      <c r="AQ278" s="51" t="s">
        <v>1666</v>
      </c>
      <c r="AR278" s="51">
        <f>=F278*247.95</f>
        <v>139347.9</v>
      </c>
      <c r="AS278" s="51">
        <f>=G278*32.6061</f>
        <v>1369.4562</v>
      </c>
      <c r="AT278" s="51">
        <f>=J278*2.35</f>
        <v>705</v>
      </c>
      <c r="AU278" s="47">
        <f>=H278*15.88</f>
        <v>571.68</v>
      </c>
    </row>
    <row r="279" spans="1:47">
      <c r="A279" s="24" t="s">
        <v>1663</v>
      </c>
      <c r="B279" s="24">
        <v>11815</v>
      </c>
      <c r="C279" s="24" t="s">
        <v>1664</v>
      </c>
      <c r="D279" s="24" t="s">
        <v>1665</v>
      </c>
      <c r="E279" s="24">
        <v>900011815</v>
      </c>
      <c r="F279" s="24">
        <v>562</v>
      </c>
      <c r="G279" s="24">
        <v>42</v>
      </c>
      <c r="H279" s="24">
        <v>36</v>
      </c>
      <c r="I279" s="25">
        <v>0.5</v>
      </c>
      <c r="J279" s="24">
        <v>300</v>
      </c>
      <c r="K279" s="24" t="b">
        <v>1</v>
      </c>
      <c r="L279" s="25">
        <v>0</v>
      </c>
      <c r="M279" s="47">
        <v>0</v>
      </c>
      <c r="N279" s="25">
        <v>0.1538</v>
      </c>
      <c r="O279" s="47">
        <v>6.501951</v>
      </c>
      <c r="P279" s="25">
        <v>0.5</v>
      </c>
      <c r="Q279" s="24">
        <v>1</v>
      </c>
      <c r="R279" s="24">
        <v>1</v>
      </c>
      <c r="S279" s="25">
        <v>0</v>
      </c>
      <c r="T279" s="24">
        <v>-0.2</v>
      </c>
      <c r="U279" s="24">
        <v>0</v>
      </c>
      <c r="V279" s="24">
        <v>0</v>
      </c>
      <c r="W279" s="24">
        <v>0</v>
      </c>
      <c r="X279" s="24">
        <v>-0.2</v>
      </c>
      <c r="Y279" s="24">
        <v>-0.2</v>
      </c>
      <c r="Z279" s="24">
        <v>0</v>
      </c>
      <c r="AA279" s="24">
        <v>0</v>
      </c>
      <c r="AB279" s="24">
        <v>0</v>
      </c>
      <c r="AC279" s="24">
        <v>-0.2</v>
      </c>
      <c r="AD279" s="24">
        <v>-0.2</v>
      </c>
      <c r="AE279" s="24">
        <v>0</v>
      </c>
      <c r="AF279" s="24">
        <v>0</v>
      </c>
      <c r="AG279" s="24">
        <v>0</v>
      </c>
      <c r="AH279" s="24">
        <v>-0.2</v>
      </c>
      <c r="AI279" s="48">
        <v>10001</v>
      </c>
      <c r="AJ279" s="48">
        <v>10002</v>
      </c>
      <c r="AK279" s="48">
        <v>10003</v>
      </c>
      <c r="AL279" s="48">
        <v>10004</v>
      </c>
      <c r="AM279" s="48">
        <v>10015</v>
      </c>
      <c r="AN279" s="25">
        <v>0</v>
      </c>
      <c r="AO279" s="49" t="s"/>
      <c r="AP279" s="50">
        <v>50</v>
      </c>
      <c r="AQ279" s="51" t="s">
        <v>1666</v>
      </c>
      <c r="AR279" s="51">
        <f>=F279*247.95</f>
        <v>139347.9</v>
      </c>
      <c r="AS279" s="51">
        <f>=G279*32.6061</f>
        <v>1369.4562</v>
      </c>
      <c r="AT279" s="51">
        <f>=J279*2.35</f>
        <v>705</v>
      </c>
      <c r="AU279" s="47">
        <f>=H279*15.88</f>
        <v>571.68</v>
      </c>
    </row>
    <row r="280" spans="1:47">
      <c r="A280" s="24" t="s">
        <v>1663</v>
      </c>
      <c r="B280" s="24">
        <v>11816</v>
      </c>
      <c r="C280" s="24" t="s">
        <v>1664</v>
      </c>
      <c r="D280" s="24" t="s">
        <v>1665</v>
      </c>
      <c r="E280" s="24">
        <v>900011816</v>
      </c>
      <c r="F280" s="24">
        <v>562</v>
      </c>
      <c r="G280" s="24">
        <v>42</v>
      </c>
      <c r="H280" s="24">
        <v>36</v>
      </c>
      <c r="I280" s="25">
        <v>0.5</v>
      </c>
      <c r="J280" s="24">
        <v>300</v>
      </c>
      <c r="K280" s="24" t="b">
        <v>1</v>
      </c>
      <c r="L280" s="25">
        <v>0</v>
      </c>
      <c r="M280" s="47">
        <v>0</v>
      </c>
      <c r="N280" s="25">
        <v>0.1538</v>
      </c>
      <c r="O280" s="47">
        <v>6.501951</v>
      </c>
      <c r="P280" s="25">
        <v>0.5</v>
      </c>
      <c r="Q280" s="24">
        <v>1</v>
      </c>
      <c r="R280" s="24">
        <v>1</v>
      </c>
      <c r="S280" s="25">
        <v>0</v>
      </c>
      <c r="T280" s="24">
        <v>-0.2</v>
      </c>
      <c r="U280" s="24">
        <v>0</v>
      </c>
      <c r="V280" s="24">
        <v>0</v>
      </c>
      <c r="W280" s="24">
        <v>0</v>
      </c>
      <c r="X280" s="24">
        <v>-0.2</v>
      </c>
      <c r="Y280" s="24">
        <v>-0.2</v>
      </c>
      <c r="Z280" s="24">
        <v>0</v>
      </c>
      <c r="AA280" s="24">
        <v>0</v>
      </c>
      <c r="AB280" s="24">
        <v>0</v>
      </c>
      <c r="AC280" s="24">
        <v>-0.2</v>
      </c>
      <c r="AD280" s="24">
        <v>-0.2</v>
      </c>
      <c r="AE280" s="24">
        <v>0</v>
      </c>
      <c r="AF280" s="24">
        <v>0</v>
      </c>
      <c r="AG280" s="24">
        <v>0</v>
      </c>
      <c r="AH280" s="24">
        <v>-0.2</v>
      </c>
      <c r="AI280" s="48">
        <v>10001</v>
      </c>
      <c r="AJ280" s="48">
        <v>10002</v>
      </c>
      <c r="AK280" s="48">
        <v>10003</v>
      </c>
      <c r="AL280" s="48">
        <v>10004</v>
      </c>
      <c r="AM280" s="48">
        <v>10015</v>
      </c>
      <c r="AN280" s="25">
        <v>0</v>
      </c>
      <c r="AO280" s="49" t="s"/>
      <c r="AP280" s="50">
        <v>50</v>
      </c>
      <c r="AQ280" s="51" t="s">
        <v>1666</v>
      </c>
      <c r="AR280" s="51">
        <f>=F280*247.95</f>
        <v>139347.9</v>
      </c>
      <c r="AS280" s="51">
        <f>=G280*32.6061</f>
        <v>1369.4562</v>
      </c>
      <c r="AT280" s="51">
        <f>=J280*2.35</f>
        <v>705</v>
      </c>
      <c r="AU280" s="47">
        <f>=H280*15.88</f>
        <v>571.68</v>
      </c>
    </row>
    <row r="281" spans="1:47">
      <c r="A281" s="24" t="s">
        <v>1654</v>
      </c>
      <c r="B281" s="24">
        <v>11818</v>
      </c>
      <c r="C281" s="24" t="s">
        <v>1655</v>
      </c>
      <c r="D281" s="24" t="s">
        <v>1656</v>
      </c>
      <c r="E281" s="24">
        <v>900011818</v>
      </c>
      <c r="F281" s="24">
        <v>20728</v>
      </c>
      <c r="G281" s="24">
        <v>173</v>
      </c>
      <c r="H281" s="24">
        <v>60</v>
      </c>
      <c r="I281" s="25">
        <v>0.5</v>
      </c>
      <c r="J281" s="24">
        <v>7084</v>
      </c>
      <c r="K281" s="24" t="b">
        <v>1</v>
      </c>
      <c r="L281" s="25">
        <v>0</v>
      </c>
      <c r="M281" s="47">
        <v>0</v>
      </c>
      <c r="N281" s="25">
        <v>0.0833</v>
      </c>
      <c r="O281" s="47">
        <v>12.0048</v>
      </c>
      <c r="P281" s="25">
        <v>0.5</v>
      </c>
      <c r="Q281" s="24">
        <v>3</v>
      </c>
      <c r="R281" s="24">
        <v>5</v>
      </c>
      <c r="S281" s="25">
        <v>0.75</v>
      </c>
      <c r="T281" s="24">
        <v>-0.2</v>
      </c>
      <c r="U281" s="24">
        <v>0</v>
      </c>
      <c r="V281" s="24">
        <v>0</v>
      </c>
      <c r="W281" s="24">
        <v>0.2</v>
      </c>
      <c r="X281" s="24">
        <v>0</v>
      </c>
      <c r="Y281" s="24">
        <v>-0.2</v>
      </c>
      <c r="Z281" s="24">
        <v>0</v>
      </c>
      <c r="AA281" s="24">
        <v>0</v>
      </c>
      <c r="AB281" s="24">
        <v>0.2</v>
      </c>
      <c r="AC281" s="24">
        <v>0</v>
      </c>
      <c r="AD281" s="24">
        <v>-0.2</v>
      </c>
      <c r="AE281" s="24">
        <v>0</v>
      </c>
      <c r="AF281" s="24">
        <v>0</v>
      </c>
      <c r="AG281" s="24">
        <v>0.2</v>
      </c>
      <c r="AH281" s="24">
        <v>0</v>
      </c>
      <c r="AI281" s="48">
        <v>30001</v>
      </c>
      <c r="AJ281" s="48">
        <v>30002</v>
      </c>
      <c r="AK281" s="48">
        <v>30003</v>
      </c>
      <c r="AL281" s="48">
        <v>30004</v>
      </c>
      <c r="AM281" s="48">
        <v>30005</v>
      </c>
      <c r="AN281" s="25">
        <v>0.1</v>
      </c>
      <c r="AO281" s="49">
        <v>5</v>
      </c>
      <c r="AP281" s="50">
        <v>100</v>
      </c>
      <c r="AQ281" s="51" t="s">
        <v>1667</v>
      </c>
      <c r="AR281" s="51">
        <f>=F281*247.95</f>
        <v>5139507.6</v>
      </c>
      <c r="AS281" s="51">
        <f>=G281*32.6061</f>
        <v>5640.8553</v>
      </c>
      <c r="AT281" s="51">
        <f>=J281*2.35</f>
        <v>16647.4</v>
      </c>
      <c r="AU281" s="47">
        <f>=H281*15.88</f>
        <v>952.8</v>
      </c>
    </row>
    <row r="282" spans="1:47">
      <c r="A282" s="24" t="s">
        <v>1654</v>
      </c>
      <c r="B282" s="24">
        <v>11819</v>
      </c>
      <c r="C282" s="24" t="s">
        <v>1655</v>
      </c>
      <c r="D282" s="24" t="s">
        <v>1656</v>
      </c>
      <c r="E282" s="24">
        <v>900011819</v>
      </c>
      <c r="F282" s="24">
        <v>12189</v>
      </c>
      <c r="G282" s="24">
        <v>144</v>
      </c>
      <c r="H282" s="24">
        <v>60</v>
      </c>
      <c r="I282" s="25">
        <v>0.5</v>
      </c>
      <c r="J282" s="24">
        <v>7084</v>
      </c>
      <c r="K282" s="24" t="b">
        <v>1</v>
      </c>
      <c r="L282" s="25">
        <v>0</v>
      </c>
      <c r="M282" s="47">
        <v>0</v>
      </c>
      <c r="N282" s="25">
        <v>0.0833</v>
      </c>
      <c r="O282" s="47">
        <v>12.0048</v>
      </c>
      <c r="P282" s="25">
        <v>0.5</v>
      </c>
      <c r="Q282" s="24">
        <v>3</v>
      </c>
      <c r="R282" s="24">
        <v>5</v>
      </c>
      <c r="S282" s="25">
        <v>0.75</v>
      </c>
      <c r="T282" s="24">
        <v>-0.2</v>
      </c>
      <c r="U282" s="24">
        <v>0</v>
      </c>
      <c r="V282" s="24">
        <v>0</v>
      </c>
      <c r="W282" s="24">
        <v>0.2</v>
      </c>
      <c r="X282" s="24">
        <v>0</v>
      </c>
      <c r="Y282" s="24">
        <v>-0.2</v>
      </c>
      <c r="Z282" s="24">
        <v>0</v>
      </c>
      <c r="AA282" s="24">
        <v>0</v>
      </c>
      <c r="AB282" s="24">
        <v>0.2</v>
      </c>
      <c r="AC282" s="24">
        <v>0</v>
      </c>
      <c r="AD282" s="24">
        <v>-0.2</v>
      </c>
      <c r="AE282" s="24">
        <v>0</v>
      </c>
      <c r="AF282" s="24">
        <v>0</v>
      </c>
      <c r="AG282" s="24">
        <v>0.2</v>
      </c>
      <c r="AH282" s="24">
        <v>0</v>
      </c>
      <c r="AI282" s="48">
        <v>30001</v>
      </c>
      <c r="AJ282" s="48">
        <v>30002</v>
      </c>
      <c r="AK282" s="48">
        <v>30003</v>
      </c>
      <c r="AL282" s="48">
        <v>30004</v>
      </c>
      <c r="AM282" s="48">
        <v>30005</v>
      </c>
      <c r="AN282" s="25">
        <v>0.1</v>
      </c>
      <c r="AO282" s="49">
        <v>5</v>
      </c>
      <c r="AP282" s="50">
        <v>100</v>
      </c>
      <c r="AQ282" s="51" t="s">
        <v>1657</v>
      </c>
      <c r="AR282" s="51">
        <f>=F282*247.95</f>
        <v>3022262.55</v>
      </c>
      <c r="AS282" s="51">
        <f>=G282*32.6061</f>
        <v>4695.2784</v>
      </c>
      <c r="AT282" s="51">
        <f>=J282*2.35</f>
        <v>16647.4</v>
      </c>
      <c r="AU282" s="47">
        <f>=H282*15.88</f>
        <v>952.8</v>
      </c>
    </row>
    <row r="283" spans="1:47">
      <c r="A283" s="24" t="s">
        <v>1668</v>
      </c>
      <c r="B283" s="24">
        <v>11821</v>
      </c>
      <c r="C283" s="24" t="s">
        <v>1669</v>
      </c>
      <c r="D283" s="24" t="s">
        <v>1670</v>
      </c>
      <c r="E283" s="24">
        <v>900011821</v>
      </c>
      <c r="F283" s="24">
        <v>1550</v>
      </c>
      <c r="G283" s="24">
        <v>79</v>
      </c>
      <c r="H283" s="24">
        <v>36</v>
      </c>
      <c r="I283" s="25">
        <v>0.5</v>
      </c>
      <c r="J283" s="24">
        <v>660</v>
      </c>
      <c r="K283" s="24" t="b">
        <v>1</v>
      </c>
      <c r="L283" s="25">
        <v>0</v>
      </c>
      <c r="M283" s="47">
        <v>0</v>
      </c>
      <c r="N283" s="25">
        <v>0.1538</v>
      </c>
      <c r="O283" s="47">
        <v>6.501951</v>
      </c>
      <c r="P283" s="25">
        <v>0.5</v>
      </c>
      <c r="Q283" s="24">
        <v>1</v>
      </c>
      <c r="R283" s="24">
        <v>1</v>
      </c>
      <c r="S283" s="25">
        <v>0</v>
      </c>
      <c r="T283" s="24">
        <v>-0.2</v>
      </c>
      <c r="U283" s="24">
        <v>0</v>
      </c>
      <c r="V283" s="24">
        <v>0</v>
      </c>
      <c r="W283" s="24">
        <v>0</v>
      </c>
      <c r="X283" s="24">
        <v>-0.2</v>
      </c>
      <c r="Y283" s="24">
        <v>-0.2</v>
      </c>
      <c r="Z283" s="24">
        <v>0</v>
      </c>
      <c r="AA283" s="24">
        <v>0</v>
      </c>
      <c r="AB283" s="24">
        <v>0</v>
      </c>
      <c r="AC283" s="24">
        <v>-0.2</v>
      </c>
      <c r="AD283" s="24">
        <v>-0.2</v>
      </c>
      <c r="AE283" s="24">
        <v>0</v>
      </c>
      <c r="AF283" s="24">
        <v>0</v>
      </c>
      <c r="AG283" s="24">
        <v>0</v>
      </c>
      <c r="AH283" s="24">
        <v>-0.2</v>
      </c>
      <c r="AI283" s="48">
        <v>10001</v>
      </c>
      <c r="AJ283" s="48">
        <v>10002</v>
      </c>
      <c r="AK283" s="48">
        <v>10003</v>
      </c>
      <c r="AL283" s="48">
        <v>10004</v>
      </c>
      <c r="AM283" s="48">
        <v>10015</v>
      </c>
      <c r="AN283" s="25">
        <v>0.1</v>
      </c>
      <c r="AO283" s="49" t="s"/>
      <c r="AP283" s="50">
        <v>50</v>
      </c>
      <c r="AQ283" s="51" t="s">
        <v>1450</v>
      </c>
      <c r="AR283" s="51">
        <f>=F283*247.95</f>
        <v>384322.5</v>
      </c>
      <c r="AS283" s="51">
        <f>=G283*32.6061</f>
        <v>2575.8819</v>
      </c>
      <c r="AT283" s="51">
        <f>=J283*2.35</f>
        <v>1551</v>
      </c>
      <c r="AU283" s="47">
        <f>=H283*15.88</f>
        <v>571.68</v>
      </c>
    </row>
    <row r="284" spans="1:47">
      <c r="A284" s="24" t="s">
        <v>1668</v>
      </c>
      <c r="B284" s="24">
        <v>11822</v>
      </c>
      <c r="C284" s="24" t="s">
        <v>1669</v>
      </c>
      <c r="D284" s="24" t="s">
        <v>1670</v>
      </c>
      <c r="E284" s="24">
        <v>900011822</v>
      </c>
      <c r="F284" s="24">
        <v>1895</v>
      </c>
      <c r="G284" s="24">
        <v>79</v>
      </c>
      <c r="H284" s="24">
        <v>36</v>
      </c>
      <c r="I284" s="25">
        <v>0.5</v>
      </c>
      <c r="J284" s="24">
        <v>990</v>
      </c>
      <c r="K284" s="24" t="b">
        <v>1</v>
      </c>
      <c r="L284" s="25">
        <v>0</v>
      </c>
      <c r="M284" s="47">
        <v>0</v>
      </c>
      <c r="N284" s="25">
        <v>0.1538</v>
      </c>
      <c r="O284" s="47">
        <v>6.501951</v>
      </c>
      <c r="P284" s="25">
        <v>0.5</v>
      </c>
      <c r="Q284" s="24">
        <v>1</v>
      </c>
      <c r="R284" s="24">
        <v>1</v>
      </c>
      <c r="S284" s="25">
        <v>0</v>
      </c>
      <c r="T284" s="24">
        <v>-0.2</v>
      </c>
      <c r="U284" s="24">
        <v>0</v>
      </c>
      <c r="V284" s="24">
        <v>0</v>
      </c>
      <c r="W284" s="24">
        <v>0</v>
      </c>
      <c r="X284" s="24">
        <v>-0.2</v>
      </c>
      <c r="Y284" s="24">
        <v>-0.2</v>
      </c>
      <c r="Z284" s="24">
        <v>0</v>
      </c>
      <c r="AA284" s="24">
        <v>0</v>
      </c>
      <c r="AB284" s="24">
        <v>0</v>
      </c>
      <c r="AC284" s="24">
        <v>-0.2</v>
      </c>
      <c r="AD284" s="24">
        <v>-0.2</v>
      </c>
      <c r="AE284" s="24">
        <v>0</v>
      </c>
      <c r="AF284" s="24">
        <v>0</v>
      </c>
      <c r="AG284" s="24">
        <v>0</v>
      </c>
      <c r="AH284" s="24">
        <v>-0.2</v>
      </c>
      <c r="AI284" s="48">
        <v>10001</v>
      </c>
      <c r="AJ284" s="48">
        <v>10002</v>
      </c>
      <c r="AK284" s="48">
        <v>10003</v>
      </c>
      <c r="AL284" s="48">
        <v>10004</v>
      </c>
      <c r="AM284" s="48">
        <v>10015</v>
      </c>
      <c r="AN284" s="25">
        <v>0.1</v>
      </c>
      <c r="AO284" s="49" t="s"/>
      <c r="AP284" s="50">
        <v>50</v>
      </c>
      <c r="AQ284" s="51" t="s">
        <v>1451</v>
      </c>
      <c r="AR284" s="51">
        <f>=F284*247.95</f>
        <v>469865.25</v>
      </c>
      <c r="AS284" s="51">
        <f>=G284*32.6061</f>
        <v>2575.8819</v>
      </c>
      <c r="AT284" s="51">
        <f>=J284*2.35</f>
        <v>2326.5</v>
      </c>
      <c r="AU284" s="47">
        <f>=H284*15.88</f>
        <v>571.68</v>
      </c>
    </row>
    <row r="285" spans="1:47">
      <c r="A285" s="24" t="s">
        <v>1671</v>
      </c>
      <c r="B285" s="24">
        <v>11831</v>
      </c>
      <c r="C285" s="24" t="s">
        <v>1672</v>
      </c>
      <c r="D285" s="24" t="s">
        <v>1673</v>
      </c>
      <c r="E285" s="24">
        <v>900011831</v>
      </c>
      <c r="F285" s="24">
        <v>1550</v>
      </c>
      <c r="G285" s="24">
        <v>79</v>
      </c>
      <c r="H285" s="24">
        <v>36</v>
      </c>
      <c r="I285" s="25">
        <v>0.5</v>
      </c>
      <c r="J285" s="24">
        <v>660</v>
      </c>
      <c r="K285" s="24" t="b">
        <v>1</v>
      </c>
      <c r="L285" s="25">
        <v>0</v>
      </c>
      <c r="M285" s="47">
        <v>0</v>
      </c>
      <c r="N285" s="25">
        <v>0.1538</v>
      </c>
      <c r="O285" s="47">
        <v>6.501951</v>
      </c>
      <c r="P285" s="25">
        <v>0.5</v>
      </c>
      <c r="Q285" s="24">
        <v>1</v>
      </c>
      <c r="R285" s="24">
        <v>1</v>
      </c>
      <c r="S285" s="25">
        <v>0</v>
      </c>
      <c r="T285" s="24">
        <v>-0.2</v>
      </c>
      <c r="U285" s="24">
        <v>0</v>
      </c>
      <c r="V285" s="24">
        <v>0</v>
      </c>
      <c r="W285" s="24">
        <v>0</v>
      </c>
      <c r="X285" s="24">
        <v>-0.2</v>
      </c>
      <c r="Y285" s="24">
        <v>-0.2</v>
      </c>
      <c r="Z285" s="24">
        <v>0</v>
      </c>
      <c r="AA285" s="24">
        <v>0</v>
      </c>
      <c r="AB285" s="24">
        <v>0</v>
      </c>
      <c r="AC285" s="24">
        <v>-0.2</v>
      </c>
      <c r="AD285" s="24">
        <v>-0.2</v>
      </c>
      <c r="AE285" s="24">
        <v>0</v>
      </c>
      <c r="AF285" s="24">
        <v>0</v>
      </c>
      <c r="AG285" s="24">
        <v>0</v>
      </c>
      <c r="AH285" s="24">
        <v>-0.2</v>
      </c>
      <c r="AI285" s="48">
        <v>10001</v>
      </c>
      <c r="AJ285" s="48">
        <v>10002</v>
      </c>
      <c r="AK285" s="48">
        <v>10003</v>
      </c>
      <c r="AL285" s="48">
        <v>10004</v>
      </c>
      <c r="AM285" s="48">
        <v>10015</v>
      </c>
      <c r="AN285" s="25">
        <v>0.1</v>
      </c>
      <c r="AO285" s="49" t="s"/>
      <c r="AP285" s="50">
        <v>50</v>
      </c>
      <c r="AQ285" s="51" t="s">
        <v>1450</v>
      </c>
      <c r="AR285" s="51">
        <f>=F285*247.95</f>
        <v>384322.5</v>
      </c>
      <c r="AS285" s="51">
        <f>=G285*32.6061</f>
        <v>2575.8819</v>
      </c>
      <c r="AT285" s="51">
        <f>=J285*2.35</f>
        <v>1551</v>
      </c>
      <c r="AU285" s="47">
        <f>=H285*15.88</f>
        <v>571.68</v>
      </c>
    </row>
    <row r="286" spans="1:47">
      <c r="A286" s="24" t="s">
        <v>1671</v>
      </c>
      <c r="B286" s="24">
        <v>11832</v>
      </c>
      <c r="C286" s="24" t="s">
        <v>1672</v>
      </c>
      <c r="D286" s="24" t="s">
        <v>1673</v>
      </c>
      <c r="E286" s="24">
        <v>900011832</v>
      </c>
      <c r="F286" s="24">
        <v>1895</v>
      </c>
      <c r="G286" s="24">
        <v>79</v>
      </c>
      <c r="H286" s="24">
        <v>36</v>
      </c>
      <c r="I286" s="25">
        <v>0.5</v>
      </c>
      <c r="J286" s="24">
        <v>990</v>
      </c>
      <c r="K286" s="24" t="b">
        <v>1</v>
      </c>
      <c r="L286" s="25">
        <v>0</v>
      </c>
      <c r="M286" s="47">
        <v>0</v>
      </c>
      <c r="N286" s="25">
        <v>0.1538</v>
      </c>
      <c r="O286" s="47">
        <v>6.501951</v>
      </c>
      <c r="P286" s="25">
        <v>0.5</v>
      </c>
      <c r="Q286" s="24">
        <v>1</v>
      </c>
      <c r="R286" s="24">
        <v>1</v>
      </c>
      <c r="S286" s="25">
        <v>0</v>
      </c>
      <c r="T286" s="24">
        <v>-0.2</v>
      </c>
      <c r="U286" s="24">
        <v>0</v>
      </c>
      <c r="V286" s="24">
        <v>0</v>
      </c>
      <c r="W286" s="24">
        <v>0</v>
      </c>
      <c r="X286" s="24">
        <v>-0.2</v>
      </c>
      <c r="Y286" s="24">
        <v>-0.2</v>
      </c>
      <c r="Z286" s="24">
        <v>0</v>
      </c>
      <c r="AA286" s="24">
        <v>0</v>
      </c>
      <c r="AB286" s="24">
        <v>0</v>
      </c>
      <c r="AC286" s="24">
        <v>-0.2</v>
      </c>
      <c r="AD286" s="24">
        <v>-0.2</v>
      </c>
      <c r="AE286" s="24">
        <v>0</v>
      </c>
      <c r="AF286" s="24">
        <v>0</v>
      </c>
      <c r="AG286" s="24">
        <v>0</v>
      </c>
      <c r="AH286" s="24">
        <v>-0.2</v>
      </c>
      <c r="AI286" s="48">
        <v>10001</v>
      </c>
      <c r="AJ286" s="48">
        <v>10002</v>
      </c>
      <c r="AK286" s="48">
        <v>10003</v>
      </c>
      <c r="AL286" s="48">
        <v>10004</v>
      </c>
      <c r="AM286" s="48">
        <v>10015</v>
      </c>
      <c r="AN286" s="25">
        <v>0.1</v>
      </c>
      <c r="AO286" s="49" t="s"/>
      <c r="AP286" s="50">
        <v>50</v>
      </c>
      <c r="AQ286" s="51" t="s">
        <v>1451</v>
      </c>
      <c r="AR286" s="51">
        <f>=F286*247.95</f>
        <v>469865.25</v>
      </c>
      <c r="AS286" s="51">
        <f>=G286*32.6061</f>
        <v>2575.8819</v>
      </c>
      <c r="AT286" s="51">
        <f>=J286*2.35</f>
        <v>2326.5</v>
      </c>
      <c r="AU286" s="47">
        <f>=H286*15.88</f>
        <v>571.68</v>
      </c>
    </row>
    <row r="287" spans="1:47">
      <c r="A287" s="24" t="s">
        <v>1674</v>
      </c>
      <c r="B287" s="24">
        <v>11841</v>
      </c>
      <c r="C287" s="24" t="s">
        <v>1675</v>
      </c>
      <c r="D287" s="24" t="s">
        <v>1676</v>
      </c>
      <c r="E287" s="24">
        <v>900011841</v>
      </c>
      <c r="F287" s="24">
        <v>40267</v>
      </c>
      <c r="G287" s="24">
        <v>144</v>
      </c>
      <c r="H287" s="24">
        <v>100</v>
      </c>
      <c r="I287" s="25">
        <v>0.5</v>
      </c>
      <c r="J287" s="24">
        <v>6929</v>
      </c>
      <c r="K287" s="24" t="b">
        <v>1</v>
      </c>
      <c r="L287" s="25">
        <v>0</v>
      </c>
      <c r="M287" s="47">
        <v>0</v>
      </c>
      <c r="N287" s="25">
        <v>0.0833</v>
      </c>
      <c r="O287" s="47">
        <v>12.0048019</v>
      </c>
      <c r="P287" s="25">
        <v>0.5</v>
      </c>
      <c r="Q287" s="24">
        <v>3</v>
      </c>
      <c r="R287" s="24">
        <v>5</v>
      </c>
      <c r="S287" s="25">
        <v>0.75</v>
      </c>
      <c r="T287" s="24">
        <v>-0.2</v>
      </c>
      <c r="U287" s="24">
        <v>-0.2</v>
      </c>
      <c r="V287" s="24">
        <v>0</v>
      </c>
      <c r="W287" s="24">
        <v>0.4</v>
      </c>
      <c r="X287" s="24">
        <v>0</v>
      </c>
      <c r="Y287" s="24">
        <v>-0.2</v>
      </c>
      <c r="Z287" s="24">
        <v>-0.2</v>
      </c>
      <c r="AA287" s="24">
        <v>0</v>
      </c>
      <c r="AB287" s="24">
        <v>0.2</v>
      </c>
      <c r="AC287" s="24">
        <v>0</v>
      </c>
      <c r="AD287" s="24">
        <v>-0.2</v>
      </c>
      <c r="AE287" s="24">
        <v>-0.2</v>
      </c>
      <c r="AF287" s="24">
        <v>0</v>
      </c>
      <c r="AG287" s="24">
        <v>0.2</v>
      </c>
      <c r="AH287" s="24">
        <v>0</v>
      </c>
      <c r="AI287" s="48">
        <v>30011</v>
      </c>
      <c r="AJ287" s="48">
        <v>30012</v>
      </c>
      <c r="AK287" s="48">
        <v>30003</v>
      </c>
      <c r="AL287" s="48">
        <v>30004</v>
      </c>
      <c r="AM287" s="48">
        <v>30005</v>
      </c>
      <c r="AN287" s="25">
        <v>0.38</v>
      </c>
      <c r="AO287" s="49">
        <v>5</v>
      </c>
      <c r="AP287" s="50">
        <v>100</v>
      </c>
      <c r="AQ287" s="51" t="s">
        <v>1677</v>
      </c>
      <c r="AR287" s="51">
        <f>=F287*247.95</f>
        <v>9984202.65</v>
      </c>
      <c r="AS287" s="51">
        <f>=G287*32.6061</f>
        <v>4695.2784</v>
      </c>
      <c r="AT287" s="51">
        <f>=J287*2.35</f>
        <v>16283.15</v>
      </c>
      <c r="AU287" s="47">
        <f>=H287*15.88</f>
        <v>1588</v>
      </c>
    </row>
    <row r="288" spans="1:47">
      <c r="A288" s="24" t="s">
        <v>1674</v>
      </c>
      <c r="B288" s="24">
        <v>11842</v>
      </c>
      <c r="C288" s="24" t="s">
        <v>1675</v>
      </c>
      <c r="D288" s="24" t="s">
        <v>1676</v>
      </c>
      <c r="E288" s="24">
        <v>900011842</v>
      </c>
      <c r="F288" s="24">
        <v>40267</v>
      </c>
      <c r="G288" s="24">
        <v>144</v>
      </c>
      <c r="H288" s="24">
        <v>100</v>
      </c>
      <c r="I288" s="25">
        <v>0.5</v>
      </c>
      <c r="J288" s="24">
        <v>6929</v>
      </c>
      <c r="K288" s="24" t="b">
        <v>1</v>
      </c>
      <c r="L288" s="25">
        <v>0</v>
      </c>
      <c r="M288" s="47">
        <v>0</v>
      </c>
      <c r="N288" s="25">
        <v>0.0833</v>
      </c>
      <c r="O288" s="47">
        <v>12.0048019</v>
      </c>
      <c r="P288" s="25">
        <v>0.5</v>
      </c>
      <c r="Q288" s="24">
        <v>3</v>
      </c>
      <c r="R288" s="24">
        <v>5</v>
      </c>
      <c r="S288" s="25">
        <v>0.75</v>
      </c>
      <c r="T288" s="24">
        <v>-0.2</v>
      </c>
      <c r="U288" s="24">
        <v>-0.2</v>
      </c>
      <c r="V288" s="24">
        <v>0</v>
      </c>
      <c r="W288" s="24">
        <v>0.4</v>
      </c>
      <c r="X288" s="24">
        <v>0</v>
      </c>
      <c r="Y288" s="24">
        <v>-0.2</v>
      </c>
      <c r="Z288" s="24">
        <v>-0.2</v>
      </c>
      <c r="AA288" s="24">
        <v>0</v>
      </c>
      <c r="AB288" s="24">
        <v>0.2</v>
      </c>
      <c r="AC288" s="24">
        <v>0</v>
      </c>
      <c r="AD288" s="24">
        <v>-0.2</v>
      </c>
      <c r="AE288" s="24">
        <v>-0.2</v>
      </c>
      <c r="AF288" s="24">
        <v>0</v>
      </c>
      <c r="AG288" s="24">
        <v>0.2</v>
      </c>
      <c r="AH288" s="24">
        <v>0</v>
      </c>
      <c r="AI288" s="48">
        <v>30011</v>
      </c>
      <c r="AJ288" s="48">
        <v>30012</v>
      </c>
      <c r="AK288" s="48">
        <v>30003</v>
      </c>
      <c r="AL288" s="48">
        <v>30004</v>
      </c>
      <c r="AM288" s="48">
        <v>30005</v>
      </c>
      <c r="AN288" s="25">
        <v>0.38</v>
      </c>
      <c r="AO288" s="49">
        <v>5</v>
      </c>
      <c r="AP288" s="50">
        <v>100</v>
      </c>
      <c r="AQ288" s="51" t="s">
        <v>1678</v>
      </c>
      <c r="AR288" s="51">
        <f>=F288*247.95</f>
        <v>9984202.65</v>
      </c>
      <c r="AS288" s="51">
        <f>=G288*32.6061</f>
        <v>4695.2784</v>
      </c>
      <c r="AT288" s="51">
        <f>=J288*2.35</f>
        <v>16283.15</v>
      </c>
      <c r="AU288" s="47">
        <f>=H288*15.88</f>
        <v>1588</v>
      </c>
    </row>
    <row r="289" spans="1:47">
      <c r="A289" s="24" t="s">
        <v>1679</v>
      </c>
      <c r="B289" s="24">
        <v>11851</v>
      </c>
      <c r="C289" s="24" t="s">
        <v>1680</v>
      </c>
      <c r="D289" s="24" t="s">
        <v>1681</v>
      </c>
      <c r="E289" s="24">
        <v>900011851</v>
      </c>
      <c r="F289" s="24">
        <v>387</v>
      </c>
      <c r="G289" s="24">
        <v>72</v>
      </c>
      <c r="H289" s="24">
        <v>36</v>
      </c>
      <c r="I289" s="25">
        <v>0.5</v>
      </c>
      <c r="J289" s="24">
        <v>660</v>
      </c>
      <c r="K289" s="24" t="b">
        <v>0</v>
      </c>
      <c r="L289" s="25">
        <v>0</v>
      </c>
      <c r="M289" s="47">
        <v>0</v>
      </c>
      <c r="N289" s="25">
        <v>0.1538</v>
      </c>
      <c r="O289" s="47">
        <v>6.501951</v>
      </c>
      <c r="P289" s="25">
        <v>0.5</v>
      </c>
      <c r="Q289" s="24">
        <v>1</v>
      </c>
      <c r="R289" s="24">
        <v>1</v>
      </c>
      <c r="S289" s="25">
        <v>0</v>
      </c>
      <c r="T289" s="24">
        <v>0</v>
      </c>
      <c r="U289" s="24">
        <v>0</v>
      </c>
      <c r="V289" s="24">
        <v>0</v>
      </c>
      <c r="W289" s="24">
        <v>0</v>
      </c>
      <c r="X289" s="24">
        <v>-0.2</v>
      </c>
      <c r="Y289" s="24">
        <v>0</v>
      </c>
      <c r="Z289" s="24">
        <v>0</v>
      </c>
      <c r="AA289" s="24">
        <v>0</v>
      </c>
      <c r="AB289" s="24">
        <v>0</v>
      </c>
      <c r="AC289" s="24">
        <v>-0.2</v>
      </c>
      <c r="AD289" s="24">
        <v>0</v>
      </c>
      <c r="AE289" s="24">
        <v>0</v>
      </c>
      <c r="AF289" s="24">
        <v>0</v>
      </c>
      <c r="AG289" s="24">
        <v>0</v>
      </c>
      <c r="AH289" s="24">
        <v>-0.2</v>
      </c>
      <c r="AI289" s="48">
        <v>10001</v>
      </c>
      <c r="AJ289" s="48">
        <v>10002</v>
      </c>
      <c r="AK289" s="48">
        <v>10003</v>
      </c>
      <c r="AL289" s="48">
        <v>10004</v>
      </c>
      <c r="AM289" s="48">
        <v>10015</v>
      </c>
      <c r="AN289" s="25">
        <v>0.1</v>
      </c>
      <c r="AO289" s="49" t="s"/>
      <c r="AP289" s="50">
        <v>50</v>
      </c>
      <c r="AQ289" s="51" t="s">
        <v>1682</v>
      </c>
      <c r="AR289" s="51">
        <f>=F289*247.95</f>
        <v>95956.65</v>
      </c>
      <c r="AS289" s="51">
        <f>=G289*32.6061</f>
        <v>2347.6392</v>
      </c>
      <c r="AT289" s="51">
        <f>=J289*2.35</f>
        <v>1551</v>
      </c>
      <c r="AU289" s="47">
        <f>=H289*15.88</f>
        <v>571.68</v>
      </c>
    </row>
    <row r="290" spans="1:47">
      <c r="A290" s="24" t="s">
        <v>1679</v>
      </c>
      <c r="B290" s="24">
        <v>11852</v>
      </c>
      <c r="C290" s="24" t="s">
        <v>1680</v>
      </c>
      <c r="D290" s="24" t="s">
        <v>1681</v>
      </c>
      <c r="E290" s="24">
        <v>900011852</v>
      </c>
      <c r="F290" s="24">
        <v>474</v>
      </c>
      <c r="G290" s="24">
        <v>72</v>
      </c>
      <c r="H290" s="24">
        <v>36</v>
      </c>
      <c r="I290" s="25">
        <v>0.5</v>
      </c>
      <c r="J290" s="24">
        <v>990</v>
      </c>
      <c r="K290" s="24" t="b">
        <v>0</v>
      </c>
      <c r="L290" s="25">
        <v>0</v>
      </c>
      <c r="M290" s="47">
        <v>0</v>
      </c>
      <c r="N290" s="25">
        <v>0.1538</v>
      </c>
      <c r="O290" s="47">
        <v>6.501951</v>
      </c>
      <c r="P290" s="25">
        <v>0.5</v>
      </c>
      <c r="Q290" s="24">
        <v>1</v>
      </c>
      <c r="R290" s="24">
        <v>1</v>
      </c>
      <c r="S290" s="25">
        <v>0</v>
      </c>
      <c r="T290" s="24">
        <v>0</v>
      </c>
      <c r="U290" s="24">
        <v>0</v>
      </c>
      <c r="V290" s="24">
        <v>0</v>
      </c>
      <c r="W290" s="24">
        <v>0</v>
      </c>
      <c r="X290" s="24">
        <v>-0.2</v>
      </c>
      <c r="Y290" s="24">
        <v>0</v>
      </c>
      <c r="Z290" s="24">
        <v>0</v>
      </c>
      <c r="AA290" s="24">
        <v>0</v>
      </c>
      <c r="AB290" s="24">
        <v>0</v>
      </c>
      <c r="AC290" s="24">
        <v>-0.2</v>
      </c>
      <c r="AD290" s="24">
        <v>0</v>
      </c>
      <c r="AE290" s="24">
        <v>0</v>
      </c>
      <c r="AF290" s="24">
        <v>0</v>
      </c>
      <c r="AG290" s="24">
        <v>0</v>
      </c>
      <c r="AH290" s="24">
        <v>-0.2</v>
      </c>
      <c r="AI290" s="48">
        <v>10001</v>
      </c>
      <c r="AJ290" s="48">
        <v>10002</v>
      </c>
      <c r="AK290" s="48">
        <v>10003</v>
      </c>
      <c r="AL290" s="48">
        <v>10004</v>
      </c>
      <c r="AM290" s="48">
        <v>10015</v>
      </c>
      <c r="AN290" s="25">
        <v>0.1</v>
      </c>
      <c r="AO290" s="49" t="s"/>
      <c r="AP290" s="50">
        <v>50</v>
      </c>
      <c r="AQ290" s="51" t="s">
        <v>1683</v>
      </c>
      <c r="AR290" s="51">
        <f>=F290*247.95</f>
        <v>117528.3</v>
      </c>
      <c r="AS290" s="51">
        <f>=G290*32.6061</f>
        <v>2347.6392</v>
      </c>
      <c r="AT290" s="51">
        <f>=J290*2.35</f>
        <v>2326.5</v>
      </c>
      <c r="AU290" s="47">
        <f>=H290*15.88</f>
        <v>571.68</v>
      </c>
    </row>
    <row r="291" spans="1:47">
      <c r="A291" s="24" t="s">
        <v>1684</v>
      </c>
      <c r="B291" s="24">
        <v>11861</v>
      </c>
      <c r="C291" s="24" t="s">
        <v>1685</v>
      </c>
      <c r="D291" s="24" t="s">
        <v>1686</v>
      </c>
      <c r="E291" s="24">
        <v>900011861</v>
      </c>
      <c r="F291" s="24">
        <v>26787</v>
      </c>
      <c r="G291" s="24">
        <v>144</v>
      </c>
      <c r="H291" s="24">
        <v>60</v>
      </c>
      <c r="I291" s="25">
        <v>0.5</v>
      </c>
      <c r="J291" s="24">
        <v>6097</v>
      </c>
      <c r="K291" s="24" t="b">
        <v>1</v>
      </c>
      <c r="L291" s="25">
        <v>0</v>
      </c>
      <c r="M291" s="47">
        <v>0</v>
      </c>
      <c r="N291" s="25">
        <v>0.1428</v>
      </c>
      <c r="O291" s="47">
        <v>7.002801</v>
      </c>
      <c r="P291" s="25">
        <v>1</v>
      </c>
      <c r="Q291" s="24">
        <v>3</v>
      </c>
      <c r="R291" s="24">
        <v>5</v>
      </c>
      <c r="S291" s="25">
        <v>0.75</v>
      </c>
      <c r="T291" s="24">
        <v>-0.2</v>
      </c>
      <c r="U291" s="24">
        <v>0</v>
      </c>
      <c r="V291" s="24">
        <v>0</v>
      </c>
      <c r="W291" s="24">
        <v>0</v>
      </c>
      <c r="X291" s="24">
        <v>-0.2</v>
      </c>
      <c r="Y291" s="24">
        <v>-0.2</v>
      </c>
      <c r="Z291" s="24">
        <v>0</v>
      </c>
      <c r="AA291" s="24">
        <v>0</v>
      </c>
      <c r="AB291" s="24">
        <v>0</v>
      </c>
      <c r="AC291" s="24">
        <v>-0.2</v>
      </c>
      <c r="AD291" s="24">
        <v>-0.2</v>
      </c>
      <c r="AE291" s="24">
        <v>0</v>
      </c>
      <c r="AF291" s="24">
        <v>0</v>
      </c>
      <c r="AG291" s="24">
        <v>0</v>
      </c>
      <c r="AH291" s="24">
        <v>-0.2</v>
      </c>
      <c r="AI291" s="48">
        <v>30001</v>
      </c>
      <c r="AJ291" s="48">
        <v>30002</v>
      </c>
      <c r="AK291" s="48">
        <v>30003</v>
      </c>
      <c r="AL291" s="48">
        <v>30004</v>
      </c>
      <c r="AM291" s="48">
        <v>30015</v>
      </c>
      <c r="AN291" s="25">
        <v>0.1</v>
      </c>
      <c r="AO291" s="49">
        <v>5</v>
      </c>
      <c r="AP291" s="50">
        <v>100</v>
      </c>
      <c r="AQ291" s="51" t="s">
        <v>1687</v>
      </c>
      <c r="AR291" s="51">
        <f>=F291*247.95</f>
        <v>6641836.65</v>
      </c>
      <c r="AS291" s="51">
        <f>=G291*32.6061</f>
        <v>4695.2784</v>
      </c>
      <c r="AT291" s="51">
        <f>=J291*2.35</f>
        <v>14327.95</v>
      </c>
      <c r="AU291" s="47">
        <f>=H291*15.88</f>
        <v>952.8</v>
      </c>
    </row>
    <row r="292" spans="1:47" ht="20" customHeight="1">
      <c r="A292" s="24" t="s">
        <v>1688</v>
      </c>
      <c r="B292" s="24">
        <v>11871</v>
      </c>
      <c r="C292" s="24" t="s">
        <v>1689</v>
      </c>
      <c r="D292" s="24" t="s"/>
      <c r="E292" s="24">
        <v>900011871</v>
      </c>
      <c r="F292" s="24">
        <v>95</v>
      </c>
      <c r="G292" s="24">
        <v>111</v>
      </c>
      <c r="H292" s="24">
        <v>50</v>
      </c>
      <c r="I292" s="25">
        <v>0.5</v>
      </c>
      <c r="J292" s="24">
        <v>4035</v>
      </c>
      <c r="K292" s="24" t="b">
        <v>0</v>
      </c>
      <c r="L292" s="25">
        <v>0</v>
      </c>
      <c r="M292" s="47">
        <v>0</v>
      </c>
      <c r="N292" s="25">
        <v>0.1428</v>
      </c>
      <c r="O292" s="47">
        <v>7.00280112</v>
      </c>
      <c r="P292" s="25">
        <v>1</v>
      </c>
      <c r="Q292" s="24">
        <v>2</v>
      </c>
      <c r="R292" s="24">
        <v>5</v>
      </c>
      <c r="S292" s="25">
        <v>0.5</v>
      </c>
      <c r="T292" s="24">
        <v>-0.2</v>
      </c>
      <c r="U292" s="24">
        <v>0</v>
      </c>
      <c r="V292" s="24">
        <v>0</v>
      </c>
      <c r="W292" s="24">
        <v>0</v>
      </c>
      <c r="X292" s="24">
        <v>-0.2</v>
      </c>
      <c r="Y292" s="24">
        <v>-0.2</v>
      </c>
      <c r="Z292" s="24">
        <v>0</v>
      </c>
      <c r="AA292" s="24">
        <v>0</v>
      </c>
      <c r="AB292" s="24">
        <v>0</v>
      </c>
      <c r="AC292" s="24">
        <v>-0.2</v>
      </c>
      <c r="AD292" s="24">
        <v>-0.2</v>
      </c>
      <c r="AE292" s="24">
        <v>0</v>
      </c>
      <c r="AF292" s="24">
        <v>0</v>
      </c>
      <c r="AG292" s="24">
        <v>0</v>
      </c>
      <c r="AH292" s="24">
        <v>-0.2</v>
      </c>
      <c r="AI292" s="48">
        <v>20001</v>
      </c>
      <c r="AJ292" s="48">
        <v>20002</v>
      </c>
      <c r="AK292" s="48">
        <v>20003</v>
      </c>
      <c r="AL292" s="48">
        <v>20004</v>
      </c>
      <c r="AM292" s="48">
        <v>20015</v>
      </c>
      <c r="AN292" s="25">
        <v>0.1</v>
      </c>
      <c r="AO292" s="49">
        <v>3</v>
      </c>
      <c r="AP292" s="50">
        <v>75</v>
      </c>
      <c r="AQ292" s="51" t="s">
        <v>1690</v>
      </c>
      <c r="AR292" s="51">
        <f>=F292*247.95</f>
        <v>23555.25</v>
      </c>
      <c r="AS292" s="51">
        <f>=G292*32.6061</f>
        <v>3619.2771</v>
      </c>
      <c r="AT292" s="51">
        <f>=J292*2.35</f>
        <v>9482.25</v>
      </c>
      <c r="AU292" s="47">
        <f>=H292*15.88</f>
        <v>794</v>
      </c>
    </row>
    <row r="293" spans="1:47">
      <c r="A293" s="24" t="s">
        <v>1691</v>
      </c>
      <c r="B293" s="24">
        <v>11881</v>
      </c>
      <c r="C293" s="24" t="s">
        <v>1692</v>
      </c>
      <c r="D293" s="24" t="s">
        <v>1693</v>
      </c>
      <c r="E293" s="24">
        <v>900011881</v>
      </c>
      <c r="F293" s="24">
        <v>20728</v>
      </c>
      <c r="G293" s="24">
        <v>173</v>
      </c>
      <c r="H293" s="24">
        <v>60</v>
      </c>
      <c r="I293" s="25">
        <v>0.5</v>
      </c>
      <c r="J293" s="24">
        <v>7084</v>
      </c>
      <c r="K293" s="24" t="b">
        <v>1</v>
      </c>
      <c r="L293" s="25">
        <v>0</v>
      </c>
      <c r="M293" s="47">
        <v>0</v>
      </c>
      <c r="N293" s="25">
        <v>0.0833</v>
      </c>
      <c r="O293" s="47">
        <v>12.0048</v>
      </c>
      <c r="P293" s="25">
        <v>0.5</v>
      </c>
      <c r="Q293" s="24">
        <v>3</v>
      </c>
      <c r="R293" s="24">
        <v>5</v>
      </c>
      <c r="S293" s="25">
        <v>0.75</v>
      </c>
      <c r="T293" s="24">
        <v>0</v>
      </c>
      <c r="U293" s="24">
        <v>-0.2</v>
      </c>
      <c r="V293" s="24">
        <v>0.4</v>
      </c>
      <c r="W293" s="24">
        <v>0</v>
      </c>
      <c r="X293" s="24">
        <v>0</v>
      </c>
      <c r="Y293" s="24">
        <v>0</v>
      </c>
      <c r="Z293" s="24">
        <v>-0.2</v>
      </c>
      <c r="AA293" s="24">
        <v>0.2</v>
      </c>
      <c r="AB293" s="24">
        <v>0</v>
      </c>
      <c r="AC293" s="24">
        <v>0</v>
      </c>
      <c r="AD293" s="24">
        <v>0</v>
      </c>
      <c r="AE293" s="24">
        <v>-0.2</v>
      </c>
      <c r="AF293" s="24">
        <v>0.2</v>
      </c>
      <c r="AG293" s="24">
        <v>0</v>
      </c>
      <c r="AH293" s="24">
        <v>0</v>
      </c>
      <c r="AI293" s="48">
        <v>30011</v>
      </c>
      <c r="AJ293" s="48">
        <v>30012</v>
      </c>
      <c r="AK293" s="48">
        <v>30003</v>
      </c>
      <c r="AL293" s="48">
        <v>30004</v>
      </c>
      <c r="AM293" s="48">
        <v>30005</v>
      </c>
      <c r="AN293" s="25">
        <v>0.1</v>
      </c>
      <c r="AO293" s="49">
        <v>5</v>
      </c>
      <c r="AP293" s="50">
        <v>100</v>
      </c>
      <c r="AQ293" s="51" t="s">
        <v>1610</v>
      </c>
      <c r="AR293" s="51">
        <f>=F293*247.95</f>
        <v>5139507.6</v>
      </c>
      <c r="AS293" s="51">
        <f>=G293*32.6061</f>
        <v>5640.8553</v>
      </c>
      <c r="AT293" s="51">
        <f>=J293*2.35</f>
        <v>16647.4</v>
      </c>
      <c r="AU293" s="47">
        <f>=H293*15.88</f>
        <v>952.8</v>
      </c>
    </row>
    <row r="294" spans="1:47">
      <c r="A294" s="24" t="s">
        <v>1694</v>
      </c>
      <c r="B294" s="16">
        <v>11891</v>
      </c>
      <c r="C294" s="24" t="s">
        <v>1695</v>
      </c>
      <c r="D294" s="16" t="s">
        <v>1696</v>
      </c>
      <c r="E294" s="16">
        <v>900011891</v>
      </c>
      <c r="F294" s="16">
        <v>23630</v>
      </c>
      <c r="G294" s="16">
        <v>144</v>
      </c>
      <c r="H294" s="16">
        <v>60</v>
      </c>
      <c r="I294" s="22">
        <v>0.5</v>
      </c>
      <c r="J294" s="16">
        <v>6097</v>
      </c>
      <c r="K294" s="16" t="b">
        <v>1</v>
      </c>
      <c r="L294" s="22">
        <v>0</v>
      </c>
      <c r="M294" s="42">
        <v>0</v>
      </c>
      <c r="N294" s="22">
        <v>0.0833</v>
      </c>
      <c r="O294" s="42">
        <v>12.0048</v>
      </c>
      <c r="P294" s="22">
        <v>1</v>
      </c>
      <c r="Q294" s="16">
        <v>3</v>
      </c>
      <c r="R294" s="16">
        <v>5</v>
      </c>
      <c r="S294" s="22">
        <v>0.75</v>
      </c>
      <c r="T294" s="16">
        <v>0</v>
      </c>
      <c r="U294" s="16">
        <v>0.2</v>
      </c>
      <c r="V294" s="16">
        <v>-0.2</v>
      </c>
      <c r="W294" s="16">
        <v>0</v>
      </c>
      <c r="X294" s="16">
        <v>0</v>
      </c>
      <c r="Y294" s="16">
        <v>0</v>
      </c>
      <c r="Z294" s="16">
        <v>0.2</v>
      </c>
      <c r="AA294" s="16">
        <v>-0.2</v>
      </c>
      <c r="AB294" s="16">
        <v>0</v>
      </c>
      <c r="AC294" s="16">
        <v>0</v>
      </c>
      <c r="AD294" s="16">
        <v>0</v>
      </c>
      <c r="AE294" s="16">
        <v>0.2</v>
      </c>
      <c r="AF294" s="16">
        <v>-0.2</v>
      </c>
      <c r="AG294" s="16">
        <v>0</v>
      </c>
      <c r="AH294" s="16">
        <v>0</v>
      </c>
      <c r="AI294" s="48">
        <v>30001</v>
      </c>
      <c r="AJ294" s="48">
        <v>30002</v>
      </c>
      <c r="AK294" s="48">
        <v>30013</v>
      </c>
      <c r="AL294" s="48">
        <v>30004</v>
      </c>
      <c r="AM294" s="48">
        <v>30005</v>
      </c>
      <c r="AN294" s="25">
        <v>0.1</v>
      </c>
      <c r="AO294" s="49">
        <v>5</v>
      </c>
      <c r="AP294" s="50">
        <v>100</v>
      </c>
      <c r="AQ294" s="51" t="s">
        <v>1207</v>
      </c>
      <c r="AR294" s="51">
        <f>=F294*247.95</f>
        <v>5859058.5</v>
      </c>
      <c r="AS294" s="51">
        <f>=G294*32.6061</f>
        <v>4695.2784</v>
      </c>
      <c r="AT294" s="51">
        <f>=J294*2.35</f>
        <v>14327.95</v>
      </c>
      <c r="AU294" s="47">
        <f>=H294*15.88</f>
        <v>952.8</v>
      </c>
    </row>
    <row r="295" spans="1:47">
      <c r="A295" s="16" t="s">
        <v>1697</v>
      </c>
      <c r="B295" s="52">
        <v>11901</v>
      </c>
      <c r="C295" s="26" t="s">
        <v>1698</v>
      </c>
      <c r="D295" s="16" t="s">
        <v>1699</v>
      </c>
      <c r="E295" s="16">
        <v>900011901</v>
      </c>
      <c r="F295" s="16">
        <v>20662</v>
      </c>
      <c r="G295" s="16">
        <v>144</v>
      </c>
      <c r="H295" s="16">
        <v>60</v>
      </c>
      <c r="I295" s="22">
        <v>0.5</v>
      </c>
      <c r="J295" s="16">
        <v>6590</v>
      </c>
      <c r="K295" s="16" t="b">
        <v>1</v>
      </c>
      <c r="L295" s="22">
        <v>0</v>
      </c>
      <c r="M295" s="42">
        <v>0</v>
      </c>
      <c r="N295" s="22">
        <v>0.0833</v>
      </c>
      <c r="O295" s="42">
        <v>12.0048</v>
      </c>
      <c r="P295" s="22">
        <v>0.5</v>
      </c>
      <c r="Q295" s="16">
        <v>3</v>
      </c>
      <c r="R295" s="16">
        <v>5</v>
      </c>
      <c r="S295" s="22">
        <v>0.75</v>
      </c>
      <c r="T295" s="16">
        <v>-0.2</v>
      </c>
      <c r="U295" s="16">
        <v>0</v>
      </c>
      <c r="V295" s="16">
        <v>0</v>
      </c>
      <c r="W295" s="16">
        <v>0</v>
      </c>
      <c r="X295" s="16">
        <v>-0.2</v>
      </c>
      <c r="Y295" s="16">
        <v>-0.2</v>
      </c>
      <c r="Z295" s="16">
        <v>0</v>
      </c>
      <c r="AA295" s="16">
        <v>0</v>
      </c>
      <c r="AB295" s="16">
        <v>0</v>
      </c>
      <c r="AC295" s="16">
        <v>-0.2</v>
      </c>
      <c r="AD295" s="16">
        <v>-0.2</v>
      </c>
      <c r="AE295" s="16">
        <v>0</v>
      </c>
      <c r="AF295" s="16">
        <v>0</v>
      </c>
      <c r="AG295" s="16">
        <v>0</v>
      </c>
      <c r="AH295" s="16">
        <v>-0.2</v>
      </c>
      <c r="AI295" s="48">
        <v>30001</v>
      </c>
      <c r="AJ295" s="48">
        <v>30002</v>
      </c>
      <c r="AK295" s="48">
        <v>30003</v>
      </c>
      <c r="AL295" s="48">
        <v>30004</v>
      </c>
      <c r="AM295" s="48">
        <v>30015</v>
      </c>
      <c r="AN295" s="25">
        <v>0.1</v>
      </c>
      <c r="AO295" s="49">
        <v>5</v>
      </c>
      <c r="AP295" s="50">
        <v>100</v>
      </c>
      <c r="AQ295" s="51" t="s">
        <v>1327</v>
      </c>
      <c r="AR295" s="51">
        <f>=F295*247.95</f>
        <v>5123142.9</v>
      </c>
      <c r="AS295" s="51">
        <f>=G295*32.6061</f>
        <v>4695.2784</v>
      </c>
      <c r="AT295" s="51">
        <f>=J295*2.35</f>
        <v>15486.5</v>
      </c>
      <c r="AU295" s="47">
        <f>=H295*15.88</f>
        <v>952.8</v>
      </c>
    </row>
    <row r="296" spans="1:47">
      <c r="A296" s="16" t="s">
        <v>1700</v>
      </c>
      <c r="B296" s="52">
        <v>11911</v>
      </c>
      <c r="C296" s="26" t="s">
        <v>1701</v>
      </c>
      <c r="D296" s="16" t="s">
        <v>1702</v>
      </c>
      <c r="E296" s="16">
        <v>900011911</v>
      </c>
      <c r="F296" s="16">
        <v>1348</v>
      </c>
      <c r="G296" s="16">
        <v>76</v>
      </c>
      <c r="H296" s="16">
        <v>36</v>
      </c>
      <c r="I296" s="22">
        <v>0.5</v>
      </c>
      <c r="J296" s="16">
        <v>660</v>
      </c>
      <c r="K296" s="16" t="b">
        <v>1</v>
      </c>
      <c r="L296" s="22">
        <v>0</v>
      </c>
      <c r="M296" s="42">
        <v>0</v>
      </c>
      <c r="N296" s="22">
        <v>0.1538</v>
      </c>
      <c r="O296" s="42">
        <v>6.501951</v>
      </c>
      <c r="P296" s="22">
        <v>0.5</v>
      </c>
      <c r="Q296" s="16">
        <v>1</v>
      </c>
      <c r="R296" s="16">
        <v>1</v>
      </c>
      <c r="S296" s="22">
        <v>0</v>
      </c>
      <c r="T296" s="16">
        <v>0</v>
      </c>
      <c r="U296" s="16">
        <v>-0.2</v>
      </c>
      <c r="V296" s="16">
        <v>0</v>
      </c>
      <c r="W296" s="16">
        <v>-0.2</v>
      </c>
      <c r="X296" s="16">
        <v>0</v>
      </c>
      <c r="Y296" s="16">
        <v>0</v>
      </c>
      <c r="Z296" s="16">
        <v>-0.2</v>
      </c>
      <c r="AA296" s="16">
        <v>0</v>
      </c>
      <c r="AB296" s="16">
        <v>-0.2</v>
      </c>
      <c r="AC296" s="16">
        <v>0</v>
      </c>
      <c r="AD296" s="16">
        <v>0</v>
      </c>
      <c r="AE296" s="16">
        <v>-0.2</v>
      </c>
      <c r="AF296" s="16">
        <v>0</v>
      </c>
      <c r="AG296" s="16">
        <v>-0.2</v>
      </c>
      <c r="AH296" s="16">
        <v>0</v>
      </c>
      <c r="AI296" s="48">
        <v>10001</v>
      </c>
      <c r="AJ296" s="48">
        <v>10012</v>
      </c>
      <c r="AK296" s="48">
        <v>10003</v>
      </c>
      <c r="AL296" s="48">
        <v>10004</v>
      </c>
      <c r="AM296" s="48">
        <v>10005</v>
      </c>
      <c r="AN296" s="25">
        <v>0.1</v>
      </c>
      <c r="AO296" s="49" t="s"/>
      <c r="AP296" s="50">
        <v>50</v>
      </c>
      <c r="AQ296" s="51" t="s">
        <v>1703</v>
      </c>
      <c r="AR296" s="51">
        <f>=F296*247.95</f>
        <v>334236.6</v>
      </c>
      <c r="AS296" s="51">
        <f>=G296*32.6061</f>
        <v>2478.0636</v>
      </c>
      <c r="AT296" s="51">
        <f>=J296*2.35</f>
        <v>1551</v>
      </c>
      <c r="AU296" s="47">
        <f>=H296*15.88</f>
        <v>571.68</v>
      </c>
    </row>
    <row r="297" spans="1:47">
      <c r="A297" s="16" t="s">
        <v>1700</v>
      </c>
      <c r="B297" s="52">
        <v>11912</v>
      </c>
      <c r="C297" s="26" t="s">
        <v>1701</v>
      </c>
      <c r="D297" s="16" t="s">
        <v>1702</v>
      </c>
      <c r="E297" s="16">
        <v>900011912</v>
      </c>
      <c r="F297" s="16">
        <v>1348</v>
      </c>
      <c r="G297" s="16">
        <v>76</v>
      </c>
      <c r="H297" s="16">
        <v>36</v>
      </c>
      <c r="I297" s="22">
        <v>0.5</v>
      </c>
      <c r="J297" s="16">
        <v>660</v>
      </c>
      <c r="K297" s="16" t="b">
        <v>1</v>
      </c>
      <c r="L297" s="22">
        <v>0</v>
      </c>
      <c r="M297" s="42">
        <v>0</v>
      </c>
      <c r="N297" s="22">
        <v>0.1538</v>
      </c>
      <c r="O297" s="42">
        <v>6.501951</v>
      </c>
      <c r="P297" s="22">
        <v>0.5</v>
      </c>
      <c r="Q297" s="16">
        <v>1</v>
      </c>
      <c r="R297" s="16">
        <v>1</v>
      </c>
      <c r="S297" s="22">
        <v>0</v>
      </c>
      <c r="T297" s="16">
        <v>0</v>
      </c>
      <c r="U297" s="16">
        <v>-0.2</v>
      </c>
      <c r="V297" s="16">
        <v>0</v>
      </c>
      <c r="W297" s="16">
        <v>-0.2</v>
      </c>
      <c r="X297" s="16">
        <v>0</v>
      </c>
      <c r="Y297" s="16">
        <v>0</v>
      </c>
      <c r="Z297" s="16">
        <v>-0.2</v>
      </c>
      <c r="AA297" s="16">
        <v>0</v>
      </c>
      <c r="AB297" s="16">
        <v>-0.2</v>
      </c>
      <c r="AC297" s="16">
        <v>0</v>
      </c>
      <c r="AD297" s="16">
        <v>0</v>
      </c>
      <c r="AE297" s="16">
        <v>-0.2</v>
      </c>
      <c r="AF297" s="16">
        <v>0</v>
      </c>
      <c r="AG297" s="16">
        <v>-0.2</v>
      </c>
      <c r="AH297" s="16">
        <v>0</v>
      </c>
      <c r="AI297" s="48">
        <v>10001</v>
      </c>
      <c r="AJ297" s="48">
        <v>10012</v>
      </c>
      <c r="AK297" s="48">
        <v>10003</v>
      </c>
      <c r="AL297" s="48">
        <v>10004</v>
      </c>
      <c r="AM297" s="48">
        <v>10005</v>
      </c>
      <c r="AN297" s="25">
        <v>0.1</v>
      </c>
      <c r="AO297" s="49" t="s"/>
      <c r="AP297" s="50">
        <v>50</v>
      </c>
      <c r="AQ297" s="51" t="s">
        <v>1704</v>
      </c>
      <c r="AR297" s="51">
        <f>=F297*247.95</f>
        <v>334236.6</v>
      </c>
      <c r="AS297" s="51">
        <f>=G297*32.6061</f>
        <v>2478.0636</v>
      </c>
      <c r="AT297" s="51">
        <f>=J297*2.35</f>
        <v>1551</v>
      </c>
      <c r="AU297" s="47">
        <f>=H297*15.88</f>
        <v>571.68</v>
      </c>
    </row>
    <row r="298" spans="1:47">
      <c r="A298" s="16" t="s">
        <v>1700</v>
      </c>
      <c r="B298" s="52">
        <v>11913</v>
      </c>
      <c r="C298" s="26" t="s">
        <v>1701</v>
      </c>
      <c r="D298" s="16" t="s">
        <v>1702</v>
      </c>
      <c r="E298" s="16">
        <v>900011913</v>
      </c>
      <c r="F298" s="16">
        <v>1348</v>
      </c>
      <c r="G298" s="16">
        <v>76</v>
      </c>
      <c r="H298" s="16">
        <v>36</v>
      </c>
      <c r="I298" s="22">
        <v>0.5</v>
      </c>
      <c r="J298" s="16">
        <v>660</v>
      </c>
      <c r="K298" s="16" t="b">
        <v>1</v>
      </c>
      <c r="L298" s="22">
        <v>0</v>
      </c>
      <c r="M298" s="42">
        <v>0</v>
      </c>
      <c r="N298" s="22">
        <v>0.1538</v>
      </c>
      <c r="O298" s="42">
        <v>6.501951</v>
      </c>
      <c r="P298" s="22">
        <v>0.5</v>
      </c>
      <c r="Q298" s="16">
        <v>1</v>
      </c>
      <c r="R298" s="16">
        <v>1</v>
      </c>
      <c r="S298" s="22">
        <v>0</v>
      </c>
      <c r="T298" s="16">
        <v>0</v>
      </c>
      <c r="U298" s="16">
        <v>-0.2</v>
      </c>
      <c r="V298" s="16">
        <v>0</v>
      </c>
      <c r="W298" s="16">
        <v>-0.2</v>
      </c>
      <c r="X298" s="16">
        <v>0</v>
      </c>
      <c r="Y298" s="16">
        <v>0</v>
      </c>
      <c r="Z298" s="16">
        <v>-0.2</v>
      </c>
      <c r="AA298" s="16">
        <v>0</v>
      </c>
      <c r="AB298" s="16">
        <v>-0.2</v>
      </c>
      <c r="AC298" s="16">
        <v>0</v>
      </c>
      <c r="AD298" s="16">
        <v>0</v>
      </c>
      <c r="AE298" s="16">
        <v>-0.2</v>
      </c>
      <c r="AF298" s="16">
        <v>0</v>
      </c>
      <c r="AG298" s="16">
        <v>-0.2</v>
      </c>
      <c r="AH298" s="16">
        <v>0</v>
      </c>
      <c r="AI298" s="48">
        <v>10001</v>
      </c>
      <c r="AJ298" s="48">
        <v>10012</v>
      </c>
      <c r="AK298" s="48">
        <v>10003</v>
      </c>
      <c r="AL298" s="48">
        <v>10004</v>
      </c>
      <c r="AM298" s="48">
        <v>10005</v>
      </c>
      <c r="AN298" s="25">
        <v>0.1</v>
      </c>
      <c r="AO298" s="49" t="s"/>
      <c r="AP298" s="50">
        <v>50</v>
      </c>
      <c r="AQ298" s="51" t="s">
        <v>1705</v>
      </c>
      <c r="AR298" s="51">
        <f>=F298*247.95</f>
        <v>334236.6</v>
      </c>
      <c r="AS298" s="51">
        <f>=G298*32.6061</f>
        <v>2478.0636</v>
      </c>
      <c r="AT298" s="51">
        <f>=J298*2.35</f>
        <v>1551</v>
      </c>
      <c r="AU298" s="47">
        <f>=H298*15.88</f>
        <v>571.68</v>
      </c>
    </row>
    <row r="299" spans="1:47">
      <c r="A299" s="16" t="s">
        <v>1700</v>
      </c>
      <c r="B299" s="52">
        <v>11914</v>
      </c>
      <c r="C299" s="26" t="s">
        <v>1701</v>
      </c>
      <c r="D299" s="16" t="s">
        <v>1702</v>
      </c>
      <c r="E299" s="16">
        <v>900011914</v>
      </c>
      <c r="F299" s="16">
        <v>1348</v>
      </c>
      <c r="G299" s="16">
        <v>76</v>
      </c>
      <c r="H299" s="16">
        <v>36</v>
      </c>
      <c r="I299" s="22">
        <v>0.5</v>
      </c>
      <c r="J299" s="16">
        <v>660</v>
      </c>
      <c r="K299" s="16" t="b">
        <v>1</v>
      </c>
      <c r="L299" s="22">
        <v>0</v>
      </c>
      <c r="M299" s="42">
        <v>0</v>
      </c>
      <c r="N299" s="22">
        <v>0.1538</v>
      </c>
      <c r="O299" s="42">
        <v>6.501951</v>
      </c>
      <c r="P299" s="22">
        <v>0.5</v>
      </c>
      <c r="Q299" s="16">
        <v>1</v>
      </c>
      <c r="R299" s="16">
        <v>1</v>
      </c>
      <c r="S299" s="22">
        <v>0</v>
      </c>
      <c r="T299" s="16">
        <v>0</v>
      </c>
      <c r="U299" s="16">
        <v>-0.2</v>
      </c>
      <c r="V299" s="16">
        <v>0</v>
      </c>
      <c r="W299" s="16">
        <v>-0.2</v>
      </c>
      <c r="X299" s="16">
        <v>0</v>
      </c>
      <c r="Y299" s="16">
        <v>0</v>
      </c>
      <c r="Z299" s="16">
        <v>-0.2</v>
      </c>
      <c r="AA299" s="16">
        <v>0</v>
      </c>
      <c r="AB299" s="16">
        <v>-0.2</v>
      </c>
      <c r="AC299" s="16">
        <v>0</v>
      </c>
      <c r="AD299" s="16">
        <v>0</v>
      </c>
      <c r="AE299" s="16">
        <v>-0.2</v>
      </c>
      <c r="AF299" s="16">
        <v>0</v>
      </c>
      <c r="AG299" s="16">
        <v>-0.2</v>
      </c>
      <c r="AH299" s="16">
        <v>0</v>
      </c>
      <c r="AI299" s="48">
        <v>10001</v>
      </c>
      <c r="AJ299" s="48">
        <v>10012</v>
      </c>
      <c r="AK299" s="48">
        <v>10003</v>
      </c>
      <c r="AL299" s="48">
        <v>10004</v>
      </c>
      <c r="AM299" s="48">
        <v>10005</v>
      </c>
      <c r="AN299" s="25">
        <v>0.1</v>
      </c>
      <c r="AO299" s="49" t="s"/>
      <c r="AP299" s="50">
        <v>50</v>
      </c>
      <c r="AQ299" s="51" t="s">
        <v>1706</v>
      </c>
      <c r="AR299" s="51">
        <f>=F299*247.95</f>
        <v>334236.6</v>
      </c>
      <c r="AS299" s="51">
        <f>=G299*32.6061</f>
        <v>2478.0636</v>
      </c>
      <c r="AT299" s="51">
        <f>=J299*2.35</f>
        <v>1551</v>
      </c>
      <c r="AU299" s="47">
        <f>=H299*15.88</f>
        <v>571.68</v>
      </c>
    </row>
    <row r="300" spans="1:47">
      <c r="A300" s="16" t="s">
        <v>1700</v>
      </c>
      <c r="B300" s="52">
        <v>11915</v>
      </c>
      <c r="C300" s="26" t="s">
        <v>1701</v>
      </c>
      <c r="D300" s="16" t="s">
        <v>1702</v>
      </c>
      <c r="E300" s="16">
        <v>900011915</v>
      </c>
      <c r="F300" s="16">
        <v>1648</v>
      </c>
      <c r="G300" s="16">
        <v>76</v>
      </c>
      <c r="H300" s="16">
        <v>36</v>
      </c>
      <c r="I300" s="22">
        <v>0.5</v>
      </c>
      <c r="J300" s="16">
        <v>990</v>
      </c>
      <c r="K300" s="16" t="b">
        <v>1</v>
      </c>
      <c r="L300" s="22">
        <v>0</v>
      </c>
      <c r="M300" s="42">
        <v>0</v>
      </c>
      <c r="N300" s="22">
        <v>0.1538</v>
      </c>
      <c r="O300" s="42">
        <v>6.501951</v>
      </c>
      <c r="P300" s="22">
        <v>0.5</v>
      </c>
      <c r="Q300" s="16">
        <v>1</v>
      </c>
      <c r="R300" s="16">
        <v>1</v>
      </c>
      <c r="S300" s="22">
        <v>0</v>
      </c>
      <c r="T300" s="16">
        <v>0</v>
      </c>
      <c r="U300" s="16">
        <v>-0.2</v>
      </c>
      <c r="V300" s="16">
        <v>0</v>
      </c>
      <c r="W300" s="16">
        <v>-0.2</v>
      </c>
      <c r="X300" s="16">
        <v>0</v>
      </c>
      <c r="Y300" s="16">
        <v>0</v>
      </c>
      <c r="Z300" s="16">
        <v>-0.2</v>
      </c>
      <c r="AA300" s="16">
        <v>0</v>
      </c>
      <c r="AB300" s="16">
        <v>-0.2</v>
      </c>
      <c r="AC300" s="16">
        <v>0</v>
      </c>
      <c r="AD300" s="16">
        <v>0</v>
      </c>
      <c r="AE300" s="16">
        <v>-0.2</v>
      </c>
      <c r="AF300" s="16">
        <v>0</v>
      </c>
      <c r="AG300" s="16">
        <v>-0.2</v>
      </c>
      <c r="AH300" s="16">
        <v>0</v>
      </c>
      <c r="AI300" s="48">
        <v>10001</v>
      </c>
      <c r="AJ300" s="48">
        <v>10012</v>
      </c>
      <c r="AK300" s="48">
        <v>10003</v>
      </c>
      <c r="AL300" s="48">
        <v>10004</v>
      </c>
      <c r="AM300" s="48">
        <v>10005</v>
      </c>
      <c r="AN300" s="25">
        <v>0.1</v>
      </c>
      <c r="AO300" s="49" t="s"/>
      <c r="AP300" s="50">
        <v>50</v>
      </c>
      <c r="AQ300" s="51" t="s">
        <v>1707</v>
      </c>
      <c r="AR300" s="51">
        <f>=F300*247.95</f>
        <v>408621.6</v>
      </c>
      <c r="AS300" s="51">
        <f>=G300*32.6061</f>
        <v>2478.0636</v>
      </c>
      <c r="AT300" s="51">
        <f>=J300*2.35</f>
        <v>2326.5</v>
      </c>
      <c r="AU300" s="47">
        <f>=H300*15.88</f>
        <v>571.68</v>
      </c>
    </row>
    <row r="301" spans="1:47">
      <c r="A301" s="16" t="s">
        <v>1700</v>
      </c>
      <c r="B301" s="52">
        <v>11916</v>
      </c>
      <c r="C301" s="26" t="s">
        <v>1701</v>
      </c>
      <c r="D301" s="16" t="s">
        <v>1702</v>
      </c>
      <c r="E301" s="16">
        <v>900011916</v>
      </c>
      <c r="F301" s="16">
        <v>1648</v>
      </c>
      <c r="G301" s="16">
        <v>76</v>
      </c>
      <c r="H301" s="16">
        <v>36</v>
      </c>
      <c r="I301" s="22">
        <v>0.5</v>
      </c>
      <c r="J301" s="16">
        <v>990</v>
      </c>
      <c r="K301" s="16" t="b">
        <v>1</v>
      </c>
      <c r="L301" s="22">
        <v>0</v>
      </c>
      <c r="M301" s="42">
        <v>0</v>
      </c>
      <c r="N301" s="22">
        <v>0.1538</v>
      </c>
      <c r="O301" s="42">
        <v>6.501951</v>
      </c>
      <c r="P301" s="22">
        <v>0.5</v>
      </c>
      <c r="Q301" s="16">
        <v>1</v>
      </c>
      <c r="R301" s="16">
        <v>1</v>
      </c>
      <c r="S301" s="22">
        <v>0</v>
      </c>
      <c r="T301" s="16">
        <v>0</v>
      </c>
      <c r="U301" s="16">
        <v>-0.2</v>
      </c>
      <c r="V301" s="16">
        <v>0</v>
      </c>
      <c r="W301" s="16">
        <v>-0.2</v>
      </c>
      <c r="X301" s="16">
        <v>0</v>
      </c>
      <c r="Y301" s="16">
        <v>0</v>
      </c>
      <c r="Z301" s="16">
        <v>-0.2</v>
      </c>
      <c r="AA301" s="16">
        <v>0</v>
      </c>
      <c r="AB301" s="16">
        <v>-0.2</v>
      </c>
      <c r="AC301" s="16">
        <v>0</v>
      </c>
      <c r="AD301" s="16">
        <v>0</v>
      </c>
      <c r="AE301" s="16">
        <v>-0.2</v>
      </c>
      <c r="AF301" s="16">
        <v>0</v>
      </c>
      <c r="AG301" s="16">
        <v>-0.2</v>
      </c>
      <c r="AH301" s="16">
        <v>0</v>
      </c>
      <c r="AI301" s="48">
        <v>10001</v>
      </c>
      <c r="AJ301" s="48">
        <v>10012</v>
      </c>
      <c r="AK301" s="48">
        <v>10003</v>
      </c>
      <c r="AL301" s="48">
        <v>10004</v>
      </c>
      <c r="AM301" s="48">
        <v>10005</v>
      </c>
      <c r="AN301" s="25">
        <v>0.1</v>
      </c>
      <c r="AO301" s="49" t="s"/>
      <c r="AP301" s="50">
        <v>50</v>
      </c>
      <c r="AQ301" s="51" t="s">
        <v>1708</v>
      </c>
      <c r="AR301" s="51">
        <f>=F301*247.95</f>
        <v>408621.6</v>
      </c>
      <c r="AS301" s="51">
        <f>=G301*32.6061</f>
        <v>2478.0636</v>
      </c>
      <c r="AT301" s="51">
        <f>=J301*2.35</f>
        <v>2326.5</v>
      </c>
      <c r="AU301" s="47">
        <f>=H301*15.88</f>
        <v>571.68</v>
      </c>
    </row>
    <row r="302" spans="1:47">
      <c r="A302" s="16" t="s">
        <v>1700</v>
      </c>
      <c r="B302" s="52">
        <v>11917</v>
      </c>
      <c r="C302" s="26" t="s">
        <v>1701</v>
      </c>
      <c r="D302" s="16" t="s">
        <v>1702</v>
      </c>
      <c r="E302" s="16">
        <v>900011917</v>
      </c>
      <c r="F302" s="16">
        <v>1648</v>
      </c>
      <c r="G302" s="16">
        <v>76</v>
      </c>
      <c r="H302" s="16">
        <v>36</v>
      </c>
      <c r="I302" s="22">
        <v>0.5</v>
      </c>
      <c r="J302" s="16">
        <v>990</v>
      </c>
      <c r="K302" s="16" t="b">
        <v>1</v>
      </c>
      <c r="L302" s="22">
        <v>0</v>
      </c>
      <c r="M302" s="42">
        <v>0</v>
      </c>
      <c r="N302" s="22">
        <v>0.1538</v>
      </c>
      <c r="O302" s="42">
        <v>6.501951</v>
      </c>
      <c r="P302" s="22">
        <v>0.5</v>
      </c>
      <c r="Q302" s="16">
        <v>1</v>
      </c>
      <c r="R302" s="16">
        <v>1</v>
      </c>
      <c r="S302" s="22">
        <v>0</v>
      </c>
      <c r="T302" s="16">
        <v>0</v>
      </c>
      <c r="U302" s="16">
        <v>-0.2</v>
      </c>
      <c r="V302" s="16">
        <v>0</v>
      </c>
      <c r="W302" s="16">
        <v>-0.2</v>
      </c>
      <c r="X302" s="16">
        <v>0</v>
      </c>
      <c r="Y302" s="16">
        <v>0</v>
      </c>
      <c r="Z302" s="16">
        <v>-0.2</v>
      </c>
      <c r="AA302" s="16">
        <v>0</v>
      </c>
      <c r="AB302" s="16">
        <v>-0.2</v>
      </c>
      <c r="AC302" s="16">
        <v>0</v>
      </c>
      <c r="AD302" s="16">
        <v>0</v>
      </c>
      <c r="AE302" s="16">
        <v>-0.2</v>
      </c>
      <c r="AF302" s="16">
        <v>0</v>
      </c>
      <c r="AG302" s="16">
        <v>-0.2</v>
      </c>
      <c r="AH302" s="16">
        <v>0</v>
      </c>
      <c r="AI302" s="48">
        <v>10001</v>
      </c>
      <c r="AJ302" s="48">
        <v>10012</v>
      </c>
      <c r="AK302" s="48">
        <v>10003</v>
      </c>
      <c r="AL302" s="48">
        <v>10004</v>
      </c>
      <c r="AM302" s="48">
        <v>10005</v>
      </c>
      <c r="AN302" s="25">
        <v>0.1</v>
      </c>
      <c r="AO302" s="49" t="s"/>
      <c r="AP302" s="50">
        <v>50</v>
      </c>
      <c r="AQ302" s="51" t="s">
        <v>1709</v>
      </c>
      <c r="AR302" s="51">
        <f>=F302*247.95</f>
        <v>408621.6</v>
      </c>
      <c r="AS302" s="51">
        <f>=G302*32.6061</f>
        <v>2478.0636</v>
      </c>
      <c r="AT302" s="51">
        <f>=J302*2.35</f>
        <v>2326.5</v>
      </c>
      <c r="AU302" s="47">
        <f>=H302*15.88</f>
        <v>571.68</v>
      </c>
    </row>
    <row r="303" spans="1:47">
      <c r="A303" s="16" t="s">
        <v>1700</v>
      </c>
      <c r="B303" s="52">
        <v>11918</v>
      </c>
      <c r="C303" s="26" t="s">
        <v>1701</v>
      </c>
      <c r="D303" s="16" t="s">
        <v>1702</v>
      </c>
      <c r="E303" s="16">
        <v>900011918</v>
      </c>
      <c r="F303" s="16">
        <v>1648</v>
      </c>
      <c r="G303" s="16">
        <v>76</v>
      </c>
      <c r="H303" s="16">
        <v>36</v>
      </c>
      <c r="I303" s="22">
        <v>0.5</v>
      </c>
      <c r="J303" s="16">
        <v>990</v>
      </c>
      <c r="K303" s="16" t="b">
        <v>1</v>
      </c>
      <c r="L303" s="22">
        <v>0</v>
      </c>
      <c r="M303" s="42">
        <v>0</v>
      </c>
      <c r="N303" s="22">
        <v>0.1538</v>
      </c>
      <c r="O303" s="42">
        <v>6.501951</v>
      </c>
      <c r="P303" s="22">
        <v>0.5</v>
      </c>
      <c r="Q303" s="16">
        <v>1</v>
      </c>
      <c r="R303" s="16">
        <v>1</v>
      </c>
      <c r="S303" s="22">
        <v>0</v>
      </c>
      <c r="T303" s="16">
        <v>0</v>
      </c>
      <c r="U303" s="16">
        <v>-0.2</v>
      </c>
      <c r="V303" s="16">
        <v>0</v>
      </c>
      <c r="W303" s="16">
        <v>-0.2</v>
      </c>
      <c r="X303" s="16">
        <v>0</v>
      </c>
      <c r="Y303" s="16">
        <v>0</v>
      </c>
      <c r="Z303" s="16">
        <v>-0.2</v>
      </c>
      <c r="AA303" s="16">
        <v>0</v>
      </c>
      <c r="AB303" s="16">
        <v>-0.2</v>
      </c>
      <c r="AC303" s="16">
        <v>0</v>
      </c>
      <c r="AD303" s="16">
        <v>0</v>
      </c>
      <c r="AE303" s="16">
        <v>-0.2</v>
      </c>
      <c r="AF303" s="16">
        <v>0</v>
      </c>
      <c r="AG303" s="16">
        <v>-0.2</v>
      </c>
      <c r="AH303" s="16">
        <v>0</v>
      </c>
      <c r="AI303" s="48">
        <v>10001</v>
      </c>
      <c r="AJ303" s="48">
        <v>10012</v>
      </c>
      <c r="AK303" s="48">
        <v>10003</v>
      </c>
      <c r="AL303" s="48">
        <v>10004</v>
      </c>
      <c r="AM303" s="48">
        <v>10005</v>
      </c>
      <c r="AN303" s="25">
        <v>0.1</v>
      </c>
      <c r="AO303" s="49" t="s"/>
      <c r="AP303" s="50">
        <v>50</v>
      </c>
      <c r="AQ303" s="51" t="s">
        <v>1710</v>
      </c>
      <c r="AR303" s="51">
        <f>=F303*247.95</f>
        <v>408621.6</v>
      </c>
      <c r="AS303" s="51">
        <f>=G303*32.6061</f>
        <v>2478.0636</v>
      </c>
      <c r="AT303" s="51">
        <f>=J303*2.35</f>
        <v>2326.5</v>
      </c>
      <c r="AU303" s="47">
        <f>=H303*15.88</f>
        <v>571.68</v>
      </c>
    </row>
    <row r="304" spans="1:47">
      <c r="A304" s="16" t="s">
        <v>1711</v>
      </c>
      <c r="B304" s="52">
        <v>11941</v>
      </c>
      <c r="C304" s="26" t="s">
        <v>1712</v>
      </c>
      <c r="D304" s="16" t="s">
        <v>1713</v>
      </c>
      <c r="E304" s="16">
        <v>900011941</v>
      </c>
      <c r="F304" s="16">
        <v>21502</v>
      </c>
      <c r="G304" s="16">
        <v>144</v>
      </c>
      <c r="H304" s="16">
        <v>60</v>
      </c>
      <c r="I304" s="22">
        <v>0.5</v>
      </c>
      <c r="J304" s="16">
        <v>6097</v>
      </c>
      <c r="K304" s="16" t="b">
        <v>1</v>
      </c>
      <c r="L304" s="22">
        <v>0</v>
      </c>
      <c r="M304" s="42">
        <v>0</v>
      </c>
      <c r="N304" s="22">
        <v>0.1428</v>
      </c>
      <c r="O304" s="42">
        <v>7.002801</v>
      </c>
      <c r="P304" s="22">
        <v>1</v>
      </c>
      <c r="Q304" s="16">
        <v>3</v>
      </c>
      <c r="R304" s="16">
        <v>5</v>
      </c>
      <c r="S304" s="22">
        <v>0.75</v>
      </c>
      <c r="T304" s="16">
        <v>0.2</v>
      </c>
      <c r="U304" s="16">
        <v>0</v>
      </c>
      <c r="V304" s="16">
        <v>-0.2</v>
      </c>
      <c r="W304" s="16">
        <v>0</v>
      </c>
      <c r="X304" s="16">
        <v>0</v>
      </c>
      <c r="Y304" s="16">
        <v>0.2</v>
      </c>
      <c r="Z304" s="16">
        <v>0</v>
      </c>
      <c r="AA304" s="16">
        <v>-0.2</v>
      </c>
      <c r="AB304" s="16">
        <v>0</v>
      </c>
      <c r="AC304" s="16">
        <v>0</v>
      </c>
      <c r="AD304" s="16">
        <v>0.2</v>
      </c>
      <c r="AE304" s="16">
        <v>0</v>
      </c>
      <c r="AF304" s="16">
        <v>-0.2</v>
      </c>
      <c r="AG304" s="16">
        <v>0</v>
      </c>
      <c r="AH304" s="16">
        <v>0</v>
      </c>
      <c r="AI304" s="48">
        <v>30001</v>
      </c>
      <c r="AJ304" s="48">
        <v>30002</v>
      </c>
      <c r="AK304" s="48">
        <v>30013</v>
      </c>
      <c r="AL304" s="48">
        <v>30004</v>
      </c>
      <c r="AM304" s="48">
        <v>30005</v>
      </c>
      <c r="AN304" s="25">
        <v>0.1</v>
      </c>
      <c r="AO304" s="49">
        <v>5</v>
      </c>
      <c r="AP304" s="50">
        <v>100</v>
      </c>
      <c r="AQ304" s="51" t="s">
        <v>1198</v>
      </c>
      <c r="AR304" s="51">
        <f>=F304*247.95</f>
        <v>5331420.9</v>
      </c>
      <c r="AS304" s="51">
        <f>=G304*32.6061</f>
        <v>4695.2784</v>
      </c>
      <c r="AT304" s="51">
        <f>=J304*2.35</f>
        <v>14327.95</v>
      </c>
      <c r="AU304" s="47">
        <f>=H304*15.88</f>
        <v>952.8</v>
      </c>
    </row>
    <row r="305" spans="1:47">
      <c r="A305" s="16" t="s">
        <v>1714</v>
      </c>
      <c r="B305" s="52">
        <v>11951</v>
      </c>
      <c r="C305" s="26" t="s">
        <v>1715</v>
      </c>
      <c r="D305" s="16" t="s">
        <v>1716</v>
      </c>
      <c r="E305" s="16">
        <v>900011951</v>
      </c>
      <c r="F305" s="16">
        <v>20548</v>
      </c>
      <c r="G305" s="16">
        <v>144</v>
      </c>
      <c r="H305" s="16">
        <v>60</v>
      </c>
      <c r="I305" s="22">
        <v>0.5</v>
      </c>
      <c r="J305" s="16">
        <v>4268</v>
      </c>
      <c r="K305" s="16" t="b">
        <v>1</v>
      </c>
      <c r="L305" s="22">
        <v>0</v>
      </c>
      <c r="M305" s="42">
        <v>0</v>
      </c>
      <c r="N305" s="22">
        <v>0.0833</v>
      </c>
      <c r="O305" s="42">
        <v>12.0048</v>
      </c>
      <c r="P305" s="22">
        <v>1</v>
      </c>
      <c r="Q305" s="16">
        <v>3</v>
      </c>
      <c r="R305" s="16">
        <v>5</v>
      </c>
      <c r="S305" s="22">
        <v>0.75</v>
      </c>
      <c r="T305" s="16">
        <v>-0.2</v>
      </c>
      <c r="U305" s="16">
        <v>0</v>
      </c>
      <c r="V305" s="16">
        <v>0</v>
      </c>
      <c r="W305" s="16">
        <v>0</v>
      </c>
      <c r="X305" s="16">
        <v>-0.2</v>
      </c>
      <c r="Y305" s="16">
        <v>-0.2</v>
      </c>
      <c r="Z305" s="16">
        <v>0</v>
      </c>
      <c r="AA305" s="16">
        <v>0</v>
      </c>
      <c r="AB305" s="16">
        <v>0</v>
      </c>
      <c r="AC305" s="16">
        <v>-0.2</v>
      </c>
      <c r="AD305" s="16">
        <v>-0.2</v>
      </c>
      <c r="AE305" s="16">
        <v>0</v>
      </c>
      <c r="AF305" s="16">
        <v>0</v>
      </c>
      <c r="AG305" s="16">
        <v>0</v>
      </c>
      <c r="AH305" s="16">
        <v>-0.2</v>
      </c>
      <c r="AI305" s="48">
        <v>30001</v>
      </c>
      <c r="AJ305" s="48">
        <v>30002</v>
      </c>
      <c r="AK305" s="48">
        <v>30003</v>
      </c>
      <c r="AL305" s="48">
        <v>30004</v>
      </c>
      <c r="AM305" s="48">
        <v>30015</v>
      </c>
      <c r="AN305" s="25">
        <v>0.1</v>
      </c>
      <c r="AO305" s="49">
        <v>5</v>
      </c>
      <c r="AP305" s="50">
        <v>100</v>
      </c>
      <c r="AQ305" s="51" t="s">
        <v>1717</v>
      </c>
      <c r="AR305" s="51">
        <f>=F305*247.95</f>
        <v>5094876.6</v>
      </c>
      <c r="AS305" s="51">
        <f>=G305*32.6061</f>
        <v>4695.2784</v>
      </c>
      <c r="AT305" s="51">
        <f>=J305*2.35</f>
        <v>10029.8</v>
      </c>
      <c r="AU305" s="47">
        <f>=H305*15.88</f>
        <v>952.8</v>
      </c>
    </row>
    <row r="306" spans="1:47" ht="18" customHeight="1">
      <c r="A306" s="16" t="s">
        <v>1718</v>
      </c>
      <c r="B306" s="52">
        <v>11952</v>
      </c>
      <c r="C306" s="26" t="s">
        <v>1719</v>
      </c>
      <c r="D306" s="16" t="s">
        <v>1720</v>
      </c>
      <c r="E306" s="16">
        <v>900011952</v>
      </c>
      <c r="F306" s="16">
        <v>20548</v>
      </c>
      <c r="G306" s="16">
        <v>144</v>
      </c>
      <c r="H306" s="16">
        <v>60</v>
      </c>
      <c r="I306" s="22">
        <v>0.5</v>
      </c>
      <c r="J306" s="16">
        <v>4268</v>
      </c>
      <c r="K306" s="16" t="b">
        <v>1</v>
      </c>
      <c r="L306" s="22">
        <v>0</v>
      </c>
      <c r="M306" s="42">
        <v>0</v>
      </c>
      <c r="N306" s="22">
        <v>0.0833</v>
      </c>
      <c r="O306" s="42">
        <v>12.0048</v>
      </c>
      <c r="P306" s="22">
        <v>1</v>
      </c>
      <c r="Q306" s="16">
        <v>3</v>
      </c>
      <c r="R306" s="16">
        <v>5</v>
      </c>
      <c r="S306" s="22">
        <v>0.75</v>
      </c>
      <c r="T306" s="16">
        <v>-0.2</v>
      </c>
      <c r="U306" s="16">
        <v>0</v>
      </c>
      <c r="V306" s="16">
        <v>0</v>
      </c>
      <c r="W306" s="16">
        <v>0</v>
      </c>
      <c r="X306" s="16">
        <v>-0.2</v>
      </c>
      <c r="Y306" s="16">
        <v>-0.2</v>
      </c>
      <c r="Z306" s="16">
        <v>0</v>
      </c>
      <c r="AA306" s="16">
        <v>0</v>
      </c>
      <c r="AB306" s="16">
        <v>0</v>
      </c>
      <c r="AC306" s="16">
        <v>-0.2</v>
      </c>
      <c r="AD306" s="16">
        <v>-0.2</v>
      </c>
      <c r="AE306" s="16">
        <v>0</v>
      </c>
      <c r="AF306" s="16">
        <v>0</v>
      </c>
      <c r="AG306" s="16">
        <v>0</v>
      </c>
      <c r="AH306" s="16">
        <v>-0.2</v>
      </c>
      <c r="AI306" s="48">
        <v>30001</v>
      </c>
      <c r="AJ306" s="48">
        <v>30002</v>
      </c>
      <c r="AK306" s="48">
        <v>30003</v>
      </c>
      <c r="AL306" s="48">
        <v>30004</v>
      </c>
      <c r="AM306" s="48">
        <v>30015</v>
      </c>
      <c r="AN306" s="25">
        <v>0.1</v>
      </c>
      <c r="AO306" s="49">
        <v>5</v>
      </c>
      <c r="AP306" s="50">
        <v>100</v>
      </c>
      <c r="AQ306" s="51" t="s">
        <v>1721</v>
      </c>
      <c r="AR306" s="51">
        <f>=F306*247.95</f>
        <v>5094876.6</v>
      </c>
      <c r="AS306" s="51">
        <f>=G306*32.6061</f>
        <v>4695.2784</v>
      </c>
      <c r="AT306" s="51">
        <f>=J306*2.35</f>
        <v>10029.8</v>
      </c>
      <c r="AU306" s="47">
        <f>=H306*15.88</f>
        <v>952.8</v>
      </c>
    </row>
    <row r="307" spans="1:47" ht="18" customHeight="1">
      <c r="A307" s="16" t="s">
        <v>1722</v>
      </c>
      <c r="B307" s="52">
        <v>11961</v>
      </c>
      <c r="C307" s="26" t="s">
        <v>1723</v>
      </c>
      <c r="D307" s="16" t="s">
        <v>1724</v>
      </c>
      <c r="E307" s="16">
        <v>900011961</v>
      </c>
      <c r="F307" s="16">
        <v>21297</v>
      </c>
      <c r="G307" s="16">
        <v>144</v>
      </c>
      <c r="H307" s="16">
        <v>60</v>
      </c>
      <c r="I307" s="22">
        <v>0.5</v>
      </c>
      <c r="J307" s="16">
        <v>7926</v>
      </c>
      <c r="K307" s="16" t="b">
        <v>1</v>
      </c>
      <c r="L307" s="22">
        <v>0</v>
      </c>
      <c r="M307" s="42">
        <v>0</v>
      </c>
      <c r="N307" s="22">
        <v>0.0833</v>
      </c>
      <c r="O307" s="42">
        <v>12.0048</v>
      </c>
      <c r="P307" s="22">
        <v>0.25</v>
      </c>
      <c r="Q307" s="16">
        <v>3</v>
      </c>
      <c r="R307" s="16">
        <v>5</v>
      </c>
      <c r="S307" s="22">
        <v>0.75</v>
      </c>
      <c r="T307" s="16">
        <v>-0.2</v>
      </c>
      <c r="U307" s="16">
        <v>0</v>
      </c>
      <c r="V307" s="16">
        <v>0</v>
      </c>
      <c r="W307" s="16">
        <v>0</v>
      </c>
      <c r="X307" s="16">
        <v>-0.2</v>
      </c>
      <c r="Y307" s="16">
        <v>-0.2</v>
      </c>
      <c r="Z307" s="16">
        <v>0</v>
      </c>
      <c r="AA307" s="16">
        <v>0</v>
      </c>
      <c r="AB307" s="16">
        <v>0</v>
      </c>
      <c r="AC307" s="16">
        <v>-0.2</v>
      </c>
      <c r="AD307" s="16">
        <v>-0.2</v>
      </c>
      <c r="AE307" s="16">
        <v>0</v>
      </c>
      <c r="AF307" s="16">
        <v>0</v>
      </c>
      <c r="AG307" s="16">
        <v>0</v>
      </c>
      <c r="AH307" s="16">
        <v>-0.2</v>
      </c>
      <c r="AI307" s="48">
        <v>30001</v>
      </c>
      <c r="AJ307" s="48">
        <v>30002</v>
      </c>
      <c r="AK307" s="48">
        <v>30003</v>
      </c>
      <c r="AL307" s="48">
        <v>30004</v>
      </c>
      <c r="AM307" s="48">
        <v>30015</v>
      </c>
      <c r="AN307" s="25">
        <v>0.1</v>
      </c>
      <c r="AO307" s="49">
        <v>5</v>
      </c>
      <c r="AP307" s="50">
        <v>100</v>
      </c>
      <c r="AQ307" s="51" t="s">
        <v>1725</v>
      </c>
      <c r="AR307" s="51">
        <f>=F307*247.95</f>
        <v>5280591.15</v>
      </c>
      <c r="AS307" s="51">
        <f>=G307*32.6061</f>
        <v>4695.2784</v>
      </c>
      <c r="AT307" s="51">
        <f>=J307*2.35</f>
        <v>18626.1</v>
      </c>
      <c r="AU307" s="47">
        <f>=H307*15.88</f>
        <v>952.8</v>
      </c>
    </row>
    <row r="308" spans="1:47">
      <c r="A308" s="16" t="s">
        <v>1726</v>
      </c>
      <c r="B308" s="52">
        <v>11971</v>
      </c>
      <c r="C308" s="26" t="s">
        <v>1727</v>
      </c>
      <c r="D308" s="16" t="s">
        <v>1728</v>
      </c>
      <c r="E308" s="16">
        <v>900011971</v>
      </c>
      <c r="F308" s="16">
        <v>18616</v>
      </c>
      <c r="G308" s="16">
        <v>144</v>
      </c>
      <c r="H308" s="16">
        <v>60</v>
      </c>
      <c r="I308" s="22">
        <v>0.5</v>
      </c>
      <c r="J308" s="16">
        <v>6097</v>
      </c>
      <c r="K308" s="16" t="b">
        <v>1</v>
      </c>
      <c r="L308" s="22">
        <v>0</v>
      </c>
      <c r="M308" s="42">
        <v>0</v>
      </c>
      <c r="N308" s="22">
        <v>0.0833</v>
      </c>
      <c r="O308" s="42">
        <v>12.0048</v>
      </c>
      <c r="P308" s="22">
        <v>0.25</v>
      </c>
      <c r="Q308" s="16">
        <v>3</v>
      </c>
      <c r="R308" s="16">
        <v>5</v>
      </c>
      <c r="S308" s="22">
        <v>0.75</v>
      </c>
      <c r="T308" s="16">
        <v>0</v>
      </c>
      <c r="U308" s="16">
        <v>0.2</v>
      </c>
      <c r="V308" s="16">
        <v>-0.2</v>
      </c>
      <c r="W308" s="16">
        <v>0</v>
      </c>
      <c r="X308" s="16">
        <v>0</v>
      </c>
      <c r="Y308" s="16">
        <v>0</v>
      </c>
      <c r="Z308" s="16">
        <v>0.2</v>
      </c>
      <c r="AA308" s="16">
        <v>-0.2</v>
      </c>
      <c r="AB308" s="16">
        <v>0</v>
      </c>
      <c r="AC308" s="16">
        <v>0</v>
      </c>
      <c r="AD308" s="16">
        <v>0</v>
      </c>
      <c r="AE308" s="16">
        <v>0.2</v>
      </c>
      <c r="AF308" s="16">
        <v>-0.2</v>
      </c>
      <c r="AG308" s="16">
        <v>0</v>
      </c>
      <c r="AH308" s="16">
        <v>0</v>
      </c>
      <c r="AI308" s="48">
        <v>30001</v>
      </c>
      <c r="AJ308" s="48">
        <v>30002</v>
      </c>
      <c r="AK308" s="48">
        <v>30013</v>
      </c>
      <c r="AL308" s="48">
        <v>30004</v>
      </c>
      <c r="AM308" s="48">
        <v>30005</v>
      </c>
      <c r="AN308" s="25">
        <v>0.1</v>
      </c>
      <c r="AO308" s="49">
        <v>5</v>
      </c>
      <c r="AP308" s="50">
        <v>100</v>
      </c>
      <c r="AQ308" s="51" t="s">
        <v>1435</v>
      </c>
      <c r="AR308" s="51">
        <f>=F308*247.95</f>
        <v>4615837.2</v>
      </c>
      <c r="AS308" s="51">
        <f>=G308*32.6061</f>
        <v>4695.2784</v>
      </c>
      <c r="AT308" s="51">
        <f>=J308*2.35</f>
        <v>14327.95</v>
      </c>
      <c r="AU308" s="47">
        <f>=H308*15.88</f>
        <v>952.8</v>
      </c>
    </row>
    <row r="309" spans="1:47" ht="18" customHeight="1">
      <c r="A309" s="16" t="s">
        <v>1726</v>
      </c>
      <c r="B309" s="52">
        <v>11972</v>
      </c>
      <c r="C309" s="26" t="s">
        <v>1727</v>
      </c>
      <c r="D309" s="16" t="s">
        <v>1728</v>
      </c>
      <c r="E309" s="16">
        <v>900011972</v>
      </c>
      <c r="F309" s="16">
        <v>18616</v>
      </c>
      <c r="G309" s="16">
        <v>144</v>
      </c>
      <c r="H309" s="16">
        <v>60</v>
      </c>
      <c r="I309" s="22">
        <v>0.5</v>
      </c>
      <c r="J309" s="16">
        <v>6097</v>
      </c>
      <c r="K309" s="16" t="b">
        <v>1</v>
      </c>
      <c r="L309" s="22">
        <v>0</v>
      </c>
      <c r="M309" s="42">
        <v>0</v>
      </c>
      <c r="N309" s="22">
        <v>0.0833</v>
      </c>
      <c r="O309" s="42">
        <v>12.0048</v>
      </c>
      <c r="P309" s="22">
        <v>0.25</v>
      </c>
      <c r="Q309" s="16">
        <v>3</v>
      </c>
      <c r="R309" s="16">
        <v>5</v>
      </c>
      <c r="S309" s="22">
        <v>0.75</v>
      </c>
      <c r="T309" s="16">
        <v>0</v>
      </c>
      <c r="U309" s="16">
        <v>0.2</v>
      </c>
      <c r="V309" s="16">
        <v>-0.2</v>
      </c>
      <c r="W309" s="16">
        <v>0</v>
      </c>
      <c r="X309" s="16">
        <v>0</v>
      </c>
      <c r="Y309" s="16">
        <v>0</v>
      </c>
      <c r="Z309" s="16">
        <v>0.2</v>
      </c>
      <c r="AA309" s="16">
        <v>-0.2</v>
      </c>
      <c r="AB309" s="16">
        <v>0</v>
      </c>
      <c r="AC309" s="16">
        <v>0</v>
      </c>
      <c r="AD309" s="16">
        <v>0</v>
      </c>
      <c r="AE309" s="16">
        <v>0.2</v>
      </c>
      <c r="AF309" s="16">
        <v>-0.2</v>
      </c>
      <c r="AG309" s="16">
        <v>0</v>
      </c>
      <c r="AH309" s="16">
        <v>0</v>
      </c>
      <c r="AI309" s="48">
        <v>30001</v>
      </c>
      <c r="AJ309" s="48">
        <v>30002</v>
      </c>
      <c r="AK309" s="48">
        <v>30013</v>
      </c>
      <c r="AL309" s="48">
        <v>30004</v>
      </c>
      <c r="AM309" s="48">
        <v>30005</v>
      </c>
      <c r="AN309" s="25">
        <v>0.1</v>
      </c>
      <c r="AO309" s="49">
        <v>5</v>
      </c>
      <c r="AP309" s="50">
        <v>100</v>
      </c>
      <c r="AQ309" s="51" t="s">
        <v>1729</v>
      </c>
      <c r="AR309" s="51">
        <f>=F309*247.95</f>
        <v>4615837.2</v>
      </c>
      <c r="AS309" s="51">
        <f>=G309*32.6061</f>
        <v>4695.2784</v>
      </c>
      <c r="AT309" s="51">
        <f>=J309*2.35</f>
        <v>14327.95</v>
      </c>
      <c r="AU309" s="47">
        <f>=H309*15.88</f>
        <v>952.8</v>
      </c>
    </row>
    <row r="310" spans="1:47">
      <c r="A310" s="16" t="s">
        <v>1730</v>
      </c>
      <c r="B310" s="52">
        <v>11981</v>
      </c>
      <c r="C310" s="26" t="s">
        <v>1731</v>
      </c>
      <c r="D310" s="16" t="s">
        <v>1732</v>
      </c>
      <c r="E310" s="16">
        <v>900011981</v>
      </c>
      <c r="F310" s="16">
        <v>22398</v>
      </c>
      <c r="G310" s="16">
        <v>144</v>
      </c>
      <c r="H310" s="16">
        <v>60</v>
      </c>
      <c r="I310" s="22">
        <v>0.5</v>
      </c>
      <c r="J310" s="16">
        <v>6097</v>
      </c>
      <c r="K310" s="16" t="b">
        <v>1</v>
      </c>
      <c r="L310" s="22">
        <v>0</v>
      </c>
      <c r="M310" s="42">
        <v>0</v>
      </c>
      <c r="N310" s="22">
        <v>0.1428</v>
      </c>
      <c r="O310" s="42">
        <v>7.002801</v>
      </c>
      <c r="P310" s="22">
        <v>1</v>
      </c>
      <c r="Q310" s="16">
        <v>3</v>
      </c>
      <c r="R310" s="16">
        <v>1</v>
      </c>
      <c r="S310" s="22">
        <v>0.75</v>
      </c>
      <c r="T310" s="16">
        <v>0</v>
      </c>
      <c r="U310" s="16">
        <v>0</v>
      </c>
      <c r="V310" s="16">
        <v>0</v>
      </c>
      <c r="W310" s="16">
        <v>0</v>
      </c>
      <c r="X310" s="16">
        <v>0</v>
      </c>
      <c r="Y310" s="16">
        <v>0</v>
      </c>
      <c r="Z310" s="16">
        <v>0</v>
      </c>
      <c r="AA310" s="16">
        <v>0</v>
      </c>
      <c r="AB310" s="16">
        <v>0</v>
      </c>
      <c r="AC310" s="16">
        <v>0</v>
      </c>
      <c r="AD310" s="16">
        <v>0</v>
      </c>
      <c r="AE310" s="16">
        <v>0</v>
      </c>
      <c r="AF310" s="16">
        <v>0</v>
      </c>
      <c r="AG310" s="16">
        <v>0</v>
      </c>
      <c r="AH310" s="16">
        <v>0</v>
      </c>
      <c r="AI310" s="48">
        <v>30011</v>
      </c>
      <c r="AJ310" s="48">
        <v>30002</v>
      </c>
      <c r="AK310" s="48">
        <v>30003</v>
      </c>
      <c r="AL310" s="48">
        <v>30004</v>
      </c>
      <c r="AM310" s="48">
        <v>30005</v>
      </c>
      <c r="AN310" s="25">
        <v>0.1</v>
      </c>
      <c r="AO310" s="49">
        <v>5</v>
      </c>
      <c r="AP310" s="50">
        <v>100</v>
      </c>
      <c r="AQ310" s="51" t="s">
        <v>1584</v>
      </c>
      <c r="AR310" s="51">
        <f>=F310*247.95</f>
        <v>5553584.1</v>
      </c>
      <c r="AS310" s="51">
        <f>=G310*32.6061</f>
        <v>4695.2784</v>
      </c>
      <c r="AT310" s="51">
        <f>=J310*2.35</f>
        <v>14327.95</v>
      </c>
      <c r="AU310" s="47">
        <f>=H310*15.88</f>
        <v>952.8</v>
      </c>
    </row>
    <row r="311" spans="1:47">
      <c r="A311" s="16" t="s">
        <v>1733</v>
      </c>
      <c r="B311" s="52">
        <v>11982</v>
      </c>
      <c r="C311" s="26" t="s">
        <v>1734</v>
      </c>
      <c r="D311" s="16" t="s">
        <v>1735</v>
      </c>
      <c r="E311" s="16">
        <v>900011982</v>
      </c>
      <c r="F311" s="16">
        <v>22398</v>
      </c>
      <c r="G311" s="16">
        <v>144</v>
      </c>
      <c r="H311" s="16">
        <v>60</v>
      </c>
      <c r="I311" s="22">
        <v>0.5</v>
      </c>
      <c r="J311" s="16">
        <v>6097</v>
      </c>
      <c r="K311" s="16" t="b">
        <v>1</v>
      </c>
      <c r="L311" s="22">
        <v>0</v>
      </c>
      <c r="M311" s="42">
        <v>0</v>
      </c>
      <c r="N311" s="22">
        <v>0.1428</v>
      </c>
      <c r="O311" s="42">
        <v>7.002801</v>
      </c>
      <c r="P311" s="22">
        <v>1</v>
      </c>
      <c r="Q311" s="16">
        <v>3</v>
      </c>
      <c r="R311" s="16">
        <v>1</v>
      </c>
      <c r="S311" s="22">
        <v>0.75</v>
      </c>
      <c r="T311" s="16">
        <v>0.4</v>
      </c>
      <c r="U311" s="16">
        <v>-0.2</v>
      </c>
      <c r="V311" s="16">
        <v>0</v>
      </c>
      <c r="W311" s="16">
        <v>-0.2</v>
      </c>
      <c r="X311" s="16">
        <v>0</v>
      </c>
      <c r="Y311" s="16">
        <v>0.2</v>
      </c>
      <c r="Z311" s="16">
        <v>-0.2</v>
      </c>
      <c r="AA311" s="16">
        <v>0</v>
      </c>
      <c r="AB311" s="16">
        <v>-0.2</v>
      </c>
      <c r="AC311" s="16">
        <v>0</v>
      </c>
      <c r="AD311" s="16">
        <v>0.2</v>
      </c>
      <c r="AE311" s="16">
        <v>-0.2</v>
      </c>
      <c r="AF311" s="16">
        <v>0</v>
      </c>
      <c r="AG311" s="16">
        <v>-0.2</v>
      </c>
      <c r="AH311" s="16">
        <v>0</v>
      </c>
      <c r="AI311" s="48">
        <v>30011</v>
      </c>
      <c r="AJ311" s="48">
        <v>30012</v>
      </c>
      <c r="AK311" s="48">
        <v>30003</v>
      </c>
      <c r="AL311" s="48">
        <v>30004</v>
      </c>
      <c r="AM311" s="48">
        <v>30005</v>
      </c>
      <c r="AN311" s="25">
        <v>0.1</v>
      </c>
      <c r="AO311" s="49">
        <v>5</v>
      </c>
      <c r="AP311" s="50">
        <v>100</v>
      </c>
      <c r="AQ311" s="51" t="s">
        <v>1588</v>
      </c>
      <c r="AR311" s="51">
        <f>=F311*247.95</f>
        <v>5553584.1</v>
      </c>
      <c r="AS311" s="51">
        <f>=G311*32.6061</f>
        <v>4695.2784</v>
      </c>
      <c r="AT311" s="51">
        <f>=J311*2.35</f>
        <v>14327.95</v>
      </c>
      <c r="AU311" s="47">
        <f>=H311*15.88</f>
        <v>952.8</v>
      </c>
    </row>
    <row r="312" spans="1:47">
      <c r="A312" s="16" t="s">
        <v>1730</v>
      </c>
      <c r="B312" s="52">
        <v>11983</v>
      </c>
      <c r="C312" s="26" t="s">
        <v>1731</v>
      </c>
      <c r="D312" s="16" t="s">
        <v>1732</v>
      </c>
      <c r="E312" s="16">
        <v>900011983</v>
      </c>
      <c r="F312" s="16">
        <v>22398</v>
      </c>
      <c r="G312" s="16">
        <v>144</v>
      </c>
      <c r="H312" s="16">
        <v>60</v>
      </c>
      <c r="I312" s="22">
        <v>0.5</v>
      </c>
      <c r="J312" s="16">
        <v>6097</v>
      </c>
      <c r="K312" s="16" t="b">
        <v>1</v>
      </c>
      <c r="L312" s="22">
        <v>0</v>
      </c>
      <c r="M312" s="42">
        <v>0</v>
      </c>
      <c r="N312" s="22">
        <v>0.1428</v>
      </c>
      <c r="O312" s="42">
        <v>7.002801</v>
      </c>
      <c r="P312" s="22">
        <v>1</v>
      </c>
      <c r="Q312" s="16">
        <v>3</v>
      </c>
      <c r="R312" s="16">
        <v>1</v>
      </c>
      <c r="S312" s="22">
        <v>0.75</v>
      </c>
      <c r="T312" s="16">
        <v>0</v>
      </c>
      <c r="U312" s="16">
        <v>0</v>
      </c>
      <c r="V312" s="16">
        <v>0</v>
      </c>
      <c r="W312" s="16">
        <v>0</v>
      </c>
      <c r="X312" s="16">
        <v>0</v>
      </c>
      <c r="Y312" s="16">
        <v>0</v>
      </c>
      <c r="Z312" s="16">
        <v>0</v>
      </c>
      <c r="AA312" s="16">
        <v>0</v>
      </c>
      <c r="AB312" s="16">
        <v>0</v>
      </c>
      <c r="AC312" s="16">
        <v>0</v>
      </c>
      <c r="AD312" s="16">
        <v>0</v>
      </c>
      <c r="AE312" s="16">
        <v>0</v>
      </c>
      <c r="AF312" s="16">
        <v>0</v>
      </c>
      <c r="AG312" s="16">
        <v>0</v>
      </c>
      <c r="AH312" s="16">
        <v>0</v>
      </c>
      <c r="AI312" s="48">
        <v>30011</v>
      </c>
      <c r="AJ312" s="48">
        <v>30002</v>
      </c>
      <c r="AK312" s="48">
        <v>30003</v>
      </c>
      <c r="AL312" s="48">
        <v>30004</v>
      </c>
      <c r="AM312" s="48">
        <v>30005</v>
      </c>
      <c r="AN312" s="25">
        <v>0.1</v>
      </c>
      <c r="AO312" s="49">
        <v>5</v>
      </c>
      <c r="AP312" s="50">
        <v>100</v>
      </c>
      <c r="AQ312" s="51" t="s">
        <v>1736</v>
      </c>
      <c r="AR312" s="51">
        <f>=F312*247.95</f>
        <v>5553584.1</v>
      </c>
      <c r="AS312" s="51">
        <f>=G312*32.6061</f>
        <v>4695.2784</v>
      </c>
      <c r="AT312" s="51">
        <f>=J312*2.35</f>
        <v>14327.95</v>
      </c>
      <c r="AU312" s="47">
        <f>=H312*15.88</f>
        <v>952.8</v>
      </c>
    </row>
    <row r="313" spans="1:47">
      <c r="A313" s="16" t="s">
        <v>1398</v>
      </c>
      <c r="B313" s="52">
        <v>17596</v>
      </c>
      <c r="C313" s="26" t="s">
        <v>1399</v>
      </c>
      <c r="D313" s="16" t="s">
        <v>1400</v>
      </c>
      <c r="E313" s="24">
        <v>900017596</v>
      </c>
      <c r="F313" s="16">
        <v>938</v>
      </c>
      <c r="G313" s="16">
        <v>45</v>
      </c>
      <c r="H313" s="16">
        <v>50</v>
      </c>
      <c r="I313" s="22">
        <v>0.5</v>
      </c>
      <c r="J313" s="16">
        <v>60</v>
      </c>
      <c r="K313" s="16" t="b">
        <v>0</v>
      </c>
      <c r="L313" s="22">
        <v>0</v>
      </c>
      <c r="M313" s="42">
        <v>3</v>
      </c>
      <c r="N313" s="22">
        <v>0.045</v>
      </c>
      <c r="O313" s="42">
        <v>22.22222</v>
      </c>
      <c r="P313" s="22">
        <v>0</v>
      </c>
      <c r="Q313" s="16">
        <v>0</v>
      </c>
      <c r="R313" s="16">
        <v>9999</v>
      </c>
      <c r="S313" s="22">
        <v>0</v>
      </c>
      <c r="T313" s="16">
        <v>0</v>
      </c>
      <c r="U313" s="16">
        <v>0</v>
      </c>
      <c r="V313" s="16">
        <v>0</v>
      </c>
      <c r="W313" s="16">
        <v>0</v>
      </c>
      <c r="X313" s="16">
        <v>0</v>
      </c>
      <c r="Y313" s="16">
        <v>0</v>
      </c>
      <c r="Z313" s="16">
        <v>0</v>
      </c>
      <c r="AA313" s="16">
        <v>0</v>
      </c>
      <c r="AB313" s="16">
        <v>0</v>
      </c>
      <c r="AC313" s="16">
        <v>0</v>
      </c>
      <c r="AD313" s="16">
        <v>0</v>
      </c>
      <c r="AE313" s="16">
        <v>0</v>
      </c>
      <c r="AF313" s="16">
        <v>0</v>
      </c>
      <c r="AG313" s="16">
        <v>0</v>
      </c>
      <c r="AH313" s="16">
        <v>0</v>
      </c>
      <c r="AI313" s="48">
        <v>10001</v>
      </c>
      <c r="AJ313" s="48">
        <v>10002</v>
      </c>
      <c r="AK313" s="48">
        <v>10003</v>
      </c>
      <c r="AL313" s="48">
        <v>10004</v>
      </c>
      <c r="AM313" s="48">
        <v>10005</v>
      </c>
      <c r="AN313" s="25">
        <v>0</v>
      </c>
      <c r="AO313" s="49" t="s"/>
      <c r="AP313" s="50">
        <v>0</v>
      </c>
      <c r="AQ313" s="51" t="s"/>
      <c r="AR313" s="51">
        <f>=F313*247.95</f>
        <v>232577.1</v>
      </c>
      <c r="AS313" s="51">
        <f>=G313*32.6061</f>
        <v>1467.2745</v>
      </c>
      <c r="AT313" s="51">
        <f>=J313*2.35</f>
        <v>141</v>
      </c>
      <c r="AU313" s="47">
        <f>=H313*15.88</f>
        <v>794</v>
      </c>
    </row>
    <row r="314" spans="1:47">
      <c r="A314" s="16" t="s">
        <v>1427</v>
      </c>
      <c r="B314" s="52">
        <v>17635</v>
      </c>
      <c r="C314" s="26" t="s">
        <v>1428</v>
      </c>
      <c r="D314" s="16" t="s">
        <v>1429</v>
      </c>
      <c r="E314" s="24">
        <v>900017635</v>
      </c>
      <c r="F314" s="16">
        <v>938</v>
      </c>
      <c r="G314" s="16">
        <v>45</v>
      </c>
      <c r="H314" s="16">
        <v>50</v>
      </c>
      <c r="I314" s="22">
        <v>0.5</v>
      </c>
      <c r="J314" s="16">
        <v>60</v>
      </c>
      <c r="K314" s="16" t="b">
        <v>0</v>
      </c>
      <c r="L314" s="22">
        <v>0</v>
      </c>
      <c r="M314" s="42">
        <v>3</v>
      </c>
      <c r="N314" s="22">
        <v>0.045</v>
      </c>
      <c r="O314" s="42">
        <v>22.22222</v>
      </c>
      <c r="P314" s="22">
        <v>0</v>
      </c>
      <c r="Q314" s="16">
        <v>0</v>
      </c>
      <c r="R314" s="16">
        <v>9999</v>
      </c>
      <c r="S314" s="22">
        <v>0</v>
      </c>
      <c r="T314" s="16">
        <v>0</v>
      </c>
      <c r="U314" s="16">
        <v>0</v>
      </c>
      <c r="V314" s="16">
        <v>0</v>
      </c>
      <c r="W314" s="16">
        <v>0</v>
      </c>
      <c r="X314" s="16">
        <v>0</v>
      </c>
      <c r="Y314" s="16">
        <v>0</v>
      </c>
      <c r="Z314" s="16">
        <v>0</v>
      </c>
      <c r="AA314" s="16">
        <v>0</v>
      </c>
      <c r="AB314" s="16">
        <v>0</v>
      </c>
      <c r="AC314" s="16">
        <v>0</v>
      </c>
      <c r="AD314" s="16">
        <v>0</v>
      </c>
      <c r="AE314" s="16">
        <v>0</v>
      </c>
      <c r="AF314" s="16">
        <v>0</v>
      </c>
      <c r="AG314" s="16">
        <v>0</v>
      </c>
      <c r="AH314" s="16">
        <v>0</v>
      </c>
      <c r="AI314" s="48">
        <v>10001</v>
      </c>
      <c r="AJ314" s="48">
        <v>10002</v>
      </c>
      <c r="AK314" s="48">
        <v>10003</v>
      </c>
      <c r="AL314" s="48">
        <v>10004</v>
      </c>
      <c r="AM314" s="48">
        <v>10005</v>
      </c>
      <c r="AN314" s="25">
        <v>0</v>
      </c>
      <c r="AO314" s="49" t="s"/>
      <c r="AP314" s="50">
        <v>0</v>
      </c>
      <c r="AQ314" s="51" t="s"/>
      <c r="AR314" s="51">
        <f>=F314*247.95</f>
        <v>232577.1</v>
      </c>
      <c r="AS314" s="51">
        <f>=G314*32.6061</f>
        <v>1467.2745</v>
      </c>
      <c r="AT314" s="51">
        <f>=J314*2.35</f>
        <v>141</v>
      </c>
      <c r="AU314" s="47">
        <f>=H314*15.88</f>
        <v>794</v>
      </c>
    </row>
    <row r="315" spans="1:47">
      <c r="A315" s="16" t="s">
        <v>1398</v>
      </c>
      <c r="B315" s="52">
        <v>17645</v>
      </c>
      <c r="C315" s="26" t="s">
        <v>1399</v>
      </c>
      <c r="D315" s="16" t="s">
        <v>1400</v>
      </c>
      <c r="E315" s="24">
        <v>900017645</v>
      </c>
      <c r="F315" s="16">
        <v>938</v>
      </c>
      <c r="G315" s="16">
        <v>45</v>
      </c>
      <c r="H315" s="16">
        <v>50</v>
      </c>
      <c r="I315" s="22">
        <v>0.5</v>
      </c>
      <c r="J315" s="16">
        <v>60</v>
      </c>
      <c r="K315" s="16" t="b">
        <v>0</v>
      </c>
      <c r="L315" s="22">
        <v>0</v>
      </c>
      <c r="M315" s="42">
        <v>3</v>
      </c>
      <c r="N315" s="22">
        <v>0.045</v>
      </c>
      <c r="O315" s="42">
        <v>22.22222</v>
      </c>
      <c r="P315" s="22">
        <v>0</v>
      </c>
      <c r="Q315" s="16">
        <v>0</v>
      </c>
      <c r="R315" s="16">
        <v>9999</v>
      </c>
      <c r="S315" s="22">
        <v>0</v>
      </c>
      <c r="T315" s="16">
        <v>0</v>
      </c>
      <c r="U315" s="16">
        <v>0</v>
      </c>
      <c r="V315" s="16">
        <v>0</v>
      </c>
      <c r="W315" s="16">
        <v>0</v>
      </c>
      <c r="X315" s="16">
        <v>0</v>
      </c>
      <c r="Y315" s="16">
        <v>0</v>
      </c>
      <c r="Z315" s="16">
        <v>0</v>
      </c>
      <c r="AA315" s="16">
        <v>0</v>
      </c>
      <c r="AB315" s="16">
        <v>0</v>
      </c>
      <c r="AC315" s="16">
        <v>0</v>
      </c>
      <c r="AD315" s="16">
        <v>0</v>
      </c>
      <c r="AE315" s="16">
        <v>0</v>
      </c>
      <c r="AF315" s="16">
        <v>0</v>
      </c>
      <c r="AG315" s="16">
        <v>0</v>
      </c>
      <c r="AH315" s="16">
        <v>0</v>
      </c>
      <c r="AI315" s="48">
        <v>10001</v>
      </c>
      <c r="AJ315" s="48">
        <v>10002</v>
      </c>
      <c r="AK315" s="48">
        <v>10003</v>
      </c>
      <c r="AL315" s="48">
        <v>10004</v>
      </c>
      <c r="AM315" s="48">
        <v>10005</v>
      </c>
      <c r="AN315" s="25">
        <v>0</v>
      </c>
      <c r="AO315" s="49" t="s"/>
      <c r="AP315" s="50">
        <v>0</v>
      </c>
      <c r="AQ315" s="51" t="s"/>
      <c r="AR315" s="51">
        <f>=F315*247.95</f>
        <v>232577.1</v>
      </c>
      <c r="AS315" s="51">
        <f>=G315*32.6061</f>
        <v>1467.2745</v>
      </c>
      <c r="AT315" s="51">
        <f>=J315*2.35</f>
        <v>141</v>
      </c>
      <c r="AU315" s="47">
        <f>=H315*15.88</f>
        <v>794</v>
      </c>
    </row>
    <row r="316" spans="1:47">
      <c r="A316" s="16" t="s">
        <v>1124</v>
      </c>
      <c r="B316" s="52">
        <v>21031</v>
      </c>
      <c r="C316" s="26" t="s">
        <v>1125</v>
      </c>
      <c r="D316" s="16" t="s">
        <v>1126</v>
      </c>
      <c r="E316" s="24">
        <v>900021031</v>
      </c>
      <c r="F316" s="16">
        <v>1123</v>
      </c>
      <c r="G316" s="16">
        <v>60</v>
      </c>
      <c r="H316" s="16">
        <v>36</v>
      </c>
      <c r="I316" s="22">
        <v>0.5</v>
      </c>
      <c r="J316" s="16">
        <v>600</v>
      </c>
      <c r="K316" s="16" t="b">
        <v>1</v>
      </c>
      <c r="L316" s="22">
        <v>0</v>
      </c>
      <c r="M316" s="42">
        <v>0</v>
      </c>
      <c r="N316" s="22">
        <v>0.1538</v>
      </c>
      <c r="O316" s="42">
        <v>6.501951</v>
      </c>
      <c r="P316" s="22">
        <v>0.5</v>
      </c>
      <c r="Q316" s="16">
        <v>1</v>
      </c>
      <c r="R316" s="16">
        <v>9999</v>
      </c>
      <c r="S316" s="22">
        <v>0</v>
      </c>
      <c r="T316" s="16">
        <v>0</v>
      </c>
      <c r="U316" s="16">
        <v>0</v>
      </c>
      <c r="V316" s="16">
        <v>0</v>
      </c>
      <c r="W316" s="16">
        <v>0</v>
      </c>
      <c r="X316" s="16">
        <v>0</v>
      </c>
      <c r="Y316" s="16">
        <v>0</v>
      </c>
      <c r="Z316" s="16">
        <v>0</v>
      </c>
      <c r="AA316" s="16">
        <v>0</v>
      </c>
      <c r="AB316" s="16">
        <v>0</v>
      </c>
      <c r="AC316" s="16">
        <v>0</v>
      </c>
      <c r="AD316" s="16">
        <v>0</v>
      </c>
      <c r="AE316" s="16">
        <v>0</v>
      </c>
      <c r="AF316" s="16">
        <v>0</v>
      </c>
      <c r="AG316" s="16">
        <v>0</v>
      </c>
      <c r="AH316" s="16">
        <v>0</v>
      </c>
      <c r="AI316" s="48">
        <v>10001</v>
      </c>
      <c r="AJ316" s="48">
        <v>10002</v>
      </c>
      <c r="AK316" s="48">
        <v>10003</v>
      </c>
      <c r="AL316" s="48">
        <v>10004</v>
      </c>
      <c r="AM316" s="48">
        <v>10005</v>
      </c>
      <c r="AN316" s="25">
        <v>0</v>
      </c>
      <c r="AO316" s="49" t="s"/>
      <c r="AP316" s="50">
        <v>100</v>
      </c>
      <c r="AQ316" s="51" t="s"/>
      <c r="AR316" s="51">
        <f>=F316*247.95</f>
        <v>278447.85</v>
      </c>
      <c r="AS316" s="51">
        <f>=G316*32.6061</f>
        <v>1956.366</v>
      </c>
      <c r="AT316" s="51">
        <f>=J316*2.35</f>
        <v>1410</v>
      </c>
      <c r="AU316" s="47">
        <f>=H316*15.88</f>
        <v>571.68</v>
      </c>
    </row>
    <row r="317" spans="1:47">
      <c r="A317" s="16" t="s">
        <v>1151</v>
      </c>
      <c r="B317" s="52">
        <v>21101</v>
      </c>
      <c r="C317" s="26" t="s">
        <v>1152</v>
      </c>
      <c r="D317" s="16" t="s">
        <v>1153</v>
      </c>
      <c r="E317" s="24">
        <v>900021101</v>
      </c>
      <c r="F317" s="16">
        <v>7001</v>
      </c>
      <c r="G317" s="16">
        <v>96</v>
      </c>
      <c r="H317" s="16">
        <v>45</v>
      </c>
      <c r="I317" s="22">
        <v>0.5</v>
      </c>
      <c r="J317" s="16">
        <v>3783</v>
      </c>
      <c r="K317" s="16" t="b">
        <v>1</v>
      </c>
      <c r="L317" s="22">
        <v>0</v>
      </c>
      <c r="M317" s="42">
        <v>0</v>
      </c>
      <c r="N317" s="22">
        <v>0.1</v>
      </c>
      <c r="O317" s="42">
        <v>10</v>
      </c>
      <c r="P317" s="22">
        <v>0.5</v>
      </c>
      <c r="Q317" s="16">
        <v>2</v>
      </c>
      <c r="R317" s="16">
        <v>3</v>
      </c>
      <c r="S317" s="22">
        <v>0.5</v>
      </c>
      <c r="T317" s="16">
        <v>0</v>
      </c>
      <c r="U317" s="16">
        <v>0</v>
      </c>
      <c r="V317" s="16">
        <v>-0.2</v>
      </c>
      <c r="W317" s="16">
        <v>0.2</v>
      </c>
      <c r="X317" s="16">
        <v>0</v>
      </c>
      <c r="Y317" s="16">
        <v>0</v>
      </c>
      <c r="Z317" s="16">
        <v>0</v>
      </c>
      <c r="AA317" s="16">
        <v>-0.2</v>
      </c>
      <c r="AB317" s="16">
        <v>0.2</v>
      </c>
      <c r="AC317" s="16">
        <v>0</v>
      </c>
      <c r="AD317" s="16">
        <v>0</v>
      </c>
      <c r="AE317" s="16">
        <v>0</v>
      </c>
      <c r="AF317" s="16">
        <v>-0.2</v>
      </c>
      <c r="AG317" s="16">
        <v>0.2</v>
      </c>
      <c r="AH317" s="16">
        <v>0</v>
      </c>
      <c r="AI317" s="48">
        <v>20001</v>
      </c>
      <c r="AJ317" s="48">
        <v>20002</v>
      </c>
      <c r="AK317" s="48">
        <v>20013</v>
      </c>
      <c r="AL317" s="48">
        <v>20004</v>
      </c>
      <c r="AM317" s="48">
        <v>20005</v>
      </c>
      <c r="AN317" s="25">
        <v>0</v>
      </c>
      <c r="AO317" s="49">
        <v>3</v>
      </c>
      <c r="AP317" s="50">
        <v>100</v>
      </c>
      <c r="AQ317" s="51" t="s">
        <v>1163</v>
      </c>
      <c r="AR317" s="51">
        <f>=F317*247.95</f>
        <v>1735897.95</v>
      </c>
      <c r="AS317" s="51">
        <f>=G317*32.6061</f>
        <v>3130.1856</v>
      </c>
      <c r="AT317" s="51">
        <f>=J317*2.35</f>
        <v>8890.05</v>
      </c>
      <c r="AU317" s="47">
        <f>=H317*15.88</f>
        <v>714.6</v>
      </c>
    </row>
    <row r="318" spans="1:47">
      <c r="A318" s="16" t="s">
        <v>1737</v>
      </c>
      <c r="B318" s="52">
        <v>21204</v>
      </c>
      <c r="C318" s="26" t="s">
        <v>1738</v>
      </c>
      <c r="D318" s="16" t="s"/>
      <c r="E318" s="24">
        <v>900021204</v>
      </c>
      <c r="F318" s="16">
        <v>702</v>
      </c>
      <c r="G318" s="16">
        <v>50</v>
      </c>
      <c r="H318" s="16">
        <v>36</v>
      </c>
      <c r="I318" s="22">
        <v>0.5</v>
      </c>
      <c r="J318" s="16">
        <v>330</v>
      </c>
      <c r="K318" s="16" t="b">
        <v>0</v>
      </c>
      <c r="L318" s="22">
        <v>0</v>
      </c>
      <c r="M318" s="42">
        <v>0</v>
      </c>
      <c r="N318" s="22">
        <v>0.1538</v>
      </c>
      <c r="O318" s="42">
        <v>6.50195059</v>
      </c>
      <c r="P318" s="22">
        <v>0.5</v>
      </c>
      <c r="Q318" s="16">
        <v>1</v>
      </c>
      <c r="R318" s="16">
        <v>1</v>
      </c>
      <c r="S318" s="22">
        <v>0</v>
      </c>
      <c r="T318" s="16">
        <v>0</v>
      </c>
      <c r="U318" s="16">
        <v>0</v>
      </c>
      <c r="V318" s="16">
        <v>0</v>
      </c>
      <c r="W318" s="16">
        <v>0</v>
      </c>
      <c r="X318" s="16">
        <v>0</v>
      </c>
      <c r="Y318" s="16">
        <v>0</v>
      </c>
      <c r="Z318" s="16">
        <v>0</v>
      </c>
      <c r="AA318" s="16">
        <v>0</v>
      </c>
      <c r="AB318" s="16">
        <v>0</v>
      </c>
      <c r="AC318" s="16">
        <v>0</v>
      </c>
      <c r="AD318" s="16">
        <v>0</v>
      </c>
      <c r="AE318" s="16">
        <v>0</v>
      </c>
      <c r="AF318" s="16">
        <v>0</v>
      </c>
      <c r="AG318" s="16">
        <v>0</v>
      </c>
      <c r="AH318" s="16">
        <v>0</v>
      </c>
      <c r="AI318" s="48">
        <v>10001</v>
      </c>
      <c r="AJ318" s="48">
        <v>10002</v>
      </c>
      <c r="AK318" s="48">
        <v>10003</v>
      </c>
      <c r="AL318" s="48">
        <v>10004</v>
      </c>
      <c r="AM318" s="48">
        <v>10005</v>
      </c>
      <c r="AN318" s="25">
        <v>0.1</v>
      </c>
      <c r="AO318" s="49" t="s"/>
      <c r="AP318" s="50">
        <v>100</v>
      </c>
      <c r="AQ318" s="51" t="s">
        <v>1739</v>
      </c>
      <c r="AR318" s="51">
        <f>=F318*247.95</f>
        <v>174060.9</v>
      </c>
      <c r="AS318" s="51">
        <f>=G318*32.6061</f>
        <v>1630.305</v>
      </c>
      <c r="AT318" s="51">
        <f>=J318*2.35</f>
        <v>775.5</v>
      </c>
      <c r="AU318" s="47">
        <f>=H318*15.88</f>
        <v>571.68</v>
      </c>
    </row>
    <row r="319" spans="1:47">
      <c r="A319" s="16" t="s">
        <v>1740</v>
      </c>
      <c r="B319" s="52">
        <v>21208</v>
      </c>
      <c r="C319" s="26" t="s">
        <v>1741</v>
      </c>
      <c r="D319" s="16" t="s"/>
      <c r="E319" s="24">
        <v>900021208</v>
      </c>
      <c r="F319" s="16">
        <v>702</v>
      </c>
      <c r="G319" s="16">
        <v>50</v>
      </c>
      <c r="H319" s="16">
        <v>36</v>
      </c>
      <c r="I319" s="22">
        <v>0.5</v>
      </c>
      <c r="J319" s="16">
        <v>330</v>
      </c>
      <c r="K319" s="16" t="b">
        <v>0</v>
      </c>
      <c r="L319" s="22">
        <v>0</v>
      </c>
      <c r="M319" s="42">
        <v>0</v>
      </c>
      <c r="N319" s="22">
        <v>0.1538</v>
      </c>
      <c r="O319" s="42">
        <v>6.50195059</v>
      </c>
      <c r="P319" s="22">
        <v>0.5</v>
      </c>
      <c r="Q319" s="16">
        <v>1</v>
      </c>
      <c r="R319" s="16">
        <v>1</v>
      </c>
      <c r="S319" s="22">
        <v>0</v>
      </c>
      <c r="T319" s="16">
        <v>0</v>
      </c>
      <c r="U319" s="16">
        <v>0</v>
      </c>
      <c r="V319" s="16">
        <v>0</v>
      </c>
      <c r="W319" s="16">
        <v>0</v>
      </c>
      <c r="X319" s="16">
        <v>0</v>
      </c>
      <c r="Y319" s="16">
        <v>0</v>
      </c>
      <c r="Z319" s="16">
        <v>0</v>
      </c>
      <c r="AA319" s="16">
        <v>0</v>
      </c>
      <c r="AB319" s="16">
        <v>0</v>
      </c>
      <c r="AC319" s="16">
        <v>0</v>
      </c>
      <c r="AD319" s="16">
        <v>0</v>
      </c>
      <c r="AE319" s="16">
        <v>0</v>
      </c>
      <c r="AF319" s="16">
        <v>0</v>
      </c>
      <c r="AG319" s="16">
        <v>0</v>
      </c>
      <c r="AH319" s="16">
        <v>0</v>
      </c>
      <c r="AI319" s="48">
        <v>10001</v>
      </c>
      <c r="AJ319" s="48">
        <v>10002</v>
      </c>
      <c r="AK319" s="48">
        <v>10003</v>
      </c>
      <c r="AL319" s="48">
        <v>10004</v>
      </c>
      <c r="AM319" s="48">
        <v>10005</v>
      </c>
      <c r="AN319" s="25">
        <v>0.1</v>
      </c>
      <c r="AO319" s="49" t="s"/>
      <c r="AP319" s="50">
        <v>100</v>
      </c>
      <c r="AQ319" s="51" t="s">
        <v>1739</v>
      </c>
      <c r="AR319" s="51">
        <f>=F319*247.95</f>
        <v>174060.9</v>
      </c>
      <c r="AS319" s="51">
        <f>=G319*32.6061</f>
        <v>1630.305</v>
      </c>
      <c r="AT319" s="51">
        <f>=J319*2.35</f>
        <v>775.5</v>
      </c>
      <c r="AU319" s="47">
        <f>=H319*15.88</f>
        <v>571.68</v>
      </c>
    </row>
    <row r="320" spans="1:47">
      <c r="A320" s="16" t="s">
        <v>1742</v>
      </c>
      <c r="B320" s="52">
        <v>21209</v>
      </c>
      <c r="C320" s="26" t="s">
        <v>1743</v>
      </c>
      <c r="D320" s="16" t="s"/>
      <c r="E320" s="24">
        <v>900021209</v>
      </c>
      <c r="F320" s="16">
        <v>702</v>
      </c>
      <c r="G320" s="16">
        <v>50</v>
      </c>
      <c r="H320" s="16">
        <v>36</v>
      </c>
      <c r="I320" s="22">
        <v>0.5</v>
      </c>
      <c r="J320" s="16">
        <v>330</v>
      </c>
      <c r="K320" s="16" t="b">
        <v>0</v>
      </c>
      <c r="L320" s="22">
        <v>0</v>
      </c>
      <c r="M320" s="42">
        <v>0</v>
      </c>
      <c r="N320" s="22">
        <v>0.1538</v>
      </c>
      <c r="O320" s="42">
        <v>6.50195059</v>
      </c>
      <c r="P320" s="22">
        <v>0.5</v>
      </c>
      <c r="Q320" s="16">
        <v>1</v>
      </c>
      <c r="R320" s="16">
        <v>1</v>
      </c>
      <c r="S320" s="22">
        <v>0</v>
      </c>
      <c r="T320" s="16">
        <v>0</v>
      </c>
      <c r="U320" s="16">
        <v>0</v>
      </c>
      <c r="V320" s="16">
        <v>0</v>
      </c>
      <c r="W320" s="16">
        <v>0</v>
      </c>
      <c r="X320" s="16">
        <v>0</v>
      </c>
      <c r="Y320" s="16">
        <v>0</v>
      </c>
      <c r="Z320" s="16">
        <v>0</v>
      </c>
      <c r="AA320" s="16">
        <v>0</v>
      </c>
      <c r="AB320" s="16">
        <v>0</v>
      </c>
      <c r="AC320" s="16">
        <v>0</v>
      </c>
      <c r="AD320" s="16">
        <v>0</v>
      </c>
      <c r="AE320" s="16">
        <v>0</v>
      </c>
      <c r="AF320" s="16">
        <v>0</v>
      </c>
      <c r="AG320" s="16">
        <v>0</v>
      </c>
      <c r="AH320" s="16">
        <v>0</v>
      </c>
      <c r="AI320" s="48">
        <v>10001</v>
      </c>
      <c r="AJ320" s="48">
        <v>10002</v>
      </c>
      <c r="AK320" s="48">
        <v>10003</v>
      </c>
      <c r="AL320" s="48">
        <v>10004</v>
      </c>
      <c r="AM320" s="48">
        <v>10005</v>
      </c>
      <c r="AN320" s="25">
        <v>0.1</v>
      </c>
      <c r="AO320" s="49" t="s"/>
      <c r="AP320" s="50">
        <v>100</v>
      </c>
      <c r="AQ320" s="51" t="s">
        <v>1739</v>
      </c>
      <c r="AR320" s="51">
        <f>=F320*247.95</f>
        <v>174060.9</v>
      </c>
      <c r="AS320" s="51">
        <f>=G320*32.6061</f>
        <v>1630.305</v>
      </c>
      <c r="AT320" s="51">
        <f>=J320*2.35</f>
        <v>775.5</v>
      </c>
      <c r="AU320" s="47">
        <f>=H320*15.88</f>
        <v>571.68</v>
      </c>
    </row>
    <row r="321" spans="1:47">
      <c r="A321" s="16" t="s">
        <v>1744</v>
      </c>
      <c r="B321" s="52">
        <v>21210</v>
      </c>
      <c r="C321" s="26" t="s">
        <v>1745</v>
      </c>
      <c r="D321" s="16" t="s"/>
      <c r="E321" s="24">
        <v>900021210</v>
      </c>
      <c r="F321" s="16">
        <v>36492</v>
      </c>
      <c r="G321" s="16">
        <v>144</v>
      </c>
      <c r="H321" s="16">
        <v>100</v>
      </c>
      <c r="I321" s="22">
        <v>0.5</v>
      </c>
      <c r="J321" s="16">
        <v>6097</v>
      </c>
      <c r="K321" s="16" t="b">
        <v>1</v>
      </c>
      <c r="L321" s="22">
        <v>0</v>
      </c>
      <c r="M321" s="42">
        <v>0</v>
      </c>
      <c r="N321" s="22">
        <v>0.0833</v>
      </c>
      <c r="O321" s="42">
        <v>12.0048019</v>
      </c>
      <c r="P321" s="22">
        <v>0.5</v>
      </c>
      <c r="Q321" s="16">
        <v>3</v>
      </c>
      <c r="R321" s="16">
        <v>1</v>
      </c>
      <c r="S321" s="22">
        <v>0.75</v>
      </c>
      <c r="T321" s="16">
        <v>-0.2</v>
      </c>
      <c r="U321" s="16">
        <v>0</v>
      </c>
      <c r="V321" s="16">
        <v>0</v>
      </c>
      <c r="W321" s="16">
        <v>0.4</v>
      </c>
      <c r="X321" s="16">
        <v>0</v>
      </c>
      <c r="Y321" s="16">
        <v>-0.2</v>
      </c>
      <c r="Z321" s="16">
        <v>0</v>
      </c>
      <c r="AA321" s="16">
        <v>0</v>
      </c>
      <c r="AB321" s="16">
        <v>0.2</v>
      </c>
      <c r="AC321" s="16">
        <v>0</v>
      </c>
      <c r="AD321" s="16">
        <v>-0.2</v>
      </c>
      <c r="AE321" s="16">
        <v>0</v>
      </c>
      <c r="AF321" s="16">
        <v>0</v>
      </c>
      <c r="AG321" s="16">
        <v>0.2</v>
      </c>
      <c r="AH321" s="16">
        <v>0</v>
      </c>
      <c r="AI321" s="48">
        <v>30011</v>
      </c>
      <c r="AJ321" s="48">
        <v>30002</v>
      </c>
      <c r="AK321" s="48">
        <v>30003</v>
      </c>
      <c r="AL321" s="48">
        <v>30004</v>
      </c>
      <c r="AM321" s="48">
        <v>30005</v>
      </c>
      <c r="AN321" s="25">
        <v>0.32</v>
      </c>
      <c r="AO321" s="49">
        <v>5</v>
      </c>
      <c r="AP321" s="50">
        <v>100</v>
      </c>
      <c r="AQ321" s="51" t="s">
        <v>1746</v>
      </c>
      <c r="AR321" s="51">
        <f>=F321*247.95</f>
        <v>9048191.4</v>
      </c>
      <c r="AS321" s="51">
        <f>=G321*32.6061</f>
        <v>4695.2784</v>
      </c>
      <c r="AT321" s="51">
        <f>=J321*2.35</f>
        <v>14327.95</v>
      </c>
      <c r="AU321" s="47">
        <f>=H321*15.88</f>
        <v>1588</v>
      </c>
    </row>
    <row r="322" spans="1:47">
      <c r="A322" s="16" t="s">
        <v>1168</v>
      </c>
      <c r="B322" s="52">
        <v>21217</v>
      </c>
      <c r="C322" s="26" t="s">
        <v>1169</v>
      </c>
      <c r="D322" s="16" t="s">
        <v>1747</v>
      </c>
      <c r="E322" s="24">
        <v>900021217</v>
      </c>
      <c r="F322" s="16">
        <v>21595</v>
      </c>
      <c r="G322" s="16">
        <v>144</v>
      </c>
      <c r="H322" s="16">
        <v>60</v>
      </c>
      <c r="I322" s="22">
        <v>0.5</v>
      </c>
      <c r="J322" s="16">
        <v>6097</v>
      </c>
      <c r="K322" s="16" t="b">
        <v>1</v>
      </c>
      <c r="L322" s="22">
        <v>0</v>
      </c>
      <c r="M322" s="42">
        <v>0</v>
      </c>
      <c r="N322" s="22">
        <v>0.0833</v>
      </c>
      <c r="O322" s="42">
        <v>12.0048019</v>
      </c>
      <c r="P322" s="22">
        <v>0.25</v>
      </c>
      <c r="Q322" s="16">
        <v>3</v>
      </c>
      <c r="R322" s="16">
        <v>1</v>
      </c>
      <c r="S322" s="22">
        <v>0.75</v>
      </c>
      <c r="T322" s="16">
        <v>0</v>
      </c>
      <c r="U322" s="16">
        <v>-0.2</v>
      </c>
      <c r="V322" s="16">
        <v>0</v>
      </c>
      <c r="W322" s="16">
        <v>-0.2</v>
      </c>
      <c r="X322" s="16">
        <v>0.2</v>
      </c>
      <c r="Y322" s="16">
        <v>0</v>
      </c>
      <c r="Z322" s="16">
        <v>-0.2</v>
      </c>
      <c r="AA322" s="16">
        <v>0</v>
      </c>
      <c r="AB322" s="16">
        <v>-0.2</v>
      </c>
      <c r="AC322" s="16">
        <v>0.2</v>
      </c>
      <c r="AD322" s="16">
        <v>0</v>
      </c>
      <c r="AE322" s="16">
        <v>-0.2</v>
      </c>
      <c r="AF322" s="16">
        <v>0</v>
      </c>
      <c r="AG322" s="16">
        <v>-0.2</v>
      </c>
      <c r="AH322" s="16">
        <v>0.2</v>
      </c>
      <c r="AI322" s="48">
        <v>30011</v>
      </c>
      <c r="AJ322" s="48">
        <v>30012</v>
      </c>
      <c r="AK322" s="48">
        <v>30003</v>
      </c>
      <c r="AL322" s="48">
        <v>30004</v>
      </c>
      <c r="AM322" s="48">
        <v>30005</v>
      </c>
      <c r="AN322" s="25">
        <v>0.2</v>
      </c>
      <c r="AO322" s="49">
        <v>5</v>
      </c>
      <c r="AP322" s="50">
        <v>100</v>
      </c>
      <c r="AQ322" s="51" t="s">
        <v>1748</v>
      </c>
      <c r="AR322" s="51">
        <f>=F322*247.95</f>
        <v>5354480.25</v>
      </c>
      <c r="AS322" s="51">
        <f>=G322*32.6061</f>
        <v>4695.2784</v>
      </c>
      <c r="AT322" s="51">
        <f>=J322*2.35</f>
        <v>14327.95</v>
      </c>
      <c r="AU322" s="47">
        <f>=H322*15.88</f>
        <v>952.8</v>
      </c>
    </row>
    <row r="323" spans="1:47">
      <c r="A323" s="16" t="s">
        <v>1749</v>
      </c>
      <c r="B323" s="52">
        <v>31011</v>
      </c>
      <c r="C323" s="26" t="s">
        <v>1750</v>
      </c>
      <c r="D323" s="16" t="s">
        <v>1751</v>
      </c>
      <c r="E323" s="24">
        <v>900031011</v>
      </c>
      <c r="F323" s="16">
        <v>29959</v>
      </c>
      <c r="G323" s="16">
        <v>130</v>
      </c>
      <c r="H323" s="16">
        <v>60</v>
      </c>
      <c r="I323" s="22">
        <v>0.5</v>
      </c>
      <c r="J323" s="16">
        <v>6590</v>
      </c>
      <c r="K323" s="16" t="b">
        <v>1</v>
      </c>
      <c r="L323" s="22">
        <v>0</v>
      </c>
      <c r="M323" s="42">
        <v>0</v>
      </c>
      <c r="N323" s="22">
        <v>0.0833</v>
      </c>
      <c r="O323" s="42">
        <v>12.0048</v>
      </c>
      <c r="P323" s="22">
        <v>0.5</v>
      </c>
      <c r="Q323" s="16">
        <v>3</v>
      </c>
      <c r="R323" s="16">
        <v>5</v>
      </c>
      <c r="S323" s="22">
        <v>0.75</v>
      </c>
      <c r="T323" s="16">
        <v>0.2</v>
      </c>
      <c r="U323" s="16">
        <v>-0.2</v>
      </c>
      <c r="V323" s="16">
        <v>0</v>
      </c>
      <c r="W323" s="16">
        <v>0</v>
      </c>
      <c r="X323" s="16">
        <v>-0.2</v>
      </c>
      <c r="Y323" s="16">
        <v>0.2</v>
      </c>
      <c r="Z323" s="16">
        <v>-0.2</v>
      </c>
      <c r="AA323" s="16">
        <v>0</v>
      </c>
      <c r="AB323" s="16">
        <v>0</v>
      </c>
      <c r="AC323" s="16">
        <v>-0.2</v>
      </c>
      <c r="AD323" s="16">
        <v>0.2</v>
      </c>
      <c r="AE323" s="16">
        <v>-0.2</v>
      </c>
      <c r="AF323" s="16">
        <v>0</v>
      </c>
      <c r="AG323" s="16">
        <v>0</v>
      </c>
      <c r="AH323" s="16">
        <v>-0.2</v>
      </c>
      <c r="AI323" s="48">
        <v>30001</v>
      </c>
      <c r="AJ323" s="48">
        <v>30012</v>
      </c>
      <c r="AK323" s="48">
        <v>30003</v>
      </c>
      <c r="AL323" s="48">
        <v>30004</v>
      </c>
      <c r="AM323" s="48">
        <v>30015</v>
      </c>
      <c r="AN323" s="25">
        <v>0.2</v>
      </c>
      <c r="AO323" s="49">
        <v>5</v>
      </c>
      <c r="AP323" s="50">
        <v>100</v>
      </c>
      <c r="AQ323" s="51" t="s">
        <v>1752</v>
      </c>
      <c r="AR323" s="51">
        <f>=F323*247.95</f>
        <v>7428334.05</v>
      </c>
      <c r="AS323" s="51">
        <f>=G323*32.6061</f>
        <v>4238.793</v>
      </c>
      <c r="AT323" s="51">
        <f>=J323*2.35</f>
        <v>15486.5</v>
      </c>
      <c r="AU323" s="47">
        <f>=H323*15.88</f>
        <v>952.8</v>
      </c>
    </row>
    <row r="324" spans="1:47">
      <c r="A324" s="16" t="s">
        <v>1749</v>
      </c>
      <c r="B324" s="52">
        <v>31012</v>
      </c>
      <c r="C324" s="26" t="s">
        <v>1750</v>
      </c>
      <c r="D324" s="16" t="s">
        <v>1751</v>
      </c>
      <c r="E324" s="24">
        <v>900031012</v>
      </c>
      <c r="F324" s="16">
        <v>29959</v>
      </c>
      <c r="G324" s="16">
        <v>130</v>
      </c>
      <c r="H324" s="16">
        <v>60</v>
      </c>
      <c r="I324" s="22">
        <v>0.5</v>
      </c>
      <c r="J324" s="16">
        <v>6590</v>
      </c>
      <c r="K324" s="16" t="b">
        <v>1</v>
      </c>
      <c r="L324" s="22">
        <v>0</v>
      </c>
      <c r="M324" s="42">
        <v>0</v>
      </c>
      <c r="N324" s="22">
        <v>0.0833</v>
      </c>
      <c r="O324" s="42">
        <v>12.0048</v>
      </c>
      <c r="P324" s="22">
        <v>0.5</v>
      </c>
      <c r="Q324" s="16">
        <v>3</v>
      </c>
      <c r="R324" s="16">
        <v>5</v>
      </c>
      <c r="S324" s="22">
        <v>0.75</v>
      </c>
      <c r="T324" s="16">
        <v>0.2</v>
      </c>
      <c r="U324" s="16">
        <v>-0.2</v>
      </c>
      <c r="V324" s="16">
        <v>0</v>
      </c>
      <c r="W324" s="16">
        <v>0</v>
      </c>
      <c r="X324" s="16">
        <v>-0.2</v>
      </c>
      <c r="Y324" s="16">
        <v>0.2</v>
      </c>
      <c r="Z324" s="16">
        <v>-0.2</v>
      </c>
      <c r="AA324" s="16">
        <v>0</v>
      </c>
      <c r="AB324" s="16">
        <v>0</v>
      </c>
      <c r="AC324" s="16">
        <v>-0.2</v>
      </c>
      <c r="AD324" s="16">
        <v>0.2</v>
      </c>
      <c r="AE324" s="16">
        <v>-0.2</v>
      </c>
      <c r="AF324" s="16">
        <v>0</v>
      </c>
      <c r="AG324" s="16">
        <v>0</v>
      </c>
      <c r="AH324" s="16">
        <v>-0.2</v>
      </c>
      <c r="AI324" s="48">
        <v>30001</v>
      </c>
      <c r="AJ324" s="48">
        <v>30012</v>
      </c>
      <c r="AK324" s="48">
        <v>30003</v>
      </c>
      <c r="AL324" s="48">
        <v>30004</v>
      </c>
      <c r="AM324" s="48">
        <v>30015</v>
      </c>
      <c r="AN324" s="25">
        <v>0.2</v>
      </c>
      <c r="AO324" s="49">
        <v>5</v>
      </c>
      <c r="AP324" s="50">
        <v>100</v>
      </c>
      <c r="AQ324" s="51" t="s">
        <v>1753</v>
      </c>
      <c r="AR324" s="51">
        <f>=F324*247.95</f>
        <v>7428334.05</v>
      </c>
      <c r="AS324" s="51">
        <f>=G324*32.6061</f>
        <v>4238.793</v>
      </c>
      <c r="AT324" s="51">
        <f>=J324*2.35</f>
        <v>15486.5</v>
      </c>
      <c r="AU324" s="47">
        <f>=H324*15.88</f>
        <v>952.8</v>
      </c>
    </row>
    <row r="325" spans="1:47">
      <c r="A325" s="16" t="s">
        <v>1754</v>
      </c>
      <c r="B325" s="52">
        <v>31021</v>
      </c>
      <c r="C325" s="26" t="s">
        <v>1755</v>
      </c>
      <c r="D325" s="16" t="s">
        <v>1756</v>
      </c>
      <c r="E325" s="24">
        <v>900031021</v>
      </c>
      <c r="F325" s="16">
        <v>18246</v>
      </c>
      <c r="G325" s="16">
        <v>144</v>
      </c>
      <c r="H325" s="16">
        <v>60</v>
      </c>
      <c r="I325" s="22">
        <v>0.5</v>
      </c>
      <c r="J325" s="16">
        <v>5488</v>
      </c>
      <c r="K325" s="16" t="b">
        <v>1</v>
      </c>
      <c r="L325" s="22">
        <v>0</v>
      </c>
      <c r="M325" s="42">
        <v>0</v>
      </c>
      <c r="N325" s="22">
        <v>0.0833</v>
      </c>
      <c r="O325" s="42">
        <v>12.0048</v>
      </c>
      <c r="P325" s="22">
        <v>0.5</v>
      </c>
      <c r="Q325" s="16">
        <v>3</v>
      </c>
      <c r="R325" s="16">
        <v>3</v>
      </c>
      <c r="S325" s="22">
        <v>0.75</v>
      </c>
      <c r="T325" s="16">
        <v>-0.2</v>
      </c>
      <c r="U325" s="16">
        <v>0</v>
      </c>
      <c r="V325" s="16">
        <v>0</v>
      </c>
      <c r="W325" s="16">
        <v>0</v>
      </c>
      <c r="X325" s="16">
        <v>-0.2</v>
      </c>
      <c r="Y325" s="16">
        <v>-0.2</v>
      </c>
      <c r="Z325" s="16">
        <v>0</v>
      </c>
      <c r="AA325" s="16">
        <v>0</v>
      </c>
      <c r="AB325" s="16">
        <v>0</v>
      </c>
      <c r="AC325" s="16">
        <v>-0.2</v>
      </c>
      <c r="AD325" s="16">
        <v>-0.2</v>
      </c>
      <c r="AE325" s="16">
        <v>0</v>
      </c>
      <c r="AF325" s="16">
        <v>0</v>
      </c>
      <c r="AG325" s="16">
        <v>0</v>
      </c>
      <c r="AH325" s="16">
        <v>-0.2</v>
      </c>
      <c r="AI325" s="48">
        <v>30001</v>
      </c>
      <c r="AJ325" s="48">
        <v>30002</v>
      </c>
      <c r="AK325" s="48">
        <v>30003</v>
      </c>
      <c r="AL325" s="48">
        <v>30004</v>
      </c>
      <c r="AM325" s="48">
        <v>30015</v>
      </c>
      <c r="AN325" s="25">
        <v>0.2</v>
      </c>
      <c r="AO325" s="49">
        <v>5</v>
      </c>
      <c r="AP325" s="50">
        <v>100</v>
      </c>
      <c r="AQ325" s="51" t="s">
        <v>1757</v>
      </c>
      <c r="AR325" s="51">
        <f>=F325*247.95</f>
        <v>4524095.7</v>
      </c>
      <c r="AS325" s="51">
        <f>=G325*32.6061</f>
        <v>4695.2784</v>
      </c>
      <c r="AT325" s="51">
        <f>=J325*2.35</f>
        <v>12896.8</v>
      </c>
      <c r="AU325" s="47">
        <f>=H325*15.88</f>
        <v>952.8</v>
      </c>
    </row>
    <row r="326" spans="1:47">
      <c r="A326" s="16" t="s">
        <v>1758</v>
      </c>
      <c r="B326" s="52">
        <v>31031</v>
      </c>
      <c r="C326" s="26" t="s">
        <v>1759</v>
      </c>
      <c r="D326" s="16" t="s">
        <v>1760</v>
      </c>
      <c r="E326" s="24">
        <v>900031031</v>
      </c>
      <c r="F326" s="16">
        <v>42163</v>
      </c>
      <c r="G326" s="16">
        <v>108</v>
      </c>
      <c r="H326" s="16">
        <v>60</v>
      </c>
      <c r="I326" s="22">
        <v>0.5</v>
      </c>
      <c r="J326" s="16">
        <v>7084</v>
      </c>
      <c r="K326" s="16" t="b">
        <v>1</v>
      </c>
      <c r="L326" s="22">
        <v>0</v>
      </c>
      <c r="M326" s="42">
        <v>0</v>
      </c>
      <c r="N326" s="22">
        <v>0.0833</v>
      </c>
      <c r="O326" s="42">
        <v>12.0048</v>
      </c>
      <c r="P326" s="22">
        <v>0.5</v>
      </c>
      <c r="Q326" s="16">
        <v>3</v>
      </c>
      <c r="R326" s="16">
        <v>5</v>
      </c>
      <c r="S326" s="22">
        <v>0.75</v>
      </c>
      <c r="T326" s="16">
        <v>0.4</v>
      </c>
      <c r="U326" s="16">
        <v>0</v>
      </c>
      <c r="V326" s="16">
        <v>0</v>
      </c>
      <c r="W326" s="16">
        <v>0</v>
      </c>
      <c r="X326" s="16">
        <v>-0.2</v>
      </c>
      <c r="Y326" s="16">
        <v>0.2</v>
      </c>
      <c r="Z326" s="16">
        <v>0</v>
      </c>
      <c r="AA326" s="16">
        <v>0</v>
      </c>
      <c r="AB326" s="16">
        <v>0</v>
      </c>
      <c r="AC326" s="16">
        <v>-0.2</v>
      </c>
      <c r="AD326" s="16">
        <v>0.2</v>
      </c>
      <c r="AE326" s="16">
        <v>0</v>
      </c>
      <c r="AF326" s="16">
        <v>0</v>
      </c>
      <c r="AG326" s="16">
        <v>0</v>
      </c>
      <c r="AH326" s="16">
        <v>-0.2</v>
      </c>
      <c r="AI326" s="48">
        <v>30011</v>
      </c>
      <c r="AJ326" s="48">
        <v>30002</v>
      </c>
      <c r="AK326" s="48">
        <v>30003</v>
      </c>
      <c r="AL326" s="48">
        <v>30004</v>
      </c>
      <c r="AM326" s="48">
        <v>30015</v>
      </c>
      <c r="AN326" s="25">
        <v>0.2</v>
      </c>
      <c r="AO326" s="49">
        <v>5</v>
      </c>
      <c r="AP326" s="50">
        <v>90</v>
      </c>
      <c r="AQ326" s="51" t="s">
        <v>1761</v>
      </c>
      <c r="AR326" s="51">
        <f>=F326*247.95</f>
        <v>10454315.85</v>
      </c>
      <c r="AS326" s="51">
        <f>=G326*32.6061</f>
        <v>3521.4588</v>
      </c>
      <c r="AT326" s="51">
        <f>=J326*2.35</f>
        <v>16647.4</v>
      </c>
      <c r="AU326" s="47">
        <f>=H326*15.88</f>
        <v>952.8</v>
      </c>
    </row>
    <row r="327" spans="1:47">
      <c r="A327" s="16" t="s">
        <v>1758</v>
      </c>
      <c r="B327" s="52">
        <v>31032</v>
      </c>
      <c r="C327" s="26" t="s">
        <v>1759</v>
      </c>
      <c r="D327" s="16" t="s">
        <v>1760</v>
      </c>
      <c r="E327" s="24">
        <v>900031032</v>
      </c>
      <c r="F327" s="16">
        <v>42163</v>
      </c>
      <c r="G327" s="16">
        <v>108</v>
      </c>
      <c r="H327" s="16">
        <v>60</v>
      </c>
      <c r="I327" s="22">
        <v>0.5</v>
      </c>
      <c r="J327" s="16">
        <v>7084</v>
      </c>
      <c r="K327" s="16" t="b">
        <v>1</v>
      </c>
      <c r="L327" s="22">
        <v>0</v>
      </c>
      <c r="M327" s="42">
        <v>0</v>
      </c>
      <c r="N327" s="22">
        <v>0.0833</v>
      </c>
      <c r="O327" s="42">
        <v>12.0048</v>
      </c>
      <c r="P327" s="22">
        <v>0.5</v>
      </c>
      <c r="Q327" s="16">
        <v>3</v>
      </c>
      <c r="R327" s="16">
        <v>5</v>
      </c>
      <c r="S327" s="22">
        <v>0.75</v>
      </c>
      <c r="T327" s="16">
        <v>0.4</v>
      </c>
      <c r="U327" s="16">
        <v>0</v>
      </c>
      <c r="V327" s="16">
        <v>0</v>
      </c>
      <c r="W327" s="16">
        <v>0</v>
      </c>
      <c r="X327" s="16">
        <v>-0.2</v>
      </c>
      <c r="Y327" s="16">
        <v>0.2</v>
      </c>
      <c r="Z327" s="16">
        <v>0</v>
      </c>
      <c r="AA327" s="16">
        <v>0</v>
      </c>
      <c r="AB327" s="16">
        <v>0</v>
      </c>
      <c r="AC327" s="16">
        <v>-0.2</v>
      </c>
      <c r="AD327" s="16">
        <v>0.2</v>
      </c>
      <c r="AE327" s="16">
        <v>0</v>
      </c>
      <c r="AF327" s="16">
        <v>0</v>
      </c>
      <c r="AG327" s="16">
        <v>0</v>
      </c>
      <c r="AH327" s="16">
        <v>-0.2</v>
      </c>
      <c r="AI327" s="48">
        <v>30011</v>
      </c>
      <c r="AJ327" s="48">
        <v>30002</v>
      </c>
      <c r="AK327" s="48">
        <v>30003</v>
      </c>
      <c r="AL327" s="48">
        <v>30004</v>
      </c>
      <c r="AM327" s="48">
        <v>30015</v>
      </c>
      <c r="AN327" s="25">
        <v>0.2</v>
      </c>
      <c r="AO327" s="49">
        <v>5</v>
      </c>
      <c r="AP327" s="50">
        <v>90</v>
      </c>
      <c r="AQ327" s="51" t="s">
        <v>1762</v>
      </c>
      <c r="AR327" s="51">
        <f>=F327*247.95</f>
        <v>10454315.85</v>
      </c>
      <c r="AS327" s="51">
        <f>=G327*32.6061</f>
        <v>3521.4588</v>
      </c>
      <c r="AT327" s="51">
        <f>=J327*2.35</f>
        <v>16647.4</v>
      </c>
      <c r="AU327" s="47">
        <f>=H327*15.88</f>
        <v>952.8</v>
      </c>
    </row>
    <row r="328" spans="1:47">
      <c r="A328" s="16" t="s">
        <v>1763</v>
      </c>
      <c r="B328" s="52">
        <v>31041</v>
      </c>
      <c r="C328" s="26" t="s">
        <v>1764</v>
      </c>
      <c r="D328" s="16" t="s">
        <v>1765</v>
      </c>
      <c r="E328" s="24">
        <v>900031041</v>
      </c>
      <c r="F328" s="16">
        <v>1628</v>
      </c>
      <c r="G328" s="16">
        <v>65</v>
      </c>
      <c r="H328" s="16">
        <v>40</v>
      </c>
      <c r="I328" s="22">
        <v>0.5</v>
      </c>
      <c r="J328" s="16">
        <v>660</v>
      </c>
      <c r="K328" s="16" t="b">
        <v>1</v>
      </c>
      <c r="L328" s="22">
        <v>0</v>
      </c>
      <c r="M328" s="42">
        <v>0</v>
      </c>
      <c r="N328" s="22">
        <v>0.1538</v>
      </c>
      <c r="O328" s="42">
        <v>6.501951</v>
      </c>
      <c r="P328" s="22">
        <v>0.5</v>
      </c>
      <c r="Q328" s="16">
        <v>1</v>
      </c>
      <c r="R328" s="16">
        <v>1</v>
      </c>
      <c r="S328" s="22">
        <v>0</v>
      </c>
      <c r="T328" s="16">
        <v>0</v>
      </c>
      <c r="U328" s="16">
        <v>0</v>
      </c>
      <c r="V328" s="16">
        <v>0</v>
      </c>
      <c r="W328" s="16">
        <v>-0.2</v>
      </c>
      <c r="X328" s="16">
        <v>-0.2</v>
      </c>
      <c r="Y328" s="16">
        <v>0</v>
      </c>
      <c r="Z328" s="16">
        <v>0</v>
      </c>
      <c r="AA328" s="16">
        <v>0</v>
      </c>
      <c r="AB328" s="16">
        <v>-0.2</v>
      </c>
      <c r="AC328" s="16">
        <v>-0.2</v>
      </c>
      <c r="AD328" s="16">
        <v>0</v>
      </c>
      <c r="AE328" s="16">
        <v>0</v>
      </c>
      <c r="AF328" s="16">
        <v>0</v>
      </c>
      <c r="AG328" s="16">
        <v>-0.2</v>
      </c>
      <c r="AH328" s="16">
        <v>-0.2</v>
      </c>
      <c r="AI328" s="48">
        <v>10001</v>
      </c>
      <c r="AJ328" s="48">
        <v>10002</v>
      </c>
      <c r="AK328" s="48">
        <v>10003</v>
      </c>
      <c r="AL328" s="48">
        <v>10004</v>
      </c>
      <c r="AM328" s="48">
        <v>10015</v>
      </c>
      <c r="AN328" s="25">
        <v>0.2</v>
      </c>
      <c r="AO328" s="49" t="s"/>
      <c r="AP328" s="50">
        <v>50</v>
      </c>
      <c r="AQ328" s="51" t="s">
        <v>1175</v>
      </c>
      <c r="AR328" s="51">
        <f>=F328*247.95</f>
        <v>403662.6</v>
      </c>
      <c r="AS328" s="51">
        <f>=G328*32.6061</f>
        <v>2119.3965</v>
      </c>
      <c r="AT328" s="51">
        <f>=J328*2.35</f>
        <v>1551</v>
      </c>
      <c r="AU328" s="47">
        <f>=H328*15.88</f>
        <v>635.2</v>
      </c>
    </row>
    <row r="329" spans="1:47">
      <c r="A329" s="16" t="s">
        <v>1763</v>
      </c>
      <c r="B329" s="52">
        <v>31042</v>
      </c>
      <c r="C329" s="26" t="s">
        <v>1764</v>
      </c>
      <c r="D329" s="16" t="s">
        <v>1765</v>
      </c>
      <c r="E329" s="24">
        <v>900031042</v>
      </c>
      <c r="F329" s="16">
        <v>1991</v>
      </c>
      <c r="G329" s="16">
        <v>65</v>
      </c>
      <c r="H329" s="16">
        <v>40</v>
      </c>
      <c r="I329" s="22">
        <v>0.5</v>
      </c>
      <c r="J329" s="16">
        <v>990</v>
      </c>
      <c r="K329" s="16" t="b">
        <v>1</v>
      </c>
      <c r="L329" s="22">
        <v>0</v>
      </c>
      <c r="M329" s="42">
        <v>0</v>
      </c>
      <c r="N329" s="22">
        <v>0.1538</v>
      </c>
      <c r="O329" s="42">
        <v>6.501951</v>
      </c>
      <c r="P329" s="22">
        <v>0.5</v>
      </c>
      <c r="Q329" s="16">
        <v>1</v>
      </c>
      <c r="R329" s="16">
        <v>3</v>
      </c>
      <c r="S329" s="22">
        <v>0</v>
      </c>
      <c r="T329" s="16">
        <v>0</v>
      </c>
      <c r="U329" s="16">
        <v>0</v>
      </c>
      <c r="V329" s="16">
        <v>0</v>
      </c>
      <c r="W329" s="16">
        <v>-0.2</v>
      </c>
      <c r="X329" s="16">
        <v>-0.2</v>
      </c>
      <c r="Y329" s="16">
        <v>0</v>
      </c>
      <c r="Z329" s="16">
        <v>0</v>
      </c>
      <c r="AA329" s="16">
        <v>0</v>
      </c>
      <c r="AB329" s="16">
        <v>-0.2</v>
      </c>
      <c r="AC329" s="16">
        <v>-0.2</v>
      </c>
      <c r="AD329" s="16">
        <v>0</v>
      </c>
      <c r="AE329" s="16">
        <v>0</v>
      </c>
      <c r="AF329" s="16">
        <v>0</v>
      </c>
      <c r="AG329" s="16">
        <v>-0.2</v>
      </c>
      <c r="AH329" s="16">
        <v>-0.2</v>
      </c>
      <c r="AI329" s="48">
        <v>10001</v>
      </c>
      <c r="AJ329" s="48">
        <v>10002</v>
      </c>
      <c r="AK329" s="48">
        <v>10003</v>
      </c>
      <c r="AL329" s="48">
        <v>10004</v>
      </c>
      <c r="AM329" s="48">
        <v>10015</v>
      </c>
      <c r="AN329" s="25">
        <v>0.2</v>
      </c>
      <c r="AO329" s="49" t="s"/>
      <c r="AP329" s="50">
        <v>50</v>
      </c>
      <c r="AQ329" s="51" t="s">
        <v>1766</v>
      </c>
      <c r="AR329" s="51">
        <f>=F329*247.95</f>
        <v>493668.45</v>
      </c>
      <c r="AS329" s="51">
        <f>=G329*32.6061</f>
        <v>2119.3965</v>
      </c>
      <c r="AT329" s="51">
        <f>=J329*2.35</f>
        <v>2326.5</v>
      </c>
      <c r="AU329" s="47">
        <f>=H329*15.88</f>
        <v>635.2</v>
      </c>
    </row>
    <row r="330" spans="1:47">
      <c r="A330" s="16" t="s">
        <v>1767</v>
      </c>
      <c r="B330" s="52">
        <v>31051</v>
      </c>
      <c r="C330" s="26" t="s">
        <v>1768</v>
      </c>
      <c r="D330" s="16" t="s">
        <v>1769</v>
      </c>
      <c r="E330" s="24">
        <v>900031051</v>
      </c>
      <c r="F330" s="16">
        <v>8747</v>
      </c>
      <c r="G330" s="16">
        <v>106</v>
      </c>
      <c r="H330" s="16">
        <v>45</v>
      </c>
      <c r="I330" s="22">
        <v>0.5</v>
      </c>
      <c r="J330" s="16">
        <v>3852</v>
      </c>
      <c r="K330" s="16" t="b">
        <v>1</v>
      </c>
      <c r="L330" s="22">
        <v>0</v>
      </c>
      <c r="M330" s="42">
        <v>0</v>
      </c>
      <c r="N330" s="22">
        <v>0.1</v>
      </c>
      <c r="O330" s="42">
        <v>10</v>
      </c>
      <c r="P330" s="22">
        <v>0.5</v>
      </c>
      <c r="Q330" s="16">
        <v>2</v>
      </c>
      <c r="R330" s="16">
        <v>3</v>
      </c>
      <c r="S330" s="22">
        <v>0.5</v>
      </c>
      <c r="T330" s="16">
        <v>-0.2</v>
      </c>
      <c r="U330" s="16">
        <v>0</v>
      </c>
      <c r="V330" s="16">
        <v>0</v>
      </c>
      <c r="W330" s="16">
        <v>0</v>
      </c>
      <c r="X330" s="16">
        <v>-0.2</v>
      </c>
      <c r="Y330" s="16">
        <v>-0.2</v>
      </c>
      <c r="Z330" s="16">
        <v>0</v>
      </c>
      <c r="AA330" s="16">
        <v>0</v>
      </c>
      <c r="AB330" s="16">
        <v>0</v>
      </c>
      <c r="AC330" s="16">
        <v>-0.2</v>
      </c>
      <c r="AD330" s="16">
        <v>-0.2</v>
      </c>
      <c r="AE330" s="16">
        <v>0</v>
      </c>
      <c r="AF330" s="16">
        <v>0</v>
      </c>
      <c r="AG330" s="16">
        <v>0</v>
      </c>
      <c r="AH330" s="16">
        <v>-0.2</v>
      </c>
      <c r="AI330" s="48">
        <v>20001</v>
      </c>
      <c r="AJ330" s="48">
        <v>20002</v>
      </c>
      <c r="AK330" s="48">
        <v>20003</v>
      </c>
      <c r="AL330" s="48">
        <v>20004</v>
      </c>
      <c r="AM330" s="48">
        <v>20015</v>
      </c>
      <c r="AN330" s="25">
        <v>0.2</v>
      </c>
      <c r="AO330" s="49">
        <v>3</v>
      </c>
      <c r="AP330" s="50">
        <v>75</v>
      </c>
      <c r="AQ330" s="51" t="s">
        <v>1770</v>
      </c>
      <c r="AR330" s="51">
        <f>=F330*247.95</f>
        <v>2168818.65</v>
      </c>
      <c r="AS330" s="51">
        <f>=G330*32.6061</f>
        <v>3456.2466</v>
      </c>
      <c r="AT330" s="51">
        <f>=J330*2.35</f>
        <v>9052.2</v>
      </c>
      <c r="AU330" s="47">
        <f>=H330*15.88</f>
        <v>714.6</v>
      </c>
    </row>
    <row r="331" spans="1:47">
      <c r="A331" s="16" t="s">
        <v>1767</v>
      </c>
      <c r="B331" s="52">
        <v>31052</v>
      </c>
      <c r="C331" s="26" t="s">
        <v>1768</v>
      </c>
      <c r="D331" s="16" t="s">
        <v>1769</v>
      </c>
      <c r="E331" s="24">
        <v>900031052</v>
      </c>
      <c r="F331" s="16">
        <v>9060</v>
      </c>
      <c r="G331" s="16">
        <v>121</v>
      </c>
      <c r="H331" s="16">
        <v>45</v>
      </c>
      <c r="I331" s="22">
        <v>0.5</v>
      </c>
      <c r="J331" s="16">
        <v>4369</v>
      </c>
      <c r="K331" s="16" t="b">
        <v>1</v>
      </c>
      <c r="L331" s="22">
        <v>0</v>
      </c>
      <c r="M331" s="42">
        <v>0</v>
      </c>
      <c r="N331" s="22">
        <v>0.1</v>
      </c>
      <c r="O331" s="42">
        <v>10</v>
      </c>
      <c r="P331" s="22">
        <v>0.5</v>
      </c>
      <c r="Q331" s="16">
        <v>2</v>
      </c>
      <c r="R331" s="16">
        <v>5</v>
      </c>
      <c r="S331" s="22">
        <v>0.5</v>
      </c>
      <c r="T331" s="16">
        <v>-0.2</v>
      </c>
      <c r="U331" s="16">
        <v>0</v>
      </c>
      <c r="V331" s="16">
        <v>0</v>
      </c>
      <c r="W331" s="16">
        <v>0</v>
      </c>
      <c r="X331" s="16">
        <v>-0.2</v>
      </c>
      <c r="Y331" s="16">
        <v>-0.2</v>
      </c>
      <c r="Z331" s="16">
        <v>0</v>
      </c>
      <c r="AA331" s="16">
        <v>0</v>
      </c>
      <c r="AB331" s="16">
        <v>0</v>
      </c>
      <c r="AC331" s="16">
        <v>-0.2</v>
      </c>
      <c r="AD331" s="16">
        <v>-0.2</v>
      </c>
      <c r="AE331" s="16">
        <v>0</v>
      </c>
      <c r="AF331" s="16">
        <v>0</v>
      </c>
      <c r="AG331" s="16">
        <v>0</v>
      </c>
      <c r="AH331" s="16">
        <v>-0.2</v>
      </c>
      <c r="AI331" s="48">
        <v>20001</v>
      </c>
      <c r="AJ331" s="48">
        <v>20002</v>
      </c>
      <c r="AK331" s="48">
        <v>20003</v>
      </c>
      <c r="AL331" s="48">
        <v>20004</v>
      </c>
      <c r="AM331" s="48">
        <v>20015</v>
      </c>
      <c r="AN331" s="25">
        <v>0.2</v>
      </c>
      <c r="AO331" s="49">
        <v>3</v>
      </c>
      <c r="AP331" s="50">
        <v>75</v>
      </c>
      <c r="AQ331" s="51" t="s">
        <v>1771</v>
      </c>
      <c r="AR331" s="51">
        <f>=F331*247.95</f>
        <v>2246427</v>
      </c>
      <c r="AS331" s="51">
        <f>=G331*32.6061</f>
        <v>3945.3381</v>
      </c>
      <c r="AT331" s="51">
        <f>=J331*2.35</f>
        <v>10267.15</v>
      </c>
      <c r="AU331" s="47">
        <f>=H331*15.88</f>
        <v>714.6</v>
      </c>
    </row>
    <row r="332" spans="1:47">
      <c r="A332" s="16" t="s">
        <v>1772</v>
      </c>
      <c r="B332" s="52">
        <v>31061</v>
      </c>
      <c r="C332" s="26" t="s">
        <v>1773</v>
      </c>
      <c r="D332" s="16" t="s">
        <v>1774</v>
      </c>
      <c r="E332" s="24">
        <v>900031061</v>
      </c>
      <c r="F332" s="16">
        <v>30307</v>
      </c>
      <c r="G332" s="16">
        <v>130</v>
      </c>
      <c r="H332" s="16">
        <v>60</v>
      </c>
      <c r="I332" s="22">
        <v>0.5</v>
      </c>
      <c r="J332" s="16">
        <v>7084</v>
      </c>
      <c r="K332" s="16" t="b">
        <v>1</v>
      </c>
      <c r="L332" s="22">
        <v>0</v>
      </c>
      <c r="M332" s="42">
        <v>0</v>
      </c>
      <c r="N332" s="22">
        <v>0.0833</v>
      </c>
      <c r="O332" s="42">
        <v>12.0048019</v>
      </c>
      <c r="P332" s="22">
        <v>0.25</v>
      </c>
      <c r="Q332" s="16">
        <v>3</v>
      </c>
      <c r="R332" s="16">
        <v>5</v>
      </c>
      <c r="S332" s="22">
        <v>0.75</v>
      </c>
      <c r="T332" s="16">
        <v>0</v>
      </c>
      <c r="U332" s="16">
        <v>0.4</v>
      </c>
      <c r="V332" s="16">
        <v>0</v>
      </c>
      <c r="W332" s="16">
        <v>-0.2</v>
      </c>
      <c r="X332" s="16">
        <v>-0.2</v>
      </c>
      <c r="Y332" s="16">
        <v>0</v>
      </c>
      <c r="Z332" s="16">
        <v>0.2</v>
      </c>
      <c r="AA332" s="16">
        <v>0</v>
      </c>
      <c r="AB332" s="16">
        <v>-0.2</v>
      </c>
      <c r="AC332" s="16">
        <v>-0.2</v>
      </c>
      <c r="AD332" s="16">
        <v>0</v>
      </c>
      <c r="AE332" s="16">
        <v>0.2</v>
      </c>
      <c r="AF332" s="16">
        <v>0</v>
      </c>
      <c r="AG332" s="16">
        <v>-0.2</v>
      </c>
      <c r="AH332" s="16">
        <v>-0.2</v>
      </c>
      <c r="AI332" s="48">
        <v>30011</v>
      </c>
      <c r="AJ332" s="48">
        <v>30002</v>
      </c>
      <c r="AK332" s="48">
        <v>30003</v>
      </c>
      <c r="AL332" s="48">
        <v>30004</v>
      </c>
      <c r="AM332" s="48">
        <v>30015</v>
      </c>
      <c r="AN332" s="25">
        <v>0.2</v>
      </c>
      <c r="AO332" s="49">
        <v>5</v>
      </c>
      <c r="AP332" s="50">
        <v>100</v>
      </c>
      <c r="AQ332" s="51" t="s">
        <v>1775</v>
      </c>
      <c r="AR332" s="51">
        <f>=F332*247.95</f>
        <v>7514620.65</v>
      </c>
      <c r="AS332" s="51">
        <f>=G332*32.6061</f>
        <v>4238.793</v>
      </c>
      <c r="AT332" s="51">
        <f>=J332*2.35</f>
        <v>16647.4</v>
      </c>
      <c r="AU332" s="47">
        <f>=H332*15.88</f>
        <v>952.8</v>
      </c>
    </row>
    <row r="333" spans="1:47">
      <c r="A333" s="16" t="s">
        <v>1772</v>
      </c>
      <c r="B333" s="52">
        <v>31062</v>
      </c>
      <c r="C333" s="26" t="s">
        <v>1773</v>
      </c>
      <c r="D333" s="16" t="s">
        <v>1774</v>
      </c>
      <c r="E333" s="24">
        <v>900031062</v>
      </c>
      <c r="F333" s="16">
        <v>30307</v>
      </c>
      <c r="G333" s="16">
        <v>130</v>
      </c>
      <c r="H333" s="16">
        <v>60</v>
      </c>
      <c r="I333" s="22">
        <v>0.5</v>
      </c>
      <c r="J333" s="16">
        <v>7084</v>
      </c>
      <c r="K333" s="16" t="b">
        <v>1</v>
      </c>
      <c r="L333" s="22">
        <v>0</v>
      </c>
      <c r="M333" s="42">
        <v>0</v>
      </c>
      <c r="N333" s="22">
        <v>0.0833</v>
      </c>
      <c r="O333" s="42">
        <v>12.0048019</v>
      </c>
      <c r="P333" s="22">
        <v>0.25</v>
      </c>
      <c r="Q333" s="16">
        <v>3</v>
      </c>
      <c r="R333" s="16">
        <v>5</v>
      </c>
      <c r="S333" s="22">
        <v>0.75</v>
      </c>
      <c r="T333" s="16">
        <v>0</v>
      </c>
      <c r="U333" s="16">
        <v>0.4</v>
      </c>
      <c r="V333" s="16">
        <v>0</v>
      </c>
      <c r="W333" s="16">
        <v>-0.2</v>
      </c>
      <c r="X333" s="16">
        <v>-0.2</v>
      </c>
      <c r="Y333" s="16">
        <v>0</v>
      </c>
      <c r="Z333" s="16">
        <v>0.2</v>
      </c>
      <c r="AA333" s="16">
        <v>0</v>
      </c>
      <c r="AB333" s="16">
        <v>-0.2</v>
      </c>
      <c r="AC333" s="16">
        <v>-0.2</v>
      </c>
      <c r="AD333" s="16">
        <v>0</v>
      </c>
      <c r="AE333" s="16">
        <v>0.2</v>
      </c>
      <c r="AF333" s="16">
        <v>0</v>
      </c>
      <c r="AG333" s="16">
        <v>-0.2</v>
      </c>
      <c r="AH333" s="16">
        <v>-0.2</v>
      </c>
      <c r="AI333" s="48">
        <v>30011</v>
      </c>
      <c r="AJ333" s="48">
        <v>30002</v>
      </c>
      <c r="AK333" s="48">
        <v>30003</v>
      </c>
      <c r="AL333" s="48">
        <v>30004</v>
      </c>
      <c r="AM333" s="48">
        <v>30015</v>
      </c>
      <c r="AN333" s="25">
        <v>0.2</v>
      </c>
      <c r="AO333" s="49">
        <v>5</v>
      </c>
      <c r="AP333" s="50">
        <v>100</v>
      </c>
      <c r="AQ333" s="51" t="s">
        <v>1776</v>
      </c>
      <c r="AR333" s="51">
        <f>=F333*247.95</f>
        <v>7514620.65</v>
      </c>
      <c r="AS333" s="51">
        <f>=G333*32.6061</f>
        <v>4238.793</v>
      </c>
      <c r="AT333" s="51">
        <f>=J333*2.35</f>
        <v>16647.4</v>
      </c>
      <c r="AU333" s="47">
        <f>=H333*15.88</f>
        <v>952.8</v>
      </c>
    </row>
    <row r="334" spans="1:47">
      <c r="A334" s="16" t="s">
        <v>1172</v>
      </c>
      <c r="B334" s="52">
        <v>31071</v>
      </c>
      <c r="C334" s="26" t="s">
        <v>1173</v>
      </c>
      <c r="D334" s="16" t="s">
        <v>1174</v>
      </c>
      <c r="E334" s="24">
        <v>900031071</v>
      </c>
      <c r="F334" s="16">
        <v>1140</v>
      </c>
      <c r="G334" s="16">
        <v>72</v>
      </c>
      <c r="H334" s="16">
        <v>40</v>
      </c>
      <c r="I334" s="22">
        <v>0.5</v>
      </c>
      <c r="J334" s="16">
        <v>660</v>
      </c>
      <c r="K334" s="16" t="b">
        <v>1</v>
      </c>
      <c r="L334" s="22">
        <v>0</v>
      </c>
      <c r="M334" s="42">
        <v>0</v>
      </c>
      <c r="N334" s="22">
        <v>0.1538</v>
      </c>
      <c r="O334" s="42">
        <v>6.501951</v>
      </c>
      <c r="P334" s="22">
        <v>0.5</v>
      </c>
      <c r="Q334" s="16">
        <v>1</v>
      </c>
      <c r="R334" s="16">
        <v>1</v>
      </c>
      <c r="S334" s="22">
        <v>0</v>
      </c>
      <c r="T334" s="16">
        <v>0</v>
      </c>
      <c r="U334" s="16">
        <v>-0.2</v>
      </c>
      <c r="V334" s="16">
        <v>0</v>
      </c>
      <c r="W334" s="16">
        <v>0</v>
      </c>
      <c r="X334" s="16">
        <v>-0.2</v>
      </c>
      <c r="Y334" s="16">
        <v>0</v>
      </c>
      <c r="Z334" s="16">
        <v>-0.2</v>
      </c>
      <c r="AA334" s="16">
        <v>0</v>
      </c>
      <c r="AB334" s="16">
        <v>0</v>
      </c>
      <c r="AC334" s="16">
        <v>-0.2</v>
      </c>
      <c r="AD334" s="16">
        <v>0</v>
      </c>
      <c r="AE334" s="16">
        <v>-0.2</v>
      </c>
      <c r="AF334" s="16">
        <v>0</v>
      </c>
      <c r="AG334" s="16">
        <v>0</v>
      </c>
      <c r="AH334" s="16">
        <v>-0.2</v>
      </c>
      <c r="AI334" s="48">
        <v>10001</v>
      </c>
      <c r="AJ334" s="48">
        <v>10012</v>
      </c>
      <c r="AK334" s="48">
        <v>10003</v>
      </c>
      <c r="AL334" s="48">
        <v>10004</v>
      </c>
      <c r="AM334" s="48">
        <v>10015</v>
      </c>
      <c r="AN334" s="25">
        <v>0.2</v>
      </c>
      <c r="AO334" s="49" t="s"/>
      <c r="AP334" s="50">
        <v>50</v>
      </c>
      <c r="AQ334" s="51" t="s">
        <v>1175</v>
      </c>
      <c r="AR334" s="51">
        <f>=F334*247.95</f>
        <v>282663</v>
      </c>
      <c r="AS334" s="51">
        <f>=G334*32.6061</f>
        <v>2347.6392</v>
      </c>
      <c r="AT334" s="51">
        <f>=J334*2.35</f>
        <v>1551</v>
      </c>
      <c r="AU334" s="47">
        <f>=H334*15.88</f>
        <v>635.2</v>
      </c>
    </row>
    <row r="335" spans="1:47">
      <c r="A335" s="16" t="s">
        <v>1172</v>
      </c>
      <c r="B335" s="52">
        <v>31072</v>
      </c>
      <c r="C335" s="26" t="s">
        <v>1173</v>
      </c>
      <c r="D335" s="16" t="s">
        <v>1174</v>
      </c>
      <c r="E335" s="24">
        <v>900031072</v>
      </c>
      <c r="F335" s="16">
        <v>1394</v>
      </c>
      <c r="G335" s="16">
        <v>72</v>
      </c>
      <c r="H335" s="16">
        <v>40</v>
      </c>
      <c r="I335" s="22">
        <v>0.5</v>
      </c>
      <c r="J335" s="16">
        <v>990</v>
      </c>
      <c r="K335" s="16" t="b">
        <v>1</v>
      </c>
      <c r="L335" s="22">
        <v>0</v>
      </c>
      <c r="M335" s="42">
        <v>0</v>
      </c>
      <c r="N335" s="22">
        <v>0.1538</v>
      </c>
      <c r="O335" s="42">
        <v>6.501951</v>
      </c>
      <c r="P335" s="22">
        <v>0.5</v>
      </c>
      <c r="Q335" s="16">
        <v>1</v>
      </c>
      <c r="R335" s="16">
        <v>3</v>
      </c>
      <c r="S335" s="22">
        <v>0</v>
      </c>
      <c r="T335" s="16">
        <v>0</v>
      </c>
      <c r="U335" s="16">
        <v>-0.2</v>
      </c>
      <c r="V335" s="16">
        <v>0</v>
      </c>
      <c r="W335" s="16">
        <v>0</v>
      </c>
      <c r="X335" s="16">
        <v>-0.2</v>
      </c>
      <c r="Y335" s="16">
        <v>0</v>
      </c>
      <c r="Z335" s="16">
        <v>-0.2</v>
      </c>
      <c r="AA335" s="16">
        <v>0</v>
      </c>
      <c r="AB335" s="16">
        <v>0</v>
      </c>
      <c r="AC335" s="16">
        <v>-0.2</v>
      </c>
      <c r="AD335" s="16">
        <v>0</v>
      </c>
      <c r="AE335" s="16">
        <v>-0.2</v>
      </c>
      <c r="AF335" s="16">
        <v>0</v>
      </c>
      <c r="AG335" s="16">
        <v>0</v>
      </c>
      <c r="AH335" s="16">
        <v>-0.2</v>
      </c>
      <c r="AI335" s="48">
        <v>10001</v>
      </c>
      <c r="AJ335" s="48">
        <v>10012</v>
      </c>
      <c r="AK335" s="48">
        <v>10003</v>
      </c>
      <c r="AL335" s="48">
        <v>10004</v>
      </c>
      <c r="AM335" s="48">
        <v>10015</v>
      </c>
      <c r="AN335" s="25">
        <v>0.2</v>
      </c>
      <c r="AO335" s="49" t="s"/>
      <c r="AP335" s="50">
        <v>50</v>
      </c>
      <c r="AQ335" s="51" t="s">
        <v>1766</v>
      </c>
      <c r="AR335" s="51">
        <f>=F335*247.95</f>
        <v>345642.3</v>
      </c>
      <c r="AS335" s="51">
        <f>=G335*32.6061</f>
        <v>2347.6392</v>
      </c>
      <c r="AT335" s="51">
        <f>=J335*2.35</f>
        <v>2326.5</v>
      </c>
      <c r="AU335" s="47">
        <f>=H335*15.88</f>
        <v>635.2</v>
      </c>
    </row>
    <row r="336" spans="1:47" ht="18" customHeight="1">
      <c r="A336" s="16" t="s">
        <v>1172</v>
      </c>
      <c r="B336" s="52">
        <v>31073</v>
      </c>
      <c r="C336" s="26" t="s">
        <v>1173</v>
      </c>
      <c r="D336" s="16" t="s">
        <v>1174</v>
      </c>
      <c r="E336" s="24">
        <v>900031073</v>
      </c>
      <c r="F336" s="16">
        <v>1394</v>
      </c>
      <c r="G336" s="16">
        <v>72</v>
      </c>
      <c r="H336" s="16">
        <v>40</v>
      </c>
      <c r="I336" s="22">
        <v>0.5</v>
      </c>
      <c r="J336" s="16">
        <v>990</v>
      </c>
      <c r="K336" s="16" t="b">
        <v>1</v>
      </c>
      <c r="L336" s="22">
        <v>0</v>
      </c>
      <c r="M336" s="42">
        <v>0</v>
      </c>
      <c r="N336" s="22">
        <v>0.1538</v>
      </c>
      <c r="O336" s="42">
        <v>6.501951</v>
      </c>
      <c r="P336" s="22">
        <v>0.5</v>
      </c>
      <c r="Q336" s="16">
        <v>1</v>
      </c>
      <c r="R336" s="16">
        <v>3</v>
      </c>
      <c r="S336" s="22">
        <v>0</v>
      </c>
      <c r="T336" s="16">
        <v>0</v>
      </c>
      <c r="U336" s="16">
        <v>-0.2</v>
      </c>
      <c r="V336" s="16">
        <v>0</v>
      </c>
      <c r="W336" s="16">
        <v>0</v>
      </c>
      <c r="X336" s="16">
        <v>-0.2</v>
      </c>
      <c r="Y336" s="16">
        <v>0</v>
      </c>
      <c r="Z336" s="16">
        <v>-0.2</v>
      </c>
      <c r="AA336" s="16">
        <v>0</v>
      </c>
      <c r="AB336" s="16">
        <v>0</v>
      </c>
      <c r="AC336" s="16">
        <v>-0.2</v>
      </c>
      <c r="AD336" s="16">
        <v>0</v>
      </c>
      <c r="AE336" s="16">
        <v>-0.2</v>
      </c>
      <c r="AF336" s="16">
        <v>0</v>
      </c>
      <c r="AG336" s="16">
        <v>0</v>
      </c>
      <c r="AH336" s="16">
        <v>-0.2</v>
      </c>
      <c r="AI336" s="48">
        <v>10001</v>
      </c>
      <c r="AJ336" s="48">
        <v>10012</v>
      </c>
      <c r="AK336" s="48">
        <v>10003</v>
      </c>
      <c r="AL336" s="48">
        <v>10004</v>
      </c>
      <c r="AM336" s="48">
        <v>10015</v>
      </c>
      <c r="AN336" s="25">
        <v>0.2</v>
      </c>
      <c r="AO336" s="49" t="s"/>
      <c r="AP336" s="50">
        <v>50</v>
      </c>
      <c r="AQ336" s="51" t="s">
        <v>1777</v>
      </c>
      <c r="AR336" s="51">
        <f>=F336*247.95</f>
        <v>345642.3</v>
      </c>
      <c r="AS336" s="51">
        <f>=G336*32.6061</f>
        <v>2347.6392</v>
      </c>
      <c r="AT336" s="51">
        <f>=J336*2.35</f>
        <v>2326.5</v>
      </c>
      <c r="AU336" s="47">
        <f>=H336*15.88</f>
        <v>635.2</v>
      </c>
    </row>
    <row r="337" spans="1:47" ht="18" customHeight="1">
      <c r="A337" s="16" t="s">
        <v>1172</v>
      </c>
      <c r="B337" s="52">
        <v>31071</v>
      </c>
      <c r="C337" s="26" t="s">
        <v>1173</v>
      </c>
      <c r="D337" s="16" t="s">
        <v>1174</v>
      </c>
      <c r="E337" s="24">
        <v>900031074</v>
      </c>
      <c r="F337" s="16">
        <v>1140</v>
      </c>
      <c r="G337" s="16">
        <v>72</v>
      </c>
      <c r="H337" s="16">
        <v>40</v>
      </c>
      <c r="I337" s="22">
        <v>0.5</v>
      </c>
      <c r="J337" s="16">
        <v>660</v>
      </c>
      <c r="K337" s="16" t="b">
        <v>1</v>
      </c>
      <c r="L337" s="22">
        <v>0</v>
      </c>
      <c r="M337" s="42">
        <v>0</v>
      </c>
      <c r="N337" s="22">
        <v>0.1538</v>
      </c>
      <c r="O337" s="42">
        <v>6.501951</v>
      </c>
      <c r="P337" s="22">
        <v>0.5</v>
      </c>
      <c r="Q337" s="16">
        <v>1</v>
      </c>
      <c r="R337" s="16">
        <v>1</v>
      </c>
      <c r="S337" s="22">
        <v>0</v>
      </c>
      <c r="T337" s="16">
        <v>0</v>
      </c>
      <c r="U337" s="16">
        <v>-0.2</v>
      </c>
      <c r="V337" s="16">
        <v>0</v>
      </c>
      <c r="W337" s="16">
        <v>0</v>
      </c>
      <c r="X337" s="16">
        <v>-0.2</v>
      </c>
      <c r="Y337" s="16">
        <v>0</v>
      </c>
      <c r="Z337" s="16">
        <v>-0.2</v>
      </c>
      <c r="AA337" s="16">
        <v>0</v>
      </c>
      <c r="AB337" s="16">
        <v>0</v>
      </c>
      <c r="AC337" s="16">
        <v>-0.2</v>
      </c>
      <c r="AD337" s="16">
        <v>0</v>
      </c>
      <c r="AE337" s="16">
        <v>-0.2</v>
      </c>
      <c r="AF337" s="16">
        <v>0</v>
      </c>
      <c r="AG337" s="16">
        <v>0</v>
      </c>
      <c r="AH337" s="16">
        <v>-0.2</v>
      </c>
      <c r="AI337" s="48">
        <v>10001</v>
      </c>
      <c r="AJ337" s="48">
        <v>10012</v>
      </c>
      <c r="AK337" s="48">
        <v>10003</v>
      </c>
      <c r="AL337" s="48">
        <v>10004</v>
      </c>
      <c r="AM337" s="48">
        <v>10015</v>
      </c>
      <c r="AN337" s="25">
        <v>0.2</v>
      </c>
      <c r="AO337" s="49" t="s"/>
      <c r="AP337" s="50">
        <v>50</v>
      </c>
      <c r="AQ337" s="51" t="s">
        <v>1175</v>
      </c>
      <c r="AR337" s="51">
        <f>=F337*247.95</f>
        <v>282663</v>
      </c>
      <c r="AS337" s="51">
        <f>=G337*32.6061</f>
        <v>2347.6392</v>
      </c>
      <c r="AT337" s="51">
        <f>=J337*2.35</f>
        <v>1551</v>
      </c>
      <c r="AU337" s="47">
        <f>=H337*15.88</f>
        <v>635.2</v>
      </c>
    </row>
    <row r="338" spans="1:47" ht="18" customHeight="1">
      <c r="A338" s="16" t="s">
        <v>1172</v>
      </c>
      <c r="B338" s="52">
        <v>31071</v>
      </c>
      <c r="C338" s="26" t="s">
        <v>1173</v>
      </c>
      <c r="D338" s="16" t="s">
        <v>1174</v>
      </c>
      <c r="E338" s="24">
        <v>900031075</v>
      </c>
      <c r="F338" s="16">
        <v>1140</v>
      </c>
      <c r="G338" s="16">
        <v>72</v>
      </c>
      <c r="H338" s="16">
        <v>40</v>
      </c>
      <c r="I338" s="22">
        <v>0.5</v>
      </c>
      <c r="J338" s="16">
        <v>660</v>
      </c>
      <c r="K338" s="16" t="b">
        <v>1</v>
      </c>
      <c r="L338" s="22">
        <v>0</v>
      </c>
      <c r="M338" s="42">
        <v>0</v>
      </c>
      <c r="N338" s="22">
        <v>0.1538</v>
      </c>
      <c r="O338" s="42">
        <v>6.501951</v>
      </c>
      <c r="P338" s="22">
        <v>0.5</v>
      </c>
      <c r="Q338" s="16">
        <v>1</v>
      </c>
      <c r="R338" s="16">
        <v>1</v>
      </c>
      <c r="S338" s="22">
        <v>0</v>
      </c>
      <c r="T338" s="16">
        <v>0</v>
      </c>
      <c r="U338" s="16">
        <v>-0.2</v>
      </c>
      <c r="V338" s="16">
        <v>0</v>
      </c>
      <c r="W338" s="16">
        <v>0</v>
      </c>
      <c r="X338" s="16">
        <v>-0.2</v>
      </c>
      <c r="Y338" s="16">
        <v>0</v>
      </c>
      <c r="Z338" s="16">
        <v>-0.2</v>
      </c>
      <c r="AA338" s="16">
        <v>0</v>
      </c>
      <c r="AB338" s="16">
        <v>0</v>
      </c>
      <c r="AC338" s="16">
        <v>-0.2</v>
      </c>
      <c r="AD338" s="16">
        <v>0</v>
      </c>
      <c r="AE338" s="16">
        <v>-0.2</v>
      </c>
      <c r="AF338" s="16">
        <v>0</v>
      </c>
      <c r="AG338" s="16">
        <v>0</v>
      </c>
      <c r="AH338" s="16">
        <v>-0.2</v>
      </c>
      <c r="AI338" s="48">
        <v>10001</v>
      </c>
      <c r="AJ338" s="48">
        <v>10012</v>
      </c>
      <c r="AK338" s="48">
        <v>10003</v>
      </c>
      <c r="AL338" s="48">
        <v>10004</v>
      </c>
      <c r="AM338" s="48">
        <v>10015</v>
      </c>
      <c r="AN338" s="25">
        <v>0.2</v>
      </c>
      <c r="AO338" s="49" t="s"/>
      <c r="AP338" s="50">
        <v>50</v>
      </c>
      <c r="AQ338" s="51" t="s">
        <v>1175</v>
      </c>
      <c r="AR338" s="51">
        <f>=F338*247.95</f>
        <v>282663</v>
      </c>
      <c r="AS338" s="51">
        <f>=G338*32.6061</f>
        <v>2347.6392</v>
      </c>
      <c r="AT338" s="51">
        <f>=J338*2.35</f>
        <v>1551</v>
      </c>
      <c r="AU338" s="47">
        <f>=H338*15.88</f>
        <v>635.2</v>
      </c>
    </row>
    <row r="339" spans="1:47">
      <c r="A339" s="16" t="s">
        <v>1778</v>
      </c>
      <c r="B339" s="52">
        <v>31081</v>
      </c>
      <c r="C339" s="26" t="s">
        <v>1779</v>
      </c>
      <c r="D339" s="16" t="s">
        <v>1780</v>
      </c>
      <c r="E339" s="24">
        <v>900031081</v>
      </c>
      <c r="F339" s="16">
        <v>10980</v>
      </c>
      <c r="G339" s="16">
        <v>111</v>
      </c>
      <c r="H339" s="16">
        <v>50</v>
      </c>
      <c r="I339" s="22">
        <v>0.5</v>
      </c>
      <c r="J339" s="16">
        <v>3669</v>
      </c>
      <c r="K339" s="16" t="b">
        <v>1</v>
      </c>
      <c r="L339" s="22">
        <v>0</v>
      </c>
      <c r="M339" s="42">
        <v>0</v>
      </c>
      <c r="N339" s="22">
        <v>0.1</v>
      </c>
      <c r="O339" s="42">
        <v>10</v>
      </c>
      <c r="P339" s="22">
        <v>1</v>
      </c>
      <c r="Q339" s="16">
        <v>2</v>
      </c>
      <c r="R339" s="16">
        <v>3</v>
      </c>
      <c r="S339" s="22">
        <v>0.5</v>
      </c>
      <c r="T339" s="16">
        <v>0</v>
      </c>
      <c r="U339" s="16">
        <v>-0.2</v>
      </c>
      <c r="V339" s="16">
        <v>0.2</v>
      </c>
      <c r="W339" s="16">
        <v>-0.2</v>
      </c>
      <c r="X339" s="16">
        <v>0</v>
      </c>
      <c r="Y339" s="16">
        <v>0</v>
      </c>
      <c r="Z339" s="16">
        <v>-0.2</v>
      </c>
      <c r="AA339" s="16">
        <v>0.2</v>
      </c>
      <c r="AB339" s="16">
        <v>-0.2</v>
      </c>
      <c r="AC339" s="16">
        <v>0</v>
      </c>
      <c r="AD339" s="16">
        <v>0</v>
      </c>
      <c r="AE339" s="16">
        <v>-0.2</v>
      </c>
      <c r="AF339" s="16">
        <v>0.2</v>
      </c>
      <c r="AG339" s="16">
        <v>-0.2</v>
      </c>
      <c r="AH339" s="16">
        <v>0</v>
      </c>
      <c r="AI339" s="48">
        <v>20001</v>
      </c>
      <c r="AJ339" s="48">
        <v>20012</v>
      </c>
      <c r="AK339" s="48">
        <v>20003</v>
      </c>
      <c r="AL339" s="48">
        <v>20004</v>
      </c>
      <c r="AM339" s="48">
        <v>20005</v>
      </c>
      <c r="AN339" s="25">
        <v>0.2</v>
      </c>
      <c r="AO339" s="49">
        <v>3</v>
      </c>
      <c r="AP339" s="50">
        <v>75</v>
      </c>
      <c r="AQ339" s="51" t="s">
        <v>1781</v>
      </c>
      <c r="AR339" s="51">
        <f>=F339*247.95</f>
        <v>2722491</v>
      </c>
      <c r="AS339" s="51">
        <f>=G339*32.6061</f>
        <v>3619.2771</v>
      </c>
      <c r="AT339" s="51">
        <f>=J339*2.35</f>
        <v>8622.15</v>
      </c>
      <c r="AU339" s="47">
        <f>=H339*15.88</f>
        <v>794</v>
      </c>
    </row>
    <row r="340" spans="1:47">
      <c r="A340" s="16" t="s">
        <v>1778</v>
      </c>
      <c r="B340" s="52">
        <v>31082</v>
      </c>
      <c r="C340" s="26" t="s">
        <v>1779</v>
      </c>
      <c r="D340" s="16" t="s">
        <v>1780</v>
      </c>
      <c r="E340" s="24">
        <v>900031082</v>
      </c>
      <c r="F340" s="16">
        <v>11295</v>
      </c>
      <c r="G340" s="16">
        <v>127</v>
      </c>
      <c r="H340" s="16">
        <v>50</v>
      </c>
      <c r="I340" s="22">
        <v>0.5</v>
      </c>
      <c r="J340" s="16">
        <v>4161</v>
      </c>
      <c r="K340" s="16" t="b">
        <v>1</v>
      </c>
      <c r="L340" s="22">
        <v>0</v>
      </c>
      <c r="M340" s="42">
        <v>0</v>
      </c>
      <c r="N340" s="22">
        <v>0.1</v>
      </c>
      <c r="O340" s="42">
        <v>10</v>
      </c>
      <c r="P340" s="22">
        <v>1</v>
      </c>
      <c r="Q340" s="16">
        <v>2</v>
      </c>
      <c r="R340" s="16">
        <v>5</v>
      </c>
      <c r="S340" s="22">
        <v>0.5</v>
      </c>
      <c r="T340" s="16">
        <v>0</v>
      </c>
      <c r="U340" s="16">
        <v>-0.2</v>
      </c>
      <c r="V340" s="16">
        <v>0.2</v>
      </c>
      <c r="W340" s="16">
        <v>-0.2</v>
      </c>
      <c r="X340" s="16">
        <v>0</v>
      </c>
      <c r="Y340" s="16">
        <v>0</v>
      </c>
      <c r="Z340" s="16">
        <v>-0.2</v>
      </c>
      <c r="AA340" s="16">
        <v>0.2</v>
      </c>
      <c r="AB340" s="16">
        <v>-0.2</v>
      </c>
      <c r="AC340" s="16">
        <v>0</v>
      </c>
      <c r="AD340" s="16">
        <v>0</v>
      </c>
      <c r="AE340" s="16">
        <v>-0.2</v>
      </c>
      <c r="AF340" s="16">
        <v>0.2</v>
      </c>
      <c r="AG340" s="16">
        <v>-0.2</v>
      </c>
      <c r="AH340" s="16">
        <v>0</v>
      </c>
      <c r="AI340" s="48">
        <v>20001</v>
      </c>
      <c r="AJ340" s="48">
        <v>20012</v>
      </c>
      <c r="AK340" s="48">
        <v>20003</v>
      </c>
      <c r="AL340" s="48">
        <v>20004</v>
      </c>
      <c r="AM340" s="48">
        <v>20005</v>
      </c>
      <c r="AN340" s="25">
        <v>0.2</v>
      </c>
      <c r="AO340" s="49">
        <v>3</v>
      </c>
      <c r="AP340" s="50">
        <v>75</v>
      </c>
      <c r="AQ340" s="51" t="s">
        <v>1782</v>
      </c>
      <c r="AR340" s="51">
        <f>=F340*247.95</f>
        <v>2800595.25</v>
      </c>
      <c r="AS340" s="51">
        <f>=G340*32.6061</f>
        <v>4140.9747</v>
      </c>
      <c r="AT340" s="51">
        <f>=J340*2.35</f>
        <v>9778.35</v>
      </c>
      <c r="AU340" s="47">
        <f>=H340*15.88</f>
        <v>794</v>
      </c>
    </row>
    <row r="341" spans="1:47">
      <c r="A341" s="16" t="s">
        <v>1783</v>
      </c>
      <c r="B341" s="52">
        <v>31091</v>
      </c>
      <c r="C341" s="26" t="s">
        <v>1784</v>
      </c>
      <c r="D341" s="16" t="s">
        <v>1785</v>
      </c>
      <c r="E341" s="24">
        <v>900031091</v>
      </c>
      <c r="F341" s="16">
        <v>1628</v>
      </c>
      <c r="G341" s="16">
        <v>79</v>
      </c>
      <c r="H341" s="16">
        <v>40</v>
      </c>
      <c r="I341" s="22">
        <v>0.5</v>
      </c>
      <c r="J341" s="16">
        <v>660</v>
      </c>
      <c r="K341" s="16" t="b">
        <v>1</v>
      </c>
      <c r="L341" s="22">
        <v>0</v>
      </c>
      <c r="M341" s="42">
        <v>0</v>
      </c>
      <c r="N341" s="22">
        <v>0.1538</v>
      </c>
      <c r="O341" s="42">
        <v>6.501951</v>
      </c>
      <c r="P341" s="22">
        <v>0.5</v>
      </c>
      <c r="Q341" s="16">
        <v>1</v>
      </c>
      <c r="R341" s="16">
        <v>1</v>
      </c>
      <c r="S341" s="22">
        <v>0</v>
      </c>
      <c r="T341" s="16">
        <v>0</v>
      </c>
      <c r="U341" s="16">
        <v>-0.2</v>
      </c>
      <c r="V341" s="16">
        <v>0</v>
      </c>
      <c r="W341" s="16">
        <v>-0.2</v>
      </c>
      <c r="X341" s="16">
        <v>0</v>
      </c>
      <c r="Y341" s="16">
        <v>0</v>
      </c>
      <c r="Z341" s="16">
        <v>-0.2</v>
      </c>
      <c r="AA341" s="16">
        <v>0</v>
      </c>
      <c r="AB341" s="16">
        <v>-0.2</v>
      </c>
      <c r="AC341" s="16">
        <v>0</v>
      </c>
      <c r="AD341" s="16">
        <v>0</v>
      </c>
      <c r="AE341" s="16">
        <v>-0.2</v>
      </c>
      <c r="AF341" s="16">
        <v>0</v>
      </c>
      <c r="AG341" s="16">
        <v>-0.2</v>
      </c>
      <c r="AH341" s="16">
        <v>0</v>
      </c>
      <c r="AI341" s="48">
        <v>10001</v>
      </c>
      <c r="AJ341" s="48">
        <v>10012</v>
      </c>
      <c r="AK341" s="48">
        <v>10003</v>
      </c>
      <c r="AL341" s="48">
        <v>10004</v>
      </c>
      <c r="AM341" s="48">
        <v>10005</v>
      </c>
      <c r="AN341" s="25">
        <v>0.2</v>
      </c>
      <c r="AO341" s="49" t="s"/>
      <c r="AP341" s="50">
        <v>50</v>
      </c>
      <c r="AQ341" s="51" t="s">
        <v>1786</v>
      </c>
      <c r="AR341" s="51">
        <f>=F341*247.95</f>
        <v>403662.6</v>
      </c>
      <c r="AS341" s="51">
        <f>=G341*32.6061</f>
        <v>2575.8819</v>
      </c>
      <c r="AT341" s="51">
        <f>=J341*2.35</f>
        <v>1551</v>
      </c>
      <c r="AU341" s="47">
        <f>=H341*15.88</f>
        <v>635.2</v>
      </c>
    </row>
    <row r="342" spans="1:47">
      <c r="A342" s="16" t="s">
        <v>1783</v>
      </c>
      <c r="B342" s="52">
        <v>31092</v>
      </c>
      <c r="C342" s="26" t="s">
        <v>1784</v>
      </c>
      <c r="D342" s="16" t="s">
        <v>1785</v>
      </c>
      <c r="E342" s="24">
        <v>900031092</v>
      </c>
      <c r="F342" s="16">
        <v>1628</v>
      </c>
      <c r="G342" s="16">
        <v>79</v>
      </c>
      <c r="H342" s="16">
        <v>40</v>
      </c>
      <c r="I342" s="22">
        <v>0.5</v>
      </c>
      <c r="J342" s="16">
        <v>660</v>
      </c>
      <c r="K342" s="16" t="b">
        <v>1</v>
      </c>
      <c r="L342" s="22">
        <v>0</v>
      </c>
      <c r="M342" s="42">
        <v>0</v>
      </c>
      <c r="N342" s="22">
        <v>0.1538</v>
      </c>
      <c r="O342" s="42">
        <v>6.501951</v>
      </c>
      <c r="P342" s="22">
        <v>0.5</v>
      </c>
      <c r="Q342" s="16">
        <v>1</v>
      </c>
      <c r="R342" s="16">
        <v>1</v>
      </c>
      <c r="S342" s="22">
        <v>0</v>
      </c>
      <c r="T342" s="16">
        <v>0</v>
      </c>
      <c r="U342" s="16">
        <v>-0.2</v>
      </c>
      <c r="V342" s="16">
        <v>0</v>
      </c>
      <c r="W342" s="16">
        <v>-0.2</v>
      </c>
      <c r="X342" s="16">
        <v>0</v>
      </c>
      <c r="Y342" s="16">
        <v>0</v>
      </c>
      <c r="Z342" s="16">
        <v>-0.2</v>
      </c>
      <c r="AA342" s="16">
        <v>0</v>
      </c>
      <c r="AB342" s="16">
        <v>-0.2</v>
      </c>
      <c r="AC342" s="16">
        <v>0</v>
      </c>
      <c r="AD342" s="16">
        <v>0</v>
      </c>
      <c r="AE342" s="16">
        <v>-0.2</v>
      </c>
      <c r="AF342" s="16">
        <v>0</v>
      </c>
      <c r="AG342" s="16">
        <v>-0.2</v>
      </c>
      <c r="AH342" s="16">
        <v>0</v>
      </c>
      <c r="AI342" s="48">
        <v>10001</v>
      </c>
      <c r="AJ342" s="48">
        <v>10012</v>
      </c>
      <c r="AK342" s="48">
        <v>10003</v>
      </c>
      <c r="AL342" s="48">
        <v>10004</v>
      </c>
      <c r="AM342" s="48">
        <v>10005</v>
      </c>
      <c r="AN342" s="25">
        <v>0.2</v>
      </c>
      <c r="AO342" s="49" t="s"/>
      <c r="AP342" s="50">
        <v>50</v>
      </c>
      <c r="AQ342" s="51" t="s">
        <v>1787</v>
      </c>
      <c r="AR342" s="51">
        <f>=F342*247.95</f>
        <v>403662.6</v>
      </c>
      <c r="AS342" s="51">
        <f>=G342*32.6061</f>
        <v>2575.8819</v>
      </c>
      <c r="AT342" s="51">
        <f>=J342*2.35</f>
        <v>1551</v>
      </c>
      <c r="AU342" s="47">
        <f>=H342*15.88</f>
        <v>635.2</v>
      </c>
    </row>
    <row r="343" spans="1:47">
      <c r="A343" s="16" t="s">
        <v>1783</v>
      </c>
      <c r="B343" s="52">
        <v>31093</v>
      </c>
      <c r="C343" s="26" t="s">
        <v>1784</v>
      </c>
      <c r="D343" s="16" t="s">
        <v>1785</v>
      </c>
      <c r="E343" s="24">
        <v>900031093</v>
      </c>
      <c r="F343" s="16">
        <v>1628</v>
      </c>
      <c r="G343" s="16">
        <v>79</v>
      </c>
      <c r="H343" s="16">
        <v>40</v>
      </c>
      <c r="I343" s="22">
        <v>0.5</v>
      </c>
      <c r="J343" s="16">
        <v>660</v>
      </c>
      <c r="K343" s="16" t="b">
        <v>1</v>
      </c>
      <c r="L343" s="22">
        <v>0</v>
      </c>
      <c r="M343" s="42">
        <v>0</v>
      </c>
      <c r="N343" s="22">
        <v>0.1538</v>
      </c>
      <c r="O343" s="42">
        <v>6.501951</v>
      </c>
      <c r="P343" s="22">
        <v>0.5</v>
      </c>
      <c r="Q343" s="16">
        <v>1</v>
      </c>
      <c r="R343" s="16">
        <v>1</v>
      </c>
      <c r="S343" s="22">
        <v>0</v>
      </c>
      <c r="T343" s="16">
        <v>0</v>
      </c>
      <c r="U343" s="16">
        <v>-0.2</v>
      </c>
      <c r="V343" s="16">
        <v>0</v>
      </c>
      <c r="W343" s="16">
        <v>-0.2</v>
      </c>
      <c r="X343" s="16">
        <v>0</v>
      </c>
      <c r="Y343" s="16">
        <v>0</v>
      </c>
      <c r="Z343" s="16">
        <v>-0.2</v>
      </c>
      <c r="AA343" s="16">
        <v>0</v>
      </c>
      <c r="AB343" s="16">
        <v>-0.2</v>
      </c>
      <c r="AC343" s="16">
        <v>0</v>
      </c>
      <c r="AD343" s="16">
        <v>0</v>
      </c>
      <c r="AE343" s="16">
        <v>-0.2</v>
      </c>
      <c r="AF343" s="16">
        <v>0</v>
      </c>
      <c r="AG343" s="16">
        <v>-0.2</v>
      </c>
      <c r="AH343" s="16">
        <v>0</v>
      </c>
      <c r="AI343" s="48">
        <v>10001</v>
      </c>
      <c r="AJ343" s="48">
        <v>10012</v>
      </c>
      <c r="AK343" s="48">
        <v>10003</v>
      </c>
      <c r="AL343" s="48">
        <v>10004</v>
      </c>
      <c r="AM343" s="48">
        <v>10005</v>
      </c>
      <c r="AN343" s="25">
        <v>0.2</v>
      </c>
      <c r="AO343" s="49" t="s"/>
      <c r="AP343" s="50">
        <v>50</v>
      </c>
      <c r="AQ343" s="51" t="s">
        <v>1788</v>
      </c>
      <c r="AR343" s="51">
        <f>=F343*247.95</f>
        <v>403662.6</v>
      </c>
      <c r="AS343" s="51">
        <f>=G343*32.6061</f>
        <v>2575.8819</v>
      </c>
      <c r="AT343" s="51">
        <f>=J343*2.35</f>
        <v>1551</v>
      </c>
      <c r="AU343" s="47">
        <f>=H343*15.88</f>
        <v>635.2</v>
      </c>
    </row>
    <row r="344" spans="1:47">
      <c r="A344" s="16" t="s">
        <v>1783</v>
      </c>
      <c r="B344" s="52">
        <v>31094</v>
      </c>
      <c r="C344" s="26" t="s">
        <v>1784</v>
      </c>
      <c r="D344" s="16" t="s">
        <v>1785</v>
      </c>
      <c r="E344" s="24">
        <v>900031094</v>
      </c>
      <c r="F344" s="16">
        <v>1628</v>
      </c>
      <c r="G344" s="16">
        <v>79</v>
      </c>
      <c r="H344" s="16">
        <v>40</v>
      </c>
      <c r="I344" s="22">
        <v>0.5</v>
      </c>
      <c r="J344" s="16">
        <v>660</v>
      </c>
      <c r="K344" s="16" t="b">
        <v>1</v>
      </c>
      <c r="L344" s="22">
        <v>0</v>
      </c>
      <c r="M344" s="42">
        <v>0</v>
      </c>
      <c r="N344" s="22">
        <v>0.1538</v>
      </c>
      <c r="O344" s="42">
        <v>6.501951</v>
      </c>
      <c r="P344" s="22">
        <v>0.5</v>
      </c>
      <c r="Q344" s="16">
        <v>1</v>
      </c>
      <c r="R344" s="16">
        <v>1</v>
      </c>
      <c r="S344" s="22">
        <v>0</v>
      </c>
      <c r="T344" s="16">
        <v>0</v>
      </c>
      <c r="U344" s="16">
        <v>-0.2</v>
      </c>
      <c r="V344" s="16">
        <v>0</v>
      </c>
      <c r="W344" s="16">
        <v>-0.2</v>
      </c>
      <c r="X344" s="16">
        <v>0</v>
      </c>
      <c r="Y344" s="16">
        <v>0</v>
      </c>
      <c r="Z344" s="16">
        <v>-0.2</v>
      </c>
      <c r="AA344" s="16">
        <v>0</v>
      </c>
      <c r="AB344" s="16">
        <v>-0.2</v>
      </c>
      <c r="AC344" s="16">
        <v>0</v>
      </c>
      <c r="AD344" s="16">
        <v>0</v>
      </c>
      <c r="AE344" s="16">
        <v>-0.2</v>
      </c>
      <c r="AF344" s="16">
        <v>0</v>
      </c>
      <c r="AG344" s="16">
        <v>-0.2</v>
      </c>
      <c r="AH344" s="16">
        <v>0</v>
      </c>
      <c r="AI344" s="48">
        <v>10001</v>
      </c>
      <c r="AJ344" s="48">
        <v>10012</v>
      </c>
      <c r="AK344" s="48">
        <v>10003</v>
      </c>
      <c r="AL344" s="48">
        <v>10004</v>
      </c>
      <c r="AM344" s="48">
        <v>10005</v>
      </c>
      <c r="AN344" s="25">
        <v>0.2</v>
      </c>
      <c r="AO344" s="49" t="s"/>
      <c r="AP344" s="50">
        <v>50</v>
      </c>
      <c r="AQ344" s="51" t="s">
        <v>1789</v>
      </c>
      <c r="AR344" s="51">
        <f>=F344*247.95</f>
        <v>403662.6</v>
      </c>
      <c r="AS344" s="51">
        <f>=G344*32.6061</f>
        <v>2575.8819</v>
      </c>
      <c r="AT344" s="51">
        <f>=J344*2.35</f>
        <v>1551</v>
      </c>
      <c r="AU344" s="47">
        <f>=H344*15.88</f>
        <v>635.2</v>
      </c>
    </row>
    <row r="345" spans="1:47">
      <c r="A345" s="16" t="s">
        <v>1783</v>
      </c>
      <c r="B345" s="52">
        <v>31095</v>
      </c>
      <c r="C345" s="26" t="s">
        <v>1784</v>
      </c>
      <c r="D345" s="16" t="s">
        <v>1785</v>
      </c>
      <c r="E345" s="24">
        <v>900031095</v>
      </c>
      <c r="F345" s="16">
        <v>1991</v>
      </c>
      <c r="G345" s="16">
        <v>79</v>
      </c>
      <c r="H345" s="16">
        <v>40</v>
      </c>
      <c r="I345" s="22">
        <v>0.5</v>
      </c>
      <c r="J345" s="16">
        <v>990</v>
      </c>
      <c r="K345" s="16" t="b">
        <v>1</v>
      </c>
      <c r="L345" s="22">
        <v>0</v>
      </c>
      <c r="M345" s="42">
        <v>0</v>
      </c>
      <c r="N345" s="22">
        <v>0.1538</v>
      </c>
      <c r="O345" s="42">
        <v>6.501951</v>
      </c>
      <c r="P345" s="22">
        <v>0.5</v>
      </c>
      <c r="Q345" s="16">
        <v>1</v>
      </c>
      <c r="R345" s="16">
        <v>1</v>
      </c>
      <c r="S345" s="22">
        <v>0</v>
      </c>
      <c r="T345" s="16">
        <v>0</v>
      </c>
      <c r="U345" s="16">
        <v>-0.2</v>
      </c>
      <c r="V345" s="16">
        <v>0</v>
      </c>
      <c r="W345" s="16">
        <v>-0.2</v>
      </c>
      <c r="X345" s="16">
        <v>0</v>
      </c>
      <c r="Y345" s="16">
        <v>0</v>
      </c>
      <c r="Z345" s="16">
        <v>-0.2</v>
      </c>
      <c r="AA345" s="16">
        <v>0</v>
      </c>
      <c r="AB345" s="16">
        <v>-0.2</v>
      </c>
      <c r="AC345" s="16">
        <v>0</v>
      </c>
      <c r="AD345" s="16">
        <v>0</v>
      </c>
      <c r="AE345" s="16">
        <v>-0.2</v>
      </c>
      <c r="AF345" s="16">
        <v>0</v>
      </c>
      <c r="AG345" s="16">
        <v>-0.2</v>
      </c>
      <c r="AH345" s="16">
        <v>0</v>
      </c>
      <c r="AI345" s="48">
        <v>10001</v>
      </c>
      <c r="AJ345" s="48">
        <v>10012</v>
      </c>
      <c r="AK345" s="48">
        <v>10003</v>
      </c>
      <c r="AL345" s="48">
        <v>10004</v>
      </c>
      <c r="AM345" s="48">
        <v>10005</v>
      </c>
      <c r="AN345" s="25">
        <v>0.2</v>
      </c>
      <c r="AO345" s="49" t="s"/>
      <c r="AP345" s="50">
        <v>50</v>
      </c>
      <c r="AQ345" s="51" t="s">
        <v>1790</v>
      </c>
      <c r="AR345" s="51">
        <f>=F345*247.95</f>
        <v>493668.45</v>
      </c>
      <c r="AS345" s="51">
        <f>=G345*32.6061</f>
        <v>2575.8819</v>
      </c>
      <c r="AT345" s="51">
        <f>=J345*2.35</f>
        <v>2326.5</v>
      </c>
      <c r="AU345" s="47">
        <f>=H345*15.88</f>
        <v>635.2</v>
      </c>
    </row>
    <row r="346" spans="1:47">
      <c r="A346" s="16" t="s">
        <v>1783</v>
      </c>
      <c r="B346" s="52">
        <v>31096</v>
      </c>
      <c r="C346" s="26" t="s">
        <v>1784</v>
      </c>
      <c r="D346" s="16" t="s">
        <v>1785</v>
      </c>
      <c r="E346" s="24">
        <v>900031096</v>
      </c>
      <c r="F346" s="16">
        <v>1991</v>
      </c>
      <c r="G346" s="16">
        <v>79</v>
      </c>
      <c r="H346" s="16">
        <v>40</v>
      </c>
      <c r="I346" s="22">
        <v>0.5</v>
      </c>
      <c r="J346" s="16">
        <v>990</v>
      </c>
      <c r="K346" s="16" t="b">
        <v>1</v>
      </c>
      <c r="L346" s="22">
        <v>0</v>
      </c>
      <c r="M346" s="42">
        <v>0</v>
      </c>
      <c r="N346" s="22">
        <v>0.1538</v>
      </c>
      <c r="O346" s="42">
        <v>6.501951</v>
      </c>
      <c r="P346" s="22">
        <v>0.5</v>
      </c>
      <c r="Q346" s="16">
        <v>1</v>
      </c>
      <c r="R346" s="16">
        <v>1</v>
      </c>
      <c r="S346" s="22">
        <v>0</v>
      </c>
      <c r="T346" s="16">
        <v>0</v>
      </c>
      <c r="U346" s="16">
        <v>-0.2</v>
      </c>
      <c r="V346" s="16">
        <v>0</v>
      </c>
      <c r="W346" s="16">
        <v>-0.2</v>
      </c>
      <c r="X346" s="16">
        <v>0</v>
      </c>
      <c r="Y346" s="16">
        <v>0</v>
      </c>
      <c r="Z346" s="16">
        <v>-0.2</v>
      </c>
      <c r="AA346" s="16">
        <v>0</v>
      </c>
      <c r="AB346" s="16">
        <v>-0.2</v>
      </c>
      <c r="AC346" s="16">
        <v>0</v>
      </c>
      <c r="AD346" s="16">
        <v>0</v>
      </c>
      <c r="AE346" s="16">
        <v>-0.2</v>
      </c>
      <c r="AF346" s="16">
        <v>0</v>
      </c>
      <c r="AG346" s="16">
        <v>-0.2</v>
      </c>
      <c r="AH346" s="16">
        <v>0</v>
      </c>
      <c r="AI346" s="48">
        <v>10001</v>
      </c>
      <c r="AJ346" s="48">
        <v>10012</v>
      </c>
      <c r="AK346" s="48">
        <v>10003</v>
      </c>
      <c r="AL346" s="48">
        <v>10004</v>
      </c>
      <c r="AM346" s="48">
        <v>10005</v>
      </c>
      <c r="AN346" s="25">
        <v>0.2</v>
      </c>
      <c r="AO346" s="49" t="s"/>
      <c r="AP346" s="50">
        <v>50</v>
      </c>
      <c r="AQ346" s="51" t="s">
        <v>1791</v>
      </c>
      <c r="AR346" s="51">
        <f>=F346*247.95</f>
        <v>493668.45</v>
      </c>
      <c r="AS346" s="51">
        <f>=G346*32.6061</f>
        <v>2575.8819</v>
      </c>
      <c r="AT346" s="51">
        <f>=J346*2.35</f>
        <v>2326.5</v>
      </c>
      <c r="AU346" s="47">
        <f>=H346*15.88</f>
        <v>635.2</v>
      </c>
    </row>
    <row r="347" spans="1:47">
      <c r="A347" s="16" t="s">
        <v>1783</v>
      </c>
      <c r="B347" s="52">
        <v>31097</v>
      </c>
      <c r="C347" s="26" t="s">
        <v>1784</v>
      </c>
      <c r="D347" s="16" t="s">
        <v>1785</v>
      </c>
      <c r="E347" s="24">
        <v>900031097</v>
      </c>
      <c r="F347" s="16">
        <v>1991</v>
      </c>
      <c r="G347" s="16">
        <v>79</v>
      </c>
      <c r="H347" s="16">
        <v>40</v>
      </c>
      <c r="I347" s="22">
        <v>0.5</v>
      </c>
      <c r="J347" s="16">
        <v>990</v>
      </c>
      <c r="K347" s="16" t="b">
        <v>1</v>
      </c>
      <c r="L347" s="22">
        <v>0</v>
      </c>
      <c r="M347" s="42">
        <v>0</v>
      </c>
      <c r="N347" s="22">
        <v>0.1538</v>
      </c>
      <c r="O347" s="42">
        <v>6.501951</v>
      </c>
      <c r="P347" s="22">
        <v>0.5</v>
      </c>
      <c r="Q347" s="16">
        <v>1</v>
      </c>
      <c r="R347" s="16">
        <v>1</v>
      </c>
      <c r="S347" s="22">
        <v>0</v>
      </c>
      <c r="T347" s="16">
        <v>0</v>
      </c>
      <c r="U347" s="16">
        <v>-0.2</v>
      </c>
      <c r="V347" s="16">
        <v>0</v>
      </c>
      <c r="W347" s="16">
        <v>-0.2</v>
      </c>
      <c r="X347" s="16">
        <v>0</v>
      </c>
      <c r="Y347" s="16">
        <v>0</v>
      </c>
      <c r="Z347" s="16">
        <v>-0.2</v>
      </c>
      <c r="AA347" s="16">
        <v>0</v>
      </c>
      <c r="AB347" s="16">
        <v>-0.2</v>
      </c>
      <c r="AC347" s="16">
        <v>0</v>
      </c>
      <c r="AD347" s="16">
        <v>0</v>
      </c>
      <c r="AE347" s="16">
        <v>-0.2</v>
      </c>
      <c r="AF347" s="16">
        <v>0</v>
      </c>
      <c r="AG347" s="16">
        <v>-0.2</v>
      </c>
      <c r="AH347" s="16">
        <v>0</v>
      </c>
      <c r="AI347" s="48">
        <v>10001</v>
      </c>
      <c r="AJ347" s="48">
        <v>10012</v>
      </c>
      <c r="AK347" s="48">
        <v>10003</v>
      </c>
      <c r="AL347" s="48">
        <v>10004</v>
      </c>
      <c r="AM347" s="48">
        <v>10005</v>
      </c>
      <c r="AN347" s="25">
        <v>0.2</v>
      </c>
      <c r="AO347" s="49" t="s"/>
      <c r="AP347" s="50">
        <v>50</v>
      </c>
      <c r="AQ347" s="51" t="s">
        <v>1792</v>
      </c>
      <c r="AR347" s="51">
        <f>=F347*247.95</f>
        <v>493668.45</v>
      </c>
      <c r="AS347" s="51">
        <f>=G347*32.6061</f>
        <v>2575.8819</v>
      </c>
      <c r="AT347" s="51">
        <f>=J347*2.35</f>
        <v>2326.5</v>
      </c>
      <c r="AU347" s="47">
        <f>=H347*15.88</f>
        <v>635.2</v>
      </c>
    </row>
    <row r="348" spans="1:47">
      <c r="A348" s="16" t="s">
        <v>1783</v>
      </c>
      <c r="B348" s="52">
        <v>31098</v>
      </c>
      <c r="C348" s="26" t="s">
        <v>1784</v>
      </c>
      <c r="D348" s="16" t="s">
        <v>1785</v>
      </c>
      <c r="E348" s="24">
        <v>900031098</v>
      </c>
      <c r="F348" s="16">
        <v>1991</v>
      </c>
      <c r="G348" s="16">
        <v>79</v>
      </c>
      <c r="H348" s="16">
        <v>40</v>
      </c>
      <c r="I348" s="22">
        <v>0.5</v>
      </c>
      <c r="J348" s="16">
        <v>990</v>
      </c>
      <c r="K348" s="16" t="b">
        <v>1</v>
      </c>
      <c r="L348" s="22">
        <v>0</v>
      </c>
      <c r="M348" s="42">
        <v>0</v>
      </c>
      <c r="N348" s="22">
        <v>0.1538</v>
      </c>
      <c r="O348" s="42">
        <v>6.501951</v>
      </c>
      <c r="P348" s="22">
        <v>0.5</v>
      </c>
      <c r="Q348" s="16">
        <v>1</v>
      </c>
      <c r="R348" s="16">
        <v>1</v>
      </c>
      <c r="S348" s="22">
        <v>0</v>
      </c>
      <c r="T348" s="16">
        <v>0</v>
      </c>
      <c r="U348" s="16">
        <v>-0.2</v>
      </c>
      <c r="V348" s="16">
        <v>0</v>
      </c>
      <c r="W348" s="16">
        <v>-0.2</v>
      </c>
      <c r="X348" s="16">
        <v>0</v>
      </c>
      <c r="Y348" s="16">
        <v>0</v>
      </c>
      <c r="Z348" s="16">
        <v>-0.2</v>
      </c>
      <c r="AA348" s="16">
        <v>0</v>
      </c>
      <c r="AB348" s="16">
        <v>-0.2</v>
      </c>
      <c r="AC348" s="16">
        <v>0</v>
      </c>
      <c r="AD348" s="16">
        <v>0</v>
      </c>
      <c r="AE348" s="16">
        <v>-0.2</v>
      </c>
      <c r="AF348" s="16">
        <v>0</v>
      </c>
      <c r="AG348" s="16">
        <v>-0.2</v>
      </c>
      <c r="AH348" s="16">
        <v>0</v>
      </c>
      <c r="AI348" s="48">
        <v>10001</v>
      </c>
      <c r="AJ348" s="48">
        <v>10012</v>
      </c>
      <c r="AK348" s="48">
        <v>10003</v>
      </c>
      <c r="AL348" s="48">
        <v>10004</v>
      </c>
      <c r="AM348" s="48">
        <v>10005</v>
      </c>
      <c r="AN348" s="25">
        <v>0.2</v>
      </c>
      <c r="AO348" s="49" t="s"/>
      <c r="AP348" s="50">
        <v>50</v>
      </c>
      <c r="AQ348" s="51" t="s">
        <v>1793</v>
      </c>
      <c r="AR348" s="51">
        <f>=F348*247.95</f>
        <v>493668.45</v>
      </c>
      <c r="AS348" s="51">
        <f>=G348*32.6061</f>
        <v>2575.8819</v>
      </c>
      <c r="AT348" s="51">
        <f>=J348*2.35</f>
        <v>2326.5</v>
      </c>
      <c r="AU348" s="47">
        <f>=H348*15.88</f>
        <v>635.2</v>
      </c>
    </row>
    <row r="349" spans="1:47">
      <c r="A349" s="16" t="s">
        <v>1794</v>
      </c>
      <c r="B349" s="52">
        <v>31101</v>
      </c>
      <c r="C349" s="26" t="s">
        <v>1795</v>
      </c>
      <c r="D349" s="16" t="s">
        <v>1796</v>
      </c>
      <c r="E349" s="24">
        <v>900031101</v>
      </c>
      <c r="F349" s="16">
        <v>29194</v>
      </c>
      <c r="G349" s="16">
        <v>144</v>
      </c>
      <c r="H349" s="16">
        <v>60</v>
      </c>
      <c r="I349" s="22">
        <v>0.5</v>
      </c>
      <c r="J349" s="16">
        <v>6097</v>
      </c>
      <c r="K349" s="16" t="b">
        <v>1</v>
      </c>
      <c r="L349" s="22">
        <v>0</v>
      </c>
      <c r="M349" s="42">
        <v>0</v>
      </c>
      <c r="N349" s="22">
        <v>0.0833</v>
      </c>
      <c r="O349" s="42">
        <v>12.0048</v>
      </c>
      <c r="P349" s="22">
        <v>0.5</v>
      </c>
      <c r="Q349" s="16">
        <v>3</v>
      </c>
      <c r="R349" s="16">
        <v>5</v>
      </c>
      <c r="S349" s="22">
        <v>0.75</v>
      </c>
      <c r="T349" s="16">
        <v>0</v>
      </c>
      <c r="U349" s="16">
        <v>0</v>
      </c>
      <c r="V349" s="16">
        <v>0.2</v>
      </c>
      <c r="W349" s="16">
        <v>0</v>
      </c>
      <c r="X349" s="16">
        <v>-0.2</v>
      </c>
      <c r="Y349" s="16">
        <v>0</v>
      </c>
      <c r="Z349" s="16">
        <v>0</v>
      </c>
      <c r="AA349" s="16">
        <v>0.2</v>
      </c>
      <c r="AB349" s="16">
        <v>0</v>
      </c>
      <c r="AC349" s="16">
        <v>-0.2</v>
      </c>
      <c r="AD349" s="16">
        <v>0</v>
      </c>
      <c r="AE349" s="16">
        <v>0</v>
      </c>
      <c r="AF349" s="16">
        <v>0.2</v>
      </c>
      <c r="AG349" s="16">
        <v>0</v>
      </c>
      <c r="AH349" s="16">
        <v>-0.2</v>
      </c>
      <c r="AI349" s="48">
        <v>30001</v>
      </c>
      <c r="AJ349" s="48">
        <v>30002</v>
      </c>
      <c r="AK349" s="48">
        <v>30003</v>
      </c>
      <c r="AL349" s="48">
        <v>30004</v>
      </c>
      <c r="AM349" s="48">
        <v>30015</v>
      </c>
      <c r="AN349" s="25">
        <v>0.2</v>
      </c>
      <c r="AO349" s="49">
        <v>5</v>
      </c>
      <c r="AP349" s="50">
        <v>100</v>
      </c>
      <c r="AQ349" s="51" t="s">
        <v>1797</v>
      </c>
      <c r="AR349" s="51">
        <f>=F349*247.95</f>
        <v>7238652.3</v>
      </c>
      <c r="AS349" s="51">
        <f>=G349*32.6061</f>
        <v>4695.2784</v>
      </c>
      <c r="AT349" s="51">
        <f>=J349*2.35</f>
        <v>14327.95</v>
      </c>
      <c r="AU349" s="47">
        <f>=H349*15.88</f>
        <v>952.8</v>
      </c>
    </row>
    <row r="350" spans="1:47">
      <c r="A350" s="16" t="s">
        <v>1794</v>
      </c>
      <c r="B350" s="52">
        <v>31102</v>
      </c>
      <c r="C350" s="26" t="s">
        <v>1795</v>
      </c>
      <c r="D350" s="16" t="s">
        <v>1796</v>
      </c>
      <c r="E350" s="24">
        <v>900031102</v>
      </c>
      <c r="F350" s="16">
        <v>29194</v>
      </c>
      <c r="G350" s="16">
        <v>144</v>
      </c>
      <c r="H350" s="16">
        <v>60</v>
      </c>
      <c r="I350" s="22">
        <v>0.5</v>
      </c>
      <c r="J350" s="16">
        <v>6097</v>
      </c>
      <c r="K350" s="16" t="b">
        <v>1</v>
      </c>
      <c r="L350" s="22">
        <v>0</v>
      </c>
      <c r="M350" s="42">
        <v>0</v>
      </c>
      <c r="N350" s="22">
        <v>0.0833</v>
      </c>
      <c r="O350" s="42">
        <v>12.0048</v>
      </c>
      <c r="P350" s="22">
        <v>0.5</v>
      </c>
      <c r="Q350" s="16">
        <v>3</v>
      </c>
      <c r="R350" s="16">
        <v>5</v>
      </c>
      <c r="S350" s="22">
        <v>0.75</v>
      </c>
      <c r="T350" s="16">
        <v>0</v>
      </c>
      <c r="U350" s="16">
        <v>0</v>
      </c>
      <c r="V350" s="16">
        <v>0.2</v>
      </c>
      <c r="W350" s="16">
        <v>0</v>
      </c>
      <c r="X350" s="16">
        <v>-0.2</v>
      </c>
      <c r="Y350" s="16">
        <v>0</v>
      </c>
      <c r="Z350" s="16">
        <v>0</v>
      </c>
      <c r="AA350" s="16">
        <v>0.2</v>
      </c>
      <c r="AB350" s="16">
        <v>0</v>
      </c>
      <c r="AC350" s="16">
        <v>-0.2</v>
      </c>
      <c r="AD350" s="16">
        <v>0</v>
      </c>
      <c r="AE350" s="16">
        <v>0</v>
      </c>
      <c r="AF350" s="16">
        <v>0.2</v>
      </c>
      <c r="AG350" s="16">
        <v>0</v>
      </c>
      <c r="AH350" s="16">
        <v>-0.2</v>
      </c>
      <c r="AI350" s="48">
        <v>30001</v>
      </c>
      <c r="AJ350" s="48">
        <v>30002</v>
      </c>
      <c r="AK350" s="48">
        <v>30003</v>
      </c>
      <c r="AL350" s="48">
        <v>30004</v>
      </c>
      <c r="AM350" s="48">
        <v>30015</v>
      </c>
      <c r="AN350" s="25">
        <v>0.2</v>
      </c>
      <c r="AO350" s="49">
        <v>5</v>
      </c>
      <c r="AP350" s="50">
        <v>100</v>
      </c>
      <c r="AQ350" s="51" t="s">
        <v>1798</v>
      </c>
      <c r="AR350" s="51">
        <f>=F350*247.95</f>
        <v>7238652.3</v>
      </c>
      <c r="AS350" s="51">
        <f>=G350*32.6061</f>
        <v>4695.2784</v>
      </c>
      <c r="AT350" s="51">
        <f>=J350*2.35</f>
        <v>14327.95</v>
      </c>
      <c r="AU350" s="47">
        <f>=H350*15.88</f>
        <v>952.8</v>
      </c>
    </row>
    <row r="351" spans="1:47">
      <c r="A351" s="16" t="s">
        <v>1799</v>
      </c>
      <c r="B351" s="16">
        <v>31111</v>
      </c>
      <c r="C351" s="16" t="s">
        <v>1800</v>
      </c>
      <c r="D351" s="16" t="s">
        <v>1801</v>
      </c>
      <c r="E351" s="16">
        <v>900031111</v>
      </c>
      <c r="F351" s="16">
        <v>25914</v>
      </c>
      <c r="G351" s="16">
        <v>144</v>
      </c>
      <c r="H351" s="16">
        <v>60</v>
      </c>
      <c r="I351" s="22">
        <v>0.5</v>
      </c>
      <c r="J351" s="16">
        <v>6097</v>
      </c>
      <c r="K351" s="16" t="b">
        <v>1</v>
      </c>
      <c r="L351" s="22">
        <v>0</v>
      </c>
      <c r="M351" s="42">
        <v>0</v>
      </c>
      <c r="N351" s="22">
        <v>0.0833</v>
      </c>
      <c r="O351" s="42">
        <v>12.0048019</v>
      </c>
      <c r="P351" s="22">
        <v>0.25</v>
      </c>
      <c r="Q351" s="16">
        <v>3</v>
      </c>
      <c r="R351" s="16">
        <v>5</v>
      </c>
      <c r="S351" s="22">
        <v>0.75</v>
      </c>
      <c r="T351" s="16">
        <v>0</v>
      </c>
      <c r="U351" s="16">
        <v>0</v>
      </c>
      <c r="V351" s="16">
        <v>-0.2</v>
      </c>
      <c r="W351" s="16">
        <v>-0.2</v>
      </c>
      <c r="X351" s="16">
        <v>0.2</v>
      </c>
      <c r="Y351" s="16">
        <v>0</v>
      </c>
      <c r="Z351" s="16">
        <v>0</v>
      </c>
      <c r="AA351" s="16">
        <v>-0.2</v>
      </c>
      <c r="AB351" s="16">
        <v>-0.2</v>
      </c>
      <c r="AC351" s="16">
        <v>0.2</v>
      </c>
      <c r="AD351" s="16">
        <v>0</v>
      </c>
      <c r="AE351" s="16">
        <v>0</v>
      </c>
      <c r="AF351" s="16">
        <v>-0.2</v>
      </c>
      <c r="AG351" s="16">
        <v>-0.2</v>
      </c>
      <c r="AH351" s="16">
        <v>0.2</v>
      </c>
      <c r="AI351" s="48">
        <v>30011</v>
      </c>
      <c r="AJ351" s="48">
        <v>30002</v>
      </c>
      <c r="AK351" s="48">
        <v>30013</v>
      </c>
      <c r="AL351" s="48">
        <v>30004</v>
      </c>
      <c r="AM351" s="48">
        <v>30005</v>
      </c>
      <c r="AN351" s="25">
        <v>0.2</v>
      </c>
      <c r="AO351" s="49">
        <v>5</v>
      </c>
      <c r="AP351" s="50">
        <v>100</v>
      </c>
      <c r="AQ351" s="51" t="s">
        <v>1797</v>
      </c>
      <c r="AR351" s="51">
        <f>=F351*247.95</f>
        <v>6425376.3</v>
      </c>
      <c r="AS351" s="51">
        <f>=G351*32.6061</f>
        <v>4695.2784</v>
      </c>
      <c r="AT351" s="51">
        <f>=J351*2.35</f>
        <v>14327.95</v>
      </c>
      <c r="AU351" s="47">
        <f>=H351*15.88</f>
        <v>952.8</v>
      </c>
    </row>
    <row r="352" spans="1:47">
      <c r="A352" s="16" t="s">
        <v>1799</v>
      </c>
      <c r="B352" s="16">
        <v>31112</v>
      </c>
      <c r="C352" s="16" t="s">
        <v>1800</v>
      </c>
      <c r="D352" s="16" t="s">
        <v>1801</v>
      </c>
      <c r="E352" s="16">
        <v>900031112</v>
      </c>
      <c r="F352" s="16">
        <v>25914</v>
      </c>
      <c r="G352" s="16">
        <v>144</v>
      </c>
      <c r="H352" s="16">
        <v>60</v>
      </c>
      <c r="I352" s="22">
        <v>0.5</v>
      </c>
      <c r="J352" s="16">
        <v>6097</v>
      </c>
      <c r="K352" s="16" t="b">
        <v>1</v>
      </c>
      <c r="L352" s="22">
        <v>0</v>
      </c>
      <c r="M352" s="42">
        <v>0</v>
      </c>
      <c r="N352" s="22">
        <v>0.0833</v>
      </c>
      <c r="O352" s="42">
        <v>12.0048019</v>
      </c>
      <c r="P352" s="22">
        <v>0.25</v>
      </c>
      <c r="Q352" s="16">
        <v>3</v>
      </c>
      <c r="R352" s="16">
        <v>5</v>
      </c>
      <c r="S352" s="22">
        <v>0.75</v>
      </c>
      <c r="T352" s="16">
        <v>0</v>
      </c>
      <c r="U352" s="16">
        <v>0</v>
      </c>
      <c r="V352" s="16">
        <v>-0.2</v>
      </c>
      <c r="W352" s="16">
        <v>-0.2</v>
      </c>
      <c r="X352" s="16">
        <v>0.2</v>
      </c>
      <c r="Y352" s="16">
        <v>0</v>
      </c>
      <c r="Z352" s="16">
        <v>0</v>
      </c>
      <c r="AA352" s="16">
        <v>-0.2</v>
      </c>
      <c r="AB352" s="16">
        <v>-0.2</v>
      </c>
      <c r="AC352" s="16">
        <v>0.2</v>
      </c>
      <c r="AD352" s="16">
        <v>0</v>
      </c>
      <c r="AE352" s="16">
        <v>0</v>
      </c>
      <c r="AF352" s="16">
        <v>-0.2</v>
      </c>
      <c r="AG352" s="16">
        <v>-0.2</v>
      </c>
      <c r="AH352" s="16">
        <v>0.2</v>
      </c>
      <c r="AI352" s="48">
        <v>30011</v>
      </c>
      <c r="AJ352" s="48">
        <v>30002</v>
      </c>
      <c r="AK352" s="48">
        <v>30013</v>
      </c>
      <c r="AL352" s="48">
        <v>30004</v>
      </c>
      <c r="AM352" s="48">
        <v>30005</v>
      </c>
      <c r="AN352" s="25">
        <v>0.2</v>
      </c>
      <c r="AO352" s="49">
        <v>5</v>
      </c>
      <c r="AP352" s="50">
        <v>100</v>
      </c>
      <c r="AQ352" s="51" t="s">
        <v>1798</v>
      </c>
      <c r="AR352" s="51">
        <f>=F352*247.95</f>
        <v>6425376.3</v>
      </c>
      <c r="AS352" s="51">
        <f>=G352*32.6061</f>
        <v>4695.2784</v>
      </c>
      <c r="AT352" s="51">
        <f>=J352*2.35</f>
        <v>14327.95</v>
      </c>
      <c r="AU352" s="47">
        <f>=H352*15.88</f>
        <v>952.8</v>
      </c>
    </row>
    <row r="353" spans="1:47">
      <c r="A353" s="16" t="s">
        <v>1802</v>
      </c>
      <c r="B353" s="16">
        <v>31121</v>
      </c>
      <c r="C353" s="16" t="s">
        <v>1803</v>
      </c>
      <c r="D353" s="16" t="s">
        <v>1804</v>
      </c>
      <c r="E353" s="16">
        <v>900031121</v>
      </c>
      <c r="F353" s="16">
        <v>31177</v>
      </c>
      <c r="G353" s="16">
        <v>144</v>
      </c>
      <c r="H353" s="16">
        <v>60</v>
      </c>
      <c r="I353" s="22">
        <v>0.5</v>
      </c>
      <c r="J353" s="16">
        <v>6097</v>
      </c>
      <c r="K353" s="16" t="b">
        <v>1</v>
      </c>
      <c r="L353" s="22">
        <v>0</v>
      </c>
      <c r="M353" s="42">
        <v>0</v>
      </c>
      <c r="N353" s="22">
        <v>0.1428</v>
      </c>
      <c r="O353" s="42">
        <v>7.002801</v>
      </c>
      <c r="P353" s="22">
        <v>1</v>
      </c>
      <c r="Q353" s="16">
        <v>3</v>
      </c>
      <c r="R353" s="16">
        <v>1</v>
      </c>
      <c r="S353" s="22">
        <v>0.75</v>
      </c>
      <c r="T353" s="16">
        <v>0</v>
      </c>
      <c r="U353" s="16">
        <v>0</v>
      </c>
      <c r="V353" s="16">
        <v>0</v>
      </c>
      <c r="W353" s="16">
        <v>-0.2</v>
      </c>
      <c r="X353" s="16">
        <v>0.2</v>
      </c>
      <c r="Y353" s="16">
        <v>0</v>
      </c>
      <c r="Z353" s="16">
        <v>0</v>
      </c>
      <c r="AA353" s="16">
        <v>0</v>
      </c>
      <c r="AB353" s="16">
        <v>-0.2</v>
      </c>
      <c r="AC353" s="16">
        <v>0.2</v>
      </c>
      <c r="AD353" s="16">
        <v>0</v>
      </c>
      <c r="AE353" s="16">
        <v>0</v>
      </c>
      <c r="AF353" s="16">
        <v>0</v>
      </c>
      <c r="AG353" s="16">
        <v>-0.2</v>
      </c>
      <c r="AH353" s="16">
        <v>0.2</v>
      </c>
      <c r="AI353" s="48">
        <v>30001</v>
      </c>
      <c r="AJ353" s="48">
        <v>30002</v>
      </c>
      <c r="AK353" s="48">
        <v>30003</v>
      </c>
      <c r="AL353" s="48">
        <v>30004</v>
      </c>
      <c r="AM353" s="48">
        <v>30005</v>
      </c>
      <c r="AN353" s="25">
        <v>0.2</v>
      </c>
      <c r="AO353" s="49">
        <v>5</v>
      </c>
      <c r="AP353" s="50">
        <v>100</v>
      </c>
      <c r="AQ353" s="51" t="s">
        <v>1805</v>
      </c>
      <c r="AR353" s="51">
        <f>=F353*247.95</f>
        <v>7730337.15</v>
      </c>
      <c r="AS353" s="51">
        <f>=G353*32.6061</f>
        <v>4695.2784</v>
      </c>
      <c r="AT353" s="51">
        <f>=J353*2.35</f>
        <v>14327.95</v>
      </c>
      <c r="AU353" s="47">
        <f>=H353*15.88</f>
        <v>952.8</v>
      </c>
    </row>
    <row r="354" spans="1:47">
      <c r="A354" s="16" t="s">
        <v>1802</v>
      </c>
      <c r="B354" s="16">
        <v>31122</v>
      </c>
      <c r="C354" s="16" t="s">
        <v>1803</v>
      </c>
      <c r="D354" s="16" t="s">
        <v>1804</v>
      </c>
      <c r="E354" s="16">
        <v>900031122</v>
      </c>
      <c r="F354" s="16">
        <v>31177</v>
      </c>
      <c r="G354" s="16">
        <v>144</v>
      </c>
      <c r="H354" s="16">
        <v>60</v>
      </c>
      <c r="I354" s="22">
        <v>0.5</v>
      </c>
      <c r="J354" s="16">
        <v>6097</v>
      </c>
      <c r="K354" s="16" t="b">
        <v>1</v>
      </c>
      <c r="L354" s="22">
        <v>0</v>
      </c>
      <c r="M354" s="42">
        <v>0</v>
      </c>
      <c r="N354" s="22">
        <v>0.1428</v>
      </c>
      <c r="O354" s="42">
        <v>7.002801</v>
      </c>
      <c r="P354" s="22">
        <v>1</v>
      </c>
      <c r="Q354" s="16">
        <v>3</v>
      </c>
      <c r="R354" s="16">
        <v>1</v>
      </c>
      <c r="S354" s="22">
        <v>0.75</v>
      </c>
      <c r="T354" s="16">
        <v>0</v>
      </c>
      <c r="U354" s="16">
        <v>0</v>
      </c>
      <c r="V354" s="16">
        <v>0</v>
      </c>
      <c r="W354" s="16">
        <v>-0.2</v>
      </c>
      <c r="X354" s="16">
        <v>0.2</v>
      </c>
      <c r="Y354" s="16">
        <v>0</v>
      </c>
      <c r="Z354" s="16">
        <v>0</v>
      </c>
      <c r="AA354" s="16">
        <v>0</v>
      </c>
      <c r="AB354" s="16">
        <v>-0.2</v>
      </c>
      <c r="AC354" s="16">
        <v>0.2</v>
      </c>
      <c r="AD354" s="16">
        <v>0</v>
      </c>
      <c r="AE354" s="16">
        <v>0</v>
      </c>
      <c r="AF354" s="16">
        <v>0</v>
      </c>
      <c r="AG354" s="16">
        <v>-0.2</v>
      </c>
      <c r="AH354" s="16">
        <v>0.2</v>
      </c>
      <c r="AI354" s="48">
        <v>30001</v>
      </c>
      <c r="AJ354" s="48">
        <v>30002</v>
      </c>
      <c r="AK354" s="48">
        <v>30003</v>
      </c>
      <c r="AL354" s="48">
        <v>30004</v>
      </c>
      <c r="AM354" s="48">
        <v>30005</v>
      </c>
      <c r="AN354" s="25">
        <v>0.2</v>
      </c>
      <c r="AO354" s="49">
        <v>5</v>
      </c>
      <c r="AP354" s="50">
        <v>100</v>
      </c>
      <c r="AQ354" s="51" t="s">
        <v>1806</v>
      </c>
      <c r="AR354" s="51">
        <f>=F354*247.95</f>
        <v>7730337.15</v>
      </c>
      <c r="AS354" s="51">
        <f>=G354*32.6061</f>
        <v>4695.2784</v>
      </c>
      <c r="AT354" s="51">
        <f>=J354*2.35</f>
        <v>14327.95</v>
      </c>
      <c r="AU354" s="47">
        <f>=H354*15.88</f>
        <v>952.8</v>
      </c>
    </row>
    <row r="355" spans="1:47">
      <c r="A355" s="16" t="s">
        <v>1807</v>
      </c>
      <c r="B355" s="16">
        <v>31131</v>
      </c>
      <c r="C355" s="16" t="s">
        <v>1808</v>
      </c>
      <c r="D355" s="16" t="s">
        <v>1809</v>
      </c>
      <c r="E355" s="16">
        <v>900031131</v>
      </c>
      <c r="F355" s="16">
        <v>31177</v>
      </c>
      <c r="G355" s="16">
        <v>144</v>
      </c>
      <c r="H355" s="16">
        <v>60</v>
      </c>
      <c r="I355" s="22">
        <v>0.5</v>
      </c>
      <c r="J355" s="16">
        <v>6097</v>
      </c>
      <c r="K355" s="16" t="b">
        <v>1</v>
      </c>
      <c r="L355" s="22">
        <v>0</v>
      </c>
      <c r="M355" s="42">
        <v>0</v>
      </c>
      <c r="N355" s="22">
        <v>0.1428</v>
      </c>
      <c r="O355" s="42">
        <v>7.002801</v>
      </c>
      <c r="P355" s="22">
        <v>1</v>
      </c>
      <c r="Q355" s="16">
        <v>3</v>
      </c>
      <c r="R355" s="16">
        <v>1</v>
      </c>
      <c r="S355" s="22">
        <v>0.75</v>
      </c>
      <c r="T355" s="16">
        <v>0</v>
      </c>
      <c r="U355" s="16">
        <v>0</v>
      </c>
      <c r="V355" s="16">
        <v>0</v>
      </c>
      <c r="W355" s="16">
        <v>-0.2</v>
      </c>
      <c r="X355" s="16">
        <v>0.2</v>
      </c>
      <c r="Y355" s="16">
        <v>0</v>
      </c>
      <c r="Z355" s="16">
        <v>0</v>
      </c>
      <c r="AA355" s="16">
        <v>0</v>
      </c>
      <c r="AB355" s="16">
        <v>-0.2</v>
      </c>
      <c r="AC355" s="16">
        <v>0.2</v>
      </c>
      <c r="AD355" s="16">
        <v>0</v>
      </c>
      <c r="AE355" s="16">
        <v>0</v>
      </c>
      <c r="AF355" s="16">
        <v>0</v>
      </c>
      <c r="AG355" s="16">
        <v>-0.2</v>
      </c>
      <c r="AH355" s="16">
        <v>0.2</v>
      </c>
      <c r="AI355" s="48">
        <v>30001</v>
      </c>
      <c r="AJ355" s="48">
        <v>30002</v>
      </c>
      <c r="AK355" s="48">
        <v>30003</v>
      </c>
      <c r="AL355" s="48">
        <v>30004</v>
      </c>
      <c r="AM355" s="48">
        <v>30005</v>
      </c>
      <c r="AN355" s="25">
        <v>0.2</v>
      </c>
      <c r="AO355" s="49">
        <v>5</v>
      </c>
      <c r="AP355" s="50">
        <v>100</v>
      </c>
      <c r="AQ355" s="51" t="s">
        <v>1805</v>
      </c>
      <c r="AR355" s="51">
        <f>=F355*247.95</f>
        <v>7730337.15</v>
      </c>
      <c r="AS355" s="51">
        <f>=G355*32.6061</f>
        <v>4695.2784</v>
      </c>
      <c r="AT355" s="51">
        <f>=J355*2.35</f>
        <v>14327.95</v>
      </c>
      <c r="AU355" s="47">
        <f>=H355*15.88</f>
        <v>952.8</v>
      </c>
    </row>
    <row r="356" spans="1:47">
      <c r="A356" s="16" t="s">
        <v>1807</v>
      </c>
      <c r="B356" s="16">
        <v>31132</v>
      </c>
      <c r="C356" s="16" t="s">
        <v>1808</v>
      </c>
      <c r="D356" s="16" t="s">
        <v>1809</v>
      </c>
      <c r="E356" s="16">
        <v>900031132</v>
      </c>
      <c r="F356" s="16">
        <v>31177</v>
      </c>
      <c r="G356" s="16">
        <v>144</v>
      </c>
      <c r="H356" s="16">
        <v>60</v>
      </c>
      <c r="I356" s="22">
        <v>0.5</v>
      </c>
      <c r="J356" s="16">
        <v>6097</v>
      </c>
      <c r="K356" s="16" t="b">
        <v>1</v>
      </c>
      <c r="L356" s="22">
        <v>0</v>
      </c>
      <c r="M356" s="42">
        <v>0</v>
      </c>
      <c r="N356" s="22">
        <v>0.1428</v>
      </c>
      <c r="O356" s="42">
        <v>7.002801</v>
      </c>
      <c r="P356" s="22">
        <v>1</v>
      </c>
      <c r="Q356" s="16">
        <v>3</v>
      </c>
      <c r="R356" s="16">
        <v>1</v>
      </c>
      <c r="S356" s="22">
        <v>0.75</v>
      </c>
      <c r="T356" s="16">
        <v>0</v>
      </c>
      <c r="U356" s="16">
        <v>0</v>
      </c>
      <c r="V356" s="16">
        <v>0</v>
      </c>
      <c r="W356" s="16">
        <v>-0.2</v>
      </c>
      <c r="X356" s="16">
        <v>0.2</v>
      </c>
      <c r="Y356" s="16">
        <v>0</v>
      </c>
      <c r="Z356" s="16">
        <v>0</v>
      </c>
      <c r="AA356" s="16">
        <v>0</v>
      </c>
      <c r="AB356" s="16">
        <v>-0.2</v>
      </c>
      <c r="AC356" s="16">
        <v>0.2</v>
      </c>
      <c r="AD356" s="16">
        <v>0</v>
      </c>
      <c r="AE356" s="16">
        <v>0</v>
      </c>
      <c r="AF356" s="16">
        <v>0</v>
      </c>
      <c r="AG356" s="16">
        <v>-0.2</v>
      </c>
      <c r="AH356" s="16">
        <v>0.2</v>
      </c>
      <c r="AI356" s="48">
        <v>30001</v>
      </c>
      <c r="AJ356" s="48">
        <v>30002</v>
      </c>
      <c r="AK356" s="48">
        <v>30003</v>
      </c>
      <c r="AL356" s="48">
        <v>30004</v>
      </c>
      <c r="AM356" s="48">
        <v>30005</v>
      </c>
      <c r="AN356" s="25">
        <v>0.2</v>
      </c>
      <c r="AO356" s="49">
        <v>5</v>
      </c>
      <c r="AP356" s="50">
        <v>100</v>
      </c>
      <c r="AQ356" s="51" t="s">
        <v>1806</v>
      </c>
      <c r="AR356" s="51">
        <f>=F356*247.95</f>
        <v>7730337.15</v>
      </c>
      <c r="AS356" s="51">
        <f>=G356*32.6061</f>
        <v>4695.2784</v>
      </c>
      <c r="AT356" s="51">
        <f>=J356*2.35</f>
        <v>14327.95</v>
      </c>
      <c r="AU356" s="47">
        <f>=H356*15.88</f>
        <v>952.8</v>
      </c>
    </row>
    <row r="357" spans="1:47">
      <c r="A357" s="16" t="s">
        <v>1810</v>
      </c>
      <c r="B357" s="16">
        <v>31141</v>
      </c>
      <c r="C357" s="16" t="s">
        <v>1811</v>
      </c>
      <c r="D357" s="16" t="s">
        <v>1812</v>
      </c>
      <c r="E357" s="16">
        <v>900031141</v>
      </c>
      <c r="F357" s="16">
        <v>32638</v>
      </c>
      <c r="G357" s="16">
        <v>130</v>
      </c>
      <c r="H357" s="16">
        <v>60</v>
      </c>
      <c r="I357" s="22">
        <v>0.5</v>
      </c>
      <c r="J357" s="16">
        <v>8501</v>
      </c>
      <c r="K357" s="16" t="b">
        <v>1</v>
      </c>
      <c r="L357" s="22">
        <v>0</v>
      </c>
      <c r="M357" s="42">
        <v>0</v>
      </c>
      <c r="N357" s="22">
        <v>0.0833</v>
      </c>
      <c r="O357" s="42">
        <v>12.0048019</v>
      </c>
      <c r="P357" s="22">
        <v>0.25</v>
      </c>
      <c r="Q357" s="16">
        <v>3</v>
      </c>
      <c r="R357" s="16">
        <v>5</v>
      </c>
      <c r="S357" s="22">
        <v>0.75</v>
      </c>
      <c r="T357" s="16">
        <v>0.4</v>
      </c>
      <c r="U357" s="16">
        <v>0</v>
      </c>
      <c r="V357" s="16">
        <v>-0.2</v>
      </c>
      <c r="W357" s="16">
        <v>-0.2</v>
      </c>
      <c r="X357" s="16">
        <v>0</v>
      </c>
      <c r="Y357" s="16">
        <v>0.2</v>
      </c>
      <c r="Z357" s="16">
        <v>0</v>
      </c>
      <c r="AA357" s="16">
        <v>-0.2</v>
      </c>
      <c r="AB357" s="16">
        <v>-0.2</v>
      </c>
      <c r="AC357" s="16">
        <v>0</v>
      </c>
      <c r="AD357" s="16">
        <v>0.2</v>
      </c>
      <c r="AE357" s="16">
        <v>0</v>
      </c>
      <c r="AF357" s="16">
        <v>-0.2</v>
      </c>
      <c r="AG357" s="16">
        <v>-0.2</v>
      </c>
      <c r="AH357" s="16">
        <v>0</v>
      </c>
      <c r="AI357" s="48">
        <v>30011</v>
      </c>
      <c r="AJ357" s="48">
        <v>30002</v>
      </c>
      <c r="AK357" s="48">
        <v>30013</v>
      </c>
      <c r="AL357" s="48">
        <v>30004</v>
      </c>
      <c r="AM357" s="48">
        <v>30005</v>
      </c>
      <c r="AN357" s="25">
        <v>0.32</v>
      </c>
      <c r="AO357" s="49">
        <v>5</v>
      </c>
      <c r="AP357" s="50">
        <v>90</v>
      </c>
      <c r="AQ357" s="51" t="s">
        <v>1813</v>
      </c>
      <c r="AR357" s="51">
        <f>=F357*247.95</f>
        <v>8092592.1</v>
      </c>
      <c r="AS357" s="51">
        <f>=G357*32.6061</f>
        <v>4238.793</v>
      </c>
      <c r="AT357" s="51">
        <f>=J357*2.35</f>
        <v>19977.35</v>
      </c>
      <c r="AU357" s="47">
        <f>=H357*15.88</f>
        <v>952.8</v>
      </c>
    </row>
    <row r="358" spans="1:47">
      <c r="A358" s="16" t="s">
        <v>1810</v>
      </c>
      <c r="B358" s="16">
        <v>31142</v>
      </c>
      <c r="C358" s="16" t="s">
        <v>1811</v>
      </c>
      <c r="D358" s="16" t="s">
        <v>1812</v>
      </c>
      <c r="E358" s="16">
        <v>900031142</v>
      </c>
      <c r="F358" s="16">
        <v>32638</v>
      </c>
      <c r="G358" s="16">
        <v>130</v>
      </c>
      <c r="H358" s="16">
        <v>60</v>
      </c>
      <c r="I358" s="22">
        <v>0.5</v>
      </c>
      <c r="J358" s="16">
        <v>8501</v>
      </c>
      <c r="K358" s="16" t="b">
        <v>1</v>
      </c>
      <c r="L358" s="22">
        <v>0</v>
      </c>
      <c r="M358" s="42">
        <v>0</v>
      </c>
      <c r="N358" s="22">
        <v>0.0833</v>
      </c>
      <c r="O358" s="42">
        <v>12.0048019</v>
      </c>
      <c r="P358" s="22">
        <v>0.25</v>
      </c>
      <c r="Q358" s="16">
        <v>3</v>
      </c>
      <c r="R358" s="16">
        <v>5</v>
      </c>
      <c r="S358" s="22">
        <v>0.75</v>
      </c>
      <c r="T358" s="16">
        <v>0.4</v>
      </c>
      <c r="U358" s="16">
        <v>0</v>
      </c>
      <c r="V358" s="16">
        <v>-0.2</v>
      </c>
      <c r="W358" s="16">
        <v>-0.2</v>
      </c>
      <c r="X358" s="16">
        <v>0</v>
      </c>
      <c r="Y358" s="16">
        <v>0.2</v>
      </c>
      <c r="Z358" s="16">
        <v>0</v>
      </c>
      <c r="AA358" s="16">
        <v>-0.2</v>
      </c>
      <c r="AB358" s="16">
        <v>-0.2</v>
      </c>
      <c r="AC358" s="16">
        <v>0</v>
      </c>
      <c r="AD358" s="16">
        <v>0.2</v>
      </c>
      <c r="AE358" s="16">
        <v>0</v>
      </c>
      <c r="AF358" s="16">
        <v>-0.2</v>
      </c>
      <c r="AG358" s="16">
        <v>-0.2</v>
      </c>
      <c r="AH358" s="16">
        <v>0</v>
      </c>
      <c r="AI358" s="48">
        <v>30011</v>
      </c>
      <c r="AJ358" s="48">
        <v>30002</v>
      </c>
      <c r="AK358" s="48">
        <v>30013</v>
      </c>
      <c r="AL358" s="48">
        <v>30004</v>
      </c>
      <c r="AM358" s="48">
        <v>30005</v>
      </c>
      <c r="AN358" s="25">
        <v>0.32</v>
      </c>
      <c r="AO358" s="49">
        <v>5</v>
      </c>
      <c r="AP358" s="50">
        <v>90</v>
      </c>
      <c r="AQ358" s="51" t="s">
        <v>1814</v>
      </c>
      <c r="AR358" s="51">
        <f>=F358*247.95</f>
        <v>8092592.1</v>
      </c>
      <c r="AS358" s="51">
        <f>=G358*32.6061</f>
        <v>4238.793</v>
      </c>
      <c r="AT358" s="51">
        <f>=J358*2.35</f>
        <v>19977.35</v>
      </c>
      <c r="AU358" s="47">
        <f>=H358*15.88</f>
        <v>952.8</v>
      </c>
    </row>
    <row r="359" spans="1:47">
      <c r="A359" s="16" t="s">
        <v>1815</v>
      </c>
      <c r="B359" s="16">
        <v>31143</v>
      </c>
      <c r="C359" s="16" t="s">
        <v>1816</v>
      </c>
      <c r="D359" s="16" t="s"/>
      <c r="E359" s="16">
        <v>900031143</v>
      </c>
      <c r="F359" s="16">
        <v>1954</v>
      </c>
      <c r="G359" s="16">
        <v>72</v>
      </c>
      <c r="H359" s="16">
        <v>36</v>
      </c>
      <c r="I359" s="22">
        <v>0.5</v>
      </c>
      <c r="J359" s="16">
        <v>660</v>
      </c>
      <c r="K359" s="16" t="b">
        <v>0</v>
      </c>
      <c r="L359" s="22">
        <v>0</v>
      </c>
      <c r="M359" s="42">
        <v>0</v>
      </c>
      <c r="N359" s="22">
        <v>0.1538</v>
      </c>
      <c r="O359" s="42">
        <v>6.50195059</v>
      </c>
      <c r="P359" s="22">
        <v>0.5</v>
      </c>
      <c r="Q359" s="16">
        <v>1</v>
      </c>
      <c r="R359" s="16">
        <v>1</v>
      </c>
      <c r="S359" s="22">
        <v>0</v>
      </c>
      <c r="T359" s="16">
        <v>0</v>
      </c>
      <c r="U359" s="16">
        <v>0</v>
      </c>
      <c r="V359" s="16">
        <v>-0.6</v>
      </c>
      <c r="W359" s="16">
        <v>-0.6</v>
      </c>
      <c r="X359" s="16">
        <v>0</v>
      </c>
      <c r="Y359" s="16">
        <v>0</v>
      </c>
      <c r="Z359" s="16">
        <v>0</v>
      </c>
      <c r="AA359" s="16">
        <v>-0.2</v>
      </c>
      <c r="AB359" s="16">
        <v>-0.2</v>
      </c>
      <c r="AC359" s="16">
        <v>0</v>
      </c>
      <c r="AD359" s="16">
        <v>0</v>
      </c>
      <c r="AE359" s="16">
        <v>0</v>
      </c>
      <c r="AF359" s="16">
        <v>-0.2</v>
      </c>
      <c r="AG359" s="16">
        <v>-0.2</v>
      </c>
      <c r="AH359" s="16">
        <v>0</v>
      </c>
      <c r="AI359" s="48">
        <v>10001</v>
      </c>
      <c r="AJ359" s="48">
        <v>10002</v>
      </c>
      <c r="AK359" s="48">
        <v>10013</v>
      </c>
      <c r="AL359" s="48">
        <v>10004</v>
      </c>
      <c r="AM359" s="48">
        <v>10005</v>
      </c>
      <c r="AN359" s="25">
        <v>0.2</v>
      </c>
      <c r="AO359" s="49" t="s"/>
      <c r="AP359" s="50">
        <v>50</v>
      </c>
      <c r="AQ359" s="51" t="s">
        <v>1817</v>
      </c>
      <c r="AR359" s="51">
        <f>=F359*247.95</f>
        <v>484494.3</v>
      </c>
      <c r="AS359" s="51">
        <f>=G359*32.6061</f>
        <v>2347.6392</v>
      </c>
      <c r="AT359" s="51">
        <f>=J359*2.35</f>
        <v>1551</v>
      </c>
      <c r="AU359" s="47">
        <f>=H359*15.88</f>
        <v>571.68</v>
      </c>
    </row>
    <row r="360" spans="1:47">
      <c r="A360" s="16" t="s">
        <v>1818</v>
      </c>
      <c r="B360" s="16">
        <v>31144</v>
      </c>
      <c r="C360" s="16" t="s">
        <v>1819</v>
      </c>
      <c r="D360" s="16" t="s"/>
      <c r="E360" s="16">
        <v>900031144</v>
      </c>
      <c r="F360" s="16">
        <v>1628</v>
      </c>
      <c r="G360" s="16">
        <v>72</v>
      </c>
      <c r="H360" s="16">
        <v>36</v>
      </c>
      <c r="I360" s="22">
        <v>0.5</v>
      </c>
      <c r="J360" s="16">
        <v>660</v>
      </c>
      <c r="K360" s="16" t="b">
        <v>0</v>
      </c>
      <c r="L360" s="22">
        <v>0</v>
      </c>
      <c r="M360" s="42">
        <v>0</v>
      </c>
      <c r="N360" s="22">
        <v>0.1538</v>
      </c>
      <c r="O360" s="42">
        <v>6.50195059</v>
      </c>
      <c r="P360" s="22">
        <v>0.5</v>
      </c>
      <c r="Q360" s="16">
        <v>1</v>
      </c>
      <c r="R360" s="16">
        <v>1</v>
      </c>
      <c r="S360" s="22">
        <v>0</v>
      </c>
      <c r="T360" s="16">
        <v>0</v>
      </c>
      <c r="U360" s="16">
        <v>0</v>
      </c>
      <c r="V360" s="16">
        <v>0</v>
      </c>
      <c r="W360" s="16">
        <v>0</v>
      </c>
      <c r="X360" s="16">
        <v>0</v>
      </c>
      <c r="Y360" s="16">
        <v>0</v>
      </c>
      <c r="Z360" s="16">
        <v>0</v>
      </c>
      <c r="AA360" s="16">
        <v>0</v>
      </c>
      <c r="AB360" s="16">
        <v>0</v>
      </c>
      <c r="AC360" s="16">
        <v>0</v>
      </c>
      <c r="AD360" s="16">
        <v>0</v>
      </c>
      <c r="AE360" s="16">
        <v>0</v>
      </c>
      <c r="AF360" s="16">
        <v>0</v>
      </c>
      <c r="AG360" s="16">
        <v>0</v>
      </c>
      <c r="AH360" s="16">
        <v>0</v>
      </c>
      <c r="AI360" s="48">
        <v>10001</v>
      </c>
      <c r="AJ360" s="48">
        <v>10002</v>
      </c>
      <c r="AK360" s="48">
        <v>10003</v>
      </c>
      <c r="AL360" s="48">
        <v>10004</v>
      </c>
      <c r="AM360" s="48">
        <v>10005</v>
      </c>
      <c r="AN360" s="25">
        <v>0.2</v>
      </c>
      <c r="AO360" s="49" t="s"/>
      <c r="AP360" s="50">
        <v>50</v>
      </c>
      <c r="AQ360" s="51" t="s">
        <v>1820</v>
      </c>
      <c r="AR360" s="51">
        <f>=F360*247.95</f>
        <v>403662.6</v>
      </c>
      <c r="AS360" s="51">
        <f>=G360*32.6061</f>
        <v>2347.6392</v>
      </c>
      <c r="AT360" s="51">
        <f>=J360*2.35</f>
        <v>1551</v>
      </c>
      <c r="AU360" s="47">
        <f>=H360*15.88</f>
        <v>571.68</v>
      </c>
    </row>
    <row r="361" spans="1:47">
      <c r="A361" s="16" t="s">
        <v>1821</v>
      </c>
      <c r="B361" s="16">
        <v>31145</v>
      </c>
      <c r="C361" s="16" t="s">
        <v>1822</v>
      </c>
      <c r="D361" s="16" t="s">
        <v>1823</v>
      </c>
      <c r="E361" s="16">
        <v>900031145</v>
      </c>
      <c r="F361" s="16">
        <v>1628</v>
      </c>
      <c r="G361" s="16">
        <v>72</v>
      </c>
      <c r="H361" s="16">
        <v>46</v>
      </c>
      <c r="I361" s="22">
        <v>0.5</v>
      </c>
      <c r="J361" s="16">
        <v>660</v>
      </c>
      <c r="K361" s="16" t="b">
        <v>0</v>
      </c>
      <c r="L361" s="22">
        <v>0</v>
      </c>
      <c r="M361" s="42">
        <v>0</v>
      </c>
      <c r="N361" s="22">
        <v>0.1538</v>
      </c>
      <c r="O361" s="42">
        <v>6.50195059</v>
      </c>
      <c r="P361" s="22">
        <v>0.5</v>
      </c>
      <c r="Q361" s="16">
        <v>1</v>
      </c>
      <c r="R361" s="16">
        <v>1</v>
      </c>
      <c r="S361" s="22">
        <v>0</v>
      </c>
      <c r="T361" s="16">
        <v>0</v>
      </c>
      <c r="U361" s="16">
        <v>-0.2</v>
      </c>
      <c r="V361" s="16">
        <v>-0.2</v>
      </c>
      <c r="W361" s="16">
        <v>0</v>
      </c>
      <c r="X361" s="16">
        <v>0</v>
      </c>
      <c r="Y361" s="16">
        <v>0</v>
      </c>
      <c r="Z361" s="16">
        <v>-0.2</v>
      </c>
      <c r="AA361" s="16">
        <v>-0.2</v>
      </c>
      <c r="AB361" s="16">
        <v>0</v>
      </c>
      <c r="AC361" s="16">
        <v>0</v>
      </c>
      <c r="AD361" s="16">
        <v>0</v>
      </c>
      <c r="AE361" s="16">
        <v>-0.2</v>
      </c>
      <c r="AF361" s="16">
        <v>-0.2</v>
      </c>
      <c r="AG361" s="16">
        <v>0</v>
      </c>
      <c r="AH361" s="16">
        <v>0</v>
      </c>
      <c r="AI361" s="48">
        <v>10001</v>
      </c>
      <c r="AJ361" s="48">
        <v>10012</v>
      </c>
      <c r="AK361" s="48">
        <v>10013</v>
      </c>
      <c r="AL361" s="48">
        <v>10004</v>
      </c>
      <c r="AM361" s="48">
        <v>10005</v>
      </c>
      <c r="AN361" s="25">
        <v>0.2</v>
      </c>
      <c r="AO361" s="49" t="s"/>
      <c r="AP361" s="50">
        <v>50</v>
      </c>
      <c r="AQ361" s="51" t="s">
        <v>1824</v>
      </c>
      <c r="AR361" s="51">
        <f>=F361*247.95</f>
        <v>403662.6</v>
      </c>
      <c r="AS361" s="51">
        <f>=G361*32.6061</f>
        <v>2347.6392</v>
      </c>
      <c r="AT361" s="51">
        <f>=J361*2.35</f>
        <v>1551</v>
      </c>
      <c r="AU361" s="47">
        <f>=H361*15.88</f>
        <v>730.48</v>
      </c>
    </row>
    <row r="362" spans="1:47">
      <c r="A362" s="16" t="s">
        <v>1825</v>
      </c>
      <c r="B362" s="16">
        <v>31146</v>
      </c>
      <c r="C362" s="16" t="s">
        <v>1826</v>
      </c>
      <c r="D362" s="16" t="s">
        <v>1827</v>
      </c>
      <c r="E362" s="16">
        <v>900031146</v>
      </c>
      <c r="F362" s="16">
        <v>1628</v>
      </c>
      <c r="G362" s="16">
        <v>65</v>
      </c>
      <c r="H362" s="16">
        <v>40</v>
      </c>
      <c r="I362" s="22">
        <v>0.5</v>
      </c>
      <c r="J362" s="16">
        <v>660</v>
      </c>
      <c r="K362" s="16" t="b">
        <v>0</v>
      </c>
      <c r="L362" s="22">
        <v>0</v>
      </c>
      <c r="M362" s="42">
        <v>0</v>
      </c>
      <c r="N362" s="22">
        <v>0.1538</v>
      </c>
      <c r="O362" s="42">
        <v>6.50195059</v>
      </c>
      <c r="P362" s="22">
        <v>0.5</v>
      </c>
      <c r="Q362" s="16">
        <v>1</v>
      </c>
      <c r="R362" s="16">
        <v>1</v>
      </c>
      <c r="S362" s="22">
        <v>0</v>
      </c>
      <c r="T362" s="16">
        <v>0</v>
      </c>
      <c r="U362" s="16">
        <v>-0.2</v>
      </c>
      <c r="V362" s="16">
        <v>-0.2</v>
      </c>
      <c r="W362" s="16">
        <v>0</v>
      </c>
      <c r="X362" s="16">
        <v>0</v>
      </c>
      <c r="Y362" s="16">
        <v>0</v>
      </c>
      <c r="Z362" s="16">
        <v>-0.2</v>
      </c>
      <c r="AA362" s="16">
        <v>-0.2</v>
      </c>
      <c r="AB362" s="16">
        <v>0</v>
      </c>
      <c r="AC362" s="16">
        <v>0</v>
      </c>
      <c r="AD362" s="16">
        <v>0</v>
      </c>
      <c r="AE362" s="16">
        <v>-0.2</v>
      </c>
      <c r="AF362" s="16">
        <v>-0.2</v>
      </c>
      <c r="AG362" s="16">
        <v>0</v>
      </c>
      <c r="AH362" s="16">
        <v>0</v>
      </c>
      <c r="AI362" s="48">
        <v>10001</v>
      </c>
      <c r="AJ362" s="48">
        <v>10012</v>
      </c>
      <c r="AK362" s="48">
        <v>10013</v>
      </c>
      <c r="AL362" s="48">
        <v>10004</v>
      </c>
      <c r="AM362" s="48">
        <v>10005</v>
      </c>
      <c r="AN362" s="25">
        <v>0.2</v>
      </c>
      <c r="AO362" s="49" t="s"/>
      <c r="AP362" s="50">
        <v>50</v>
      </c>
      <c r="AQ362" s="51" t="s">
        <v>1824</v>
      </c>
      <c r="AR362" s="51">
        <f>=F362*247.95</f>
        <v>403662.6</v>
      </c>
      <c r="AS362" s="51">
        <f>=G362*32.6061</f>
        <v>2119.3965</v>
      </c>
      <c r="AT362" s="51">
        <f>=J362*2.35</f>
        <v>1551</v>
      </c>
      <c r="AU362" s="47">
        <f>=H362*15.88</f>
        <v>635.2</v>
      </c>
    </row>
    <row r="363" spans="1:47">
      <c r="A363" s="16" t="s">
        <v>1821</v>
      </c>
      <c r="B363" s="16">
        <v>31151</v>
      </c>
      <c r="C363" s="16" t="s">
        <v>1822</v>
      </c>
      <c r="D363" s="16" t="s">
        <v>1823</v>
      </c>
      <c r="E363" s="16">
        <v>900031151</v>
      </c>
      <c r="F363" s="16">
        <v>1628</v>
      </c>
      <c r="G363" s="16">
        <v>72</v>
      </c>
      <c r="H363" s="16">
        <v>46</v>
      </c>
      <c r="I363" s="22">
        <v>0.5</v>
      </c>
      <c r="J363" s="16">
        <v>660</v>
      </c>
      <c r="K363" s="16" t="b">
        <v>1</v>
      </c>
      <c r="L363" s="22">
        <v>0</v>
      </c>
      <c r="M363" s="42">
        <v>0</v>
      </c>
      <c r="N363" s="22">
        <v>0.1538</v>
      </c>
      <c r="O363" s="42">
        <v>6.50195059</v>
      </c>
      <c r="P363" s="22">
        <v>0.5</v>
      </c>
      <c r="Q363" s="16">
        <v>1</v>
      </c>
      <c r="R363" s="16">
        <v>1</v>
      </c>
      <c r="S363" s="22">
        <v>0</v>
      </c>
      <c r="T363" s="16">
        <v>0</v>
      </c>
      <c r="U363" s="16">
        <v>-0.2</v>
      </c>
      <c r="V363" s="16">
        <v>-0.2</v>
      </c>
      <c r="W363" s="16">
        <v>0</v>
      </c>
      <c r="X363" s="16">
        <v>0</v>
      </c>
      <c r="Y363" s="16">
        <v>0</v>
      </c>
      <c r="Z363" s="16">
        <v>-0.2</v>
      </c>
      <c r="AA363" s="16">
        <v>-0.2</v>
      </c>
      <c r="AB363" s="16">
        <v>0</v>
      </c>
      <c r="AC363" s="16">
        <v>0</v>
      </c>
      <c r="AD363" s="16">
        <v>0</v>
      </c>
      <c r="AE363" s="16">
        <v>-0.2</v>
      </c>
      <c r="AF363" s="16">
        <v>-0.2</v>
      </c>
      <c r="AG363" s="16">
        <v>0</v>
      </c>
      <c r="AH363" s="16">
        <v>0</v>
      </c>
      <c r="AI363" s="48">
        <v>10001</v>
      </c>
      <c r="AJ363" s="48">
        <v>10012</v>
      </c>
      <c r="AK363" s="48">
        <v>10013</v>
      </c>
      <c r="AL363" s="48">
        <v>10004</v>
      </c>
      <c r="AM363" s="48">
        <v>10005</v>
      </c>
      <c r="AN363" s="25">
        <v>0.2</v>
      </c>
      <c r="AO363" s="49" t="s"/>
      <c r="AP363" s="50">
        <v>50</v>
      </c>
      <c r="AQ363" s="51" t="s">
        <v>1828</v>
      </c>
      <c r="AR363" s="51">
        <f>=F363*247.95</f>
        <v>403662.6</v>
      </c>
      <c r="AS363" s="51">
        <f>=G363*32.6061</f>
        <v>2347.6392</v>
      </c>
      <c r="AT363" s="51">
        <f>=J363*2.35</f>
        <v>1551</v>
      </c>
      <c r="AU363" s="47">
        <f>=H363*15.88</f>
        <v>730.48</v>
      </c>
    </row>
    <row r="364" spans="1:47">
      <c r="A364" s="16" t="s">
        <v>1821</v>
      </c>
      <c r="B364" s="16">
        <v>31152</v>
      </c>
      <c r="C364" s="16" t="s">
        <v>1822</v>
      </c>
      <c r="D364" s="16" t="s">
        <v>1823</v>
      </c>
      <c r="E364" s="16">
        <v>900031152</v>
      </c>
      <c r="F364" s="16">
        <v>1991</v>
      </c>
      <c r="G364" s="16">
        <v>72</v>
      </c>
      <c r="H364" s="16">
        <v>46</v>
      </c>
      <c r="I364" s="22">
        <v>0.5</v>
      </c>
      <c r="J364" s="16">
        <v>990</v>
      </c>
      <c r="K364" s="16" t="b">
        <v>1</v>
      </c>
      <c r="L364" s="22">
        <v>0</v>
      </c>
      <c r="M364" s="42">
        <v>0</v>
      </c>
      <c r="N364" s="22">
        <v>0.1538</v>
      </c>
      <c r="O364" s="42">
        <v>6.50195059</v>
      </c>
      <c r="P364" s="22">
        <v>0.5</v>
      </c>
      <c r="Q364" s="16">
        <v>1</v>
      </c>
      <c r="R364" s="16">
        <v>1</v>
      </c>
      <c r="S364" s="22">
        <v>0</v>
      </c>
      <c r="T364" s="16">
        <v>0</v>
      </c>
      <c r="U364" s="16">
        <v>-0.2</v>
      </c>
      <c r="V364" s="16">
        <v>-0.2</v>
      </c>
      <c r="W364" s="16">
        <v>0</v>
      </c>
      <c r="X364" s="16">
        <v>0</v>
      </c>
      <c r="Y364" s="16">
        <v>0</v>
      </c>
      <c r="Z364" s="16">
        <v>-0.2</v>
      </c>
      <c r="AA364" s="16">
        <v>-0.2</v>
      </c>
      <c r="AB364" s="16">
        <v>0</v>
      </c>
      <c r="AC364" s="16">
        <v>0</v>
      </c>
      <c r="AD364" s="16">
        <v>0</v>
      </c>
      <c r="AE364" s="16">
        <v>-0.2</v>
      </c>
      <c r="AF364" s="16">
        <v>-0.2</v>
      </c>
      <c r="AG364" s="16">
        <v>0</v>
      </c>
      <c r="AH364" s="16">
        <v>0</v>
      </c>
      <c r="AI364" s="48">
        <v>10001</v>
      </c>
      <c r="AJ364" s="48">
        <v>10012</v>
      </c>
      <c r="AK364" s="48">
        <v>10013</v>
      </c>
      <c r="AL364" s="48">
        <v>10004</v>
      </c>
      <c r="AM364" s="48">
        <v>10005</v>
      </c>
      <c r="AN364" s="25">
        <v>0.2</v>
      </c>
      <c r="AO364" s="49" t="s"/>
      <c r="AP364" s="50">
        <v>50</v>
      </c>
      <c r="AQ364" s="51" t="s">
        <v>1829</v>
      </c>
      <c r="AR364" s="51">
        <f>=F364*247.95</f>
        <v>493668.45</v>
      </c>
      <c r="AS364" s="51">
        <f>=G364*32.6061</f>
        <v>2347.6392</v>
      </c>
      <c r="AT364" s="51">
        <f>=J364*2.35</f>
        <v>2326.5</v>
      </c>
      <c r="AU364" s="47">
        <f>=H364*15.88</f>
        <v>730.48</v>
      </c>
    </row>
    <row r="365" spans="1:47">
      <c r="A365" s="16" t="s">
        <v>1825</v>
      </c>
      <c r="B365" s="16">
        <v>31161</v>
      </c>
      <c r="C365" s="16" t="s">
        <v>1826</v>
      </c>
      <c r="D365" s="16" t="s">
        <v>1827</v>
      </c>
      <c r="E365" s="16">
        <v>900031161</v>
      </c>
      <c r="F365" s="16">
        <v>1628</v>
      </c>
      <c r="G365" s="16">
        <v>65</v>
      </c>
      <c r="H365" s="16">
        <v>40</v>
      </c>
      <c r="I365" s="22">
        <v>0.5</v>
      </c>
      <c r="J365" s="16">
        <v>660</v>
      </c>
      <c r="K365" s="16" t="b">
        <v>1</v>
      </c>
      <c r="L365" s="22">
        <v>0</v>
      </c>
      <c r="M365" s="42">
        <v>0</v>
      </c>
      <c r="N365" s="22">
        <v>0.1538</v>
      </c>
      <c r="O365" s="42">
        <v>6.50195059</v>
      </c>
      <c r="P365" s="22">
        <v>0.5</v>
      </c>
      <c r="Q365" s="16">
        <v>1</v>
      </c>
      <c r="R365" s="16">
        <v>1</v>
      </c>
      <c r="S365" s="22">
        <v>0</v>
      </c>
      <c r="T365" s="16">
        <v>0</v>
      </c>
      <c r="U365" s="16">
        <v>-0.2</v>
      </c>
      <c r="V365" s="16">
        <v>-0.2</v>
      </c>
      <c r="W365" s="16">
        <v>0</v>
      </c>
      <c r="X365" s="16">
        <v>0</v>
      </c>
      <c r="Y365" s="16">
        <v>0</v>
      </c>
      <c r="Z365" s="16">
        <v>-0.2</v>
      </c>
      <c r="AA365" s="16">
        <v>-0.2</v>
      </c>
      <c r="AB365" s="16">
        <v>0</v>
      </c>
      <c r="AC365" s="16">
        <v>0</v>
      </c>
      <c r="AD365" s="16">
        <v>0</v>
      </c>
      <c r="AE365" s="16">
        <v>-0.2</v>
      </c>
      <c r="AF365" s="16">
        <v>-0.2</v>
      </c>
      <c r="AG365" s="16">
        <v>0</v>
      </c>
      <c r="AH365" s="16">
        <v>0</v>
      </c>
      <c r="AI365" s="48">
        <v>10001</v>
      </c>
      <c r="AJ365" s="48">
        <v>10012</v>
      </c>
      <c r="AK365" s="48">
        <v>10013</v>
      </c>
      <c r="AL365" s="48">
        <v>10004</v>
      </c>
      <c r="AM365" s="48">
        <v>10005</v>
      </c>
      <c r="AN365" s="25">
        <v>0.2</v>
      </c>
      <c r="AO365" s="49" t="s"/>
      <c r="AP365" s="50">
        <v>50</v>
      </c>
      <c r="AQ365" s="51" t="s">
        <v>1830</v>
      </c>
      <c r="AR365" s="51">
        <f>=F365*247.95</f>
        <v>403662.6</v>
      </c>
      <c r="AS365" s="51">
        <f>=G365*32.6061</f>
        <v>2119.3965</v>
      </c>
      <c r="AT365" s="51">
        <f>=J365*2.35</f>
        <v>1551</v>
      </c>
      <c r="AU365" s="47">
        <f>=H365*15.88</f>
        <v>635.2</v>
      </c>
    </row>
    <row r="366" spans="1:47">
      <c r="A366" s="16" t="s">
        <v>1825</v>
      </c>
      <c r="B366" s="16">
        <v>31162</v>
      </c>
      <c r="C366" s="16" t="s">
        <v>1826</v>
      </c>
      <c r="D366" s="16" t="s">
        <v>1827</v>
      </c>
      <c r="E366" s="16">
        <v>900031162</v>
      </c>
      <c r="F366" s="16">
        <v>1991</v>
      </c>
      <c r="G366" s="16">
        <v>65</v>
      </c>
      <c r="H366" s="16">
        <v>40</v>
      </c>
      <c r="I366" s="22">
        <v>0.5</v>
      </c>
      <c r="J366" s="16">
        <v>990</v>
      </c>
      <c r="K366" s="16" t="b">
        <v>1</v>
      </c>
      <c r="L366" s="22">
        <v>0</v>
      </c>
      <c r="M366" s="42">
        <v>0</v>
      </c>
      <c r="N366" s="22">
        <v>0.1538</v>
      </c>
      <c r="O366" s="42">
        <v>6.50195059</v>
      </c>
      <c r="P366" s="22">
        <v>0.5</v>
      </c>
      <c r="Q366" s="16">
        <v>1</v>
      </c>
      <c r="R366" s="16">
        <v>1</v>
      </c>
      <c r="S366" s="22">
        <v>0</v>
      </c>
      <c r="T366" s="16">
        <v>0</v>
      </c>
      <c r="U366" s="16">
        <v>-0.2</v>
      </c>
      <c r="V366" s="16">
        <v>-0.2</v>
      </c>
      <c r="W366" s="16">
        <v>0</v>
      </c>
      <c r="X366" s="16">
        <v>0</v>
      </c>
      <c r="Y366" s="16">
        <v>0</v>
      </c>
      <c r="Z366" s="16">
        <v>-0.2</v>
      </c>
      <c r="AA366" s="16">
        <v>-0.2</v>
      </c>
      <c r="AB366" s="16">
        <v>0</v>
      </c>
      <c r="AC366" s="16">
        <v>0</v>
      </c>
      <c r="AD366" s="16">
        <v>0</v>
      </c>
      <c r="AE366" s="16">
        <v>-0.2</v>
      </c>
      <c r="AF366" s="16">
        <v>-0.2</v>
      </c>
      <c r="AG366" s="16">
        <v>0</v>
      </c>
      <c r="AH366" s="16">
        <v>0</v>
      </c>
      <c r="AI366" s="48">
        <v>10001</v>
      </c>
      <c r="AJ366" s="48">
        <v>10012</v>
      </c>
      <c r="AK366" s="48">
        <v>10013</v>
      </c>
      <c r="AL366" s="48">
        <v>10004</v>
      </c>
      <c r="AM366" s="48">
        <v>10005</v>
      </c>
      <c r="AN366" s="25">
        <v>0.2</v>
      </c>
      <c r="AO366" s="49" t="s"/>
      <c r="AP366" s="50">
        <v>50</v>
      </c>
      <c r="AQ366" s="51" t="s">
        <v>1831</v>
      </c>
      <c r="AR366" s="51">
        <f>=F366*247.95</f>
        <v>493668.45</v>
      </c>
      <c r="AS366" s="51">
        <f>=G366*32.6061</f>
        <v>2119.3965</v>
      </c>
      <c r="AT366" s="51">
        <f>=J366*2.35</f>
        <v>2326.5</v>
      </c>
      <c r="AU366" s="47">
        <f>=H366*15.88</f>
        <v>635.2</v>
      </c>
    </row>
    <row r="367" spans="1:47">
      <c r="A367" s="16" t="s">
        <v>1832</v>
      </c>
      <c r="B367" s="16">
        <v>31171</v>
      </c>
      <c r="C367" s="16" t="s">
        <v>1833</v>
      </c>
      <c r="D367" s="16" t="s">
        <v>1834</v>
      </c>
      <c r="E367" s="16">
        <v>900031171</v>
      </c>
      <c r="F367" s="16">
        <v>13047</v>
      </c>
      <c r="G367" s="16">
        <v>111</v>
      </c>
      <c r="H367" s="16">
        <v>54</v>
      </c>
      <c r="I367" s="22">
        <v>0.5</v>
      </c>
      <c r="J367" s="16">
        <v>5618</v>
      </c>
      <c r="K367" s="16" t="b">
        <v>1</v>
      </c>
      <c r="L367" s="22">
        <v>0</v>
      </c>
      <c r="M367" s="42">
        <v>0</v>
      </c>
      <c r="N367" s="22">
        <v>0.0769</v>
      </c>
      <c r="O367" s="42">
        <v>13.0039012</v>
      </c>
      <c r="P367" s="22">
        <v>0.5</v>
      </c>
      <c r="Q367" s="16">
        <v>2</v>
      </c>
      <c r="R367" s="16">
        <v>3</v>
      </c>
      <c r="S367" s="22">
        <v>0.5</v>
      </c>
      <c r="T367" s="16">
        <v>-0.2</v>
      </c>
      <c r="U367" s="16">
        <v>0</v>
      </c>
      <c r="V367" s="16">
        <v>0</v>
      </c>
      <c r="W367" s="16">
        <v>-0.2</v>
      </c>
      <c r="X367" s="16">
        <v>0</v>
      </c>
      <c r="Y367" s="16">
        <v>-0.2</v>
      </c>
      <c r="Z367" s="16">
        <v>0</v>
      </c>
      <c r="AA367" s="16">
        <v>0</v>
      </c>
      <c r="AB367" s="16">
        <v>-0.2</v>
      </c>
      <c r="AC367" s="16">
        <v>0</v>
      </c>
      <c r="AD367" s="16">
        <v>-0.2</v>
      </c>
      <c r="AE367" s="16">
        <v>0</v>
      </c>
      <c r="AF367" s="16">
        <v>0</v>
      </c>
      <c r="AG367" s="16">
        <v>-0.2</v>
      </c>
      <c r="AH367" s="16">
        <v>0</v>
      </c>
      <c r="AI367" s="48">
        <v>20011</v>
      </c>
      <c r="AJ367" s="48">
        <v>20002</v>
      </c>
      <c r="AK367" s="48">
        <v>20003</v>
      </c>
      <c r="AL367" s="48">
        <v>20004</v>
      </c>
      <c r="AM367" s="48">
        <v>20005</v>
      </c>
      <c r="AN367" s="25">
        <v>0.2</v>
      </c>
      <c r="AO367" s="49">
        <v>3</v>
      </c>
      <c r="AP367" s="50">
        <v>75</v>
      </c>
      <c r="AQ367" s="51" t="s">
        <v>1835</v>
      </c>
      <c r="AR367" s="51">
        <f>=F367*247.95</f>
        <v>3235003.65</v>
      </c>
      <c r="AS367" s="51">
        <f>=G367*32.6061</f>
        <v>3619.2771</v>
      </c>
      <c r="AT367" s="51">
        <f>=J367*2.35</f>
        <v>13202.3</v>
      </c>
      <c r="AU367" s="47">
        <f>=H367*15.88</f>
        <v>857.52</v>
      </c>
    </row>
    <row r="368" spans="1:47">
      <c r="A368" s="16" t="s">
        <v>1832</v>
      </c>
      <c r="B368" s="16">
        <v>31172</v>
      </c>
      <c r="C368" s="16" t="s">
        <v>1833</v>
      </c>
      <c r="D368" s="16" t="s">
        <v>1834</v>
      </c>
      <c r="E368" s="16">
        <v>900031172</v>
      </c>
      <c r="F368" s="16">
        <v>13541</v>
      </c>
      <c r="G368" s="16">
        <v>127</v>
      </c>
      <c r="H368" s="16">
        <v>54</v>
      </c>
      <c r="I368" s="22">
        <v>0.5</v>
      </c>
      <c r="J368" s="16">
        <v>6417</v>
      </c>
      <c r="K368" s="16" t="b">
        <v>1</v>
      </c>
      <c r="L368" s="22">
        <v>0</v>
      </c>
      <c r="M368" s="42">
        <v>0</v>
      </c>
      <c r="N368" s="22">
        <v>0.0769</v>
      </c>
      <c r="O368" s="42">
        <v>13.0039012</v>
      </c>
      <c r="P368" s="22">
        <v>0.5</v>
      </c>
      <c r="Q368" s="16">
        <v>2</v>
      </c>
      <c r="R368" s="16">
        <v>5</v>
      </c>
      <c r="S368" s="22">
        <v>0.5</v>
      </c>
      <c r="T368" s="16">
        <v>-0.2</v>
      </c>
      <c r="U368" s="16">
        <v>0</v>
      </c>
      <c r="V368" s="16">
        <v>0</v>
      </c>
      <c r="W368" s="16">
        <v>-0.2</v>
      </c>
      <c r="X368" s="16">
        <v>0</v>
      </c>
      <c r="Y368" s="16">
        <v>-0.2</v>
      </c>
      <c r="Z368" s="16">
        <v>0</v>
      </c>
      <c r="AA368" s="16">
        <v>0</v>
      </c>
      <c r="AB368" s="16">
        <v>-0.2</v>
      </c>
      <c r="AC368" s="16">
        <v>0</v>
      </c>
      <c r="AD368" s="16">
        <v>-0.2</v>
      </c>
      <c r="AE368" s="16">
        <v>0</v>
      </c>
      <c r="AF368" s="16">
        <v>0</v>
      </c>
      <c r="AG368" s="16">
        <v>-0.2</v>
      </c>
      <c r="AH368" s="16">
        <v>0</v>
      </c>
      <c r="AI368" s="48">
        <v>20011</v>
      </c>
      <c r="AJ368" s="48">
        <v>20002</v>
      </c>
      <c r="AK368" s="48">
        <v>20003</v>
      </c>
      <c r="AL368" s="48">
        <v>20004</v>
      </c>
      <c r="AM368" s="48">
        <v>20005</v>
      </c>
      <c r="AN368" s="25">
        <v>0.2</v>
      </c>
      <c r="AO368" s="49">
        <v>3</v>
      </c>
      <c r="AP368" s="50">
        <v>75</v>
      </c>
      <c r="AQ368" s="51" t="s">
        <v>1836</v>
      </c>
      <c r="AR368" s="51">
        <f>=F368*247.95</f>
        <v>3357490.95</v>
      </c>
      <c r="AS368" s="51">
        <f>=G368*32.6061</f>
        <v>4140.9747</v>
      </c>
      <c r="AT368" s="51">
        <f>=J368*2.35</f>
        <v>15079.95</v>
      </c>
      <c r="AU368" s="47">
        <f>=H368*15.88</f>
        <v>857.52</v>
      </c>
    </row>
    <row r="369" spans="1:47">
      <c r="A369" s="16" t="s">
        <v>1837</v>
      </c>
      <c r="B369" s="16">
        <v>31181</v>
      </c>
      <c r="C369" s="16" t="s">
        <v>1838</v>
      </c>
      <c r="D369" s="16" t="s">
        <v>1839</v>
      </c>
      <c r="E369" s="16">
        <v>900031181</v>
      </c>
      <c r="F369" s="16">
        <v>1954</v>
      </c>
      <c r="G369" s="16">
        <v>72</v>
      </c>
      <c r="H369" s="16">
        <v>40</v>
      </c>
      <c r="I369" s="22">
        <v>0.5</v>
      </c>
      <c r="J369" s="16">
        <v>660</v>
      </c>
      <c r="K369" s="16" t="b">
        <v>1</v>
      </c>
      <c r="L369" s="22">
        <v>0</v>
      </c>
      <c r="M369" s="42">
        <v>0</v>
      </c>
      <c r="N369" s="22">
        <v>0.1538</v>
      </c>
      <c r="O369" s="42">
        <v>6.50195059</v>
      </c>
      <c r="P369" s="22">
        <v>0.5</v>
      </c>
      <c r="Q369" s="16">
        <v>1</v>
      </c>
      <c r="R369" s="16">
        <v>1</v>
      </c>
      <c r="S369" s="22">
        <v>0</v>
      </c>
      <c r="T369" s="16">
        <v>0</v>
      </c>
      <c r="U369" s="16">
        <v>0</v>
      </c>
      <c r="V369" s="16">
        <v>0</v>
      </c>
      <c r="W369" s="16">
        <v>-0.2</v>
      </c>
      <c r="X369" s="16">
        <v>-0.2</v>
      </c>
      <c r="Y369" s="16">
        <v>0</v>
      </c>
      <c r="Z369" s="16">
        <v>0</v>
      </c>
      <c r="AA369" s="16">
        <v>0</v>
      </c>
      <c r="AB369" s="16">
        <v>-0.2</v>
      </c>
      <c r="AC369" s="16">
        <v>-0.2</v>
      </c>
      <c r="AD369" s="16">
        <v>0</v>
      </c>
      <c r="AE369" s="16">
        <v>0</v>
      </c>
      <c r="AF369" s="16">
        <v>0</v>
      </c>
      <c r="AG369" s="16">
        <v>-0.2</v>
      </c>
      <c r="AH369" s="16">
        <v>-0.2</v>
      </c>
      <c r="AI369" s="48">
        <v>10001</v>
      </c>
      <c r="AJ369" s="48">
        <v>10002</v>
      </c>
      <c r="AK369" s="48">
        <v>10003</v>
      </c>
      <c r="AL369" s="48">
        <v>10004</v>
      </c>
      <c r="AM369" s="48">
        <v>10015</v>
      </c>
      <c r="AN369" s="25">
        <v>0.2</v>
      </c>
      <c r="AO369" s="49" t="s"/>
      <c r="AP369" s="50">
        <v>50</v>
      </c>
      <c r="AQ369" s="51" t="s">
        <v>1175</v>
      </c>
      <c r="AR369" s="51">
        <f>=F369*247.95</f>
        <v>484494.3</v>
      </c>
      <c r="AS369" s="51">
        <f>=G369*32.6061</f>
        <v>2347.6392</v>
      </c>
      <c r="AT369" s="51">
        <f>=J369*2.35</f>
        <v>1551</v>
      </c>
      <c r="AU369" s="47">
        <f>=H369*15.88</f>
        <v>635.2</v>
      </c>
    </row>
    <row r="370" spans="1:47">
      <c r="A370" s="16" t="s">
        <v>1837</v>
      </c>
      <c r="B370" s="16">
        <v>31182</v>
      </c>
      <c r="C370" s="16" t="s">
        <v>1838</v>
      </c>
      <c r="D370" s="16" t="s">
        <v>1839</v>
      </c>
      <c r="E370" s="16">
        <v>900031182</v>
      </c>
      <c r="F370" s="16">
        <v>2389</v>
      </c>
      <c r="G370" s="16">
        <v>72</v>
      </c>
      <c r="H370" s="16">
        <v>40</v>
      </c>
      <c r="I370" s="22">
        <v>0.5</v>
      </c>
      <c r="J370" s="16">
        <v>990</v>
      </c>
      <c r="K370" s="16" t="b">
        <v>1</v>
      </c>
      <c r="L370" s="22">
        <v>0</v>
      </c>
      <c r="M370" s="42">
        <v>0</v>
      </c>
      <c r="N370" s="22">
        <v>0.1538</v>
      </c>
      <c r="O370" s="42">
        <v>6.50195059</v>
      </c>
      <c r="P370" s="22">
        <v>0.5</v>
      </c>
      <c r="Q370" s="16">
        <v>1</v>
      </c>
      <c r="R370" s="16">
        <v>3</v>
      </c>
      <c r="S370" s="22">
        <v>0</v>
      </c>
      <c r="T370" s="16">
        <v>0</v>
      </c>
      <c r="U370" s="16">
        <v>0</v>
      </c>
      <c r="V370" s="16">
        <v>0</v>
      </c>
      <c r="W370" s="16">
        <v>-0.2</v>
      </c>
      <c r="X370" s="16">
        <v>-0.2</v>
      </c>
      <c r="Y370" s="16">
        <v>0</v>
      </c>
      <c r="Z370" s="16">
        <v>0</v>
      </c>
      <c r="AA370" s="16">
        <v>0</v>
      </c>
      <c r="AB370" s="16">
        <v>-0.2</v>
      </c>
      <c r="AC370" s="16">
        <v>-0.2</v>
      </c>
      <c r="AD370" s="16">
        <v>0</v>
      </c>
      <c r="AE370" s="16">
        <v>0</v>
      </c>
      <c r="AF370" s="16">
        <v>0</v>
      </c>
      <c r="AG370" s="16">
        <v>-0.2</v>
      </c>
      <c r="AH370" s="16">
        <v>-0.2</v>
      </c>
      <c r="AI370" s="48">
        <v>10001</v>
      </c>
      <c r="AJ370" s="48">
        <v>10002</v>
      </c>
      <c r="AK370" s="48">
        <v>10003</v>
      </c>
      <c r="AL370" s="48">
        <v>10004</v>
      </c>
      <c r="AM370" s="48">
        <v>10015</v>
      </c>
      <c r="AN370" s="25">
        <v>0.2</v>
      </c>
      <c r="AO370" s="49" t="s"/>
      <c r="AP370" s="50">
        <v>50</v>
      </c>
      <c r="AQ370" s="51" t="s">
        <v>1766</v>
      </c>
      <c r="AR370" s="51">
        <f>=F370*247.95</f>
        <v>592352.55</v>
      </c>
      <c r="AS370" s="51">
        <f>=G370*32.6061</f>
        <v>2347.6392</v>
      </c>
      <c r="AT370" s="51">
        <f>=J370*2.35</f>
        <v>2326.5</v>
      </c>
      <c r="AU370" s="47">
        <f>=H370*15.88</f>
        <v>635.2</v>
      </c>
    </row>
    <row r="371" spans="1:47" ht="18" customHeight="1">
      <c r="A371" s="16" t="s">
        <v>1837</v>
      </c>
      <c r="B371" s="16">
        <v>31183</v>
      </c>
      <c r="C371" s="16" t="s">
        <v>1838</v>
      </c>
      <c r="D371" s="16" t="s">
        <v>1839</v>
      </c>
      <c r="E371" s="16">
        <v>900031183</v>
      </c>
      <c r="F371" s="16">
        <v>2389</v>
      </c>
      <c r="G371" s="16">
        <v>72</v>
      </c>
      <c r="H371" s="16">
        <v>40</v>
      </c>
      <c r="I371" s="22">
        <v>0.5</v>
      </c>
      <c r="J371" s="16">
        <v>990</v>
      </c>
      <c r="K371" s="16" t="b">
        <v>1</v>
      </c>
      <c r="L371" s="22">
        <v>0</v>
      </c>
      <c r="M371" s="42">
        <v>0</v>
      </c>
      <c r="N371" s="22">
        <v>0.1538</v>
      </c>
      <c r="O371" s="42">
        <v>6.50195059</v>
      </c>
      <c r="P371" s="22">
        <v>0.5</v>
      </c>
      <c r="Q371" s="16">
        <v>1</v>
      </c>
      <c r="R371" s="16">
        <v>3</v>
      </c>
      <c r="S371" s="22">
        <v>0</v>
      </c>
      <c r="T371" s="16">
        <v>0</v>
      </c>
      <c r="U371" s="16">
        <v>0</v>
      </c>
      <c r="V371" s="16">
        <v>0</v>
      </c>
      <c r="W371" s="16">
        <v>-0.2</v>
      </c>
      <c r="X371" s="16">
        <v>-0.2</v>
      </c>
      <c r="Y371" s="16">
        <v>0</v>
      </c>
      <c r="Z371" s="16">
        <v>0</v>
      </c>
      <c r="AA371" s="16">
        <v>0</v>
      </c>
      <c r="AB371" s="16">
        <v>-0.2</v>
      </c>
      <c r="AC371" s="16">
        <v>-0.2</v>
      </c>
      <c r="AD371" s="16">
        <v>0</v>
      </c>
      <c r="AE371" s="16">
        <v>0</v>
      </c>
      <c r="AF371" s="16">
        <v>0</v>
      </c>
      <c r="AG371" s="16">
        <v>-0.2</v>
      </c>
      <c r="AH371" s="16">
        <v>-0.2</v>
      </c>
      <c r="AI371" s="48">
        <v>10001</v>
      </c>
      <c r="AJ371" s="48">
        <v>10002</v>
      </c>
      <c r="AK371" s="48">
        <v>10003</v>
      </c>
      <c r="AL371" s="48">
        <v>10004</v>
      </c>
      <c r="AM371" s="48">
        <v>10015</v>
      </c>
      <c r="AN371" s="25">
        <v>0.2</v>
      </c>
      <c r="AO371" s="49" t="s"/>
      <c r="AP371" s="50">
        <v>50</v>
      </c>
      <c r="AQ371" s="51" t="s">
        <v>1777</v>
      </c>
      <c r="AR371" s="51">
        <f>=F371*247.95</f>
        <v>592352.55</v>
      </c>
      <c r="AS371" s="51">
        <f>=G371*32.6061</f>
        <v>2347.6392</v>
      </c>
      <c r="AT371" s="51">
        <f>=J371*2.35</f>
        <v>2326.5</v>
      </c>
      <c r="AU371" s="47">
        <f>=H371*15.88</f>
        <v>635.2</v>
      </c>
    </row>
    <row r="372" spans="1:47">
      <c r="A372" s="16" t="s">
        <v>1840</v>
      </c>
      <c r="B372" s="16">
        <v>31191</v>
      </c>
      <c r="C372" s="16" t="s">
        <v>1841</v>
      </c>
      <c r="D372" s="16" t="s">
        <v>1842</v>
      </c>
      <c r="E372" s="16">
        <v>900031191</v>
      </c>
      <c r="F372" s="16">
        <v>30200</v>
      </c>
      <c r="G372" s="16">
        <v>144</v>
      </c>
      <c r="H372" s="16">
        <v>100</v>
      </c>
      <c r="I372" s="22">
        <v>0.5</v>
      </c>
      <c r="J372" s="16">
        <v>6929</v>
      </c>
      <c r="K372" s="16" t="b">
        <v>1</v>
      </c>
      <c r="L372" s="22">
        <v>0</v>
      </c>
      <c r="M372" s="42">
        <v>0</v>
      </c>
      <c r="N372" s="22">
        <v>0.0833</v>
      </c>
      <c r="O372" s="42">
        <v>12.0048019</v>
      </c>
      <c r="P372" s="22">
        <v>0.5</v>
      </c>
      <c r="Q372" s="16">
        <v>3</v>
      </c>
      <c r="R372" s="16">
        <v>5</v>
      </c>
      <c r="S372" s="22">
        <v>0.75</v>
      </c>
      <c r="T372" s="16">
        <v>-0.2</v>
      </c>
      <c r="U372" s="16">
        <v>-0.2</v>
      </c>
      <c r="V372" s="16">
        <v>0.2</v>
      </c>
      <c r="W372" s="16">
        <v>0</v>
      </c>
      <c r="X372" s="16">
        <v>0</v>
      </c>
      <c r="Y372" s="16">
        <v>-0.2</v>
      </c>
      <c r="Z372" s="16">
        <v>-0.2</v>
      </c>
      <c r="AA372" s="16">
        <v>0.2</v>
      </c>
      <c r="AB372" s="16">
        <v>0</v>
      </c>
      <c r="AC372" s="16">
        <v>0</v>
      </c>
      <c r="AD372" s="16">
        <v>-0.2</v>
      </c>
      <c r="AE372" s="16">
        <v>-0.2</v>
      </c>
      <c r="AF372" s="16">
        <v>0.2</v>
      </c>
      <c r="AG372" s="16">
        <v>0</v>
      </c>
      <c r="AH372" s="16">
        <v>0</v>
      </c>
      <c r="AI372" s="48">
        <v>30011</v>
      </c>
      <c r="AJ372" s="48">
        <v>30012</v>
      </c>
      <c r="AK372" s="48">
        <v>30003</v>
      </c>
      <c r="AL372" s="48">
        <v>30004</v>
      </c>
      <c r="AM372" s="48">
        <v>30005</v>
      </c>
      <c r="AN372" s="25">
        <v>0.32</v>
      </c>
      <c r="AO372" s="49">
        <v>5</v>
      </c>
      <c r="AP372" s="50">
        <v>100</v>
      </c>
      <c r="AQ372" s="51" t="s">
        <v>1797</v>
      </c>
      <c r="AR372" s="51">
        <f>=F372*247.95</f>
        <v>7488090</v>
      </c>
      <c r="AS372" s="51">
        <f>=G372*32.6061</f>
        <v>4695.2784</v>
      </c>
      <c r="AT372" s="51">
        <f>=J372*2.35</f>
        <v>16283.15</v>
      </c>
      <c r="AU372" s="47">
        <f>=H372*15.88</f>
        <v>1588</v>
      </c>
    </row>
    <row r="373" spans="1:47">
      <c r="A373" s="16" t="s">
        <v>1840</v>
      </c>
      <c r="B373" s="16">
        <v>31192</v>
      </c>
      <c r="C373" s="16" t="s">
        <v>1841</v>
      </c>
      <c r="D373" s="16" t="s">
        <v>1842</v>
      </c>
      <c r="E373" s="16">
        <v>900031192</v>
      </c>
      <c r="F373" s="16">
        <v>30200</v>
      </c>
      <c r="G373" s="16">
        <v>144</v>
      </c>
      <c r="H373" s="16">
        <v>100</v>
      </c>
      <c r="I373" s="22">
        <v>0.5</v>
      </c>
      <c r="J373" s="16">
        <v>6929</v>
      </c>
      <c r="K373" s="16" t="b">
        <v>1</v>
      </c>
      <c r="L373" s="22">
        <v>0</v>
      </c>
      <c r="M373" s="42">
        <v>0</v>
      </c>
      <c r="N373" s="22">
        <v>0.0833</v>
      </c>
      <c r="O373" s="42">
        <v>12.0048019</v>
      </c>
      <c r="P373" s="22">
        <v>0.5</v>
      </c>
      <c r="Q373" s="16">
        <v>3</v>
      </c>
      <c r="R373" s="16">
        <v>5</v>
      </c>
      <c r="S373" s="22">
        <v>0.75</v>
      </c>
      <c r="T373" s="16">
        <v>-0.2</v>
      </c>
      <c r="U373" s="16">
        <v>-0.2</v>
      </c>
      <c r="V373" s="16">
        <v>0.2</v>
      </c>
      <c r="W373" s="16">
        <v>0</v>
      </c>
      <c r="X373" s="16">
        <v>0</v>
      </c>
      <c r="Y373" s="16">
        <v>-0.2</v>
      </c>
      <c r="Z373" s="16">
        <v>-0.2</v>
      </c>
      <c r="AA373" s="16">
        <v>0.2</v>
      </c>
      <c r="AB373" s="16">
        <v>0</v>
      </c>
      <c r="AC373" s="16">
        <v>0</v>
      </c>
      <c r="AD373" s="16">
        <v>-0.2</v>
      </c>
      <c r="AE373" s="16">
        <v>-0.2</v>
      </c>
      <c r="AF373" s="16">
        <v>0.2</v>
      </c>
      <c r="AG373" s="16">
        <v>0</v>
      </c>
      <c r="AH373" s="16">
        <v>0</v>
      </c>
      <c r="AI373" s="48">
        <v>30011</v>
      </c>
      <c r="AJ373" s="48">
        <v>30012</v>
      </c>
      <c r="AK373" s="48">
        <v>30003</v>
      </c>
      <c r="AL373" s="48">
        <v>30004</v>
      </c>
      <c r="AM373" s="48">
        <v>30005</v>
      </c>
      <c r="AN373" s="25">
        <v>0.32</v>
      </c>
      <c r="AO373" s="49">
        <v>5</v>
      </c>
      <c r="AP373" s="50">
        <v>100</v>
      </c>
      <c r="AQ373" s="51" t="s">
        <v>1798</v>
      </c>
      <c r="AR373" s="51">
        <f>=F373*247.95</f>
        <v>7488090</v>
      </c>
      <c r="AS373" s="51">
        <f>=G373*32.6061</f>
        <v>4695.2784</v>
      </c>
      <c r="AT373" s="51">
        <f>=J373*2.35</f>
        <v>16283.15</v>
      </c>
      <c r="AU373" s="47">
        <f>=H373*15.88</f>
        <v>1588</v>
      </c>
    </row>
    <row r="374" spans="1:47">
      <c r="A374" s="16" t="s">
        <v>1843</v>
      </c>
      <c r="B374" s="16">
        <v>31193</v>
      </c>
      <c r="C374" s="16" t="s">
        <v>1844</v>
      </c>
      <c r="D374" s="16" t="s"/>
      <c r="E374" s="16">
        <v>900031193</v>
      </c>
      <c r="F374" s="16">
        <v>30200</v>
      </c>
      <c r="G374" s="16">
        <v>144</v>
      </c>
      <c r="H374" s="16">
        <v>100</v>
      </c>
      <c r="I374" s="22">
        <v>0.5</v>
      </c>
      <c r="J374" s="16">
        <v>6929</v>
      </c>
      <c r="K374" s="16" t="b">
        <v>1</v>
      </c>
      <c r="L374" s="22">
        <v>0</v>
      </c>
      <c r="M374" s="42">
        <v>0</v>
      </c>
      <c r="N374" s="22">
        <v>0.0833</v>
      </c>
      <c r="O374" s="42">
        <v>12.0048019</v>
      </c>
      <c r="P374" s="22">
        <v>0.5</v>
      </c>
      <c r="Q374" s="16">
        <v>3</v>
      </c>
      <c r="R374" s="16">
        <v>5</v>
      </c>
      <c r="S374" s="22">
        <v>0.75</v>
      </c>
      <c r="T374" s="16">
        <v>-0.2</v>
      </c>
      <c r="U374" s="16">
        <v>-0.2</v>
      </c>
      <c r="V374" s="16">
        <v>0.2</v>
      </c>
      <c r="W374" s="16">
        <v>0</v>
      </c>
      <c r="X374" s="16">
        <v>0</v>
      </c>
      <c r="Y374" s="16">
        <v>-0.2</v>
      </c>
      <c r="Z374" s="16">
        <v>-0.2</v>
      </c>
      <c r="AA374" s="16">
        <v>0.2</v>
      </c>
      <c r="AB374" s="16">
        <v>0</v>
      </c>
      <c r="AC374" s="16">
        <v>0</v>
      </c>
      <c r="AD374" s="16">
        <v>-0.2</v>
      </c>
      <c r="AE374" s="16">
        <v>-0.2</v>
      </c>
      <c r="AF374" s="16">
        <v>0.2</v>
      </c>
      <c r="AG374" s="16">
        <v>0</v>
      </c>
      <c r="AH374" s="16">
        <v>0</v>
      </c>
      <c r="AI374" s="48">
        <v>30011</v>
      </c>
      <c r="AJ374" s="48">
        <v>30012</v>
      </c>
      <c r="AK374" s="48">
        <v>30003</v>
      </c>
      <c r="AL374" s="48">
        <v>30004</v>
      </c>
      <c r="AM374" s="48">
        <v>30005</v>
      </c>
      <c r="AN374" s="25">
        <v>0.32</v>
      </c>
      <c r="AO374" s="49">
        <v>5</v>
      </c>
      <c r="AP374" s="50">
        <v>100</v>
      </c>
      <c r="AQ374" s="51" t="s">
        <v>1845</v>
      </c>
      <c r="AR374" s="51">
        <f>=F374*247.95</f>
        <v>7488090</v>
      </c>
      <c r="AS374" s="51">
        <f>=G374*32.6061</f>
        <v>4695.2784</v>
      </c>
      <c r="AT374" s="51">
        <f>=J374*2.35</f>
        <v>16283.15</v>
      </c>
      <c r="AU374" s="47">
        <f>=H374*15.88</f>
        <v>1588</v>
      </c>
    </row>
    <row r="375" spans="1:47">
      <c r="A375" s="16" t="s">
        <v>1840</v>
      </c>
      <c r="B375" s="16">
        <v>31194</v>
      </c>
      <c r="C375" s="16" t="s">
        <v>1841</v>
      </c>
      <c r="D375" s="16" t="s">
        <v>1842</v>
      </c>
      <c r="E375" s="16">
        <v>900031194</v>
      </c>
      <c r="F375" s="16">
        <v>30200</v>
      </c>
      <c r="G375" s="16">
        <v>144</v>
      </c>
      <c r="H375" s="16">
        <v>100</v>
      </c>
      <c r="I375" s="22">
        <v>0.5</v>
      </c>
      <c r="J375" s="16">
        <v>6929</v>
      </c>
      <c r="K375" s="16" t="b">
        <v>1</v>
      </c>
      <c r="L375" s="22">
        <v>0</v>
      </c>
      <c r="M375" s="42">
        <v>0</v>
      </c>
      <c r="N375" s="22">
        <v>0.0833</v>
      </c>
      <c r="O375" s="42">
        <v>12.0048019</v>
      </c>
      <c r="P375" s="22">
        <v>0.5</v>
      </c>
      <c r="Q375" s="16">
        <v>3</v>
      </c>
      <c r="R375" s="16">
        <v>5</v>
      </c>
      <c r="S375" s="22">
        <v>0.75</v>
      </c>
      <c r="T375" s="16">
        <v>-0.2</v>
      </c>
      <c r="U375" s="16">
        <v>-0.2</v>
      </c>
      <c r="V375" s="16">
        <v>0.2</v>
      </c>
      <c r="W375" s="16">
        <v>0</v>
      </c>
      <c r="X375" s="16">
        <v>0</v>
      </c>
      <c r="Y375" s="16">
        <v>-0.2</v>
      </c>
      <c r="Z375" s="16">
        <v>-0.2</v>
      </c>
      <c r="AA375" s="16">
        <v>0.2</v>
      </c>
      <c r="AB375" s="16">
        <v>0</v>
      </c>
      <c r="AC375" s="16">
        <v>0</v>
      </c>
      <c r="AD375" s="16">
        <v>-0.2</v>
      </c>
      <c r="AE375" s="16">
        <v>-0.2</v>
      </c>
      <c r="AF375" s="16">
        <v>0.2</v>
      </c>
      <c r="AG375" s="16">
        <v>0</v>
      </c>
      <c r="AH375" s="16">
        <v>0</v>
      </c>
      <c r="AI375" s="48">
        <v>30011</v>
      </c>
      <c r="AJ375" s="48">
        <v>30012</v>
      </c>
      <c r="AK375" s="48">
        <v>30003</v>
      </c>
      <c r="AL375" s="48">
        <v>30004</v>
      </c>
      <c r="AM375" s="48">
        <v>30005</v>
      </c>
      <c r="AN375" s="25">
        <v>0.32</v>
      </c>
      <c r="AO375" s="49">
        <v>5</v>
      </c>
      <c r="AP375" s="50">
        <v>100</v>
      </c>
      <c r="AQ375" s="51" t="s">
        <v>1846</v>
      </c>
      <c r="AR375" s="51">
        <f>=F375*247.95</f>
        <v>7488090</v>
      </c>
      <c r="AS375" s="51">
        <f>=G375*32.6061</f>
        <v>4695.2784</v>
      </c>
      <c r="AT375" s="51">
        <f>=J375*2.35</f>
        <v>16283.15</v>
      </c>
      <c r="AU375" s="47">
        <f>=H375*15.88</f>
        <v>1588</v>
      </c>
    </row>
    <row r="376" spans="1:47">
      <c r="A376" s="26" t="s">
        <v>1847</v>
      </c>
      <c r="B376" s="16">
        <v>31201</v>
      </c>
      <c r="C376" s="16" t="s">
        <v>1848</v>
      </c>
      <c r="D376" s="16" t="s">
        <v>1849</v>
      </c>
      <c r="E376" s="16">
        <v>900031201</v>
      </c>
      <c r="F376" s="16">
        <v>32877</v>
      </c>
      <c r="G376" s="16">
        <v>144</v>
      </c>
      <c r="H376" s="16">
        <v>60</v>
      </c>
      <c r="I376" s="22">
        <v>0.5</v>
      </c>
      <c r="J376" s="16">
        <v>7760</v>
      </c>
      <c r="K376" s="16" t="b">
        <v>1</v>
      </c>
      <c r="L376" s="22">
        <v>0</v>
      </c>
      <c r="M376" s="42">
        <v>0</v>
      </c>
      <c r="N376" s="22">
        <v>0.0833</v>
      </c>
      <c r="O376" s="42">
        <v>12.0048019</v>
      </c>
      <c r="P376" s="22">
        <v>1</v>
      </c>
      <c r="Q376" s="16">
        <v>3</v>
      </c>
      <c r="R376" s="16">
        <v>5</v>
      </c>
      <c r="S376" s="22">
        <v>0.75</v>
      </c>
      <c r="T376" s="16">
        <v>0</v>
      </c>
      <c r="U376" s="16">
        <v>0.2</v>
      </c>
      <c r="V376" s="16">
        <v>0</v>
      </c>
      <c r="W376" s="16">
        <v>-0.2</v>
      </c>
      <c r="X376" s="16">
        <v>-0.2</v>
      </c>
      <c r="Y376" s="16">
        <v>0</v>
      </c>
      <c r="Z376" s="16">
        <v>0.2</v>
      </c>
      <c r="AA376" s="16">
        <v>0</v>
      </c>
      <c r="AB376" s="16">
        <v>-0.2</v>
      </c>
      <c r="AC376" s="16">
        <v>-0.2</v>
      </c>
      <c r="AD376" s="16">
        <v>0</v>
      </c>
      <c r="AE376" s="16">
        <v>0.2</v>
      </c>
      <c r="AF376" s="16">
        <v>0</v>
      </c>
      <c r="AG376" s="16">
        <v>-0.2</v>
      </c>
      <c r="AH376" s="16">
        <v>-0.2</v>
      </c>
      <c r="AI376" s="48">
        <v>30011</v>
      </c>
      <c r="AJ376" s="48">
        <v>30002</v>
      </c>
      <c r="AK376" s="48">
        <v>30003</v>
      </c>
      <c r="AL376" s="48">
        <v>30004</v>
      </c>
      <c r="AM376" s="48">
        <v>30015</v>
      </c>
      <c r="AN376" s="25">
        <v>0.25</v>
      </c>
      <c r="AO376" s="49">
        <v>5</v>
      </c>
      <c r="AP376" s="50">
        <v>100</v>
      </c>
      <c r="AQ376" s="51" t="s">
        <v>1850</v>
      </c>
      <c r="AR376" s="51">
        <f>=F376*247.95</f>
        <v>8151852.15</v>
      </c>
      <c r="AS376" s="51">
        <f>=G376*32.6061</f>
        <v>4695.2784</v>
      </c>
      <c r="AT376" s="51">
        <f>=J376*2.35</f>
        <v>18236</v>
      </c>
      <c r="AU376" s="47">
        <f>=H376*15.88</f>
        <v>952.8</v>
      </c>
    </row>
    <row r="377" spans="1:47">
      <c r="A377" s="26" t="s">
        <v>1847</v>
      </c>
      <c r="B377" s="16">
        <v>31202</v>
      </c>
      <c r="C377" s="16" t="s">
        <v>1848</v>
      </c>
      <c r="D377" s="16" t="s">
        <v>1849</v>
      </c>
      <c r="E377" s="16">
        <v>900031202</v>
      </c>
      <c r="F377" s="16">
        <v>32877</v>
      </c>
      <c r="G377" s="16">
        <v>144</v>
      </c>
      <c r="H377" s="16">
        <v>60</v>
      </c>
      <c r="I377" s="22">
        <v>0.5</v>
      </c>
      <c r="J377" s="16">
        <v>7760</v>
      </c>
      <c r="K377" s="16" t="b">
        <v>1</v>
      </c>
      <c r="L377" s="22">
        <v>0</v>
      </c>
      <c r="M377" s="42">
        <v>0</v>
      </c>
      <c r="N377" s="22">
        <v>0.0833</v>
      </c>
      <c r="O377" s="42">
        <v>12.0048019</v>
      </c>
      <c r="P377" s="22">
        <v>1</v>
      </c>
      <c r="Q377" s="16">
        <v>3</v>
      </c>
      <c r="R377" s="16">
        <v>5</v>
      </c>
      <c r="S377" s="22">
        <v>0.75</v>
      </c>
      <c r="T377" s="16">
        <v>0</v>
      </c>
      <c r="U377" s="16">
        <v>0.2</v>
      </c>
      <c r="V377" s="16">
        <v>0</v>
      </c>
      <c r="W377" s="16">
        <v>-0.2</v>
      </c>
      <c r="X377" s="16">
        <v>-0.2</v>
      </c>
      <c r="Y377" s="16">
        <v>0</v>
      </c>
      <c r="Z377" s="16">
        <v>0.2</v>
      </c>
      <c r="AA377" s="16">
        <v>0</v>
      </c>
      <c r="AB377" s="16">
        <v>-0.2</v>
      </c>
      <c r="AC377" s="16">
        <v>-0.2</v>
      </c>
      <c r="AD377" s="16">
        <v>0</v>
      </c>
      <c r="AE377" s="16">
        <v>0.2</v>
      </c>
      <c r="AF377" s="16">
        <v>0</v>
      </c>
      <c r="AG377" s="16">
        <v>-0.2</v>
      </c>
      <c r="AH377" s="16">
        <v>-0.2</v>
      </c>
      <c r="AI377" s="48">
        <v>30011</v>
      </c>
      <c r="AJ377" s="48">
        <v>30002</v>
      </c>
      <c r="AK377" s="48">
        <v>30003</v>
      </c>
      <c r="AL377" s="48">
        <v>30004</v>
      </c>
      <c r="AM377" s="48">
        <v>30015</v>
      </c>
      <c r="AN377" s="25">
        <v>0.25</v>
      </c>
      <c r="AO377" s="49">
        <v>5</v>
      </c>
      <c r="AP377" s="50">
        <v>100</v>
      </c>
      <c r="AQ377" s="51" t="s">
        <v>1851</v>
      </c>
      <c r="AR377" s="51">
        <f>=F377*247.95</f>
        <v>8151852.15</v>
      </c>
      <c r="AS377" s="51">
        <f>=G377*32.6061</f>
        <v>4695.2784</v>
      </c>
      <c r="AT377" s="51">
        <f>=J377*2.35</f>
        <v>18236</v>
      </c>
      <c r="AU377" s="47">
        <f>=H377*15.88</f>
        <v>952.8</v>
      </c>
    </row>
    <row r="378" spans="1:47">
      <c r="A378" s="26" t="s">
        <v>1852</v>
      </c>
      <c r="B378" s="16">
        <v>31203</v>
      </c>
      <c r="C378" s="16" t="s">
        <v>1853</v>
      </c>
      <c r="D378" s="16" t="s"/>
      <c r="E378" s="16">
        <v>900031203</v>
      </c>
      <c r="F378" s="16">
        <v>32877</v>
      </c>
      <c r="G378" s="16">
        <v>144</v>
      </c>
      <c r="H378" s="16">
        <v>60</v>
      </c>
      <c r="I378" s="22">
        <v>0.5</v>
      </c>
      <c r="J378" s="16">
        <v>7760</v>
      </c>
      <c r="K378" s="16" t="b">
        <v>1</v>
      </c>
      <c r="L378" s="22">
        <v>0</v>
      </c>
      <c r="M378" s="42">
        <v>0</v>
      </c>
      <c r="N378" s="22">
        <v>0.0833</v>
      </c>
      <c r="O378" s="42">
        <v>12.0048019</v>
      </c>
      <c r="P378" s="22">
        <v>1</v>
      </c>
      <c r="Q378" s="16">
        <v>3</v>
      </c>
      <c r="R378" s="16">
        <v>5</v>
      </c>
      <c r="S378" s="22">
        <v>0.75</v>
      </c>
      <c r="T378" s="16">
        <v>0</v>
      </c>
      <c r="U378" s="16">
        <v>0.2</v>
      </c>
      <c r="V378" s="16">
        <v>0</v>
      </c>
      <c r="W378" s="16">
        <v>-0.2</v>
      </c>
      <c r="X378" s="16">
        <v>-0.2</v>
      </c>
      <c r="Y378" s="16">
        <v>0</v>
      </c>
      <c r="Z378" s="16">
        <v>0.2</v>
      </c>
      <c r="AA378" s="16">
        <v>0</v>
      </c>
      <c r="AB378" s="16">
        <v>-0.2</v>
      </c>
      <c r="AC378" s="16">
        <v>-0.2</v>
      </c>
      <c r="AD378" s="16">
        <v>0</v>
      </c>
      <c r="AE378" s="16">
        <v>0.2</v>
      </c>
      <c r="AF378" s="16">
        <v>0</v>
      </c>
      <c r="AG378" s="16">
        <v>-0.2</v>
      </c>
      <c r="AH378" s="16">
        <v>-0.2</v>
      </c>
      <c r="AI378" s="48">
        <v>30011</v>
      </c>
      <c r="AJ378" s="48">
        <v>30002</v>
      </c>
      <c r="AK378" s="48">
        <v>30003</v>
      </c>
      <c r="AL378" s="48">
        <v>30004</v>
      </c>
      <c r="AM378" s="48">
        <v>30015</v>
      </c>
      <c r="AN378" s="25">
        <v>0.25</v>
      </c>
      <c r="AO378" s="49">
        <v>5</v>
      </c>
      <c r="AP378" s="50">
        <v>100</v>
      </c>
      <c r="AQ378" s="51" t="s">
        <v>1854</v>
      </c>
      <c r="AR378" s="51">
        <f>=F378*247.95</f>
        <v>8151852.15</v>
      </c>
      <c r="AS378" s="51">
        <f>=G378*32.6061</f>
        <v>4695.2784</v>
      </c>
      <c r="AT378" s="51">
        <f>=J378*2.35</f>
        <v>18236</v>
      </c>
      <c r="AU378" s="47">
        <f>=H378*15.88</f>
        <v>952.8</v>
      </c>
    </row>
    <row r="379" spans="1:47">
      <c r="A379" s="26" t="s">
        <v>1855</v>
      </c>
      <c r="B379" s="16">
        <v>31204</v>
      </c>
      <c r="C379" s="16" t="s">
        <v>1856</v>
      </c>
      <c r="D379" s="16" t="s"/>
      <c r="E379" s="16">
        <v>900031204</v>
      </c>
      <c r="F379" s="16">
        <v>738</v>
      </c>
      <c r="G379" s="16">
        <v>53</v>
      </c>
      <c r="H379" s="16">
        <v>43</v>
      </c>
      <c r="I379" s="22">
        <v>0.5</v>
      </c>
      <c r="J379" s="16">
        <v>252</v>
      </c>
      <c r="K379" s="16" t="b">
        <v>1</v>
      </c>
      <c r="L379" s="22">
        <v>0</v>
      </c>
      <c r="M379" s="42">
        <v>0</v>
      </c>
      <c r="N379" s="22">
        <v>0.1538</v>
      </c>
      <c r="O379" s="42">
        <v>6.50195059</v>
      </c>
      <c r="P379" s="22">
        <v>0.5</v>
      </c>
      <c r="Q379" s="16">
        <v>1</v>
      </c>
      <c r="R379" s="16">
        <v>1</v>
      </c>
      <c r="S379" s="22">
        <v>0</v>
      </c>
      <c r="T379" s="16">
        <v>0</v>
      </c>
      <c r="U379" s="16">
        <v>0</v>
      </c>
      <c r="V379" s="16">
        <v>-0.2</v>
      </c>
      <c r="W379" s="16">
        <v>-0.2</v>
      </c>
      <c r="X379" s="16">
        <v>0</v>
      </c>
      <c r="Y379" s="16">
        <v>0</v>
      </c>
      <c r="Z379" s="16">
        <v>0</v>
      </c>
      <c r="AA379" s="16">
        <v>-0.2</v>
      </c>
      <c r="AB379" s="16">
        <v>-0.2</v>
      </c>
      <c r="AC379" s="16">
        <v>0</v>
      </c>
      <c r="AD379" s="16">
        <v>0</v>
      </c>
      <c r="AE379" s="16">
        <v>0</v>
      </c>
      <c r="AF379" s="16">
        <v>-0.2</v>
      </c>
      <c r="AG379" s="16">
        <v>-0.2</v>
      </c>
      <c r="AH379" s="16">
        <v>0</v>
      </c>
      <c r="AI379" s="48">
        <v>10001</v>
      </c>
      <c r="AJ379" s="48">
        <v>10002</v>
      </c>
      <c r="AK379" s="48">
        <v>10013</v>
      </c>
      <c r="AL379" s="48">
        <v>10004</v>
      </c>
      <c r="AM379" s="48">
        <v>10005</v>
      </c>
      <c r="AN379" s="25">
        <v>0.25</v>
      </c>
      <c r="AO379" s="49" t="s"/>
      <c r="AP379" s="50">
        <v>50</v>
      </c>
      <c r="AQ379" s="51" t="s">
        <v>1857</v>
      </c>
      <c r="AR379" s="51">
        <f>=F379*247.95</f>
        <v>182987.1</v>
      </c>
      <c r="AS379" s="51">
        <f>=G379*32.6061</f>
        <v>1728.1233</v>
      </c>
      <c r="AT379" s="51">
        <f>=J379*2.35</f>
        <v>592.2</v>
      </c>
      <c r="AU379" s="47">
        <f>=H379*15.88</f>
        <v>682.84</v>
      </c>
    </row>
    <row r="380" spans="1:47">
      <c r="A380" s="16" t="s">
        <v>1168</v>
      </c>
      <c r="B380" s="16">
        <v>31211</v>
      </c>
      <c r="C380" s="16" t="s">
        <v>1169</v>
      </c>
      <c r="D380" s="16" t="s">
        <v>1747</v>
      </c>
      <c r="E380" s="16">
        <v>900031211</v>
      </c>
      <c r="F380" s="16">
        <v>21595</v>
      </c>
      <c r="G380" s="16">
        <v>144</v>
      </c>
      <c r="H380" s="16">
        <v>60</v>
      </c>
      <c r="I380" s="22">
        <v>0.5</v>
      </c>
      <c r="J380" s="16">
        <v>6097</v>
      </c>
      <c r="K380" s="16" t="b">
        <v>1</v>
      </c>
      <c r="L380" s="22">
        <v>0</v>
      </c>
      <c r="M380" s="42">
        <v>0</v>
      </c>
      <c r="N380" s="22">
        <v>0.0833</v>
      </c>
      <c r="O380" s="42">
        <v>12.0048019</v>
      </c>
      <c r="P380" s="22">
        <v>0.25</v>
      </c>
      <c r="Q380" s="16">
        <v>3</v>
      </c>
      <c r="R380" s="16">
        <v>1</v>
      </c>
      <c r="S380" s="22">
        <v>0.75</v>
      </c>
      <c r="T380" s="16">
        <v>0</v>
      </c>
      <c r="U380" s="16">
        <v>-0.2</v>
      </c>
      <c r="V380" s="16">
        <v>0</v>
      </c>
      <c r="W380" s="16">
        <v>-0.2</v>
      </c>
      <c r="X380" s="16">
        <v>0.2</v>
      </c>
      <c r="Y380" s="16">
        <v>0</v>
      </c>
      <c r="Z380" s="16">
        <v>-0.2</v>
      </c>
      <c r="AA380" s="16">
        <v>0</v>
      </c>
      <c r="AB380" s="16">
        <v>-0.2</v>
      </c>
      <c r="AC380" s="16">
        <v>0.2</v>
      </c>
      <c r="AD380" s="16">
        <v>0</v>
      </c>
      <c r="AE380" s="16">
        <v>-0.2</v>
      </c>
      <c r="AF380" s="16">
        <v>0</v>
      </c>
      <c r="AG380" s="16">
        <v>-0.2</v>
      </c>
      <c r="AH380" s="16">
        <v>0.2</v>
      </c>
      <c r="AI380" s="48">
        <v>30011</v>
      </c>
      <c r="AJ380" s="48">
        <v>30012</v>
      </c>
      <c r="AK380" s="48">
        <v>30003</v>
      </c>
      <c r="AL380" s="48">
        <v>30004</v>
      </c>
      <c r="AM380" s="48">
        <v>30005</v>
      </c>
      <c r="AN380" s="25">
        <v>0.2</v>
      </c>
      <c r="AO380" s="49">
        <v>5</v>
      </c>
      <c r="AP380" s="50">
        <v>100</v>
      </c>
      <c r="AQ380" s="51" t="s">
        <v>1171</v>
      </c>
      <c r="AR380" s="51">
        <f>=F380*247.95</f>
        <v>5354480.25</v>
      </c>
      <c r="AS380" s="51">
        <f>=G380*32.6061</f>
        <v>4695.2784</v>
      </c>
      <c r="AT380" s="51">
        <f>=J380*2.35</f>
        <v>14327.95</v>
      </c>
      <c r="AU380" s="47">
        <f>=H380*15.88</f>
        <v>952.8</v>
      </c>
    </row>
    <row r="381" spans="1:47">
      <c r="A381" s="16" t="s">
        <v>1858</v>
      </c>
      <c r="B381" s="16">
        <v>31212</v>
      </c>
      <c r="C381" s="16" t="s">
        <v>1859</v>
      </c>
      <c r="D381" s="16" t="s">
        <v>1860</v>
      </c>
      <c r="E381" s="16">
        <v>900031212</v>
      </c>
      <c r="F381" s="16">
        <v>21595</v>
      </c>
      <c r="G381" s="16">
        <v>144</v>
      </c>
      <c r="H381" s="16">
        <v>60</v>
      </c>
      <c r="I381" s="22">
        <v>0.5</v>
      </c>
      <c r="J381" s="16">
        <v>6097</v>
      </c>
      <c r="K381" s="16" t="b">
        <v>1</v>
      </c>
      <c r="L381" s="22">
        <v>0</v>
      </c>
      <c r="M381" s="42">
        <v>0</v>
      </c>
      <c r="N381" s="22">
        <v>0.0833</v>
      </c>
      <c r="O381" s="42">
        <v>12.0048019</v>
      </c>
      <c r="P381" s="22">
        <v>0.25</v>
      </c>
      <c r="Q381" s="16">
        <v>3</v>
      </c>
      <c r="R381" s="16">
        <v>1</v>
      </c>
      <c r="S381" s="22">
        <v>0.75</v>
      </c>
      <c r="T381" s="16">
        <v>0</v>
      </c>
      <c r="U381" s="16">
        <v>-0.2</v>
      </c>
      <c r="V381" s="16">
        <v>0</v>
      </c>
      <c r="W381" s="16">
        <v>-0.2</v>
      </c>
      <c r="X381" s="16">
        <v>0.2</v>
      </c>
      <c r="Y381" s="16">
        <v>0</v>
      </c>
      <c r="Z381" s="16">
        <v>-0.2</v>
      </c>
      <c r="AA381" s="16">
        <v>0</v>
      </c>
      <c r="AB381" s="16">
        <v>-0.2</v>
      </c>
      <c r="AC381" s="16">
        <v>0.2</v>
      </c>
      <c r="AD381" s="16">
        <v>0</v>
      </c>
      <c r="AE381" s="16">
        <v>-0.2</v>
      </c>
      <c r="AF381" s="16">
        <v>0</v>
      </c>
      <c r="AG381" s="16">
        <v>-0.2</v>
      </c>
      <c r="AH381" s="16">
        <v>0.2</v>
      </c>
      <c r="AI381" s="48">
        <v>30011</v>
      </c>
      <c r="AJ381" s="48">
        <v>30012</v>
      </c>
      <c r="AK381" s="48">
        <v>30003</v>
      </c>
      <c r="AL381" s="48">
        <v>30004</v>
      </c>
      <c r="AM381" s="48">
        <v>30005</v>
      </c>
      <c r="AN381" s="25">
        <v>0.2</v>
      </c>
      <c r="AO381" s="49">
        <v>5</v>
      </c>
      <c r="AP381" s="50">
        <v>100</v>
      </c>
      <c r="AQ381" s="51" t="s">
        <v>1861</v>
      </c>
      <c r="AR381" s="51">
        <f>=F381*247.95</f>
        <v>5354480.25</v>
      </c>
      <c r="AS381" s="51">
        <f>=G381*32.6061</f>
        <v>4695.2784</v>
      </c>
      <c r="AT381" s="51">
        <f>=J381*2.35</f>
        <v>14327.95</v>
      </c>
      <c r="AU381" s="47">
        <f>=H381*15.88</f>
        <v>952.8</v>
      </c>
    </row>
    <row r="382" spans="1:47">
      <c r="A382" s="16" t="s">
        <v>1862</v>
      </c>
      <c r="B382" s="16">
        <v>31213</v>
      </c>
      <c r="C382" s="16" t="s">
        <v>1863</v>
      </c>
      <c r="D382" s="16" t="s">
        <v>1864</v>
      </c>
      <c r="E382" s="16">
        <v>900031213</v>
      </c>
      <c r="F382" s="16">
        <v>25914</v>
      </c>
      <c r="G382" s="16">
        <v>144</v>
      </c>
      <c r="H382" s="16">
        <v>60</v>
      </c>
      <c r="I382" s="22">
        <v>0.5</v>
      </c>
      <c r="J382" s="16">
        <v>6097</v>
      </c>
      <c r="K382" s="16" t="b">
        <v>1</v>
      </c>
      <c r="L382" s="22">
        <v>0</v>
      </c>
      <c r="M382" s="42">
        <v>0</v>
      </c>
      <c r="N382" s="22">
        <v>0.0833</v>
      </c>
      <c r="O382" s="42">
        <v>12.0048019</v>
      </c>
      <c r="P382" s="22">
        <v>0.25</v>
      </c>
      <c r="Q382" s="16">
        <v>3</v>
      </c>
      <c r="R382" s="16">
        <v>1</v>
      </c>
      <c r="S382" s="22">
        <v>0.75</v>
      </c>
      <c r="T382" s="16">
        <v>0</v>
      </c>
      <c r="U382" s="16">
        <v>-0.2</v>
      </c>
      <c r="V382" s="16">
        <v>0</v>
      </c>
      <c r="W382" s="16">
        <v>-0.2</v>
      </c>
      <c r="X382" s="16">
        <v>0.2</v>
      </c>
      <c r="Y382" s="16">
        <v>0</v>
      </c>
      <c r="Z382" s="16">
        <v>-0.2</v>
      </c>
      <c r="AA382" s="16">
        <v>0</v>
      </c>
      <c r="AB382" s="16">
        <v>-0.2</v>
      </c>
      <c r="AC382" s="16">
        <v>0.2</v>
      </c>
      <c r="AD382" s="16">
        <v>0</v>
      </c>
      <c r="AE382" s="16">
        <v>-0.2</v>
      </c>
      <c r="AF382" s="16">
        <v>0</v>
      </c>
      <c r="AG382" s="16">
        <v>-0.2</v>
      </c>
      <c r="AH382" s="16">
        <v>0.2</v>
      </c>
      <c r="AI382" s="48">
        <v>30011</v>
      </c>
      <c r="AJ382" s="48">
        <v>30012</v>
      </c>
      <c r="AK382" s="48">
        <v>30003</v>
      </c>
      <c r="AL382" s="48">
        <v>30004</v>
      </c>
      <c r="AM382" s="48">
        <v>30005</v>
      </c>
      <c r="AN382" s="25">
        <v>0.2</v>
      </c>
      <c r="AO382" s="49">
        <v>5</v>
      </c>
      <c r="AP382" s="50">
        <v>100</v>
      </c>
      <c r="AQ382" s="51" t="s">
        <v>1865</v>
      </c>
      <c r="AR382" s="51">
        <f>=F382*247.95</f>
        <v>6425376.3</v>
      </c>
      <c r="AS382" s="51">
        <f>=G382*32.6061</f>
        <v>4695.2784</v>
      </c>
      <c r="AT382" s="51">
        <f>=J382*2.35</f>
        <v>14327.95</v>
      </c>
      <c r="AU382" s="47">
        <f>=H382*15.88</f>
        <v>952.8</v>
      </c>
    </row>
    <row r="383" spans="1:47">
      <c r="A383" s="16" t="s">
        <v>1862</v>
      </c>
      <c r="B383" s="16">
        <v>31214</v>
      </c>
      <c r="C383" s="16" t="s">
        <v>1863</v>
      </c>
      <c r="D383" s="16" t="s">
        <v>1864</v>
      </c>
      <c r="E383" s="16">
        <v>900031214</v>
      </c>
      <c r="F383" s="16">
        <v>25914</v>
      </c>
      <c r="G383" s="16">
        <v>144</v>
      </c>
      <c r="H383" s="16">
        <v>60</v>
      </c>
      <c r="I383" s="22">
        <v>0.5</v>
      </c>
      <c r="J383" s="16">
        <v>6097</v>
      </c>
      <c r="K383" s="16" t="b">
        <v>1</v>
      </c>
      <c r="L383" s="22">
        <v>0</v>
      </c>
      <c r="M383" s="42">
        <v>0</v>
      </c>
      <c r="N383" s="22">
        <v>0.0833</v>
      </c>
      <c r="O383" s="42">
        <v>12.0048019</v>
      </c>
      <c r="P383" s="22">
        <v>0.25</v>
      </c>
      <c r="Q383" s="16">
        <v>3</v>
      </c>
      <c r="R383" s="16">
        <v>1</v>
      </c>
      <c r="S383" s="22">
        <v>0.75</v>
      </c>
      <c r="T383" s="16">
        <v>0</v>
      </c>
      <c r="U383" s="16">
        <v>-0.2</v>
      </c>
      <c r="V383" s="16">
        <v>0</v>
      </c>
      <c r="W383" s="16">
        <v>-0.2</v>
      </c>
      <c r="X383" s="16">
        <v>0.2</v>
      </c>
      <c r="Y383" s="16">
        <v>0</v>
      </c>
      <c r="Z383" s="16">
        <v>-0.2</v>
      </c>
      <c r="AA383" s="16">
        <v>0</v>
      </c>
      <c r="AB383" s="16">
        <v>-0.2</v>
      </c>
      <c r="AC383" s="16">
        <v>0.2</v>
      </c>
      <c r="AD383" s="16">
        <v>0</v>
      </c>
      <c r="AE383" s="16">
        <v>-0.2</v>
      </c>
      <c r="AF383" s="16">
        <v>0</v>
      </c>
      <c r="AG383" s="16">
        <v>-0.2</v>
      </c>
      <c r="AH383" s="16">
        <v>0.2</v>
      </c>
      <c r="AI383" s="48">
        <v>30011</v>
      </c>
      <c r="AJ383" s="48">
        <v>30012</v>
      </c>
      <c r="AK383" s="48">
        <v>30003</v>
      </c>
      <c r="AL383" s="48">
        <v>30004</v>
      </c>
      <c r="AM383" s="48">
        <v>30005</v>
      </c>
      <c r="AN383" s="25">
        <v>0.2</v>
      </c>
      <c r="AO383" s="49">
        <v>5</v>
      </c>
      <c r="AP383" s="50">
        <v>100</v>
      </c>
      <c r="AQ383" s="51" t="s">
        <v>1866</v>
      </c>
      <c r="AR383" s="51">
        <f>=F383*247.95</f>
        <v>6425376.3</v>
      </c>
      <c r="AS383" s="51">
        <f>=G383*32.6061</f>
        <v>4695.2784</v>
      </c>
      <c r="AT383" s="51">
        <f>=J383*2.35</f>
        <v>14327.95</v>
      </c>
      <c r="AU383" s="47">
        <f>=H383*15.88</f>
        <v>952.8</v>
      </c>
    </row>
    <row r="384" spans="1:47">
      <c r="A384" s="16" t="s">
        <v>1867</v>
      </c>
      <c r="B384" s="16">
        <v>31221</v>
      </c>
      <c r="C384" s="16" t="s">
        <v>1868</v>
      </c>
      <c r="D384" s="16" t="s">
        <v>1869</v>
      </c>
      <c r="E384" s="16">
        <v>900031221</v>
      </c>
      <c r="F384" s="16">
        <v>1628</v>
      </c>
      <c r="G384" s="16">
        <v>72</v>
      </c>
      <c r="H384" s="16">
        <v>40</v>
      </c>
      <c r="I384" s="22">
        <v>0.5</v>
      </c>
      <c r="J384" s="16">
        <v>660</v>
      </c>
      <c r="K384" s="16" t="b">
        <v>1</v>
      </c>
      <c r="L384" s="22">
        <v>0</v>
      </c>
      <c r="M384" s="42">
        <v>0</v>
      </c>
      <c r="N384" s="22">
        <v>0.1538</v>
      </c>
      <c r="O384" s="42">
        <v>6.50195059</v>
      </c>
      <c r="P384" s="22">
        <v>0.5</v>
      </c>
      <c r="Q384" s="16">
        <v>1</v>
      </c>
      <c r="R384" s="16">
        <v>1</v>
      </c>
      <c r="S384" s="22">
        <v>0</v>
      </c>
      <c r="T384" s="16">
        <v>0</v>
      </c>
      <c r="U384" s="16">
        <v>-0.2</v>
      </c>
      <c r="V384" s="16">
        <v>0</v>
      </c>
      <c r="W384" s="16">
        <v>-0.2</v>
      </c>
      <c r="X384" s="16">
        <v>0</v>
      </c>
      <c r="Y384" s="16">
        <v>0</v>
      </c>
      <c r="Z384" s="16">
        <v>-0.2</v>
      </c>
      <c r="AA384" s="16">
        <v>0</v>
      </c>
      <c r="AB384" s="16">
        <v>-0.2</v>
      </c>
      <c r="AC384" s="16">
        <v>0</v>
      </c>
      <c r="AD384" s="16">
        <v>0</v>
      </c>
      <c r="AE384" s="16">
        <v>-0.2</v>
      </c>
      <c r="AF384" s="16">
        <v>0</v>
      </c>
      <c r="AG384" s="16">
        <v>-0.2</v>
      </c>
      <c r="AH384" s="16">
        <v>0</v>
      </c>
      <c r="AI384" s="48">
        <v>10001</v>
      </c>
      <c r="AJ384" s="48">
        <v>10012</v>
      </c>
      <c r="AK384" s="48">
        <v>10003</v>
      </c>
      <c r="AL384" s="48">
        <v>10004</v>
      </c>
      <c r="AM384" s="48">
        <v>10005</v>
      </c>
      <c r="AN384" s="25">
        <v>0.2</v>
      </c>
      <c r="AO384" s="49" t="s"/>
      <c r="AP384" s="50">
        <v>50</v>
      </c>
      <c r="AQ384" s="51" t="s">
        <v>1870</v>
      </c>
      <c r="AR384" s="51">
        <f>=F384*247.95</f>
        <v>403662.6</v>
      </c>
      <c r="AS384" s="51">
        <f>=G384*32.6061</f>
        <v>2347.6392</v>
      </c>
      <c r="AT384" s="51">
        <f>=J384*2.35</f>
        <v>1551</v>
      </c>
      <c r="AU384" s="47">
        <f>=H384*15.88</f>
        <v>635.2</v>
      </c>
    </row>
    <row r="385" spans="1:47">
      <c r="A385" s="16" t="s">
        <v>1867</v>
      </c>
      <c r="B385" s="16">
        <v>31222</v>
      </c>
      <c r="C385" s="16" t="s">
        <v>1868</v>
      </c>
      <c r="D385" s="16" t="s">
        <v>1869</v>
      </c>
      <c r="E385" s="16">
        <v>900031222</v>
      </c>
      <c r="F385" s="16">
        <v>1991</v>
      </c>
      <c r="G385" s="16">
        <v>72</v>
      </c>
      <c r="H385" s="16">
        <v>40</v>
      </c>
      <c r="I385" s="22">
        <v>0.5</v>
      </c>
      <c r="J385" s="16">
        <v>990</v>
      </c>
      <c r="K385" s="16" t="b">
        <v>1</v>
      </c>
      <c r="L385" s="22">
        <v>0</v>
      </c>
      <c r="M385" s="42">
        <v>0</v>
      </c>
      <c r="N385" s="22">
        <v>0.1538</v>
      </c>
      <c r="O385" s="42">
        <v>6.50195059</v>
      </c>
      <c r="P385" s="22">
        <v>0.5</v>
      </c>
      <c r="Q385" s="16">
        <v>1</v>
      </c>
      <c r="R385" s="16">
        <v>1</v>
      </c>
      <c r="S385" s="22">
        <v>0</v>
      </c>
      <c r="T385" s="16">
        <v>0</v>
      </c>
      <c r="U385" s="16">
        <v>-0.2</v>
      </c>
      <c r="V385" s="16">
        <v>0</v>
      </c>
      <c r="W385" s="16">
        <v>-0.2</v>
      </c>
      <c r="X385" s="16">
        <v>0</v>
      </c>
      <c r="Y385" s="16">
        <v>0</v>
      </c>
      <c r="Z385" s="16">
        <v>-0.2</v>
      </c>
      <c r="AA385" s="16">
        <v>0</v>
      </c>
      <c r="AB385" s="16">
        <v>-0.2</v>
      </c>
      <c r="AC385" s="16">
        <v>0</v>
      </c>
      <c r="AD385" s="16">
        <v>0</v>
      </c>
      <c r="AE385" s="16">
        <v>-0.2</v>
      </c>
      <c r="AF385" s="16">
        <v>0</v>
      </c>
      <c r="AG385" s="16">
        <v>-0.2</v>
      </c>
      <c r="AH385" s="16">
        <v>0</v>
      </c>
      <c r="AI385" s="48">
        <v>10001</v>
      </c>
      <c r="AJ385" s="48">
        <v>10012</v>
      </c>
      <c r="AK385" s="48">
        <v>10003</v>
      </c>
      <c r="AL385" s="48">
        <v>10004</v>
      </c>
      <c r="AM385" s="48">
        <v>10005</v>
      </c>
      <c r="AN385" s="25">
        <v>0.2</v>
      </c>
      <c r="AO385" s="49" t="s"/>
      <c r="AP385" s="50">
        <v>50</v>
      </c>
      <c r="AQ385" s="51" t="s">
        <v>1871</v>
      </c>
      <c r="AR385" s="51">
        <f>=F385*247.95</f>
        <v>493668.45</v>
      </c>
      <c r="AS385" s="51">
        <f>=G385*32.6061</f>
        <v>2347.6392</v>
      </c>
      <c r="AT385" s="51">
        <f>=J385*2.35</f>
        <v>2326.5</v>
      </c>
      <c r="AU385" s="47">
        <f>=H385*15.88</f>
        <v>635.2</v>
      </c>
    </row>
    <row r="386" spans="1:47">
      <c r="A386" s="16" t="s">
        <v>1872</v>
      </c>
      <c r="B386" s="16">
        <v>31231</v>
      </c>
      <c r="C386" s="16" t="s">
        <v>1873</v>
      </c>
      <c r="D386" s="16" t="s"/>
      <c r="E386" s="16">
        <v>900031231</v>
      </c>
      <c r="F386" s="16">
        <v>1628</v>
      </c>
      <c r="G386" s="16">
        <v>72</v>
      </c>
      <c r="H386" s="16">
        <v>46</v>
      </c>
      <c r="I386" s="22">
        <v>0.5</v>
      </c>
      <c r="J386" s="16">
        <v>660</v>
      </c>
      <c r="K386" s="16" t="b">
        <v>1</v>
      </c>
      <c r="L386" s="22">
        <v>0</v>
      </c>
      <c r="M386" s="42">
        <v>0</v>
      </c>
      <c r="N386" s="22">
        <v>0.1538</v>
      </c>
      <c r="O386" s="42">
        <v>6.50195059</v>
      </c>
      <c r="P386" s="22">
        <v>0.25</v>
      </c>
      <c r="Q386" s="16">
        <v>1</v>
      </c>
      <c r="R386" s="16">
        <v>1</v>
      </c>
      <c r="S386" s="22">
        <v>0</v>
      </c>
      <c r="T386" s="16">
        <v>0</v>
      </c>
      <c r="U386" s="16">
        <v>-0.2</v>
      </c>
      <c r="V386" s="16">
        <v>0</v>
      </c>
      <c r="W386" s="16">
        <v>-0.2</v>
      </c>
      <c r="X386" s="16">
        <v>0</v>
      </c>
      <c r="Y386" s="16">
        <v>0</v>
      </c>
      <c r="Z386" s="16">
        <v>-0.2</v>
      </c>
      <c r="AA386" s="16">
        <v>0</v>
      </c>
      <c r="AB386" s="16">
        <v>-0.2</v>
      </c>
      <c r="AC386" s="16">
        <v>0</v>
      </c>
      <c r="AD386" s="16">
        <v>0</v>
      </c>
      <c r="AE386" s="16">
        <v>-0.2</v>
      </c>
      <c r="AF386" s="16">
        <v>0</v>
      </c>
      <c r="AG386" s="16">
        <v>-0.2</v>
      </c>
      <c r="AH386" s="16">
        <v>0</v>
      </c>
      <c r="AI386" s="48">
        <v>10001</v>
      </c>
      <c r="AJ386" s="48">
        <v>10012</v>
      </c>
      <c r="AK386" s="48">
        <v>10003</v>
      </c>
      <c r="AL386" s="48">
        <v>10004</v>
      </c>
      <c r="AM386" s="48">
        <v>10005</v>
      </c>
      <c r="AN386" s="25">
        <v>0.2</v>
      </c>
      <c r="AO386" s="49" t="s"/>
      <c r="AP386" s="50">
        <v>50</v>
      </c>
      <c r="AQ386" s="51" t="s">
        <v>1874</v>
      </c>
      <c r="AR386" s="51">
        <f>=F386*247.95</f>
        <v>403662.6</v>
      </c>
      <c r="AS386" s="51">
        <f>=G386*32.6061</f>
        <v>2347.6392</v>
      </c>
      <c r="AT386" s="51">
        <f>=J386*2.35</f>
        <v>1551</v>
      </c>
      <c r="AU386" s="47">
        <f>=H386*15.88</f>
        <v>730.48</v>
      </c>
    </row>
    <row r="387" spans="1:47">
      <c r="A387" s="16" t="s">
        <v>1872</v>
      </c>
      <c r="B387" s="16">
        <v>31232</v>
      </c>
      <c r="C387" s="16" t="s">
        <v>1873</v>
      </c>
      <c r="D387" s="16" t="s"/>
      <c r="E387" s="16">
        <v>900031232</v>
      </c>
      <c r="F387" s="16">
        <v>1991</v>
      </c>
      <c r="G387" s="16">
        <v>72</v>
      </c>
      <c r="H387" s="16">
        <v>46</v>
      </c>
      <c r="I387" s="22">
        <v>0.5</v>
      </c>
      <c r="J387" s="16">
        <v>990</v>
      </c>
      <c r="K387" s="16" t="b">
        <v>1</v>
      </c>
      <c r="L387" s="22">
        <v>0</v>
      </c>
      <c r="M387" s="42">
        <v>0</v>
      </c>
      <c r="N387" s="22">
        <v>0.1538</v>
      </c>
      <c r="O387" s="42">
        <v>6.50195059</v>
      </c>
      <c r="P387" s="22">
        <v>0.25</v>
      </c>
      <c r="Q387" s="16">
        <v>1</v>
      </c>
      <c r="R387" s="16">
        <v>1</v>
      </c>
      <c r="S387" s="22">
        <v>0</v>
      </c>
      <c r="T387" s="16">
        <v>0</v>
      </c>
      <c r="U387" s="16">
        <v>-0.2</v>
      </c>
      <c r="V387" s="16">
        <v>0</v>
      </c>
      <c r="W387" s="16">
        <v>-0.2</v>
      </c>
      <c r="X387" s="16">
        <v>0</v>
      </c>
      <c r="Y387" s="16">
        <v>0</v>
      </c>
      <c r="Z387" s="16">
        <v>-0.2</v>
      </c>
      <c r="AA387" s="16">
        <v>0</v>
      </c>
      <c r="AB387" s="16">
        <v>-0.2</v>
      </c>
      <c r="AC387" s="16">
        <v>0</v>
      </c>
      <c r="AD387" s="16">
        <v>0</v>
      </c>
      <c r="AE387" s="16">
        <v>-0.2</v>
      </c>
      <c r="AF387" s="16">
        <v>0</v>
      </c>
      <c r="AG387" s="16">
        <v>-0.2</v>
      </c>
      <c r="AH387" s="16">
        <v>0</v>
      </c>
      <c r="AI387" s="48">
        <v>10001</v>
      </c>
      <c r="AJ387" s="48">
        <v>10012</v>
      </c>
      <c r="AK387" s="48">
        <v>10003</v>
      </c>
      <c r="AL387" s="48">
        <v>10004</v>
      </c>
      <c r="AM387" s="48">
        <v>10005</v>
      </c>
      <c r="AN387" s="25">
        <v>0.2</v>
      </c>
      <c r="AO387" s="49" t="s"/>
      <c r="AP387" s="50">
        <v>50</v>
      </c>
      <c r="AQ387" s="51" t="s">
        <v>1875</v>
      </c>
      <c r="AR387" s="51">
        <f>=F387*247.95</f>
        <v>493668.45</v>
      </c>
      <c r="AS387" s="51">
        <f>=G387*32.6061</f>
        <v>2347.6392</v>
      </c>
      <c r="AT387" s="51">
        <f>=J387*2.35</f>
        <v>2326.5</v>
      </c>
      <c r="AU387" s="47">
        <f>=H387*15.88</f>
        <v>730.48</v>
      </c>
    </row>
    <row r="388" spans="1:47">
      <c r="A388" s="16" t="s">
        <v>1876</v>
      </c>
      <c r="B388" s="16">
        <v>31241</v>
      </c>
      <c r="C388" s="16" t="s">
        <v>1877</v>
      </c>
      <c r="D388" s="16" t="s">
        <v>1878</v>
      </c>
      <c r="E388" s="16">
        <v>900031241</v>
      </c>
      <c r="F388" s="16">
        <v>9801</v>
      </c>
      <c r="G388" s="16">
        <v>101</v>
      </c>
      <c r="H388" s="16">
        <v>54</v>
      </c>
      <c r="I388" s="22">
        <v>0.5</v>
      </c>
      <c r="J388" s="16">
        <v>3669</v>
      </c>
      <c r="K388" s="16" t="b">
        <v>1</v>
      </c>
      <c r="L388" s="22">
        <v>0</v>
      </c>
      <c r="M388" s="42">
        <v>0</v>
      </c>
      <c r="N388" s="22">
        <v>0.1</v>
      </c>
      <c r="O388" s="42">
        <v>10</v>
      </c>
      <c r="P388" s="22">
        <v>0.5</v>
      </c>
      <c r="Q388" s="16">
        <v>2</v>
      </c>
      <c r="R388" s="16">
        <v>3</v>
      </c>
      <c r="S388" s="22">
        <v>0.5</v>
      </c>
      <c r="T388" s="16">
        <v>0</v>
      </c>
      <c r="U388" s="16">
        <v>0</v>
      </c>
      <c r="V388" s="16">
        <v>-0.2</v>
      </c>
      <c r="W388" s="16">
        <v>0</v>
      </c>
      <c r="X388" s="16">
        <v>0.2</v>
      </c>
      <c r="Y388" s="16">
        <v>0</v>
      </c>
      <c r="Z388" s="16">
        <v>0</v>
      </c>
      <c r="AA388" s="16">
        <v>-0.2</v>
      </c>
      <c r="AB388" s="16">
        <v>0</v>
      </c>
      <c r="AC388" s="16">
        <v>0.2</v>
      </c>
      <c r="AD388" s="16">
        <v>0</v>
      </c>
      <c r="AE388" s="16">
        <v>0</v>
      </c>
      <c r="AF388" s="16">
        <v>-0.2</v>
      </c>
      <c r="AG388" s="16">
        <v>0</v>
      </c>
      <c r="AH388" s="16">
        <v>0.2</v>
      </c>
      <c r="AI388" s="48">
        <v>20001</v>
      </c>
      <c r="AJ388" s="48">
        <v>20002</v>
      </c>
      <c r="AK388" s="48">
        <v>20013</v>
      </c>
      <c r="AL388" s="48">
        <v>20004</v>
      </c>
      <c r="AM388" s="48">
        <v>20005</v>
      </c>
      <c r="AN388" s="25">
        <v>0.2</v>
      </c>
      <c r="AO388" s="49">
        <v>3</v>
      </c>
      <c r="AP388" s="50">
        <v>75</v>
      </c>
      <c r="AQ388" s="51" t="s">
        <v>1879</v>
      </c>
      <c r="AR388" s="51">
        <f>=F388*247.95</f>
        <v>2430157.95</v>
      </c>
      <c r="AS388" s="51">
        <f>=G388*32.6061</f>
        <v>3293.2161</v>
      </c>
      <c r="AT388" s="51">
        <f>=J388*2.35</f>
        <v>8622.15</v>
      </c>
      <c r="AU388" s="47">
        <f>=H388*15.88</f>
        <v>857.52</v>
      </c>
    </row>
    <row r="389" spans="1:47">
      <c r="A389" s="16" t="s">
        <v>1876</v>
      </c>
      <c r="B389" s="16">
        <v>31242</v>
      </c>
      <c r="C389" s="16" t="s">
        <v>1877</v>
      </c>
      <c r="D389" s="16" t="s">
        <v>1878</v>
      </c>
      <c r="E389" s="16">
        <v>900031242</v>
      </c>
      <c r="F389" s="16">
        <v>10151</v>
      </c>
      <c r="G389" s="16">
        <v>115</v>
      </c>
      <c r="H389" s="16">
        <v>54</v>
      </c>
      <c r="I389" s="22">
        <v>0.5</v>
      </c>
      <c r="J389" s="16">
        <v>4161</v>
      </c>
      <c r="K389" s="16" t="b">
        <v>1</v>
      </c>
      <c r="L389" s="22">
        <v>0</v>
      </c>
      <c r="M389" s="42">
        <v>0</v>
      </c>
      <c r="N389" s="22">
        <v>0.1</v>
      </c>
      <c r="O389" s="42">
        <v>10</v>
      </c>
      <c r="P389" s="22">
        <v>0.5</v>
      </c>
      <c r="Q389" s="16">
        <v>2</v>
      </c>
      <c r="R389" s="16">
        <v>5</v>
      </c>
      <c r="S389" s="22">
        <v>0.5</v>
      </c>
      <c r="T389" s="16">
        <v>0</v>
      </c>
      <c r="U389" s="16">
        <v>0</v>
      </c>
      <c r="V389" s="16">
        <v>-0.2</v>
      </c>
      <c r="W389" s="16">
        <v>0</v>
      </c>
      <c r="X389" s="16">
        <v>0.2</v>
      </c>
      <c r="Y389" s="16">
        <v>0</v>
      </c>
      <c r="Z389" s="16">
        <v>0</v>
      </c>
      <c r="AA389" s="16">
        <v>-0.2</v>
      </c>
      <c r="AB389" s="16">
        <v>0</v>
      </c>
      <c r="AC389" s="16">
        <v>0.2</v>
      </c>
      <c r="AD389" s="16">
        <v>0</v>
      </c>
      <c r="AE389" s="16">
        <v>0</v>
      </c>
      <c r="AF389" s="16">
        <v>-0.2</v>
      </c>
      <c r="AG389" s="16">
        <v>0</v>
      </c>
      <c r="AH389" s="16">
        <v>0.2</v>
      </c>
      <c r="AI389" s="48">
        <v>20001</v>
      </c>
      <c r="AJ389" s="48">
        <v>20002</v>
      </c>
      <c r="AK389" s="48">
        <v>20013</v>
      </c>
      <c r="AL389" s="48">
        <v>20004</v>
      </c>
      <c r="AM389" s="48">
        <v>20005</v>
      </c>
      <c r="AN389" s="25">
        <v>0.2</v>
      </c>
      <c r="AO389" s="49">
        <v>3</v>
      </c>
      <c r="AP389" s="50">
        <v>75</v>
      </c>
      <c r="AQ389" s="51" t="s">
        <v>1880</v>
      </c>
      <c r="AR389" s="51">
        <f>=F389*247.95</f>
        <v>2516940.45</v>
      </c>
      <c r="AS389" s="51">
        <f>=G389*32.6061</f>
        <v>3749.7015</v>
      </c>
      <c r="AT389" s="51">
        <f>=J389*2.35</f>
        <v>9778.35</v>
      </c>
      <c r="AU389" s="47">
        <f>=H389*15.88</f>
        <v>857.52</v>
      </c>
    </row>
    <row r="390" spans="1:47" ht="20" customHeight="1">
      <c r="A390" s="16" t="s">
        <v>1881</v>
      </c>
      <c r="B390" s="16">
        <v>31251</v>
      </c>
      <c r="C390" s="16" t="s">
        <v>1882</v>
      </c>
      <c r="D390" s="16" t="s">
        <v>1883</v>
      </c>
      <c r="E390" s="16">
        <v>900031251</v>
      </c>
      <c r="F390" s="16">
        <v>669</v>
      </c>
      <c r="G390" s="16">
        <v>55</v>
      </c>
      <c r="H390" s="16">
        <v>43</v>
      </c>
      <c r="I390" s="22">
        <v>0.5</v>
      </c>
      <c r="J390" s="16">
        <v>198</v>
      </c>
      <c r="K390" s="16" t="b">
        <v>1</v>
      </c>
      <c r="L390" s="22">
        <v>0</v>
      </c>
      <c r="M390" s="42">
        <v>0</v>
      </c>
      <c r="N390" s="22">
        <v>0.1538</v>
      </c>
      <c r="O390" s="42">
        <v>6.50195059</v>
      </c>
      <c r="P390" s="22">
        <v>0.5</v>
      </c>
      <c r="Q390" s="16">
        <v>1</v>
      </c>
      <c r="R390" s="16">
        <v>1</v>
      </c>
      <c r="S390" s="22">
        <v>0</v>
      </c>
      <c r="T390" s="16">
        <v>0</v>
      </c>
      <c r="U390" s="16">
        <v>0</v>
      </c>
      <c r="V390" s="16">
        <v>-0.2</v>
      </c>
      <c r="W390" s="16">
        <v>0</v>
      </c>
      <c r="X390" s="16">
        <v>0</v>
      </c>
      <c r="Y390" s="16">
        <v>0</v>
      </c>
      <c r="Z390" s="16">
        <v>0</v>
      </c>
      <c r="AA390" s="16">
        <v>-0.2</v>
      </c>
      <c r="AB390" s="16">
        <v>0</v>
      </c>
      <c r="AC390" s="16">
        <v>0</v>
      </c>
      <c r="AD390" s="16">
        <v>0</v>
      </c>
      <c r="AE390" s="16">
        <v>0</v>
      </c>
      <c r="AF390" s="16">
        <v>-0.2</v>
      </c>
      <c r="AG390" s="16">
        <v>0</v>
      </c>
      <c r="AH390" s="16">
        <v>0</v>
      </c>
      <c r="AI390" s="48">
        <v>10001</v>
      </c>
      <c r="AJ390" s="48">
        <v>10002</v>
      </c>
      <c r="AK390" s="48">
        <v>10013</v>
      </c>
      <c r="AL390" s="48">
        <v>10004</v>
      </c>
      <c r="AM390" s="48">
        <v>10005</v>
      </c>
      <c r="AN390" s="25">
        <v>0.2</v>
      </c>
      <c r="AO390" s="49" t="s"/>
      <c r="AP390" s="50">
        <v>50</v>
      </c>
      <c r="AQ390" s="51" t="s">
        <v>1884</v>
      </c>
      <c r="AR390" s="51">
        <f>=F390*247.95</f>
        <v>165878.55</v>
      </c>
      <c r="AS390" s="51">
        <f>=G390*32.6061</f>
        <v>1793.3355</v>
      </c>
      <c r="AT390" s="51">
        <f>=J390*2.35</f>
        <v>465.3</v>
      </c>
      <c r="AU390" s="47">
        <f>=H390*15.88</f>
        <v>682.84</v>
      </c>
    </row>
    <row r="391" spans="1:47" ht="20" customHeight="1">
      <c r="A391" s="16" t="s">
        <v>1881</v>
      </c>
      <c r="B391" s="16">
        <v>31252</v>
      </c>
      <c r="C391" s="16" t="s">
        <v>1882</v>
      </c>
      <c r="D391" s="16" t="s">
        <v>1883</v>
      </c>
      <c r="E391" s="16">
        <v>900031252</v>
      </c>
      <c r="F391" s="16">
        <v>778</v>
      </c>
      <c r="G391" s="16">
        <v>55</v>
      </c>
      <c r="H391" s="16">
        <v>43</v>
      </c>
      <c r="I391" s="22">
        <v>0.5</v>
      </c>
      <c r="J391" s="16">
        <v>297</v>
      </c>
      <c r="K391" s="16" t="b">
        <v>1</v>
      </c>
      <c r="L391" s="22">
        <v>0</v>
      </c>
      <c r="M391" s="42">
        <v>0</v>
      </c>
      <c r="N391" s="22">
        <v>0.1538</v>
      </c>
      <c r="O391" s="42">
        <v>6.50195059</v>
      </c>
      <c r="P391" s="22">
        <v>0.5</v>
      </c>
      <c r="Q391" s="16">
        <v>1</v>
      </c>
      <c r="R391" s="16">
        <v>1</v>
      </c>
      <c r="S391" s="22">
        <v>0</v>
      </c>
      <c r="T391" s="16">
        <v>0</v>
      </c>
      <c r="U391" s="16">
        <v>0</v>
      </c>
      <c r="V391" s="16">
        <v>-0.2</v>
      </c>
      <c r="W391" s="16">
        <v>0</v>
      </c>
      <c r="X391" s="16">
        <v>0</v>
      </c>
      <c r="Y391" s="16">
        <v>0</v>
      </c>
      <c r="Z391" s="16">
        <v>0</v>
      </c>
      <c r="AA391" s="16">
        <v>-0.2</v>
      </c>
      <c r="AB391" s="16">
        <v>0</v>
      </c>
      <c r="AC391" s="16">
        <v>0</v>
      </c>
      <c r="AD391" s="16">
        <v>0</v>
      </c>
      <c r="AE391" s="16">
        <v>0</v>
      </c>
      <c r="AF391" s="16">
        <v>-0.2</v>
      </c>
      <c r="AG391" s="16">
        <v>0</v>
      </c>
      <c r="AH391" s="16">
        <v>0</v>
      </c>
      <c r="AI391" s="48">
        <v>10001</v>
      </c>
      <c r="AJ391" s="48">
        <v>10002</v>
      </c>
      <c r="AK391" s="48">
        <v>10013</v>
      </c>
      <c r="AL391" s="48">
        <v>10004</v>
      </c>
      <c r="AM391" s="48">
        <v>10005</v>
      </c>
      <c r="AN391" s="25">
        <v>0.2</v>
      </c>
      <c r="AO391" s="49" t="s"/>
      <c r="AP391" s="50">
        <v>50</v>
      </c>
      <c r="AQ391" s="51" t="s">
        <v>1885</v>
      </c>
      <c r="AR391" s="51">
        <f>=F391*247.95</f>
        <v>192905.1</v>
      </c>
      <c r="AS391" s="51">
        <f>=G391*32.6061</f>
        <v>1793.3355</v>
      </c>
      <c r="AT391" s="51">
        <f>=J391*2.35</f>
        <v>697.95</v>
      </c>
      <c r="AU391" s="47">
        <f>=H391*15.88</f>
        <v>682.84</v>
      </c>
    </row>
    <row r="392" spans="1:47">
      <c r="A392" s="16" t="s">
        <v>1886</v>
      </c>
      <c r="B392" s="16">
        <v>31261</v>
      </c>
      <c r="C392" s="16" t="s">
        <v>1887</v>
      </c>
      <c r="D392" s="16" t="s">
        <v>1888</v>
      </c>
      <c r="E392" s="16">
        <v>900031261</v>
      </c>
      <c r="F392" s="16">
        <v>25914</v>
      </c>
      <c r="G392" s="16">
        <v>144</v>
      </c>
      <c r="H392" s="16">
        <v>60</v>
      </c>
      <c r="I392" s="22">
        <v>0.5</v>
      </c>
      <c r="J392" s="16">
        <v>6097</v>
      </c>
      <c r="K392" s="16" t="b">
        <v>1</v>
      </c>
      <c r="L392" s="22">
        <v>0</v>
      </c>
      <c r="M392" s="42">
        <v>0</v>
      </c>
      <c r="N392" s="22">
        <v>0.0833</v>
      </c>
      <c r="O392" s="42">
        <v>12.0048019</v>
      </c>
      <c r="P392" s="22">
        <v>0.25</v>
      </c>
      <c r="Q392" s="16">
        <v>3</v>
      </c>
      <c r="R392" s="16">
        <v>5</v>
      </c>
      <c r="S392" s="22">
        <v>0.75</v>
      </c>
      <c r="T392" s="16">
        <v>0</v>
      </c>
      <c r="U392" s="16">
        <v>-0.2</v>
      </c>
      <c r="V392" s="16">
        <v>-0.2</v>
      </c>
      <c r="W392" s="16">
        <v>0</v>
      </c>
      <c r="X392" s="16">
        <v>0.2</v>
      </c>
      <c r="Y392" s="16">
        <v>0</v>
      </c>
      <c r="Z392" s="16">
        <v>-0.2</v>
      </c>
      <c r="AA392" s="16">
        <v>-0.2</v>
      </c>
      <c r="AB392" s="16">
        <v>0</v>
      </c>
      <c r="AC392" s="16">
        <v>0.2</v>
      </c>
      <c r="AD392" s="16">
        <v>0</v>
      </c>
      <c r="AE392" s="16">
        <v>-0.2</v>
      </c>
      <c r="AF392" s="16">
        <v>-0.2</v>
      </c>
      <c r="AG392" s="16">
        <v>0</v>
      </c>
      <c r="AH392" s="16">
        <v>0.2</v>
      </c>
      <c r="AI392" s="48">
        <v>30001</v>
      </c>
      <c r="AJ392" s="48">
        <v>30012</v>
      </c>
      <c r="AK392" s="48">
        <v>30013</v>
      </c>
      <c r="AL392" s="48">
        <v>30004</v>
      </c>
      <c r="AM392" s="48">
        <v>30005</v>
      </c>
      <c r="AN392" s="25">
        <v>0.2</v>
      </c>
      <c r="AO392" s="49">
        <v>5</v>
      </c>
      <c r="AP392" s="50">
        <v>100</v>
      </c>
      <c r="AQ392" s="51" t="s">
        <v>1889</v>
      </c>
      <c r="AR392" s="51">
        <f>=F392*247.95</f>
        <v>6425376.3</v>
      </c>
      <c r="AS392" s="51">
        <f>=G392*32.6061</f>
        <v>4695.2784</v>
      </c>
      <c r="AT392" s="51">
        <f>=J392*2.35</f>
        <v>14327.95</v>
      </c>
      <c r="AU392" s="47">
        <f>=H392*15.88</f>
        <v>952.8</v>
      </c>
    </row>
    <row r="393" spans="1:47">
      <c r="A393" s="16" t="s">
        <v>1886</v>
      </c>
      <c r="B393" s="16">
        <v>31262</v>
      </c>
      <c r="C393" s="16" t="s">
        <v>1887</v>
      </c>
      <c r="D393" s="16" t="s">
        <v>1888</v>
      </c>
      <c r="E393" s="16">
        <v>900031262</v>
      </c>
      <c r="F393" s="16">
        <v>25914</v>
      </c>
      <c r="G393" s="16">
        <v>144</v>
      </c>
      <c r="H393" s="16">
        <v>60</v>
      </c>
      <c r="I393" s="22">
        <v>0.5</v>
      </c>
      <c r="J393" s="16">
        <v>6097</v>
      </c>
      <c r="K393" s="16" t="b">
        <v>1</v>
      </c>
      <c r="L393" s="22">
        <v>0</v>
      </c>
      <c r="M393" s="42">
        <v>0</v>
      </c>
      <c r="N393" s="22">
        <v>0.0833</v>
      </c>
      <c r="O393" s="42">
        <v>12.0048019</v>
      </c>
      <c r="P393" s="22">
        <v>0.25</v>
      </c>
      <c r="Q393" s="16">
        <v>3</v>
      </c>
      <c r="R393" s="16">
        <v>5</v>
      </c>
      <c r="S393" s="22">
        <v>0.75</v>
      </c>
      <c r="T393" s="16">
        <v>0</v>
      </c>
      <c r="U393" s="16">
        <v>-0.2</v>
      </c>
      <c r="V393" s="16">
        <v>-0.2</v>
      </c>
      <c r="W393" s="16">
        <v>0</v>
      </c>
      <c r="X393" s="16">
        <v>0.2</v>
      </c>
      <c r="Y393" s="16">
        <v>0</v>
      </c>
      <c r="Z393" s="16">
        <v>-0.2</v>
      </c>
      <c r="AA393" s="16">
        <v>-0.2</v>
      </c>
      <c r="AB393" s="16">
        <v>0</v>
      </c>
      <c r="AC393" s="16">
        <v>0.2</v>
      </c>
      <c r="AD393" s="16">
        <v>0</v>
      </c>
      <c r="AE393" s="16">
        <v>-0.2</v>
      </c>
      <c r="AF393" s="16">
        <v>-0.2</v>
      </c>
      <c r="AG393" s="16">
        <v>0</v>
      </c>
      <c r="AH393" s="16">
        <v>0.2</v>
      </c>
      <c r="AI393" s="48">
        <v>30001</v>
      </c>
      <c r="AJ393" s="48">
        <v>30012</v>
      </c>
      <c r="AK393" s="48">
        <v>30013</v>
      </c>
      <c r="AL393" s="48">
        <v>30004</v>
      </c>
      <c r="AM393" s="48">
        <v>30005</v>
      </c>
      <c r="AN393" s="25">
        <v>0.2</v>
      </c>
      <c r="AO393" s="49">
        <v>5</v>
      </c>
      <c r="AP393" s="50">
        <v>100</v>
      </c>
      <c r="AQ393" s="51" t="s">
        <v>1890</v>
      </c>
      <c r="AR393" s="51">
        <f>=F393*247.95</f>
        <v>6425376.3</v>
      </c>
      <c r="AS393" s="51">
        <f>=G393*32.6061</f>
        <v>4695.2784</v>
      </c>
      <c r="AT393" s="51">
        <f>=J393*2.35</f>
        <v>14327.95</v>
      </c>
      <c r="AU393" s="47">
        <f>=H393*15.88</f>
        <v>952.8</v>
      </c>
    </row>
    <row r="394" spans="1:47">
      <c r="A394" s="16" t="s">
        <v>1891</v>
      </c>
      <c r="B394" s="16">
        <v>31271</v>
      </c>
      <c r="C394" s="16" t="s">
        <v>1892</v>
      </c>
      <c r="D394" s="16" t="s">
        <v>1893</v>
      </c>
      <c r="E394" s="16">
        <v>900031271</v>
      </c>
      <c r="F394" s="16">
        <v>11355</v>
      </c>
      <c r="G394" s="16">
        <v>95</v>
      </c>
      <c r="H394" s="16">
        <v>54</v>
      </c>
      <c r="I394" s="22">
        <v>0.5</v>
      </c>
      <c r="J394" s="16">
        <v>4902</v>
      </c>
      <c r="K394" s="16" t="b">
        <v>1</v>
      </c>
      <c r="L394" s="22">
        <v>0</v>
      </c>
      <c r="M394" s="42">
        <v>0</v>
      </c>
      <c r="N394" s="22">
        <v>0.1</v>
      </c>
      <c r="O394" s="42">
        <v>10</v>
      </c>
      <c r="P394" s="22">
        <v>0.5</v>
      </c>
      <c r="Q394" s="16">
        <v>2</v>
      </c>
      <c r="R394" s="16">
        <v>3</v>
      </c>
      <c r="S394" s="22">
        <v>0.5</v>
      </c>
      <c r="T394" s="16">
        <v>0.2</v>
      </c>
      <c r="U394" s="16">
        <v>0</v>
      </c>
      <c r="V394" s="16">
        <v>-0.2</v>
      </c>
      <c r="W394" s="16">
        <v>-0.2</v>
      </c>
      <c r="X394" s="16">
        <v>0</v>
      </c>
      <c r="Y394" s="16">
        <v>0.2</v>
      </c>
      <c r="Z394" s="16">
        <v>0</v>
      </c>
      <c r="AA394" s="16">
        <v>-0.2</v>
      </c>
      <c r="AB394" s="16">
        <v>-0.2</v>
      </c>
      <c r="AC394" s="16">
        <v>0</v>
      </c>
      <c r="AD394" s="16">
        <v>0.2</v>
      </c>
      <c r="AE394" s="16">
        <v>0</v>
      </c>
      <c r="AF394" s="16">
        <v>-0.2</v>
      </c>
      <c r="AG394" s="16">
        <v>-0.2</v>
      </c>
      <c r="AH394" s="16">
        <v>0</v>
      </c>
      <c r="AI394" s="48">
        <v>20001</v>
      </c>
      <c r="AJ394" s="48">
        <v>20002</v>
      </c>
      <c r="AK394" s="48">
        <v>20013</v>
      </c>
      <c r="AL394" s="48">
        <v>20004</v>
      </c>
      <c r="AM394" s="48">
        <v>20005</v>
      </c>
      <c r="AN394" s="25">
        <v>0.25</v>
      </c>
      <c r="AO394" s="49">
        <v>3</v>
      </c>
      <c r="AP394" s="50">
        <v>75</v>
      </c>
      <c r="AQ394" s="51" t="s">
        <v>1894</v>
      </c>
      <c r="AR394" s="51">
        <f>=F394*247.95</f>
        <v>2815472.25</v>
      </c>
      <c r="AS394" s="51">
        <f>=G394*32.6061</f>
        <v>3097.5795</v>
      </c>
      <c r="AT394" s="51">
        <f>=J394*2.35</f>
        <v>11519.7</v>
      </c>
      <c r="AU394" s="47">
        <f>=H394*15.88</f>
        <v>857.52</v>
      </c>
    </row>
    <row r="395" spans="1:47">
      <c r="A395" s="16" t="s">
        <v>1891</v>
      </c>
      <c r="B395" s="16">
        <v>31272</v>
      </c>
      <c r="C395" s="16" t="s">
        <v>1892</v>
      </c>
      <c r="D395" s="16" t="s">
        <v>1893</v>
      </c>
      <c r="E395" s="16">
        <v>900031272</v>
      </c>
      <c r="F395" s="16">
        <v>11762</v>
      </c>
      <c r="G395" s="16">
        <v>109</v>
      </c>
      <c r="H395" s="16">
        <v>54</v>
      </c>
      <c r="I395" s="22">
        <v>0.5</v>
      </c>
      <c r="J395" s="16">
        <v>5561</v>
      </c>
      <c r="K395" s="16" t="b">
        <v>1</v>
      </c>
      <c r="L395" s="22">
        <v>0</v>
      </c>
      <c r="M395" s="42">
        <v>0</v>
      </c>
      <c r="N395" s="22">
        <v>0.1</v>
      </c>
      <c r="O395" s="42">
        <v>10</v>
      </c>
      <c r="P395" s="22">
        <v>0.5</v>
      </c>
      <c r="Q395" s="16">
        <v>2</v>
      </c>
      <c r="R395" s="16">
        <v>5</v>
      </c>
      <c r="S395" s="22">
        <v>0.5</v>
      </c>
      <c r="T395" s="16">
        <v>0.2</v>
      </c>
      <c r="U395" s="16">
        <v>0</v>
      </c>
      <c r="V395" s="16">
        <v>-0.2</v>
      </c>
      <c r="W395" s="16">
        <v>-0.2</v>
      </c>
      <c r="X395" s="16">
        <v>0</v>
      </c>
      <c r="Y395" s="16">
        <v>0.2</v>
      </c>
      <c r="Z395" s="16">
        <v>0</v>
      </c>
      <c r="AA395" s="16">
        <v>-0.2</v>
      </c>
      <c r="AB395" s="16">
        <v>-0.2</v>
      </c>
      <c r="AC395" s="16">
        <v>0</v>
      </c>
      <c r="AD395" s="16">
        <v>0.2</v>
      </c>
      <c r="AE395" s="16">
        <v>0</v>
      </c>
      <c r="AF395" s="16">
        <v>-0.2</v>
      </c>
      <c r="AG395" s="16">
        <v>-0.2</v>
      </c>
      <c r="AH395" s="16">
        <v>0</v>
      </c>
      <c r="AI395" s="48">
        <v>20001</v>
      </c>
      <c r="AJ395" s="48">
        <v>20002</v>
      </c>
      <c r="AK395" s="48">
        <v>20013</v>
      </c>
      <c r="AL395" s="48">
        <v>20004</v>
      </c>
      <c r="AM395" s="48">
        <v>20005</v>
      </c>
      <c r="AN395" s="25">
        <v>0.25</v>
      </c>
      <c r="AO395" s="49">
        <v>3</v>
      </c>
      <c r="AP395" s="50">
        <v>75</v>
      </c>
      <c r="AQ395" s="51" t="s">
        <v>1895</v>
      </c>
      <c r="AR395" s="51">
        <f>=F395*247.95</f>
        <v>2916387.9</v>
      </c>
      <c r="AS395" s="51">
        <f>=G395*32.6061</f>
        <v>3554.0649</v>
      </c>
      <c r="AT395" s="51">
        <f>=J395*2.35</f>
        <v>13068.35</v>
      </c>
      <c r="AU395" s="47">
        <f>=H395*15.88</f>
        <v>857.52</v>
      </c>
    </row>
    <row r="396" spans="1:47">
      <c r="A396" s="16" t="s">
        <v>1891</v>
      </c>
      <c r="B396" s="16">
        <v>31273</v>
      </c>
      <c r="C396" s="16" t="s">
        <v>1892</v>
      </c>
      <c r="D396" s="16" t="s">
        <v>1893</v>
      </c>
      <c r="E396" s="16">
        <v>900031273</v>
      </c>
      <c r="F396" s="16">
        <v>11762</v>
      </c>
      <c r="G396" s="16">
        <v>109</v>
      </c>
      <c r="H396" s="16">
        <v>54</v>
      </c>
      <c r="I396" s="22">
        <v>0.5</v>
      </c>
      <c r="J396" s="16">
        <v>5561</v>
      </c>
      <c r="K396" s="16" t="b">
        <v>1</v>
      </c>
      <c r="L396" s="22">
        <v>0</v>
      </c>
      <c r="M396" s="42">
        <v>0</v>
      </c>
      <c r="N396" s="22">
        <v>0.1</v>
      </c>
      <c r="O396" s="42">
        <v>10</v>
      </c>
      <c r="P396" s="22">
        <v>0.5</v>
      </c>
      <c r="Q396" s="16">
        <v>2</v>
      </c>
      <c r="R396" s="16">
        <v>5</v>
      </c>
      <c r="S396" s="22">
        <v>0.5</v>
      </c>
      <c r="T396" s="16">
        <v>0.2</v>
      </c>
      <c r="U396" s="16">
        <v>0</v>
      </c>
      <c r="V396" s="16">
        <v>-0.2</v>
      </c>
      <c r="W396" s="16">
        <v>-0.2</v>
      </c>
      <c r="X396" s="16">
        <v>0</v>
      </c>
      <c r="Y396" s="16">
        <v>0.2</v>
      </c>
      <c r="Z396" s="16">
        <v>0</v>
      </c>
      <c r="AA396" s="16">
        <v>-0.2</v>
      </c>
      <c r="AB396" s="16">
        <v>-0.2</v>
      </c>
      <c r="AC396" s="16">
        <v>0</v>
      </c>
      <c r="AD396" s="16">
        <v>0.2</v>
      </c>
      <c r="AE396" s="16">
        <v>0</v>
      </c>
      <c r="AF396" s="16">
        <v>-0.2</v>
      </c>
      <c r="AG396" s="16">
        <v>-0.2</v>
      </c>
      <c r="AH396" s="16">
        <v>0</v>
      </c>
      <c r="AI396" s="48">
        <v>20001</v>
      </c>
      <c r="AJ396" s="48">
        <v>20002</v>
      </c>
      <c r="AK396" s="48">
        <v>20013</v>
      </c>
      <c r="AL396" s="48">
        <v>20004</v>
      </c>
      <c r="AM396" s="48">
        <v>20005</v>
      </c>
      <c r="AN396" s="25">
        <v>0.25</v>
      </c>
      <c r="AO396" s="49">
        <v>3</v>
      </c>
      <c r="AP396" s="50">
        <v>75</v>
      </c>
      <c r="AQ396" s="51" t="s">
        <v>1896</v>
      </c>
      <c r="AR396" s="51">
        <f>=F396*247.95</f>
        <v>2916387.9</v>
      </c>
      <c r="AS396" s="51">
        <f>=G396*32.6061</f>
        <v>3554.0649</v>
      </c>
      <c r="AT396" s="51">
        <f>=J396*2.35</f>
        <v>13068.35</v>
      </c>
      <c r="AU396" s="47">
        <f>=H396*15.88</f>
        <v>857.52</v>
      </c>
    </row>
    <row r="397" spans="1:47">
      <c r="A397" s="16" t="s">
        <v>1897</v>
      </c>
      <c r="B397" s="16">
        <v>31281</v>
      </c>
      <c r="C397" s="16" t="s">
        <v>1898</v>
      </c>
      <c r="D397" s="16" t="s">
        <v>1899</v>
      </c>
      <c r="E397" s="16">
        <v>900031281</v>
      </c>
      <c r="F397" s="16">
        <v>14136</v>
      </c>
      <c r="G397" s="16">
        <v>116</v>
      </c>
      <c r="H397" s="16">
        <v>54</v>
      </c>
      <c r="I397" s="22">
        <v>0.5</v>
      </c>
      <c r="J397" s="16">
        <v>4902</v>
      </c>
      <c r="K397" s="16" t="b">
        <v>1</v>
      </c>
      <c r="L397" s="22">
        <v>0</v>
      </c>
      <c r="M397" s="42">
        <v>0</v>
      </c>
      <c r="N397" s="22">
        <v>0.1</v>
      </c>
      <c r="O397" s="42">
        <v>10</v>
      </c>
      <c r="P397" s="22">
        <v>1</v>
      </c>
      <c r="Q397" s="16">
        <v>2</v>
      </c>
      <c r="R397" s="16">
        <v>3</v>
      </c>
      <c r="S397" s="22">
        <v>0.5</v>
      </c>
      <c r="T397" s="16">
        <v>0.2</v>
      </c>
      <c r="U397" s="16">
        <v>0</v>
      </c>
      <c r="V397" s="16">
        <v>-0.2</v>
      </c>
      <c r="W397" s="16">
        <v>-0.2</v>
      </c>
      <c r="X397" s="16">
        <v>0</v>
      </c>
      <c r="Y397" s="16">
        <v>0.2</v>
      </c>
      <c r="Z397" s="16">
        <v>0</v>
      </c>
      <c r="AA397" s="16">
        <v>-0.2</v>
      </c>
      <c r="AB397" s="16">
        <v>-0.2</v>
      </c>
      <c r="AC397" s="16">
        <v>0</v>
      </c>
      <c r="AD397" s="16">
        <v>0.2</v>
      </c>
      <c r="AE397" s="16">
        <v>0</v>
      </c>
      <c r="AF397" s="16">
        <v>-0.2</v>
      </c>
      <c r="AG397" s="16">
        <v>-0.2</v>
      </c>
      <c r="AH397" s="16">
        <v>0</v>
      </c>
      <c r="AI397" s="48">
        <v>20001</v>
      </c>
      <c r="AJ397" s="48">
        <v>20002</v>
      </c>
      <c r="AK397" s="48">
        <v>20013</v>
      </c>
      <c r="AL397" s="48">
        <v>20004</v>
      </c>
      <c r="AM397" s="48">
        <v>20005</v>
      </c>
      <c r="AN397" s="25">
        <v>0.25</v>
      </c>
      <c r="AO397" s="49">
        <v>3</v>
      </c>
      <c r="AP397" s="50">
        <v>75</v>
      </c>
      <c r="AQ397" s="51" t="s">
        <v>1900</v>
      </c>
      <c r="AR397" s="51">
        <f>=F397*247.95</f>
        <v>3505021.2</v>
      </c>
      <c r="AS397" s="51">
        <f>=G397*32.6061</f>
        <v>3782.3076</v>
      </c>
      <c r="AT397" s="51">
        <f>=J397*2.35</f>
        <v>11519.7</v>
      </c>
      <c r="AU397" s="47">
        <f>=H397*15.88</f>
        <v>857.52</v>
      </c>
    </row>
    <row r="398" spans="1:47">
      <c r="A398" s="16" t="s">
        <v>1897</v>
      </c>
      <c r="B398" s="16">
        <v>31282</v>
      </c>
      <c r="C398" s="16" t="s">
        <v>1898</v>
      </c>
      <c r="D398" s="16" t="s">
        <v>1899</v>
      </c>
      <c r="E398" s="16">
        <v>900031282</v>
      </c>
      <c r="F398" s="16">
        <v>14540</v>
      </c>
      <c r="G398" s="16">
        <v>133</v>
      </c>
      <c r="H398" s="16">
        <v>54</v>
      </c>
      <c r="I398" s="22">
        <v>0.5</v>
      </c>
      <c r="J398" s="16">
        <v>5561</v>
      </c>
      <c r="K398" s="16" t="b">
        <v>1</v>
      </c>
      <c r="L398" s="22">
        <v>0</v>
      </c>
      <c r="M398" s="42">
        <v>0</v>
      </c>
      <c r="N398" s="22">
        <v>0.1</v>
      </c>
      <c r="O398" s="42">
        <v>10</v>
      </c>
      <c r="P398" s="22">
        <v>1</v>
      </c>
      <c r="Q398" s="16">
        <v>2</v>
      </c>
      <c r="R398" s="16">
        <v>5</v>
      </c>
      <c r="S398" s="22">
        <v>0.5</v>
      </c>
      <c r="T398" s="16">
        <v>0.2</v>
      </c>
      <c r="U398" s="16">
        <v>0</v>
      </c>
      <c r="V398" s="16">
        <v>-0.2</v>
      </c>
      <c r="W398" s="16">
        <v>-0.2</v>
      </c>
      <c r="X398" s="16">
        <v>0</v>
      </c>
      <c r="Y398" s="16">
        <v>0.2</v>
      </c>
      <c r="Z398" s="16">
        <v>0</v>
      </c>
      <c r="AA398" s="16">
        <v>-0.2</v>
      </c>
      <c r="AB398" s="16">
        <v>-0.2</v>
      </c>
      <c r="AC398" s="16">
        <v>0</v>
      </c>
      <c r="AD398" s="16">
        <v>0.2</v>
      </c>
      <c r="AE398" s="16">
        <v>0</v>
      </c>
      <c r="AF398" s="16">
        <v>-0.2</v>
      </c>
      <c r="AG398" s="16">
        <v>-0.2</v>
      </c>
      <c r="AH398" s="16">
        <v>0</v>
      </c>
      <c r="AI398" s="48">
        <v>20001</v>
      </c>
      <c r="AJ398" s="48">
        <v>20002</v>
      </c>
      <c r="AK398" s="48">
        <v>20013</v>
      </c>
      <c r="AL398" s="48">
        <v>20004</v>
      </c>
      <c r="AM398" s="48">
        <v>20005</v>
      </c>
      <c r="AN398" s="25">
        <v>0.25</v>
      </c>
      <c r="AO398" s="49">
        <v>3</v>
      </c>
      <c r="AP398" s="50">
        <v>75</v>
      </c>
      <c r="AQ398" s="51" t="s">
        <v>1901</v>
      </c>
      <c r="AR398" s="51">
        <f>=F398*247.95</f>
        <v>3605193</v>
      </c>
      <c r="AS398" s="51">
        <f>=G398*32.6061</f>
        <v>4336.6113</v>
      </c>
      <c r="AT398" s="51">
        <f>=J398*2.35</f>
        <v>13068.35</v>
      </c>
      <c r="AU398" s="47">
        <f>=H398*15.88</f>
        <v>857.52</v>
      </c>
    </row>
    <row r="399" spans="1:47">
      <c r="A399" s="16" t="s">
        <v>1897</v>
      </c>
      <c r="B399" s="16">
        <v>31283</v>
      </c>
      <c r="C399" s="16" t="s">
        <v>1898</v>
      </c>
      <c r="D399" s="16" t="s">
        <v>1899</v>
      </c>
      <c r="E399" s="16">
        <v>900031283</v>
      </c>
      <c r="F399" s="16">
        <v>14540</v>
      </c>
      <c r="G399" s="16">
        <v>133</v>
      </c>
      <c r="H399" s="16">
        <v>54</v>
      </c>
      <c r="I399" s="22">
        <v>0.5</v>
      </c>
      <c r="J399" s="16">
        <v>5561</v>
      </c>
      <c r="K399" s="16" t="b">
        <v>1</v>
      </c>
      <c r="L399" s="22">
        <v>0</v>
      </c>
      <c r="M399" s="42">
        <v>0</v>
      </c>
      <c r="N399" s="22">
        <v>0.1</v>
      </c>
      <c r="O399" s="42">
        <v>10</v>
      </c>
      <c r="P399" s="22">
        <v>1</v>
      </c>
      <c r="Q399" s="16">
        <v>2</v>
      </c>
      <c r="R399" s="16">
        <v>5</v>
      </c>
      <c r="S399" s="22">
        <v>0.5</v>
      </c>
      <c r="T399" s="16">
        <v>0.2</v>
      </c>
      <c r="U399" s="16">
        <v>0</v>
      </c>
      <c r="V399" s="16">
        <v>-0.2</v>
      </c>
      <c r="W399" s="16">
        <v>-0.2</v>
      </c>
      <c r="X399" s="16">
        <v>0</v>
      </c>
      <c r="Y399" s="16">
        <v>0.2</v>
      </c>
      <c r="Z399" s="16">
        <v>0</v>
      </c>
      <c r="AA399" s="16">
        <v>-0.2</v>
      </c>
      <c r="AB399" s="16">
        <v>-0.2</v>
      </c>
      <c r="AC399" s="16">
        <v>0</v>
      </c>
      <c r="AD399" s="16">
        <v>0.2</v>
      </c>
      <c r="AE399" s="16">
        <v>0</v>
      </c>
      <c r="AF399" s="16">
        <v>-0.2</v>
      </c>
      <c r="AG399" s="16">
        <v>-0.2</v>
      </c>
      <c r="AH399" s="16">
        <v>0</v>
      </c>
      <c r="AI399" s="48">
        <v>20001</v>
      </c>
      <c r="AJ399" s="48">
        <v>20002</v>
      </c>
      <c r="AK399" s="48">
        <v>20013</v>
      </c>
      <c r="AL399" s="48">
        <v>20004</v>
      </c>
      <c r="AM399" s="48">
        <v>20005</v>
      </c>
      <c r="AN399" s="25">
        <v>0.25</v>
      </c>
      <c r="AO399" s="49">
        <v>3</v>
      </c>
      <c r="AP399" s="50">
        <v>75</v>
      </c>
      <c r="AQ399" s="51" t="s">
        <v>1902</v>
      </c>
      <c r="AR399" s="51">
        <f>=F399*247.95</f>
        <v>3605193</v>
      </c>
      <c r="AS399" s="51">
        <f>=G399*32.6061</f>
        <v>4336.6113</v>
      </c>
      <c r="AT399" s="51">
        <f>=J399*2.35</f>
        <v>13068.35</v>
      </c>
      <c r="AU399" s="47">
        <f>=H399*15.88</f>
        <v>857.52</v>
      </c>
    </row>
    <row r="400" spans="1:47">
      <c r="A400" s="16" t="s">
        <v>1903</v>
      </c>
      <c r="B400" s="16">
        <v>31291</v>
      </c>
      <c r="C400" s="16" t="s">
        <v>1904</v>
      </c>
      <c r="D400" s="16" t="s">
        <v>1905</v>
      </c>
      <c r="E400" s="16">
        <v>900031291</v>
      </c>
      <c r="F400" s="16">
        <v>26877</v>
      </c>
      <c r="G400" s="16">
        <v>144</v>
      </c>
      <c r="H400" s="16">
        <v>60</v>
      </c>
      <c r="I400" s="22">
        <v>0.5</v>
      </c>
      <c r="J400" s="16">
        <v>6929</v>
      </c>
      <c r="K400" s="16" t="b">
        <v>1</v>
      </c>
      <c r="L400" s="22">
        <v>0</v>
      </c>
      <c r="M400" s="42">
        <v>0</v>
      </c>
      <c r="N400" s="22">
        <v>0.1428</v>
      </c>
      <c r="O400" s="42">
        <v>7.00280112</v>
      </c>
      <c r="P400" s="22">
        <v>1</v>
      </c>
      <c r="Q400" s="16">
        <v>3</v>
      </c>
      <c r="R400" s="16">
        <v>1</v>
      </c>
      <c r="S400" s="22">
        <v>0.75</v>
      </c>
      <c r="T400" s="16">
        <v>-0.2</v>
      </c>
      <c r="U400" s="16">
        <v>0</v>
      </c>
      <c r="V400" s="16">
        <v>0</v>
      </c>
      <c r="W400" s="16">
        <v>0.2</v>
      </c>
      <c r="X400" s="16">
        <v>0</v>
      </c>
      <c r="Y400" s="16">
        <v>-0.2</v>
      </c>
      <c r="Z400" s="16">
        <v>0</v>
      </c>
      <c r="AA400" s="16">
        <v>0</v>
      </c>
      <c r="AB400" s="16">
        <v>0.2</v>
      </c>
      <c r="AC400" s="16">
        <v>0</v>
      </c>
      <c r="AD400" s="16">
        <v>-0.2</v>
      </c>
      <c r="AE400" s="16">
        <v>0</v>
      </c>
      <c r="AF400" s="16">
        <v>0</v>
      </c>
      <c r="AG400" s="16">
        <v>0.2</v>
      </c>
      <c r="AH400" s="16">
        <v>0</v>
      </c>
      <c r="AI400" s="48">
        <v>30011</v>
      </c>
      <c r="AJ400" s="48">
        <v>30002</v>
      </c>
      <c r="AK400" s="48">
        <v>30003</v>
      </c>
      <c r="AL400" s="48">
        <v>30004</v>
      </c>
      <c r="AM400" s="48">
        <v>30005</v>
      </c>
      <c r="AN400" s="25">
        <v>0.2</v>
      </c>
      <c r="AO400" s="49">
        <v>5</v>
      </c>
      <c r="AP400" s="50">
        <v>100</v>
      </c>
      <c r="AQ400" s="51" t="s">
        <v>1584</v>
      </c>
      <c r="AR400" s="51">
        <f>=F400*247.95</f>
        <v>6664152.15</v>
      </c>
      <c r="AS400" s="51">
        <f>=G400*32.6061</f>
        <v>4695.2784</v>
      </c>
      <c r="AT400" s="51">
        <f>=J400*2.35</f>
        <v>16283.15</v>
      </c>
      <c r="AU400" s="47">
        <f>=H400*15.88</f>
        <v>952.8</v>
      </c>
    </row>
    <row r="401" spans="1:47">
      <c r="A401" s="16" t="s">
        <v>1906</v>
      </c>
      <c r="B401" s="16">
        <v>31292</v>
      </c>
      <c r="C401" s="16" t="s">
        <v>1907</v>
      </c>
      <c r="D401" s="16" t="s">
        <v>1908</v>
      </c>
      <c r="E401" s="16">
        <v>900031292</v>
      </c>
      <c r="F401" s="16">
        <v>26877</v>
      </c>
      <c r="G401" s="16">
        <v>144</v>
      </c>
      <c r="H401" s="16">
        <v>60</v>
      </c>
      <c r="I401" s="22">
        <v>0.5</v>
      </c>
      <c r="J401" s="16">
        <v>6929</v>
      </c>
      <c r="K401" s="16" t="b">
        <v>1</v>
      </c>
      <c r="L401" s="22">
        <v>0</v>
      </c>
      <c r="M401" s="42">
        <v>0</v>
      </c>
      <c r="N401" s="22">
        <v>0.1428</v>
      </c>
      <c r="O401" s="42">
        <v>7.00280112</v>
      </c>
      <c r="P401" s="22">
        <v>1</v>
      </c>
      <c r="Q401" s="16">
        <v>3</v>
      </c>
      <c r="R401" s="16">
        <v>1</v>
      </c>
      <c r="S401" s="22">
        <v>0.75</v>
      </c>
      <c r="T401" s="16">
        <v>-0.2</v>
      </c>
      <c r="U401" s="16">
        <v>0</v>
      </c>
      <c r="V401" s="16">
        <v>0</v>
      </c>
      <c r="W401" s="16">
        <v>0.2</v>
      </c>
      <c r="X401" s="16">
        <v>0</v>
      </c>
      <c r="Y401" s="16">
        <v>-0.2</v>
      </c>
      <c r="Z401" s="16">
        <v>0</v>
      </c>
      <c r="AA401" s="16">
        <v>0</v>
      </c>
      <c r="AB401" s="16">
        <v>0.2</v>
      </c>
      <c r="AC401" s="16">
        <v>0</v>
      </c>
      <c r="AD401" s="16">
        <v>-0.2</v>
      </c>
      <c r="AE401" s="16">
        <v>0</v>
      </c>
      <c r="AF401" s="16">
        <v>0</v>
      </c>
      <c r="AG401" s="16">
        <v>0.2</v>
      </c>
      <c r="AH401" s="16">
        <v>0</v>
      </c>
      <c r="AI401" s="48">
        <v>30011</v>
      </c>
      <c r="AJ401" s="48">
        <v>30002</v>
      </c>
      <c r="AK401" s="48">
        <v>30003</v>
      </c>
      <c r="AL401" s="48">
        <v>30004</v>
      </c>
      <c r="AM401" s="48">
        <v>30005</v>
      </c>
      <c r="AN401" s="25">
        <v>0.2</v>
      </c>
      <c r="AO401" s="49">
        <v>5</v>
      </c>
      <c r="AP401" s="50">
        <v>100</v>
      </c>
      <c r="AQ401" s="51" t="s">
        <v>1861</v>
      </c>
      <c r="AR401" s="51">
        <f>=F401*247.95</f>
        <v>6664152.15</v>
      </c>
      <c r="AS401" s="51">
        <f>=G401*32.6061</f>
        <v>4695.2784</v>
      </c>
      <c r="AT401" s="51">
        <f>=J401*2.35</f>
        <v>16283.15</v>
      </c>
      <c r="AU401" s="47">
        <f>=H401*15.88</f>
        <v>952.8</v>
      </c>
    </row>
    <row r="402" spans="1:47">
      <c r="A402" s="16" t="s">
        <v>1909</v>
      </c>
      <c r="B402" s="16">
        <v>31293</v>
      </c>
      <c r="C402" s="16" t="s">
        <v>1910</v>
      </c>
      <c r="D402" s="16" t="s">
        <v>1911</v>
      </c>
      <c r="E402" s="16">
        <v>900031293</v>
      </c>
      <c r="F402" s="16">
        <v>26877</v>
      </c>
      <c r="G402" s="16">
        <v>144</v>
      </c>
      <c r="H402" s="16">
        <v>60</v>
      </c>
      <c r="I402" s="22">
        <v>0.5</v>
      </c>
      <c r="J402" s="16">
        <v>6929</v>
      </c>
      <c r="K402" s="16" t="b">
        <v>1</v>
      </c>
      <c r="L402" s="22">
        <v>0</v>
      </c>
      <c r="M402" s="42">
        <v>0</v>
      </c>
      <c r="N402" s="22">
        <v>0.1428</v>
      </c>
      <c r="O402" s="42">
        <v>7.00280112</v>
      </c>
      <c r="P402" s="22">
        <v>1</v>
      </c>
      <c r="Q402" s="16">
        <v>3</v>
      </c>
      <c r="R402" s="16">
        <v>1</v>
      </c>
      <c r="S402" s="22">
        <v>0.75</v>
      </c>
      <c r="T402" s="16">
        <v>-0.2</v>
      </c>
      <c r="U402" s="16">
        <v>0</v>
      </c>
      <c r="V402" s="16">
        <v>0</v>
      </c>
      <c r="W402" s="16">
        <v>0.2</v>
      </c>
      <c r="X402" s="16">
        <v>0</v>
      </c>
      <c r="Y402" s="16">
        <v>-0.2</v>
      </c>
      <c r="Z402" s="16">
        <v>0</v>
      </c>
      <c r="AA402" s="16">
        <v>0</v>
      </c>
      <c r="AB402" s="16">
        <v>0.2</v>
      </c>
      <c r="AC402" s="16">
        <v>0</v>
      </c>
      <c r="AD402" s="16">
        <v>-0.2</v>
      </c>
      <c r="AE402" s="16">
        <v>0</v>
      </c>
      <c r="AF402" s="16">
        <v>0</v>
      </c>
      <c r="AG402" s="16">
        <v>0.2</v>
      </c>
      <c r="AH402" s="16">
        <v>0</v>
      </c>
      <c r="AI402" s="48">
        <v>30011</v>
      </c>
      <c r="AJ402" s="48">
        <v>30002</v>
      </c>
      <c r="AK402" s="48">
        <v>30003</v>
      </c>
      <c r="AL402" s="48">
        <v>30004</v>
      </c>
      <c r="AM402" s="48">
        <v>30005</v>
      </c>
      <c r="AN402" s="25">
        <v>0.2</v>
      </c>
      <c r="AO402" s="49">
        <v>5</v>
      </c>
      <c r="AP402" s="50">
        <v>100</v>
      </c>
      <c r="AQ402" s="51" t="s">
        <v>1865</v>
      </c>
      <c r="AR402" s="51">
        <f>=F402*247.95</f>
        <v>6664152.15</v>
      </c>
      <c r="AS402" s="51">
        <f>=G402*32.6061</f>
        <v>4695.2784</v>
      </c>
      <c r="AT402" s="51">
        <f>=J402*2.35</f>
        <v>16283.15</v>
      </c>
      <c r="AU402" s="47">
        <f>=H402*15.88</f>
        <v>952.8</v>
      </c>
    </row>
    <row r="403" spans="1:47">
      <c r="A403" s="16" t="s">
        <v>1909</v>
      </c>
      <c r="B403" s="16">
        <v>31294</v>
      </c>
      <c r="C403" s="16" t="s">
        <v>1910</v>
      </c>
      <c r="D403" s="16" t="s">
        <v>1911</v>
      </c>
      <c r="E403" s="16">
        <v>900031294</v>
      </c>
      <c r="F403" s="16">
        <v>26877</v>
      </c>
      <c r="G403" s="16">
        <v>144</v>
      </c>
      <c r="H403" s="16">
        <v>60</v>
      </c>
      <c r="I403" s="22">
        <v>0.5</v>
      </c>
      <c r="J403" s="16">
        <v>6929</v>
      </c>
      <c r="K403" s="16" t="b">
        <v>1</v>
      </c>
      <c r="L403" s="22">
        <v>0</v>
      </c>
      <c r="M403" s="42">
        <v>0</v>
      </c>
      <c r="N403" s="22">
        <v>0.1428</v>
      </c>
      <c r="O403" s="42">
        <v>7.00280112</v>
      </c>
      <c r="P403" s="22">
        <v>1</v>
      </c>
      <c r="Q403" s="16">
        <v>3</v>
      </c>
      <c r="R403" s="16">
        <v>1</v>
      </c>
      <c r="S403" s="22">
        <v>0.75</v>
      </c>
      <c r="T403" s="16">
        <v>-0.2</v>
      </c>
      <c r="U403" s="16">
        <v>0</v>
      </c>
      <c r="V403" s="16">
        <v>0</v>
      </c>
      <c r="W403" s="16">
        <v>0.2</v>
      </c>
      <c r="X403" s="16">
        <v>0</v>
      </c>
      <c r="Y403" s="16">
        <v>-0.2</v>
      </c>
      <c r="Z403" s="16">
        <v>0</v>
      </c>
      <c r="AA403" s="16">
        <v>0</v>
      </c>
      <c r="AB403" s="16">
        <v>0.2</v>
      </c>
      <c r="AC403" s="16">
        <v>0</v>
      </c>
      <c r="AD403" s="16">
        <v>-0.2</v>
      </c>
      <c r="AE403" s="16">
        <v>0</v>
      </c>
      <c r="AF403" s="16">
        <v>0</v>
      </c>
      <c r="AG403" s="16">
        <v>0.2</v>
      </c>
      <c r="AH403" s="16">
        <v>0</v>
      </c>
      <c r="AI403" s="48">
        <v>30011</v>
      </c>
      <c r="AJ403" s="48">
        <v>30002</v>
      </c>
      <c r="AK403" s="48">
        <v>30003</v>
      </c>
      <c r="AL403" s="48">
        <v>30004</v>
      </c>
      <c r="AM403" s="48">
        <v>30005</v>
      </c>
      <c r="AN403" s="25">
        <v>0.2</v>
      </c>
      <c r="AO403" s="49">
        <v>5</v>
      </c>
      <c r="AP403" s="50">
        <v>100</v>
      </c>
      <c r="AQ403" s="51" t="s">
        <v>1866</v>
      </c>
      <c r="AR403" s="51">
        <f>=F403*247.95</f>
        <v>6664152.15</v>
      </c>
      <c r="AS403" s="51">
        <f>=G403*32.6061</f>
        <v>4695.2784</v>
      </c>
      <c r="AT403" s="51">
        <f>=J403*2.35</f>
        <v>16283.15</v>
      </c>
      <c r="AU403" s="47">
        <f>=H403*15.88</f>
        <v>952.8</v>
      </c>
    </row>
    <row r="404" spans="1:47">
      <c r="A404" s="16" t="s">
        <v>1912</v>
      </c>
      <c r="B404" s="16">
        <v>31301</v>
      </c>
      <c r="C404" s="16" t="s">
        <v>1913</v>
      </c>
      <c r="D404" s="16" t="s">
        <v>1914</v>
      </c>
      <c r="E404" s="16">
        <v>900031301</v>
      </c>
      <c r="F404" s="16">
        <v>9581</v>
      </c>
      <c r="G404" s="16">
        <v>116</v>
      </c>
      <c r="H404" s="16">
        <v>54</v>
      </c>
      <c r="I404" s="22">
        <v>0.5</v>
      </c>
      <c r="J404" s="16">
        <v>4377</v>
      </c>
      <c r="K404" s="16" t="b">
        <v>1</v>
      </c>
      <c r="L404" s="22">
        <v>0</v>
      </c>
      <c r="M404" s="42">
        <v>0</v>
      </c>
      <c r="N404" s="22">
        <v>0.1</v>
      </c>
      <c r="O404" s="42">
        <v>10</v>
      </c>
      <c r="P404" s="22">
        <v>0.5</v>
      </c>
      <c r="Q404" s="16">
        <v>2</v>
      </c>
      <c r="R404" s="16">
        <v>3</v>
      </c>
      <c r="S404" s="22">
        <v>0.5</v>
      </c>
      <c r="T404" s="16">
        <v>0</v>
      </c>
      <c r="U404" s="16">
        <v>0</v>
      </c>
      <c r="V404" s="16">
        <v>0</v>
      </c>
      <c r="W404" s="16">
        <v>0.2</v>
      </c>
      <c r="X404" s="16">
        <v>-0.2</v>
      </c>
      <c r="Y404" s="16">
        <v>0</v>
      </c>
      <c r="Z404" s="16">
        <v>0</v>
      </c>
      <c r="AA404" s="16">
        <v>0</v>
      </c>
      <c r="AB404" s="16">
        <v>0.2</v>
      </c>
      <c r="AC404" s="16">
        <v>-0.2</v>
      </c>
      <c r="AD404" s="16">
        <v>0</v>
      </c>
      <c r="AE404" s="16">
        <v>0</v>
      </c>
      <c r="AF404" s="16">
        <v>0</v>
      </c>
      <c r="AG404" s="16">
        <v>0.2</v>
      </c>
      <c r="AH404" s="16">
        <v>-0.2</v>
      </c>
      <c r="AI404" s="48">
        <v>20011</v>
      </c>
      <c r="AJ404" s="48">
        <v>20002</v>
      </c>
      <c r="AK404" s="48">
        <v>20003</v>
      </c>
      <c r="AL404" s="48">
        <v>20004</v>
      </c>
      <c r="AM404" s="48">
        <v>20015</v>
      </c>
      <c r="AN404" s="25">
        <v>0.2</v>
      </c>
      <c r="AO404" s="49">
        <v>3</v>
      </c>
      <c r="AP404" s="50">
        <v>75</v>
      </c>
      <c r="AQ404" s="51" t="s">
        <v>1915</v>
      </c>
      <c r="AR404" s="51">
        <f>=F404*247.95</f>
        <v>2375608.95</v>
      </c>
      <c r="AS404" s="51">
        <f>=G404*32.6061</f>
        <v>3782.3076</v>
      </c>
      <c r="AT404" s="51">
        <f>=J404*2.35</f>
        <v>10285.95</v>
      </c>
      <c r="AU404" s="47">
        <f>=H404*15.88</f>
        <v>857.52</v>
      </c>
    </row>
    <row r="405" spans="1:47">
      <c r="A405" s="16" t="s">
        <v>1912</v>
      </c>
      <c r="B405" s="16">
        <v>31302</v>
      </c>
      <c r="C405" s="16" t="s">
        <v>1913</v>
      </c>
      <c r="D405" s="16" t="s">
        <v>1914</v>
      </c>
      <c r="E405" s="16">
        <v>900031302</v>
      </c>
      <c r="F405" s="16">
        <v>9924</v>
      </c>
      <c r="G405" s="16">
        <v>133</v>
      </c>
      <c r="H405" s="16">
        <v>54</v>
      </c>
      <c r="I405" s="22">
        <v>0.5</v>
      </c>
      <c r="J405" s="16">
        <v>4965</v>
      </c>
      <c r="K405" s="16" t="b">
        <v>1</v>
      </c>
      <c r="L405" s="22">
        <v>0</v>
      </c>
      <c r="M405" s="42">
        <v>0</v>
      </c>
      <c r="N405" s="22">
        <v>0.1</v>
      </c>
      <c r="O405" s="42">
        <v>10</v>
      </c>
      <c r="P405" s="22">
        <v>0.5</v>
      </c>
      <c r="Q405" s="16">
        <v>2</v>
      </c>
      <c r="R405" s="16">
        <v>5</v>
      </c>
      <c r="S405" s="22">
        <v>0.5</v>
      </c>
      <c r="T405" s="16">
        <v>0</v>
      </c>
      <c r="U405" s="16">
        <v>0</v>
      </c>
      <c r="V405" s="16">
        <v>0</v>
      </c>
      <c r="W405" s="16">
        <v>0.2</v>
      </c>
      <c r="X405" s="16">
        <v>-0.2</v>
      </c>
      <c r="Y405" s="16">
        <v>0</v>
      </c>
      <c r="Z405" s="16">
        <v>0</v>
      </c>
      <c r="AA405" s="16">
        <v>0</v>
      </c>
      <c r="AB405" s="16">
        <v>0.2</v>
      </c>
      <c r="AC405" s="16">
        <v>-0.2</v>
      </c>
      <c r="AD405" s="16">
        <v>0</v>
      </c>
      <c r="AE405" s="16">
        <v>0</v>
      </c>
      <c r="AF405" s="16">
        <v>0</v>
      </c>
      <c r="AG405" s="16">
        <v>0.2</v>
      </c>
      <c r="AH405" s="16">
        <v>-0.2</v>
      </c>
      <c r="AI405" s="48">
        <v>20011</v>
      </c>
      <c r="AJ405" s="48">
        <v>20002</v>
      </c>
      <c r="AK405" s="48">
        <v>20003</v>
      </c>
      <c r="AL405" s="48">
        <v>20004</v>
      </c>
      <c r="AM405" s="48">
        <v>20015</v>
      </c>
      <c r="AN405" s="25">
        <v>0.2</v>
      </c>
      <c r="AO405" s="49">
        <v>3</v>
      </c>
      <c r="AP405" s="50">
        <v>75</v>
      </c>
      <c r="AQ405" s="51" t="s">
        <v>1916</v>
      </c>
      <c r="AR405" s="51">
        <f>=F405*247.95</f>
        <v>2460655.8</v>
      </c>
      <c r="AS405" s="51">
        <f>=G405*32.6061</f>
        <v>4336.6113</v>
      </c>
      <c r="AT405" s="51">
        <f>=J405*2.35</f>
        <v>11667.75</v>
      </c>
      <c r="AU405" s="47">
        <f>=H405*15.88</f>
        <v>857.52</v>
      </c>
    </row>
    <row r="406" spans="1:47">
      <c r="A406" s="16" t="s">
        <v>1912</v>
      </c>
      <c r="B406" s="16">
        <v>31303</v>
      </c>
      <c r="C406" s="16" t="s">
        <v>1913</v>
      </c>
      <c r="D406" s="16" t="s">
        <v>1914</v>
      </c>
      <c r="E406" s="16">
        <v>900031303</v>
      </c>
      <c r="F406" s="16">
        <v>9581</v>
      </c>
      <c r="G406" s="16">
        <v>116</v>
      </c>
      <c r="H406" s="16">
        <v>54</v>
      </c>
      <c r="I406" s="22">
        <v>0.5</v>
      </c>
      <c r="J406" s="16">
        <v>4377</v>
      </c>
      <c r="K406" s="16" t="b">
        <v>1</v>
      </c>
      <c r="L406" s="22">
        <v>0</v>
      </c>
      <c r="M406" s="42">
        <v>0</v>
      </c>
      <c r="N406" s="22">
        <v>0.1</v>
      </c>
      <c r="O406" s="42">
        <v>10</v>
      </c>
      <c r="P406" s="22">
        <v>0.5</v>
      </c>
      <c r="Q406" s="16">
        <v>2</v>
      </c>
      <c r="R406" s="16">
        <v>5</v>
      </c>
      <c r="S406" s="22">
        <v>0.5</v>
      </c>
      <c r="T406" s="16">
        <v>0</v>
      </c>
      <c r="U406" s="16">
        <v>0</v>
      </c>
      <c r="V406" s="16">
        <v>0</v>
      </c>
      <c r="W406" s="16">
        <v>0.2</v>
      </c>
      <c r="X406" s="16">
        <v>-0.2</v>
      </c>
      <c r="Y406" s="16">
        <v>0</v>
      </c>
      <c r="Z406" s="16">
        <v>0</v>
      </c>
      <c r="AA406" s="16">
        <v>0</v>
      </c>
      <c r="AB406" s="16">
        <v>0.2</v>
      </c>
      <c r="AC406" s="16">
        <v>-0.2</v>
      </c>
      <c r="AD406" s="16">
        <v>0</v>
      </c>
      <c r="AE406" s="16">
        <v>0</v>
      </c>
      <c r="AF406" s="16">
        <v>0</v>
      </c>
      <c r="AG406" s="16">
        <v>0.2</v>
      </c>
      <c r="AH406" s="16">
        <v>-0.2</v>
      </c>
      <c r="AI406" s="48">
        <v>20011</v>
      </c>
      <c r="AJ406" s="48">
        <v>20002</v>
      </c>
      <c r="AK406" s="48">
        <v>20003</v>
      </c>
      <c r="AL406" s="48">
        <v>20004</v>
      </c>
      <c r="AM406" s="48">
        <v>20015</v>
      </c>
      <c r="AN406" s="25">
        <v>0.2</v>
      </c>
      <c r="AO406" s="49">
        <v>3</v>
      </c>
      <c r="AP406" s="50">
        <v>75</v>
      </c>
      <c r="AQ406" s="51" t="s">
        <v>1917</v>
      </c>
      <c r="AR406" s="51">
        <f>=F406*247.95</f>
        <v>2375608.95</v>
      </c>
      <c r="AS406" s="51">
        <f>=G406*32.6061</f>
        <v>3782.3076</v>
      </c>
      <c r="AT406" s="51">
        <f>=J406*2.35</f>
        <v>10285.95</v>
      </c>
      <c r="AU406" s="47">
        <f>=H406*15.88</f>
        <v>857.52</v>
      </c>
    </row>
    <row r="407" spans="1:47">
      <c r="A407" s="16" t="s">
        <v>1918</v>
      </c>
      <c r="B407" s="16">
        <v>31311</v>
      </c>
      <c r="C407" s="16" t="s">
        <v>1919</v>
      </c>
      <c r="D407" s="16" t="s">
        <v>1920</v>
      </c>
      <c r="E407" s="16">
        <v>900031311</v>
      </c>
      <c r="F407" s="16">
        <v>13839</v>
      </c>
      <c r="G407" s="16">
        <v>116</v>
      </c>
      <c r="H407" s="16">
        <v>54</v>
      </c>
      <c r="I407" s="22">
        <v>0.5</v>
      </c>
      <c r="J407" s="16">
        <v>5034</v>
      </c>
      <c r="K407" s="16" t="b">
        <v>1</v>
      </c>
      <c r="L407" s="22">
        <v>0</v>
      </c>
      <c r="M407" s="42">
        <v>0</v>
      </c>
      <c r="N407" s="22">
        <v>0.1</v>
      </c>
      <c r="O407" s="42">
        <v>10</v>
      </c>
      <c r="P407" s="22">
        <v>0.5</v>
      </c>
      <c r="Q407" s="16">
        <v>2</v>
      </c>
      <c r="R407" s="16">
        <v>3</v>
      </c>
      <c r="S407" s="22">
        <v>0.5</v>
      </c>
      <c r="T407" s="16">
        <v>0</v>
      </c>
      <c r="U407" s="16">
        <v>0</v>
      </c>
      <c r="V407" s="16">
        <v>0</v>
      </c>
      <c r="W407" s="16">
        <v>0.2</v>
      </c>
      <c r="X407" s="16">
        <v>-0.2</v>
      </c>
      <c r="Y407" s="16">
        <v>0</v>
      </c>
      <c r="Z407" s="16">
        <v>0</v>
      </c>
      <c r="AA407" s="16">
        <v>0</v>
      </c>
      <c r="AB407" s="16">
        <v>0.2</v>
      </c>
      <c r="AC407" s="16">
        <v>-0.2</v>
      </c>
      <c r="AD407" s="16">
        <v>0</v>
      </c>
      <c r="AE407" s="16">
        <v>0</v>
      </c>
      <c r="AF407" s="16">
        <v>0</v>
      </c>
      <c r="AG407" s="16">
        <v>0.2</v>
      </c>
      <c r="AH407" s="16">
        <v>-0.2</v>
      </c>
      <c r="AI407" s="48">
        <v>20011</v>
      </c>
      <c r="AJ407" s="48">
        <v>20002</v>
      </c>
      <c r="AK407" s="48">
        <v>20003</v>
      </c>
      <c r="AL407" s="48">
        <v>20004</v>
      </c>
      <c r="AM407" s="48">
        <v>20015</v>
      </c>
      <c r="AN407" s="25">
        <v>0.2</v>
      </c>
      <c r="AO407" s="49">
        <v>3</v>
      </c>
      <c r="AP407" s="50">
        <v>75</v>
      </c>
      <c r="AQ407" s="51" t="s">
        <v>1921</v>
      </c>
      <c r="AR407" s="51">
        <f>=F407*247.95</f>
        <v>3431380.05</v>
      </c>
      <c r="AS407" s="51">
        <f>=G407*32.6061</f>
        <v>3782.3076</v>
      </c>
      <c r="AT407" s="51">
        <f>=J407*2.35</f>
        <v>11829.9</v>
      </c>
      <c r="AU407" s="47">
        <f>=H407*15.88</f>
        <v>857.52</v>
      </c>
    </row>
    <row r="408" spans="1:47">
      <c r="A408" s="16" t="s">
        <v>1918</v>
      </c>
      <c r="B408" s="16">
        <v>31312</v>
      </c>
      <c r="C408" s="16" t="s">
        <v>1919</v>
      </c>
      <c r="D408" s="16" t="s">
        <v>1920</v>
      </c>
      <c r="E408" s="16">
        <v>900031312</v>
      </c>
      <c r="F408" s="16">
        <v>14335</v>
      </c>
      <c r="G408" s="16">
        <v>133</v>
      </c>
      <c r="H408" s="16">
        <v>54</v>
      </c>
      <c r="I408" s="22">
        <v>0.5</v>
      </c>
      <c r="J408" s="16">
        <v>5710</v>
      </c>
      <c r="K408" s="16" t="b">
        <v>1</v>
      </c>
      <c r="L408" s="22">
        <v>0</v>
      </c>
      <c r="M408" s="42">
        <v>0</v>
      </c>
      <c r="N408" s="22">
        <v>0.1</v>
      </c>
      <c r="O408" s="42">
        <v>10</v>
      </c>
      <c r="P408" s="22">
        <v>0.5</v>
      </c>
      <c r="Q408" s="16">
        <v>2</v>
      </c>
      <c r="R408" s="16">
        <v>5</v>
      </c>
      <c r="S408" s="22">
        <v>0.5</v>
      </c>
      <c r="T408" s="16">
        <v>0</v>
      </c>
      <c r="U408" s="16">
        <v>0</v>
      </c>
      <c r="V408" s="16">
        <v>0</v>
      </c>
      <c r="W408" s="16">
        <v>0.2</v>
      </c>
      <c r="X408" s="16">
        <v>-0.2</v>
      </c>
      <c r="Y408" s="16">
        <v>0</v>
      </c>
      <c r="Z408" s="16">
        <v>0</v>
      </c>
      <c r="AA408" s="16">
        <v>0</v>
      </c>
      <c r="AB408" s="16">
        <v>0.2</v>
      </c>
      <c r="AC408" s="16">
        <v>-0.2</v>
      </c>
      <c r="AD408" s="16">
        <v>0</v>
      </c>
      <c r="AE408" s="16">
        <v>0</v>
      </c>
      <c r="AF408" s="16">
        <v>0</v>
      </c>
      <c r="AG408" s="16">
        <v>0.2</v>
      </c>
      <c r="AH408" s="16">
        <v>-0.2</v>
      </c>
      <c r="AI408" s="48">
        <v>20011</v>
      </c>
      <c r="AJ408" s="48">
        <v>20002</v>
      </c>
      <c r="AK408" s="48">
        <v>20003</v>
      </c>
      <c r="AL408" s="48">
        <v>20004</v>
      </c>
      <c r="AM408" s="48">
        <v>20015</v>
      </c>
      <c r="AN408" s="25">
        <v>0.2</v>
      </c>
      <c r="AO408" s="49">
        <v>3</v>
      </c>
      <c r="AP408" s="50">
        <v>75</v>
      </c>
      <c r="AQ408" s="51" t="s">
        <v>1922</v>
      </c>
      <c r="AR408" s="51">
        <f>=F408*247.95</f>
        <v>3554363.25</v>
      </c>
      <c r="AS408" s="51">
        <f>=G408*32.6061</f>
        <v>4336.6113</v>
      </c>
      <c r="AT408" s="51">
        <f>=J408*2.35</f>
        <v>13418.5</v>
      </c>
      <c r="AU408" s="47">
        <f>=H408*15.88</f>
        <v>857.52</v>
      </c>
    </row>
    <row r="409" spans="1:47">
      <c r="A409" s="16" t="s">
        <v>1918</v>
      </c>
      <c r="B409" s="16">
        <v>31313</v>
      </c>
      <c r="C409" s="16" t="s">
        <v>1919</v>
      </c>
      <c r="D409" s="16" t="s">
        <v>1920</v>
      </c>
      <c r="E409" s="16">
        <v>900031313</v>
      </c>
      <c r="F409" s="16">
        <v>13839</v>
      </c>
      <c r="G409" s="16">
        <v>116</v>
      </c>
      <c r="H409" s="16">
        <v>54</v>
      </c>
      <c r="I409" s="22">
        <v>0.5</v>
      </c>
      <c r="J409" s="16">
        <v>5034</v>
      </c>
      <c r="K409" s="16" t="b">
        <v>1</v>
      </c>
      <c r="L409" s="22">
        <v>0</v>
      </c>
      <c r="M409" s="42">
        <v>0</v>
      </c>
      <c r="N409" s="22">
        <v>0.1</v>
      </c>
      <c r="O409" s="42">
        <v>10</v>
      </c>
      <c r="P409" s="22">
        <v>0.5</v>
      </c>
      <c r="Q409" s="16">
        <v>2</v>
      </c>
      <c r="R409" s="16">
        <v>5</v>
      </c>
      <c r="S409" s="22">
        <v>0.5</v>
      </c>
      <c r="T409" s="16">
        <v>0</v>
      </c>
      <c r="U409" s="16">
        <v>0</v>
      </c>
      <c r="V409" s="16">
        <v>0</v>
      </c>
      <c r="W409" s="16">
        <v>0.2</v>
      </c>
      <c r="X409" s="16">
        <v>-0.2</v>
      </c>
      <c r="Y409" s="16">
        <v>0</v>
      </c>
      <c r="Z409" s="16">
        <v>0</v>
      </c>
      <c r="AA409" s="16">
        <v>0</v>
      </c>
      <c r="AB409" s="16">
        <v>0.2</v>
      </c>
      <c r="AC409" s="16">
        <v>-0.2</v>
      </c>
      <c r="AD409" s="16">
        <v>0</v>
      </c>
      <c r="AE409" s="16">
        <v>0</v>
      </c>
      <c r="AF409" s="16">
        <v>0</v>
      </c>
      <c r="AG409" s="16">
        <v>0.2</v>
      </c>
      <c r="AH409" s="16">
        <v>-0.2</v>
      </c>
      <c r="AI409" s="48">
        <v>20011</v>
      </c>
      <c r="AJ409" s="48">
        <v>20002</v>
      </c>
      <c r="AK409" s="48">
        <v>20003</v>
      </c>
      <c r="AL409" s="48">
        <v>20004</v>
      </c>
      <c r="AM409" s="48">
        <v>20015</v>
      </c>
      <c r="AN409" s="25">
        <v>0.2</v>
      </c>
      <c r="AO409" s="49">
        <v>3</v>
      </c>
      <c r="AP409" s="50">
        <v>75</v>
      </c>
      <c r="AQ409" s="51" t="s">
        <v>1923</v>
      </c>
      <c r="AR409" s="51">
        <f>=F409*247.95</f>
        <v>3431380.05</v>
      </c>
      <c r="AS409" s="51">
        <f>=G409*32.6061</f>
        <v>3782.3076</v>
      </c>
      <c r="AT409" s="51">
        <f>=J409*2.35</f>
        <v>11829.9</v>
      </c>
      <c r="AU409" s="47">
        <f>=H409*15.88</f>
        <v>857.52</v>
      </c>
    </row>
    <row r="410" spans="1:47">
      <c r="A410" s="16" t="s">
        <v>1924</v>
      </c>
      <c r="B410" s="16">
        <v>31321</v>
      </c>
      <c r="C410" s="16" t="s">
        <v>1925</v>
      </c>
      <c r="D410" s="16" t="s">
        <v>1926</v>
      </c>
      <c r="E410" s="16">
        <v>900031321</v>
      </c>
      <c r="F410" s="16">
        <v>16433</v>
      </c>
      <c r="G410" s="16">
        <v>116</v>
      </c>
      <c r="H410" s="16">
        <v>50</v>
      </c>
      <c r="I410" s="22">
        <v>0.5</v>
      </c>
      <c r="J410" s="16">
        <v>4727</v>
      </c>
      <c r="K410" s="16" t="b">
        <v>1</v>
      </c>
      <c r="L410" s="22">
        <v>0</v>
      </c>
      <c r="M410" s="42">
        <v>0</v>
      </c>
      <c r="N410" s="22">
        <v>0.1</v>
      </c>
      <c r="O410" s="42">
        <v>10</v>
      </c>
      <c r="P410" s="22">
        <v>1</v>
      </c>
      <c r="Q410" s="16">
        <v>2</v>
      </c>
      <c r="R410" s="16">
        <v>3</v>
      </c>
      <c r="S410" s="22">
        <v>0.5</v>
      </c>
      <c r="T410" s="16">
        <v>0</v>
      </c>
      <c r="U410" s="16">
        <v>-0.2</v>
      </c>
      <c r="V410" s="16">
        <v>0.2</v>
      </c>
      <c r="W410" s="16">
        <v>-0.2</v>
      </c>
      <c r="X410" s="16">
        <v>0</v>
      </c>
      <c r="Y410" s="16">
        <v>0</v>
      </c>
      <c r="Z410" s="16">
        <v>-0.2</v>
      </c>
      <c r="AA410" s="16">
        <v>0.2</v>
      </c>
      <c r="AB410" s="16">
        <v>-0.2</v>
      </c>
      <c r="AC410" s="16">
        <v>0</v>
      </c>
      <c r="AD410" s="16">
        <v>0</v>
      </c>
      <c r="AE410" s="16">
        <v>-0.2</v>
      </c>
      <c r="AF410" s="16">
        <v>0.2</v>
      </c>
      <c r="AG410" s="16">
        <v>-0.2</v>
      </c>
      <c r="AH410" s="16">
        <v>0</v>
      </c>
      <c r="AI410" s="48">
        <v>20011</v>
      </c>
      <c r="AJ410" s="48">
        <v>20012</v>
      </c>
      <c r="AK410" s="48">
        <v>20003</v>
      </c>
      <c r="AL410" s="48">
        <v>20004</v>
      </c>
      <c r="AM410" s="48">
        <v>20005</v>
      </c>
      <c r="AN410" s="25">
        <v>0.2</v>
      </c>
      <c r="AO410" s="49">
        <v>3</v>
      </c>
      <c r="AP410" s="50">
        <v>75</v>
      </c>
      <c r="AQ410" s="51" t="s">
        <v>1770</v>
      </c>
      <c r="AR410" s="51">
        <f>=F410*247.95</f>
        <v>4074562.35</v>
      </c>
      <c r="AS410" s="51">
        <f>=G410*32.6061</f>
        <v>3782.3076</v>
      </c>
      <c r="AT410" s="51">
        <f>=J410*2.35</f>
        <v>11108.45</v>
      </c>
      <c r="AU410" s="47">
        <f>=H410*15.88</f>
        <v>794</v>
      </c>
    </row>
    <row r="411" spans="1:47">
      <c r="A411" s="16" t="s">
        <v>1924</v>
      </c>
      <c r="B411" s="16">
        <v>31322</v>
      </c>
      <c r="C411" s="16" t="s">
        <v>1925</v>
      </c>
      <c r="D411" s="16" t="s">
        <v>1926</v>
      </c>
      <c r="E411" s="16">
        <v>900031322</v>
      </c>
      <c r="F411" s="16">
        <v>16903</v>
      </c>
      <c r="G411" s="16">
        <v>133</v>
      </c>
      <c r="H411" s="16">
        <v>50</v>
      </c>
      <c r="I411" s="22">
        <v>0.5</v>
      </c>
      <c r="J411" s="16">
        <v>5362</v>
      </c>
      <c r="K411" s="16" t="b">
        <v>1</v>
      </c>
      <c r="L411" s="22">
        <v>0</v>
      </c>
      <c r="M411" s="42">
        <v>0</v>
      </c>
      <c r="N411" s="22">
        <v>0.1</v>
      </c>
      <c r="O411" s="42">
        <v>10</v>
      </c>
      <c r="P411" s="22">
        <v>1</v>
      </c>
      <c r="Q411" s="16">
        <v>2</v>
      </c>
      <c r="R411" s="16">
        <v>5</v>
      </c>
      <c r="S411" s="22">
        <v>0.5</v>
      </c>
      <c r="T411" s="16">
        <v>0</v>
      </c>
      <c r="U411" s="16">
        <v>-0.2</v>
      </c>
      <c r="V411" s="16">
        <v>0.2</v>
      </c>
      <c r="W411" s="16">
        <v>-0.2</v>
      </c>
      <c r="X411" s="16">
        <v>0</v>
      </c>
      <c r="Y411" s="16">
        <v>0</v>
      </c>
      <c r="Z411" s="16">
        <v>-0.2</v>
      </c>
      <c r="AA411" s="16">
        <v>0.2</v>
      </c>
      <c r="AB411" s="16">
        <v>-0.2</v>
      </c>
      <c r="AC411" s="16">
        <v>0</v>
      </c>
      <c r="AD411" s="16">
        <v>0</v>
      </c>
      <c r="AE411" s="16">
        <v>-0.2</v>
      </c>
      <c r="AF411" s="16">
        <v>0.2</v>
      </c>
      <c r="AG411" s="16">
        <v>-0.2</v>
      </c>
      <c r="AH411" s="16">
        <v>0</v>
      </c>
      <c r="AI411" s="48">
        <v>20011</v>
      </c>
      <c r="AJ411" s="48">
        <v>20012</v>
      </c>
      <c r="AK411" s="48">
        <v>20003</v>
      </c>
      <c r="AL411" s="48">
        <v>20004</v>
      </c>
      <c r="AM411" s="48">
        <v>20005</v>
      </c>
      <c r="AN411" s="25">
        <v>0.2</v>
      </c>
      <c r="AO411" s="49">
        <v>3</v>
      </c>
      <c r="AP411" s="50">
        <v>75</v>
      </c>
      <c r="AQ411" s="51" t="s">
        <v>1771</v>
      </c>
      <c r="AR411" s="51">
        <f>=F411*247.95</f>
        <v>4191098.85</v>
      </c>
      <c r="AS411" s="51">
        <f>=G411*32.6061</f>
        <v>4336.6113</v>
      </c>
      <c r="AT411" s="51">
        <f>=J411*2.35</f>
        <v>12600.7</v>
      </c>
      <c r="AU411" s="47">
        <f>=H411*15.88</f>
        <v>794</v>
      </c>
    </row>
    <row r="412" spans="1:47">
      <c r="A412" s="16" t="s">
        <v>1927</v>
      </c>
      <c r="B412" s="16">
        <v>31331</v>
      </c>
      <c r="C412" s="16" t="s">
        <v>1928</v>
      </c>
      <c r="D412" s="16" t="s">
        <v>1929</v>
      </c>
      <c r="E412" s="16">
        <v>900031331</v>
      </c>
      <c r="F412" s="16">
        <v>31849</v>
      </c>
      <c r="G412" s="16">
        <v>144</v>
      </c>
      <c r="H412" s="16">
        <v>60</v>
      </c>
      <c r="I412" s="22">
        <v>0.5</v>
      </c>
      <c r="J412" s="16">
        <v>7483</v>
      </c>
      <c r="K412" s="16" t="b">
        <v>1</v>
      </c>
      <c r="L412" s="22">
        <v>0</v>
      </c>
      <c r="M412" s="42">
        <v>0</v>
      </c>
      <c r="N412" s="22">
        <v>0.0833</v>
      </c>
      <c r="O412" s="42">
        <v>12.0048019</v>
      </c>
      <c r="P412" s="22">
        <v>1</v>
      </c>
      <c r="Q412" s="16">
        <v>3</v>
      </c>
      <c r="R412" s="16">
        <v>5</v>
      </c>
      <c r="S412" s="22">
        <v>0.75</v>
      </c>
      <c r="T412" s="16">
        <v>0.2</v>
      </c>
      <c r="U412" s="16">
        <v>-0.2</v>
      </c>
      <c r="V412" s="16">
        <v>0</v>
      </c>
      <c r="W412" s="16">
        <v>-0.2</v>
      </c>
      <c r="X412" s="16">
        <v>0</v>
      </c>
      <c r="Y412" s="16">
        <v>0.2</v>
      </c>
      <c r="Z412" s="16">
        <v>-0.2</v>
      </c>
      <c r="AA412" s="16">
        <v>0</v>
      </c>
      <c r="AB412" s="16">
        <v>-0.2</v>
      </c>
      <c r="AC412" s="16">
        <v>0</v>
      </c>
      <c r="AD412" s="16">
        <v>0.2</v>
      </c>
      <c r="AE412" s="16">
        <v>-0.2</v>
      </c>
      <c r="AF412" s="16">
        <v>0</v>
      </c>
      <c r="AG412" s="16">
        <v>-0.2</v>
      </c>
      <c r="AH412" s="16">
        <v>0</v>
      </c>
      <c r="AI412" s="48">
        <v>30011</v>
      </c>
      <c r="AJ412" s="48">
        <v>30012</v>
      </c>
      <c r="AK412" s="48">
        <v>30003</v>
      </c>
      <c r="AL412" s="48">
        <v>30004</v>
      </c>
      <c r="AM412" s="48">
        <v>30005</v>
      </c>
      <c r="AN412" s="25">
        <v>0.2</v>
      </c>
      <c r="AO412" s="49">
        <v>5</v>
      </c>
      <c r="AP412" s="50">
        <v>100</v>
      </c>
      <c r="AQ412" s="51" t="s">
        <v>1930</v>
      </c>
      <c r="AR412" s="51">
        <f>=F412*247.95</f>
        <v>7896959.55</v>
      </c>
      <c r="AS412" s="51">
        <f>=G412*32.6061</f>
        <v>4695.2784</v>
      </c>
      <c r="AT412" s="51">
        <f>=J412*2.35</f>
        <v>17585.05</v>
      </c>
      <c r="AU412" s="47">
        <f>=H412*15.88</f>
        <v>952.8</v>
      </c>
    </row>
    <row r="413" spans="1:47" ht="18" customHeight="1">
      <c r="A413" s="16" t="s">
        <v>1927</v>
      </c>
      <c r="B413" s="16">
        <v>31332</v>
      </c>
      <c r="C413" s="16" t="s">
        <v>1928</v>
      </c>
      <c r="D413" s="16" t="s">
        <v>1929</v>
      </c>
      <c r="E413" s="16">
        <v>900031332</v>
      </c>
      <c r="F413" s="16">
        <v>31849</v>
      </c>
      <c r="G413" s="16">
        <v>144</v>
      </c>
      <c r="H413" s="16">
        <v>60</v>
      </c>
      <c r="I413" s="22">
        <v>0.5</v>
      </c>
      <c r="J413" s="16">
        <v>7483</v>
      </c>
      <c r="K413" s="16" t="b">
        <v>1</v>
      </c>
      <c r="L413" s="22">
        <v>0</v>
      </c>
      <c r="M413" s="42">
        <v>0</v>
      </c>
      <c r="N413" s="22">
        <v>0.0833</v>
      </c>
      <c r="O413" s="42">
        <v>12.0048019</v>
      </c>
      <c r="P413" s="22">
        <v>1</v>
      </c>
      <c r="Q413" s="16">
        <v>3</v>
      </c>
      <c r="R413" s="16">
        <v>5</v>
      </c>
      <c r="S413" s="22">
        <v>0.75</v>
      </c>
      <c r="T413" s="16">
        <v>0.2</v>
      </c>
      <c r="U413" s="16">
        <v>-0.2</v>
      </c>
      <c r="V413" s="16">
        <v>0</v>
      </c>
      <c r="W413" s="16">
        <v>-0.2</v>
      </c>
      <c r="X413" s="16">
        <v>0</v>
      </c>
      <c r="Y413" s="16">
        <v>0.2</v>
      </c>
      <c r="Z413" s="16">
        <v>-0.2</v>
      </c>
      <c r="AA413" s="16">
        <v>0</v>
      </c>
      <c r="AB413" s="16">
        <v>-0.2</v>
      </c>
      <c r="AC413" s="16">
        <v>0</v>
      </c>
      <c r="AD413" s="16">
        <v>0.2</v>
      </c>
      <c r="AE413" s="16">
        <v>-0.2</v>
      </c>
      <c r="AF413" s="16">
        <v>0</v>
      </c>
      <c r="AG413" s="16">
        <v>-0.2</v>
      </c>
      <c r="AH413" s="16">
        <v>0</v>
      </c>
      <c r="AI413" s="48">
        <v>30011</v>
      </c>
      <c r="AJ413" s="48">
        <v>30012</v>
      </c>
      <c r="AK413" s="48">
        <v>30003</v>
      </c>
      <c r="AL413" s="48">
        <v>30004</v>
      </c>
      <c r="AM413" s="48">
        <v>30005</v>
      </c>
      <c r="AN413" s="25">
        <v>0.2</v>
      </c>
      <c r="AO413" s="49">
        <v>5</v>
      </c>
      <c r="AP413" s="50">
        <v>100</v>
      </c>
      <c r="AQ413" s="51" t="s">
        <v>1931</v>
      </c>
      <c r="AR413" s="51">
        <f>=F413*247.95</f>
        <v>7896959.55</v>
      </c>
      <c r="AS413" s="51">
        <f>=G413*32.6061</f>
        <v>4695.2784</v>
      </c>
      <c r="AT413" s="51">
        <f>=J413*2.35</f>
        <v>17585.05</v>
      </c>
      <c r="AU413" s="47">
        <f>=H413*15.88</f>
        <v>952.8</v>
      </c>
    </row>
    <row r="414" spans="1:47">
      <c r="A414" s="16" t="s">
        <v>1932</v>
      </c>
      <c r="B414" s="16">
        <v>31341</v>
      </c>
      <c r="C414" s="16" t="s">
        <v>1933</v>
      </c>
      <c r="D414" s="16" t="s"/>
      <c r="E414" s="16">
        <v>900031341</v>
      </c>
      <c r="F414" s="16">
        <v>14332</v>
      </c>
      <c r="G414" s="16">
        <v>144</v>
      </c>
      <c r="H414" s="16">
        <v>60</v>
      </c>
      <c r="I414" s="22">
        <v>0.5</v>
      </c>
      <c r="J414" s="16">
        <v>7483</v>
      </c>
      <c r="K414" s="16" t="b">
        <v>0</v>
      </c>
      <c r="L414" s="22">
        <v>0</v>
      </c>
      <c r="M414" s="42">
        <v>0</v>
      </c>
      <c r="N414" s="22">
        <v>0.0833</v>
      </c>
      <c r="O414" s="42">
        <v>12.0048019</v>
      </c>
      <c r="P414" s="22">
        <v>1</v>
      </c>
      <c r="Q414" s="16">
        <v>3</v>
      </c>
      <c r="R414" s="16">
        <v>5</v>
      </c>
      <c r="S414" s="22">
        <v>0.75</v>
      </c>
      <c r="T414" s="16">
        <v>-0.2</v>
      </c>
      <c r="U414" s="16">
        <v>0</v>
      </c>
      <c r="V414" s="16">
        <v>0.4</v>
      </c>
      <c r="W414" s="16">
        <v>-0.2</v>
      </c>
      <c r="X414" s="16">
        <v>0</v>
      </c>
      <c r="Y414" s="16">
        <v>-0.2</v>
      </c>
      <c r="Z414" s="16">
        <v>0</v>
      </c>
      <c r="AA414" s="16">
        <v>0.2</v>
      </c>
      <c r="AB414" s="16">
        <v>-0.2</v>
      </c>
      <c r="AC414" s="16">
        <v>0</v>
      </c>
      <c r="AD414" s="16">
        <v>-0.2</v>
      </c>
      <c r="AE414" s="16">
        <v>0</v>
      </c>
      <c r="AF414" s="16">
        <v>0.2</v>
      </c>
      <c r="AG414" s="16">
        <v>-0.2</v>
      </c>
      <c r="AH414" s="16">
        <v>0</v>
      </c>
      <c r="AI414" s="48">
        <v>30011</v>
      </c>
      <c r="AJ414" s="48">
        <v>30002</v>
      </c>
      <c r="AK414" s="48">
        <v>30003</v>
      </c>
      <c r="AL414" s="48">
        <v>30004</v>
      </c>
      <c r="AM414" s="48">
        <v>30005</v>
      </c>
      <c r="AN414" s="25">
        <v>0.2</v>
      </c>
      <c r="AO414" s="49">
        <v>5</v>
      </c>
      <c r="AP414" s="50">
        <v>100</v>
      </c>
      <c r="AQ414" s="51" t="s">
        <v>1934</v>
      </c>
      <c r="AR414" s="51">
        <f>=F414*247.95</f>
        <v>3553619.4</v>
      </c>
      <c r="AS414" s="51">
        <f>=G414*32.6061</f>
        <v>4695.2784</v>
      </c>
      <c r="AT414" s="51">
        <f>=J414*2.35</f>
        <v>17585.05</v>
      </c>
      <c r="AU414" s="47">
        <f>=H414*15.88</f>
        <v>952.8</v>
      </c>
    </row>
    <row r="415" spans="1:47">
      <c r="A415" s="16" t="s">
        <v>1935</v>
      </c>
      <c r="B415" s="16">
        <v>31351</v>
      </c>
      <c r="C415" s="16" t="s">
        <v>1936</v>
      </c>
      <c r="D415" s="16" t="s">
        <v>1937</v>
      </c>
      <c r="E415" s="16">
        <v>900031351</v>
      </c>
      <c r="F415" s="16">
        <v>41404</v>
      </c>
      <c r="G415" s="16">
        <v>144</v>
      </c>
      <c r="H415" s="16">
        <v>60</v>
      </c>
      <c r="I415" s="22">
        <v>0.5</v>
      </c>
      <c r="J415" s="16">
        <v>7483</v>
      </c>
      <c r="K415" s="16" t="b">
        <v>1</v>
      </c>
      <c r="L415" s="22">
        <v>0</v>
      </c>
      <c r="M415" s="42">
        <v>0</v>
      </c>
      <c r="N415" s="22">
        <v>0.0833</v>
      </c>
      <c r="O415" s="42">
        <v>12.0048019</v>
      </c>
      <c r="P415" s="22">
        <v>1</v>
      </c>
      <c r="Q415" s="16">
        <v>3</v>
      </c>
      <c r="R415" s="16">
        <v>1</v>
      </c>
      <c r="S415" s="22">
        <v>0.75</v>
      </c>
      <c r="T415" s="16">
        <v>-0.2</v>
      </c>
      <c r="U415" s="16">
        <v>0</v>
      </c>
      <c r="V415" s="16">
        <v>0.4</v>
      </c>
      <c r="W415" s="16">
        <v>-0.2</v>
      </c>
      <c r="X415" s="16">
        <v>0</v>
      </c>
      <c r="Y415" s="16">
        <v>-0.2</v>
      </c>
      <c r="Z415" s="16">
        <v>0</v>
      </c>
      <c r="AA415" s="16">
        <v>0.2</v>
      </c>
      <c r="AB415" s="16">
        <v>-0.2</v>
      </c>
      <c r="AC415" s="16">
        <v>0</v>
      </c>
      <c r="AD415" s="16">
        <v>-0.2</v>
      </c>
      <c r="AE415" s="16">
        <v>0</v>
      </c>
      <c r="AF415" s="16">
        <v>0.2</v>
      </c>
      <c r="AG415" s="16">
        <v>-0.2</v>
      </c>
      <c r="AH415" s="16">
        <v>0</v>
      </c>
      <c r="AI415" s="48">
        <v>30011</v>
      </c>
      <c r="AJ415" s="48">
        <v>30002</v>
      </c>
      <c r="AK415" s="48">
        <v>30003</v>
      </c>
      <c r="AL415" s="48">
        <v>30004</v>
      </c>
      <c r="AM415" s="48">
        <v>30005</v>
      </c>
      <c r="AN415" s="25">
        <v>0.32</v>
      </c>
      <c r="AO415" s="49">
        <v>5</v>
      </c>
      <c r="AP415" s="50">
        <v>100</v>
      </c>
      <c r="AQ415" s="51" t="s">
        <v>1171</v>
      </c>
      <c r="AR415" s="51">
        <f>=F415*247.95</f>
        <v>10266121.8</v>
      </c>
      <c r="AS415" s="51">
        <f>=G415*32.6061</f>
        <v>4695.2784</v>
      </c>
      <c r="AT415" s="51">
        <f>=J415*2.35</f>
        <v>17585.05</v>
      </c>
      <c r="AU415" s="47">
        <f>=H415*15.88</f>
        <v>952.8</v>
      </c>
    </row>
    <row r="416" spans="1:47">
      <c r="A416" s="16" t="s">
        <v>1938</v>
      </c>
      <c r="B416" s="16">
        <v>31352</v>
      </c>
      <c r="C416" s="16" t="s">
        <v>1939</v>
      </c>
      <c r="D416" s="16" t="s"/>
      <c r="E416" s="16">
        <v>900031352</v>
      </c>
      <c r="F416" s="16">
        <v>41404</v>
      </c>
      <c r="G416" s="16">
        <v>144</v>
      </c>
      <c r="H416" s="16">
        <v>60</v>
      </c>
      <c r="I416" s="22">
        <v>0.5</v>
      </c>
      <c r="J416" s="16">
        <v>7483</v>
      </c>
      <c r="K416" s="16" t="b">
        <v>1</v>
      </c>
      <c r="L416" s="22">
        <v>0</v>
      </c>
      <c r="M416" s="42">
        <v>0</v>
      </c>
      <c r="N416" s="22">
        <v>0.0833</v>
      </c>
      <c r="O416" s="42">
        <v>12.0048019</v>
      </c>
      <c r="P416" s="22">
        <v>1</v>
      </c>
      <c r="Q416" s="16">
        <v>3</v>
      </c>
      <c r="R416" s="16">
        <v>1</v>
      </c>
      <c r="S416" s="22">
        <v>0.75</v>
      </c>
      <c r="T416" s="16">
        <v>-0.2</v>
      </c>
      <c r="U416" s="16">
        <v>0</v>
      </c>
      <c r="V416" s="16">
        <v>0.4</v>
      </c>
      <c r="W416" s="16">
        <v>-0.2</v>
      </c>
      <c r="X416" s="16">
        <v>0</v>
      </c>
      <c r="Y416" s="16">
        <v>-0.2</v>
      </c>
      <c r="Z416" s="16">
        <v>0</v>
      </c>
      <c r="AA416" s="16">
        <v>0.2</v>
      </c>
      <c r="AB416" s="16">
        <v>-0.2</v>
      </c>
      <c r="AC416" s="16">
        <v>0</v>
      </c>
      <c r="AD416" s="16">
        <v>-0.2</v>
      </c>
      <c r="AE416" s="16">
        <v>0</v>
      </c>
      <c r="AF416" s="16">
        <v>0.2</v>
      </c>
      <c r="AG416" s="16">
        <v>-0.2</v>
      </c>
      <c r="AH416" s="16">
        <v>0</v>
      </c>
      <c r="AI416" s="48">
        <v>30011</v>
      </c>
      <c r="AJ416" s="48">
        <v>30002</v>
      </c>
      <c r="AK416" s="48">
        <v>30003</v>
      </c>
      <c r="AL416" s="48">
        <v>30004</v>
      </c>
      <c r="AM416" s="48">
        <v>30005</v>
      </c>
      <c r="AN416" s="25">
        <v>0.32</v>
      </c>
      <c r="AO416" s="49">
        <v>5</v>
      </c>
      <c r="AP416" s="50">
        <v>100</v>
      </c>
      <c r="AQ416" s="51" t="s">
        <v>1861</v>
      </c>
      <c r="AR416" s="51">
        <f>=F416*247.95</f>
        <v>10266121.8</v>
      </c>
      <c r="AS416" s="51">
        <f>=G416*32.6061</f>
        <v>4695.2784</v>
      </c>
      <c r="AT416" s="51">
        <f>=J416*2.35</f>
        <v>17585.05</v>
      </c>
      <c r="AU416" s="47">
        <f>=H416*15.88</f>
        <v>952.8</v>
      </c>
    </row>
    <row r="417" spans="1:47">
      <c r="A417" s="16" t="s">
        <v>1935</v>
      </c>
      <c r="B417" s="16">
        <v>31353</v>
      </c>
      <c r="C417" s="16" t="s">
        <v>1936</v>
      </c>
      <c r="D417" s="16" t="s">
        <v>1937</v>
      </c>
      <c r="E417" s="16">
        <v>900031353</v>
      </c>
      <c r="F417" s="16">
        <v>41404</v>
      </c>
      <c r="G417" s="16">
        <v>144</v>
      </c>
      <c r="H417" s="16">
        <v>60</v>
      </c>
      <c r="I417" s="22">
        <v>0.5</v>
      </c>
      <c r="J417" s="16">
        <v>7483</v>
      </c>
      <c r="K417" s="16" t="b">
        <v>1</v>
      </c>
      <c r="L417" s="22">
        <v>0</v>
      </c>
      <c r="M417" s="42">
        <v>0</v>
      </c>
      <c r="N417" s="22">
        <v>0.0833</v>
      </c>
      <c r="O417" s="42">
        <v>12.0048019</v>
      </c>
      <c r="P417" s="22">
        <v>1</v>
      </c>
      <c r="Q417" s="16">
        <v>3</v>
      </c>
      <c r="R417" s="16">
        <v>1</v>
      </c>
      <c r="S417" s="22">
        <v>0.75</v>
      </c>
      <c r="T417" s="16">
        <v>-0.2</v>
      </c>
      <c r="U417" s="16">
        <v>0</v>
      </c>
      <c r="V417" s="16">
        <v>0.4</v>
      </c>
      <c r="W417" s="16">
        <v>-0.2</v>
      </c>
      <c r="X417" s="16">
        <v>0</v>
      </c>
      <c r="Y417" s="16">
        <v>-0.2</v>
      </c>
      <c r="Z417" s="16">
        <v>0</v>
      </c>
      <c r="AA417" s="16">
        <v>0.2</v>
      </c>
      <c r="AB417" s="16">
        <v>-0.2</v>
      </c>
      <c r="AC417" s="16">
        <v>0</v>
      </c>
      <c r="AD417" s="16">
        <v>-0.2</v>
      </c>
      <c r="AE417" s="16">
        <v>0</v>
      </c>
      <c r="AF417" s="16">
        <v>0.2</v>
      </c>
      <c r="AG417" s="16">
        <v>-0.2</v>
      </c>
      <c r="AH417" s="16">
        <v>0</v>
      </c>
      <c r="AI417" s="48">
        <v>30011</v>
      </c>
      <c r="AJ417" s="48">
        <v>30002</v>
      </c>
      <c r="AK417" s="48">
        <v>30003</v>
      </c>
      <c r="AL417" s="48">
        <v>30004</v>
      </c>
      <c r="AM417" s="48">
        <v>30005</v>
      </c>
      <c r="AN417" s="25">
        <v>0.32</v>
      </c>
      <c r="AO417" s="49">
        <v>5</v>
      </c>
      <c r="AP417" s="50">
        <v>100</v>
      </c>
      <c r="AQ417" s="51" t="s">
        <v>1940</v>
      </c>
      <c r="AR417" s="51">
        <f>=F417*247.95</f>
        <v>10266121.8</v>
      </c>
      <c r="AS417" s="51">
        <f>=G417*32.6061</f>
        <v>4695.2784</v>
      </c>
      <c r="AT417" s="51">
        <f>=J417*2.35</f>
        <v>17585.05</v>
      </c>
      <c r="AU417" s="47">
        <f>=H417*15.88</f>
        <v>952.8</v>
      </c>
    </row>
    <row r="418" spans="1:47">
      <c r="A418" s="16" t="s">
        <v>1938</v>
      </c>
      <c r="B418" s="16">
        <v>31354</v>
      </c>
      <c r="C418" s="16" t="s">
        <v>1939</v>
      </c>
      <c r="D418" s="16" t="s"/>
      <c r="E418" s="16">
        <v>900031354</v>
      </c>
      <c r="F418" s="16">
        <v>41404</v>
      </c>
      <c r="G418" s="16">
        <v>144</v>
      </c>
      <c r="H418" s="16">
        <v>60</v>
      </c>
      <c r="I418" s="22">
        <v>0.5</v>
      </c>
      <c r="J418" s="16">
        <v>7483</v>
      </c>
      <c r="K418" s="16" t="b">
        <v>1</v>
      </c>
      <c r="L418" s="22">
        <v>0</v>
      </c>
      <c r="M418" s="42">
        <v>0</v>
      </c>
      <c r="N418" s="22">
        <v>0.0833</v>
      </c>
      <c r="O418" s="42">
        <v>12.0048019</v>
      </c>
      <c r="P418" s="22">
        <v>1</v>
      </c>
      <c r="Q418" s="16">
        <v>3</v>
      </c>
      <c r="R418" s="16">
        <v>1</v>
      </c>
      <c r="S418" s="22">
        <v>0.75</v>
      </c>
      <c r="T418" s="16">
        <v>-0.2</v>
      </c>
      <c r="U418" s="16">
        <v>0</v>
      </c>
      <c r="V418" s="16">
        <v>0.4</v>
      </c>
      <c r="W418" s="16">
        <v>-0.2</v>
      </c>
      <c r="X418" s="16">
        <v>0</v>
      </c>
      <c r="Y418" s="16">
        <v>-0.2</v>
      </c>
      <c r="Z418" s="16">
        <v>0</v>
      </c>
      <c r="AA418" s="16">
        <v>0.2</v>
      </c>
      <c r="AB418" s="16">
        <v>-0.2</v>
      </c>
      <c r="AC418" s="16">
        <v>0</v>
      </c>
      <c r="AD418" s="16">
        <v>-0.2</v>
      </c>
      <c r="AE418" s="16">
        <v>0</v>
      </c>
      <c r="AF418" s="16">
        <v>0.2</v>
      </c>
      <c r="AG418" s="16">
        <v>-0.2</v>
      </c>
      <c r="AH418" s="16">
        <v>0</v>
      </c>
      <c r="AI418" s="48">
        <v>30011</v>
      </c>
      <c r="AJ418" s="48">
        <v>30002</v>
      </c>
      <c r="AK418" s="48">
        <v>30003</v>
      </c>
      <c r="AL418" s="48">
        <v>30004</v>
      </c>
      <c r="AM418" s="48">
        <v>30005</v>
      </c>
      <c r="AN418" s="25">
        <v>0.32</v>
      </c>
      <c r="AO418" s="49">
        <v>5</v>
      </c>
      <c r="AP418" s="50">
        <v>100</v>
      </c>
      <c r="AQ418" s="51" t="s">
        <v>1941</v>
      </c>
      <c r="AR418" s="51">
        <f>=F418*247.95</f>
        <v>10266121.8</v>
      </c>
      <c r="AS418" s="51">
        <f>=G418*32.6061</f>
        <v>4695.2784</v>
      </c>
      <c r="AT418" s="51">
        <f>=J418*2.35</f>
        <v>17585.05</v>
      </c>
      <c r="AU418" s="47">
        <f>=H418*15.88</f>
        <v>952.8</v>
      </c>
    </row>
    <row r="419" spans="1:47">
      <c r="A419" s="16" t="s">
        <v>1942</v>
      </c>
      <c r="B419" s="16">
        <v>31361</v>
      </c>
      <c r="C419" s="16" t="s">
        <v>1943</v>
      </c>
      <c r="D419" s="16" t="s">
        <v>1944</v>
      </c>
      <c r="E419" s="16">
        <v>900031361</v>
      </c>
      <c r="F419" s="16">
        <v>26845</v>
      </c>
      <c r="G419" s="16">
        <v>144</v>
      </c>
      <c r="H419" s="16">
        <v>60</v>
      </c>
      <c r="I419" s="22">
        <v>0.5</v>
      </c>
      <c r="J419" s="16">
        <v>7760</v>
      </c>
      <c r="K419" s="16" t="b">
        <v>1</v>
      </c>
      <c r="L419" s="22">
        <v>0</v>
      </c>
      <c r="M419" s="42">
        <v>0</v>
      </c>
      <c r="N419" s="22">
        <v>0.0833</v>
      </c>
      <c r="O419" s="42">
        <v>12.0048019</v>
      </c>
      <c r="P419" s="22">
        <v>0.5</v>
      </c>
      <c r="Q419" s="16">
        <v>3</v>
      </c>
      <c r="R419" s="16">
        <v>5</v>
      </c>
      <c r="S419" s="22">
        <v>0.75</v>
      </c>
      <c r="T419" s="16">
        <v>0</v>
      </c>
      <c r="U419" s="16">
        <v>0</v>
      </c>
      <c r="V419" s="16">
        <v>-0.2</v>
      </c>
      <c r="W419" s="16">
        <v>-0.2</v>
      </c>
      <c r="X419" s="16">
        <v>0.2</v>
      </c>
      <c r="Y419" s="16">
        <v>0</v>
      </c>
      <c r="Z419" s="16">
        <v>0</v>
      </c>
      <c r="AA419" s="16">
        <v>-0.2</v>
      </c>
      <c r="AB419" s="16">
        <v>-0.2</v>
      </c>
      <c r="AC419" s="16">
        <v>0.2</v>
      </c>
      <c r="AD419" s="16">
        <v>0</v>
      </c>
      <c r="AE419" s="16">
        <v>0</v>
      </c>
      <c r="AF419" s="16">
        <v>-0.2</v>
      </c>
      <c r="AG419" s="16">
        <v>-0.2</v>
      </c>
      <c r="AH419" s="16">
        <v>0.2</v>
      </c>
      <c r="AI419" s="48">
        <v>30011</v>
      </c>
      <c r="AJ419" s="48">
        <v>30002</v>
      </c>
      <c r="AK419" s="48">
        <v>30013</v>
      </c>
      <c r="AL419" s="48">
        <v>30004</v>
      </c>
      <c r="AM419" s="48">
        <v>30005</v>
      </c>
      <c r="AN419" s="25">
        <v>0.25</v>
      </c>
      <c r="AO419" s="49">
        <v>5</v>
      </c>
      <c r="AP419" s="50">
        <v>100</v>
      </c>
      <c r="AQ419" s="51" t="s">
        <v>1945</v>
      </c>
      <c r="AR419" s="51">
        <f>=F419*247.95</f>
        <v>6656217.75</v>
      </c>
      <c r="AS419" s="51">
        <f>=G419*32.6061</f>
        <v>4695.2784</v>
      </c>
      <c r="AT419" s="51">
        <f>=J419*2.35</f>
        <v>18236</v>
      </c>
      <c r="AU419" s="47">
        <f>=H419*15.88</f>
        <v>952.8</v>
      </c>
    </row>
    <row r="420" spans="1:47">
      <c r="A420" s="16" t="s">
        <v>1946</v>
      </c>
      <c r="B420" s="16">
        <v>31381</v>
      </c>
      <c r="C420" s="16" t="s">
        <v>1947</v>
      </c>
      <c r="D420" s="16" t="s">
        <v>1948</v>
      </c>
      <c r="E420" s="16">
        <v>900031381</v>
      </c>
      <c r="F420" s="16">
        <v>8652</v>
      </c>
      <c r="G420" s="16">
        <v>101</v>
      </c>
      <c r="H420" s="16">
        <v>50</v>
      </c>
      <c r="I420" s="22">
        <v>0.5</v>
      </c>
      <c r="J420" s="16">
        <v>4669</v>
      </c>
      <c r="K420" s="16" t="b">
        <v>1</v>
      </c>
      <c r="L420" s="22">
        <v>0</v>
      </c>
      <c r="M420" s="42">
        <v>0</v>
      </c>
      <c r="N420" s="22">
        <v>0.1</v>
      </c>
      <c r="O420" s="42">
        <v>10</v>
      </c>
      <c r="P420" s="22">
        <v>0.5</v>
      </c>
      <c r="Q420" s="16">
        <v>2</v>
      </c>
      <c r="R420" s="16">
        <v>1</v>
      </c>
      <c r="S420" s="22">
        <v>0.5</v>
      </c>
      <c r="T420" s="16">
        <v>-0.2</v>
      </c>
      <c r="U420" s="16">
        <v>-0.2</v>
      </c>
      <c r="V420" s="16">
        <v>0.2</v>
      </c>
      <c r="W420" s="16">
        <v>0</v>
      </c>
      <c r="X420" s="16">
        <v>0</v>
      </c>
      <c r="Y420" s="16">
        <v>-0.2</v>
      </c>
      <c r="Z420" s="16">
        <v>-0.2</v>
      </c>
      <c r="AA420" s="16">
        <v>0.2</v>
      </c>
      <c r="AB420" s="16">
        <v>0</v>
      </c>
      <c r="AC420" s="16">
        <v>0</v>
      </c>
      <c r="AD420" s="16">
        <v>-0.2</v>
      </c>
      <c r="AE420" s="16">
        <v>-0.2</v>
      </c>
      <c r="AF420" s="16">
        <v>0.2</v>
      </c>
      <c r="AG420" s="16">
        <v>0</v>
      </c>
      <c r="AH420" s="16">
        <v>0</v>
      </c>
      <c r="AI420" s="48">
        <v>20001</v>
      </c>
      <c r="AJ420" s="48">
        <v>20012</v>
      </c>
      <c r="AK420" s="48">
        <v>20003</v>
      </c>
      <c r="AL420" s="48">
        <v>20004</v>
      </c>
      <c r="AM420" s="48">
        <v>20005</v>
      </c>
      <c r="AN420" s="25">
        <v>0.25</v>
      </c>
      <c r="AO420" s="49">
        <v>3</v>
      </c>
      <c r="AP420" s="50">
        <v>75</v>
      </c>
      <c r="AQ420" s="51" t="s">
        <v>1455</v>
      </c>
      <c r="AR420" s="51">
        <f>=F420*247.95</f>
        <v>2145263.4</v>
      </c>
      <c r="AS420" s="51">
        <f>=G420*32.6061</f>
        <v>3293.2161</v>
      </c>
      <c r="AT420" s="51">
        <f>=J420*2.35</f>
        <v>10972.15</v>
      </c>
      <c r="AU420" s="47">
        <f>=H420*15.88</f>
        <v>794</v>
      </c>
    </row>
    <row r="421" spans="1:47">
      <c r="A421" s="16" t="s">
        <v>1946</v>
      </c>
      <c r="B421" s="16">
        <v>31382</v>
      </c>
      <c r="C421" s="16" t="s">
        <v>1947</v>
      </c>
      <c r="D421" s="16" t="s">
        <v>1948</v>
      </c>
      <c r="E421" s="16">
        <v>900031382</v>
      </c>
      <c r="F421" s="16">
        <v>8961</v>
      </c>
      <c r="G421" s="16">
        <v>115</v>
      </c>
      <c r="H421" s="16">
        <v>50</v>
      </c>
      <c r="I421" s="22">
        <v>0.5</v>
      </c>
      <c r="J421" s="16">
        <v>5296</v>
      </c>
      <c r="K421" s="16" t="b">
        <v>1</v>
      </c>
      <c r="L421" s="22">
        <v>0</v>
      </c>
      <c r="M421" s="42">
        <v>0</v>
      </c>
      <c r="N421" s="22">
        <v>0.1</v>
      </c>
      <c r="O421" s="42">
        <v>10</v>
      </c>
      <c r="P421" s="22">
        <v>0.5</v>
      </c>
      <c r="Q421" s="16">
        <v>2</v>
      </c>
      <c r="R421" s="16">
        <v>3</v>
      </c>
      <c r="S421" s="22">
        <v>0.5</v>
      </c>
      <c r="T421" s="16">
        <v>-0.2</v>
      </c>
      <c r="U421" s="16">
        <v>-0.2</v>
      </c>
      <c r="V421" s="16">
        <v>0.2</v>
      </c>
      <c r="W421" s="16">
        <v>0</v>
      </c>
      <c r="X421" s="16">
        <v>0</v>
      </c>
      <c r="Y421" s="16">
        <v>-0.2</v>
      </c>
      <c r="Z421" s="16">
        <v>-0.2</v>
      </c>
      <c r="AA421" s="16">
        <v>0.2</v>
      </c>
      <c r="AB421" s="16">
        <v>0</v>
      </c>
      <c r="AC421" s="16">
        <v>0</v>
      </c>
      <c r="AD421" s="16">
        <v>-0.2</v>
      </c>
      <c r="AE421" s="16">
        <v>-0.2</v>
      </c>
      <c r="AF421" s="16">
        <v>0.2</v>
      </c>
      <c r="AG421" s="16">
        <v>0</v>
      </c>
      <c r="AH421" s="16">
        <v>0</v>
      </c>
      <c r="AI421" s="48">
        <v>20001</v>
      </c>
      <c r="AJ421" s="48">
        <v>20012</v>
      </c>
      <c r="AK421" s="48">
        <v>20003</v>
      </c>
      <c r="AL421" s="48">
        <v>20004</v>
      </c>
      <c r="AM421" s="48">
        <v>20005</v>
      </c>
      <c r="AN421" s="25">
        <v>0.25</v>
      </c>
      <c r="AO421" s="49">
        <v>3</v>
      </c>
      <c r="AP421" s="50">
        <v>75</v>
      </c>
      <c r="AQ421" s="51" t="s">
        <v>1455</v>
      </c>
      <c r="AR421" s="51">
        <f>=F421*247.95</f>
        <v>2221879.95</v>
      </c>
      <c r="AS421" s="51">
        <f>=G421*32.6061</f>
        <v>3749.7015</v>
      </c>
      <c r="AT421" s="51">
        <f>=J421*2.35</f>
        <v>12445.6</v>
      </c>
      <c r="AU421" s="47">
        <f>=H421*15.88</f>
        <v>794</v>
      </c>
    </row>
    <row r="422" spans="1:47">
      <c r="A422" s="16" t="s">
        <v>1949</v>
      </c>
      <c r="B422" s="16">
        <v>31391</v>
      </c>
      <c r="C422" s="16" t="s">
        <v>1950</v>
      </c>
      <c r="D422" s="16" t="s">
        <v>1951</v>
      </c>
      <c r="E422" s="16">
        <v>900031391</v>
      </c>
      <c r="F422" s="16">
        <v>738</v>
      </c>
      <c r="G422" s="16">
        <v>53</v>
      </c>
      <c r="H422" s="16">
        <v>43</v>
      </c>
      <c r="I422" s="22">
        <v>0.5</v>
      </c>
      <c r="J422" s="16">
        <v>252</v>
      </c>
      <c r="K422" s="16" t="b">
        <v>1</v>
      </c>
      <c r="L422" s="22">
        <v>0</v>
      </c>
      <c r="M422" s="42">
        <v>0</v>
      </c>
      <c r="N422" s="22">
        <v>0.1538</v>
      </c>
      <c r="O422" s="42">
        <v>6.50195059</v>
      </c>
      <c r="P422" s="22">
        <v>0.5</v>
      </c>
      <c r="Q422" s="16">
        <v>1</v>
      </c>
      <c r="R422" s="16">
        <v>1</v>
      </c>
      <c r="S422" s="22">
        <v>0</v>
      </c>
      <c r="T422" s="16">
        <v>0</v>
      </c>
      <c r="U422" s="16">
        <v>0</v>
      </c>
      <c r="V422" s="16">
        <v>-0.2</v>
      </c>
      <c r="W422" s="16">
        <v>-0.2</v>
      </c>
      <c r="X422" s="16">
        <v>0</v>
      </c>
      <c r="Y422" s="16">
        <v>0</v>
      </c>
      <c r="Z422" s="16">
        <v>0</v>
      </c>
      <c r="AA422" s="16">
        <v>-0.2</v>
      </c>
      <c r="AB422" s="16">
        <v>-0.2</v>
      </c>
      <c r="AC422" s="16">
        <v>0</v>
      </c>
      <c r="AD422" s="16">
        <v>0</v>
      </c>
      <c r="AE422" s="16">
        <v>0</v>
      </c>
      <c r="AF422" s="16">
        <v>-0.2</v>
      </c>
      <c r="AG422" s="16">
        <v>-0.2</v>
      </c>
      <c r="AH422" s="16">
        <v>0</v>
      </c>
      <c r="AI422" s="48">
        <v>10001</v>
      </c>
      <c r="AJ422" s="48">
        <v>10002</v>
      </c>
      <c r="AK422" s="48">
        <v>10013</v>
      </c>
      <c r="AL422" s="48">
        <v>10004</v>
      </c>
      <c r="AM422" s="48">
        <v>10005</v>
      </c>
      <c r="AN422" s="25">
        <v>0.25</v>
      </c>
      <c r="AO422" s="49" t="s"/>
      <c r="AP422" s="50">
        <v>50</v>
      </c>
      <c r="AQ422" s="51" t="s">
        <v>1175</v>
      </c>
      <c r="AR422" s="51">
        <f>=F422*247.95</f>
        <v>182987.1</v>
      </c>
      <c r="AS422" s="51">
        <f>=G422*32.6061</f>
        <v>1728.1233</v>
      </c>
      <c r="AT422" s="51">
        <f>=J422*2.35</f>
        <v>592.2</v>
      </c>
      <c r="AU422" s="47">
        <f>=H422*15.88</f>
        <v>682.84</v>
      </c>
    </row>
    <row r="423" spans="1:47">
      <c r="A423" s="16" t="s">
        <v>1949</v>
      </c>
      <c r="B423" s="16">
        <v>31392</v>
      </c>
      <c r="C423" s="16" t="s">
        <v>1950</v>
      </c>
      <c r="D423" s="16" t="s">
        <v>1951</v>
      </c>
      <c r="E423" s="16">
        <v>900031392</v>
      </c>
      <c r="F423" s="16">
        <v>858</v>
      </c>
      <c r="G423" s="16">
        <v>53</v>
      </c>
      <c r="H423" s="16">
        <v>43</v>
      </c>
      <c r="I423" s="22">
        <v>0.5</v>
      </c>
      <c r="J423" s="16">
        <v>378</v>
      </c>
      <c r="K423" s="16" t="b">
        <v>1</v>
      </c>
      <c r="L423" s="22">
        <v>0</v>
      </c>
      <c r="M423" s="42">
        <v>0</v>
      </c>
      <c r="N423" s="22">
        <v>0.1538</v>
      </c>
      <c r="O423" s="42">
        <v>6.50195059</v>
      </c>
      <c r="P423" s="22">
        <v>0.5</v>
      </c>
      <c r="Q423" s="16">
        <v>1</v>
      </c>
      <c r="R423" s="16">
        <v>1</v>
      </c>
      <c r="S423" s="22">
        <v>0</v>
      </c>
      <c r="T423" s="16">
        <v>0</v>
      </c>
      <c r="U423" s="16">
        <v>0</v>
      </c>
      <c r="V423" s="16">
        <v>-0.2</v>
      </c>
      <c r="W423" s="16">
        <v>-0.2</v>
      </c>
      <c r="X423" s="16">
        <v>0</v>
      </c>
      <c r="Y423" s="16">
        <v>0</v>
      </c>
      <c r="Z423" s="16">
        <v>0</v>
      </c>
      <c r="AA423" s="16">
        <v>-0.2</v>
      </c>
      <c r="AB423" s="16">
        <v>-0.2</v>
      </c>
      <c r="AC423" s="16">
        <v>0</v>
      </c>
      <c r="AD423" s="16">
        <v>0</v>
      </c>
      <c r="AE423" s="16">
        <v>0</v>
      </c>
      <c r="AF423" s="16">
        <v>-0.2</v>
      </c>
      <c r="AG423" s="16">
        <v>-0.2</v>
      </c>
      <c r="AH423" s="16">
        <v>0</v>
      </c>
      <c r="AI423" s="48">
        <v>10001</v>
      </c>
      <c r="AJ423" s="48">
        <v>10002</v>
      </c>
      <c r="AK423" s="48">
        <v>10013</v>
      </c>
      <c r="AL423" s="48">
        <v>10004</v>
      </c>
      <c r="AM423" s="48">
        <v>10005</v>
      </c>
      <c r="AN423" s="25">
        <v>0.25</v>
      </c>
      <c r="AO423" s="49" t="s"/>
      <c r="AP423" s="50">
        <v>50</v>
      </c>
      <c r="AQ423" s="51" t="s">
        <v>1766</v>
      </c>
      <c r="AR423" s="51">
        <f>=F423*247.95</f>
        <v>212741.1</v>
      </c>
      <c r="AS423" s="51">
        <f>=G423*32.6061</f>
        <v>1728.1233</v>
      </c>
      <c r="AT423" s="51">
        <f>=J423*2.35</f>
        <v>888.3</v>
      </c>
      <c r="AU423" s="47">
        <f>=H423*15.88</f>
        <v>682.84</v>
      </c>
    </row>
    <row r="424" spans="1:47">
      <c r="A424" s="16" t="s">
        <v>1952</v>
      </c>
      <c r="B424" s="16">
        <v>31411</v>
      </c>
      <c r="C424" s="16" t="s">
        <v>1953</v>
      </c>
      <c r="D424" s="16" t="s">
        <v>1954</v>
      </c>
      <c r="E424" s="16">
        <v>900031411</v>
      </c>
      <c r="F424" s="16">
        <v>48789</v>
      </c>
      <c r="G424" s="16">
        <v>144</v>
      </c>
      <c r="H424" s="16">
        <v>30</v>
      </c>
      <c r="I424" s="22">
        <v>0.5</v>
      </c>
      <c r="J424" s="16">
        <v>7760</v>
      </c>
      <c r="K424" s="16" t="b">
        <v>1</v>
      </c>
      <c r="L424" s="22">
        <v>0</v>
      </c>
      <c r="M424" s="42">
        <v>0</v>
      </c>
      <c r="N424" s="22">
        <v>0.0666</v>
      </c>
      <c r="O424" s="42">
        <v>15.015015</v>
      </c>
      <c r="P424" s="22">
        <v>0.5</v>
      </c>
      <c r="Q424" s="16">
        <v>3</v>
      </c>
      <c r="R424" s="16">
        <v>5</v>
      </c>
      <c r="S424" s="22">
        <v>0.75</v>
      </c>
      <c r="T424" s="16">
        <v>0.4</v>
      </c>
      <c r="U424" s="16">
        <v>0</v>
      </c>
      <c r="V424" s="16">
        <v>0</v>
      </c>
      <c r="W424" s="16">
        <v>-0.2</v>
      </c>
      <c r="X424" s="16">
        <v>0.4</v>
      </c>
      <c r="Y424" s="16">
        <v>0.2</v>
      </c>
      <c r="Z424" s="16">
        <v>0</v>
      </c>
      <c r="AA424" s="16">
        <v>0</v>
      </c>
      <c r="AB424" s="16">
        <v>-0.2</v>
      </c>
      <c r="AC424" s="16">
        <v>0.2</v>
      </c>
      <c r="AD424" s="16">
        <v>0.2</v>
      </c>
      <c r="AE424" s="16">
        <v>0</v>
      </c>
      <c r="AF424" s="16">
        <v>0</v>
      </c>
      <c r="AG424" s="16">
        <v>-0.2</v>
      </c>
      <c r="AH424" s="16">
        <v>0.2</v>
      </c>
      <c r="AI424" s="48">
        <v>30011</v>
      </c>
      <c r="AJ424" s="48">
        <v>30002</v>
      </c>
      <c r="AK424" s="48">
        <v>30003</v>
      </c>
      <c r="AL424" s="48">
        <v>30004</v>
      </c>
      <c r="AM424" s="48">
        <v>30005</v>
      </c>
      <c r="AN424" s="25">
        <v>0.5</v>
      </c>
      <c r="AO424" s="49">
        <v>5</v>
      </c>
      <c r="AP424" s="50">
        <v>100</v>
      </c>
      <c r="AQ424" s="51" t="s">
        <v>1677</v>
      </c>
      <c r="AR424" s="51">
        <f>=F424*247.95</f>
        <v>12097232.55</v>
      </c>
      <c r="AS424" s="51">
        <f>=G424*32.6061</f>
        <v>4695.2784</v>
      </c>
      <c r="AT424" s="51">
        <f>=J424*2.35</f>
        <v>18236</v>
      </c>
      <c r="AU424" s="47">
        <f>=H424*15.88</f>
        <v>476.4</v>
      </c>
    </row>
    <row r="425" spans="1:47">
      <c r="A425" s="16" t="s">
        <v>1952</v>
      </c>
      <c r="B425" s="16">
        <v>31412</v>
      </c>
      <c r="C425" s="16" t="s">
        <v>1953</v>
      </c>
      <c r="D425" s="16" t="s">
        <v>1954</v>
      </c>
      <c r="E425" s="16">
        <v>900031412</v>
      </c>
      <c r="F425" s="16">
        <v>48789</v>
      </c>
      <c r="G425" s="16">
        <v>144</v>
      </c>
      <c r="H425" s="16">
        <v>30</v>
      </c>
      <c r="I425" s="22">
        <v>0.5</v>
      </c>
      <c r="J425" s="16">
        <v>7760</v>
      </c>
      <c r="K425" s="16" t="b">
        <v>1</v>
      </c>
      <c r="L425" s="22">
        <v>0</v>
      </c>
      <c r="M425" s="42">
        <v>0</v>
      </c>
      <c r="N425" s="22">
        <v>0.0666</v>
      </c>
      <c r="O425" s="42">
        <v>15.015015</v>
      </c>
      <c r="P425" s="22">
        <v>0.5</v>
      </c>
      <c r="Q425" s="16">
        <v>3</v>
      </c>
      <c r="R425" s="16">
        <v>5</v>
      </c>
      <c r="S425" s="22">
        <v>0.75</v>
      </c>
      <c r="T425" s="16">
        <v>0.4</v>
      </c>
      <c r="U425" s="16">
        <v>0</v>
      </c>
      <c r="V425" s="16">
        <v>0</v>
      </c>
      <c r="W425" s="16">
        <v>-0.2</v>
      </c>
      <c r="X425" s="16">
        <v>0.4</v>
      </c>
      <c r="Y425" s="16">
        <v>0.2</v>
      </c>
      <c r="Z425" s="16">
        <v>0</v>
      </c>
      <c r="AA425" s="16">
        <v>0</v>
      </c>
      <c r="AB425" s="16">
        <v>-0.2</v>
      </c>
      <c r="AC425" s="16">
        <v>0.2</v>
      </c>
      <c r="AD425" s="16">
        <v>0.2</v>
      </c>
      <c r="AE425" s="16">
        <v>0</v>
      </c>
      <c r="AF425" s="16">
        <v>0</v>
      </c>
      <c r="AG425" s="16">
        <v>-0.2</v>
      </c>
      <c r="AH425" s="16">
        <v>0.2</v>
      </c>
      <c r="AI425" s="48">
        <v>30011</v>
      </c>
      <c r="AJ425" s="48">
        <v>30002</v>
      </c>
      <c r="AK425" s="48">
        <v>30003</v>
      </c>
      <c r="AL425" s="48">
        <v>30004</v>
      </c>
      <c r="AM425" s="48">
        <v>30005</v>
      </c>
      <c r="AN425" s="25">
        <v>0.5</v>
      </c>
      <c r="AO425" s="49">
        <v>5</v>
      </c>
      <c r="AP425" s="50">
        <v>100</v>
      </c>
      <c r="AQ425" s="51" t="s">
        <v>1678</v>
      </c>
      <c r="AR425" s="51">
        <f>=F425*247.95</f>
        <v>12097232.55</v>
      </c>
      <c r="AS425" s="51">
        <f>=G425*32.6061</f>
        <v>4695.2784</v>
      </c>
      <c r="AT425" s="51">
        <f>=J425*2.35</f>
        <v>18236</v>
      </c>
      <c r="AU425" s="47">
        <f>=H425*15.88</f>
        <v>476.4</v>
      </c>
    </row>
    <row r="426" spans="1:47">
      <c r="A426" s="16" t="s">
        <v>1955</v>
      </c>
      <c r="B426" s="16">
        <v>31421</v>
      </c>
      <c r="C426" s="16" t="s">
        <v>1956</v>
      </c>
      <c r="D426" s="16" t="s">
        <v>1957</v>
      </c>
      <c r="E426" s="16">
        <v>900031421</v>
      </c>
      <c r="F426" s="16">
        <v>44075</v>
      </c>
      <c r="G426" s="16">
        <v>144</v>
      </c>
      <c r="H426" s="16">
        <v>60</v>
      </c>
      <c r="I426" s="22">
        <v>0.5</v>
      </c>
      <c r="J426" s="16">
        <v>6208</v>
      </c>
      <c r="K426" s="16" t="b">
        <v>1</v>
      </c>
      <c r="L426" s="22">
        <v>0</v>
      </c>
      <c r="M426" s="42">
        <v>0</v>
      </c>
      <c r="N426" s="22">
        <v>0.0833</v>
      </c>
      <c r="O426" s="42">
        <v>12.0048019</v>
      </c>
      <c r="P426" s="22">
        <v>0.5</v>
      </c>
      <c r="Q426" s="16">
        <v>3</v>
      </c>
      <c r="R426" s="16">
        <v>5</v>
      </c>
      <c r="S426" s="22">
        <v>0.75</v>
      </c>
      <c r="T426" s="16">
        <v>0</v>
      </c>
      <c r="U426" s="16">
        <v>0</v>
      </c>
      <c r="V426" s="16">
        <v>0.2</v>
      </c>
      <c r="W426" s="16">
        <v>0</v>
      </c>
      <c r="X426" s="16">
        <v>-0.2</v>
      </c>
      <c r="Y426" s="16">
        <v>0</v>
      </c>
      <c r="Z426" s="16">
        <v>0</v>
      </c>
      <c r="AA426" s="16">
        <v>0.2</v>
      </c>
      <c r="AB426" s="16">
        <v>0</v>
      </c>
      <c r="AC426" s="16">
        <v>-0.2</v>
      </c>
      <c r="AD426" s="16">
        <v>0</v>
      </c>
      <c r="AE426" s="16">
        <v>0</v>
      </c>
      <c r="AF426" s="16">
        <v>0.2</v>
      </c>
      <c r="AG426" s="16">
        <v>0</v>
      </c>
      <c r="AH426" s="16">
        <v>-0.2</v>
      </c>
      <c r="AI426" s="48">
        <v>30011</v>
      </c>
      <c r="AJ426" s="48">
        <v>30002</v>
      </c>
      <c r="AK426" s="48">
        <v>30003</v>
      </c>
      <c r="AL426" s="48">
        <v>30004</v>
      </c>
      <c r="AM426" s="48">
        <v>30015</v>
      </c>
      <c r="AN426" s="25">
        <v>-0.25</v>
      </c>
      <c r="AO426" s="49">
        <v>5</v>
      </c>
      <c r="AP426" s="50">
        <v>100</v>
      </c>
      <c r="AQ426" s="51" t="s">
        <v>1958</v>
      </c>
      <c r="AR426" s="51">
        <f>=F426*247.95</f>
        <v>10928396.25</v>
      </c>
      <c r="AS426" s="51">
        <f>=G426*32.6061</f>
        <v>4695.2784</v>
      </c>
      <c r="AT426" s="51">
        <f>=J426*2.35</f>
        <v>14588.8</v>
      </c>
      <c r="AU426" s="47">
        <f>=H426*15.88</f>
        <v>952.8</v>
      </c>
    </row>
    <row r="427" spans="1:47">
      <c r="A427" s="16" t="s">
        <v>1955</v>
      </c>
      <c r="B427" s="16">
        <v>31422</v>
      </c>
      <c r="C427" s="16" t="s">
        <v>1956</v>
      </c>
      <c r="D427" s="16" t="s">
        <v>1957</v>
      </c>
      <c r="E427" s="16">
        <v>900031422</v>
      </c>
      <c r="F427" s="16">
        <v>44075</v>
      </c>
      <c r="G427" s="16">
        <v>144</v>
      </c>
      <c r="H427" s="16">
        <v>60</v>
      </c>
      <c r="I427" s="22">
        <v>0.5</v>
      </c>
      <c r="J427" s="16">
        <v>6208</v>
      </c>
      <c r="K427" s="16" t="b">
        <v>1</v>
      </c>
      <c r="L427" s="22">
        <v>0</v>
      </c>
      <c r="M427" s="42">
        <v>0</v>
      </c>
      <c r="N427" s="22">
        <v>0.0833</v>
      </c>
      <c r="O427" s="42">
        <v>12.0048019</v>
      </c>
      <c r="P427" s="22">
        <v>0.5</v>
      </c>
      <c r="Q427" s="16">
        <v>3</v>
      </c>
      <c r="R427" s="16">
        <v>5</v>
      </c>
      <c r="S427" s="22">
        <v>0.75</v>
      </c>
      <c r="T427" s="16">
        <v>0</v>
      </c>
      <c r="U427" s="16">
        <v>0</v>
      </c>
      <c r="V427" s="16">
        <v>0.2</v>
      </c>
      <c r="W427" s="16">
        <v>0</v>
      </c>
      <c r="X427" s="16">
        <v>-0.2</v>
      </c>
      <c r="Y427" s="16">
        <v>0</v>
      </c>
      <c r="Z427" s="16">
        <v>0</v>
      </c>
      <c r="AA427" s="16">
        <v>0.2</v>
      </c>
      <c r="AB427" s="16">
        <v>0</v>
      </c>
      <c r="AC427" s="16">
        <v>-0.2</v>
      </c>
      <c r="AD427" s="16">
        <v>0</v>
      </c>
      <c r="AE427" s="16">
        <v>0</v>
      </c>
      <c r="AF427" s="16">
        <v>0.2</v>
      </c>
      <c r="AG427" s="16">
        <v>0</v>
      </c>
      <c r="AH427" s="16">
        <v>-0.2</v>
      </c>
      <c r="AI427" s="48">
        <v>30011</v>
      </c>
      <c r="AJ427" s="48">
        <v>30002</v>
      </c>
      <c r="AK427" s="48">
        <v>30003</v>
      </c>
      <c r="AL427" s="48">
        <v>30004</v>
      </c>
      <c r="AM427" s="48">
        <v>30015</v>
      </c>
      <c r="AN427" s="25">
        <v>-0.25</v>
      </c>
      <c r="AO427" s="49">
        <v>5</v>
      </c>
      <c r="AP427" s="50">
        <v>100</v>
      </c>
      <c r="AQ427" s="51" t="s">
        <v>1959</v>
      </c>
      <c r="AR427" s="51">
        <f>=F427*247.95</f>
        <v>10928396.25</v>
      </c>
      <c r="AS427" s="51">
        <f>=G427*32.6061</f>
        <v>4695.2784</v>
      </c>
      <c r="AT427" s="51">
        <f>=J427*2.35</f>
        <v>14588.8</v>
      </c>
      <c r="AU427" s="47">
        <f>=H427*15.88</f>
        <v>952.8</v>
      </c>
    </row>
    <row r="428" spans="1:47">
      <c r="A428" s="16" t="s">
        <v>1960</v>
      </c>
      <c r="B428" s="16">
        <v>31441</v>
      </c>
      <c r="C428" s="16" t="s">
        <v>1961</v>
      </c>
      <c r="D428" s="16" t="s">
        <v>1962</v>
      </c>
      <c r="E428" s="16">
        <v>900031441</v>
      </c>
      <c r="F428" s="16">
        <v>33220</v>
      </c>
      <c r="G428" s="16">
        <v>144</v>
      </c>
      <c r="H428" s="16">
        <v>60</v>
      </c>
      <c r="I428" s="22">
        <v>0.5</v>
      </c>
      <c r="J428" s="16">
        <v>7760</v>
      </c>
      <c r="K428" s="16" t="b">
        <v>1</v>
      </c>
      <c r="L428" s="22">
        <v>0</v>
      </c>
      <c r="M428" s="42">
        <v>0</v>
      </c>
      <c r="N428" s="22">
        <v>0.0833</v>
      </c>
      <c r="O428" s="42">
        <v>12.0048019</v>
      </c>
      <c r="P428" s="22">
        <v>0.5</v>
      </c>
      <c r="Q428" s="16">
        <v>3</v>
      </c>
      <c r="R428" s="16">
        <v>5</v>
      </c>
      <c r="S428" s="22">
        <v>0.75</v>
      </c>
      <c r="T428" s="16">
        <v>0</v>
      </c>
      <c r="U428" s="16">
        <v>0.2</v>
      </c>
      <c r="V428" s="16">
        <v>0</v>
      </c>
      <c r="W428" s="16">
        <v>-0.2</v>
      </c>
      <c r="X428" s="16">
        <v>-0.2</v>
      </c>
      <c r="Y428" s="16">
        <v>0</v>
      </c>
      <c r="Z428" s="16">
        <v>0.2</v>
      </c>
      <c r="AA428" s="16">
        <v>0</v>
      </c>
      <c r="AB428" s="16">
        <v>-0.2</v>
      </c>
      <c r="AC428" s="16">
        <v>-0.2</v>
      </c>
      <c r="AD428" s="16">
        <v>0</v>
      </c>
      <c r="AE428" s="16">
        <v>0.2</v>
      </c>
      <c r="AF428" s="16">
        <v>0</v>
      </c>
      <c r="AG428" s="16">
        <v>-0.2</v>
      </c>
      <c r="AH428" s="16">
        <v>-0.2</v>
      </c>
      <c r="AI428" s="48">
        <v>30011</v>
      </c>
      <c r="AJ428" s="48">
        <v>30002</v>
      </c>
      <c r="AK428" s="48">
        <v>30003</v>
      </c>
      <c r="AL428" s="48">
        <v>30004</v>
      </c>
      <c r="AM428" s="48">
        <v>30015</v>
      </c>
      <c r="AN428" s="25">
        <v>0.25</v>
      </c>
      <c r="AO428" s="49">
        <v>5</v>
      </c>
      <c r="AP428" s="50">
        <v>100</v>
      </c>
      <c r="AQ428" s="51" t="s">
        <v>1963</v>
      </c>
      <c r="AR428" s="51">
        <f>=F428*247.95</f>
        <v>8236899</v>
      </c>
      <c r="AS428" s="51">
        <f>=G428*32.6061</f>
        <v>4695.2784</v>
      </c>
      <c r="AT428" s="51">
        <f>=J428*2.35</f>
        <v>18236</v>
      </c>
      <c r="AU428" s="47">
        <f>=H428*15.88</f>
        <v>952.8</v>
      </c>
    </row>
    <row r="429" spans="1:47">
      <c r="A429" s="16" t="s">
        <v>1964</v>
      </c>
      <c r="B429" s="16">
        <v>31441</v>
      </c>
      <c r="C429" s="16" t="s">
        <v>1961</v>
      </c>
      <c r="D429" s="16" t="s">
        <v>1965</v>
      </c>
      <c r="E429" s="16">
        <v>900031441</v>
      </c>
      <c r="F429" s="16">
        <v>33220</v>
      </c>
      <c r="G429" s="16">
        <v>144</v>
      </c>
      <c r="H429" s="16">
        <v>60</v>
      </c>
      <c r="I429" s="22">
        <v>0.5</v>
      </c>
      <c r="J429" s="16">
        <v>7760</v>
      </c>
      <c r="K429" s="16" t="b">
        <v>1</v>
      </c>
      <c r="L429" s="22">
        <v>0</v>
      </c>
      <c r="M429" s="42">
        <v>0</v>
      </c>
      <c r="N429" s="22">
        <v>0.0833</v>
      </c>
      <c r="O429" s="42">
        <v>12.0048019</v>
      </c>
      <c r="P429" s="22">
        <v>0.5</v>
      </c>
      <c r="Q429" s="16">
        <v>3</v>
      </c>
      <c r="R429" s="16">
        <v>5</v>
      </c>
      <c r="S429" s="22">
        <v>0.75</v>
      </c>
      <c r="T429" s="16">
        <v>0</v>
      </c>
      <c r="U429" s="16">
        <v>0.2</v>
      </c>
      <c r="V429" s="16">
        <v>0</v>
      </c>
      <c r="W429" s="16">
        <v>-0.2</v>
      </c>
      <c r="X429" s="16">
        <v>-0.2</v>
      </c>
      <c r="Y429" s="16">
        <v>0</v>
      </c>
      <c r="Z429" s="16">
        <v>0.2</v>
      </c>
      <c r="AA429" s="16">
        <v>0</v>
      </c>
      <c r="AB429" s="16">
        <v>-0.2</v>
      </c>
      <c r="AC429" s="16">
        <v>-0.2</v>
      </c>
      <c r="AD429" s="16">
        <v>0</v>
      </c>
      <c r="AE429" s="16">
        <v>0.2</v>
      </c>
      <c r="AF429" s="16">
        <v>0</v>
      </c>
      <c r="AG429" s="16">
        <v>-0.2</v>
      </c>
      <c r="AH429" s="16">
        <v>-0.2</v>
      </c>
      <c r="AI429" s="48">
        <v>30011</v>
      </c>
      <c r="AJ429" s="48">
        <v>30002</v>
      </c>
      <c r="AK429" s="48">
        <v>30003</v>
      </c>
      <c r="AL429" s="48">
        <v>30004</v>
      </c>
      <c r="AM429" s="48">
        <v>30015</v>
      </c>
      <c r="AN429" s="25">
        <v>0.25</v>
      </c>
      <c r="AO429" s="49">
        <v>5</v>
      </c>
      <c r="AP429" s="50">
        <v>100</v>
      </c>
      <c r="AQ429" s="51" t="s">
        <v>1963</v>
      </c>
      <c r="AR429" s="51">
        <f>=F429*247.95</f>
        <v>8236899</v>
      </c>
      <c r="AS429" s="51">
        <f>=G429*32.6061</f>
        <v>4695.2784</v>
      </c>
      <c r="AT429" s="51">
        <f>=J429*2.35</f>
        <v>18236</v>
      </c>
      <c r="AU429" s="47">
        <f>=H429*15.88</f>
        <v>952.8</v>
      </c>
    </row>
    <row r="430" spans="1:47">
      <c r="A430" s="16" t="s">
        <v>1960</v>
      </c>
      <c r="B430" s="16">
        <v>31442</v>
      </c>
      <c r="C430" s="16" t="s">
        <v>1961</v>
      </c>
      <c r="D430" s="16" t="s">
        <v>1962</v>
      </c>
      <c r="E430" s="16">
        <v>900031442</v>
      </c>
      <c r="F430" s="16">
        <v>33220</v>
      </c>
      <c r="G430" s="16">
        <v>144</v>
      </c>
      <c r="H430" s="16">
        <v>60</v>
      </c>
      <c r="I430" s="22">
        <v>0.5</v>
      </c>
      <c r="J430" s="16">
        <v>7760</v>
      </c>
      <c r="K430" s="16" t="b">
        <v>1</v>
      </c>
      <c r="L430" s="22">
        <v>0</v>
      </c>
      <c r="M430" s="42">
        <v>0</v>
      </c>
      <c r="N430" s="22">
        <v>0.0833</v>
      </c>
      <c r="O430" s="42">
        <v>12.0048019</v>
      </c>
      <c r="P430" s="22">
        <v>0.5</v>
      </c>
      <c r="Q430" s="16">
        <v>3</v>
      </c>
      <c r="R430" s="16">
        <v>5</v>
      </c>
      <c r="S430" s="22">
        <v>0.75</v>
      </c>
      <c r="T430" s="16">
        <v>0</v>
      </c>
      <c r="U430" s="16">
        <v>0.2</v>
      </c>
      <c r="V430" s="16">
        <v>0</v>
      </c>
      <c r="W430" s="16">
        <v>-0.2</v>
      </c>
      <c r="X430" s="16">
        <v>-0.2</v>
      </c>
      <c r="Y430" s="16">
        <v>0</v>
      </c>
      <c r="Z430" s="16">
        <v>0.2</v>
      </c>
      <c r="AA430" s="16">
        <v>0</v>
      </c>
      <c r="AB430" s="16">
        <v>-0.2</v>
      </c>
      <c r="AC430" s="16">
        <v>-0.2</v>
      </c>
      <c r="AD430" s="16">
        <v>0</v>
      </c>
      <c r="AE430" s="16">
        <v>0.2</v>
      </c>
      <c r="AF430" s="16">
        <v>0</v>
      </c>
      <c r="AG430" s="16">
        <v>-0.2</v>
      </c>
      <c r="AH430" s="16">
        <v>-0.2</v>
      </c>
      <c r="AI430" s="48">
        <v>30011</v>
      </c>
      <c r="AJ430" s="48">
        <v>30002</v>
      </c>
      <c r="AK430" s="48">
        <v>30003</v>
      </c>
      <c r="AL430" s="48">
        <v>30004</v>
      </c>
      <c r="AM430" s="48">
        <v>30015</v>
      </c>
      <c r="AN430" s="25">
        <v>0.25</v>
      </c>
      <c r="AO430" s="49">
        <v>5</v>
      </c>
      <c r="AP430" s="50">
        <v>100</v>
      </c>
      <c r="AQ430" s="51" t="s">
        <v>1966</v>
      </c>
      <c r="AR430" s="51">
        <f>=F430*247.95</f>
        <v>8236899</v>
      </c>
      <c r="AS430" s="51">
        <f>=G430*32.6061</f>
        <v>4695.2784</v>
      </c>
      <c r="AT430" s="51">
        <f>=J430*2.35</f>
        <v>18236</v>
      </c>
      <c r="AU430" s="47">
        <f>=H430*15.88</f>
        <v>952.8</v>
      </c>
    </row>
    <row r="431" spans="1:47">
      <c r="A431" s="16" t="s">
        <v>1964</v>
      </c>
      <c r="B431" s="16">
        <v>31442</v>
      </c>
      <c r="C431" s="16" t="s">
        <v>1961</v>
      </c>
      <c r="D431" s="16" t="s">
        <v>1965</v>
      </c>
      <c r="E431" s="16">
        <v>900031442</v>
      </c>
      <c r="F431" s="16">
        <v>33220</v>
      </c>
      <c r="G431" s="16">
        <v>144</v>
      </c>
      <c r="H431" s="16">
        <v>60</v>
      </c>
      <c r="I431" s="22">
        <v>0.5</v>
      </c>
      <c r="J431" s="16">
        <v>7760</v>
      </c>
      <c r="K431" s="16" t="b">
        <v>1</v>
      </c>
      <c r="L431" s="22">
        <v>0</v>
      </c>
      <c r="M431" s="42">
        <v>0</v>
      </c>
      <c r="N431" s="22">
        <v>0.0833</v>
      </c>
      <c r="O431" s="42">
        <v>12.0048019</v>
      </c>
      <c r="P431" s="22">
        <v>0.5</v>
      </c>
      <c r="Q431" s="16">
        <v>3</v>
      </c>
      <c r="R431" s="16">
        <v>5</v>
      </c>
      <c r="S431" s="22">
        <v>0.75</v>
      </c>
      <c r="T431" s="16">
        <v>0</v>
      </c>
      <c r="U431" s="16">
        <v>0.2</v>
      </c>
      <c r="V431" s="16">
        <v>0</v>
      </c>
      <c r="W431" s="16">
        <v>-0.2</v>
      </c>
      <c r="X431" s="16">
        <v>-0.2</v>
      </c>
      <c r="Y431" s="16">
        <v>0</v>
      </c>
      <c r="Z431" s="16">
        <v>0.2</v>
      </c>
      <c r="AA431" s="16">
        <v>0</v>
      </c>
      <c r="AB431" s="16">
        <v>-0.2</v>
      </c>
      <c r="AC431" s="16">
        <v>-0.2</v>
      </c>
      <c r="AD431" s="16">
        <v>0</v>
      </c>
      <c r="AE431" s="16">
        <v>0.2</v>
      </c>
      <c r="AF431" s="16">
        <v>0</v>
      </c>
      <c r="AG431" s="16">
        <v>-0.2</v>
      </c>
      <c r="AH431" s="16">
        <v>-0.2</v>
      </c>
      <c r="AI431" s="48">
        <v>30011</v>
      </c>
      <c r="AJ431" s="48">
        <v>30002</v>
      </c>
      <c r="AK431" s="48">
        <v>30003</v>
      </c>
      <c r="AL431" s="48">
        <v>30004</v>
      </c>
      <c r="AM431" s="48">
        <v>30015</v>
      </c>
      <c r="AN431" s="25">
        <v>0.25</v>
      </c>
      <c r="AO431" s="49">
        <v>5</v>
      </c>
      <c r="AP431" s="50">
        <v>100</v>
      </c>
      <c r="AQ431" s="51" t="s">
        <v>1966</v>
      </c>
      <c r="AR431" s="51">
        <f>=F431*247.95</f>
        <v>8236899</v>
      </c>
      <c r="AS431" s="51">
        <f>=G431*32.6061</f>
        <v>4695.2784</v>
      </c>
      <c r="AT431" s="51">
        <f>=J431*2.35</f>
        <v>18236</v>
      </c>
      <c r="AU431" s="47">
        <f>=H431*15.88</f>
        <v>952.8</v>
      </c>
    </row>
    <row r="432" spans="1:47">
      <c r="A432" s="16" t="s">
        <v>1960</v>
      </c>
      <c r="B432" s="16">
        <v>31443</v>
      </c>
      <c r="C432" s="16" t="s">
        <v>1961</v>
      </c>
      <c r="D432" s="16" t="s">
        <v>1962</v>
      </c>
      <c r="E432" s="16">
        <v>900031443</v>
      </c>
      <c r="F432" s="16">
        <v>14052</v>
      </c>
      <c r="G432" s="16">
        <v>106</v>
      </c>
      <c r="H432" s="16">
        <v>54</v>
      </c>
      <c r="I432" s="22">
        <v>0.5</v>
      </c>
      <c r="J432" s="16">
        <v>4902</v>
      </c>
      <c r="K432" s="16" t="b">
        <v>1</v>
      </c>
      <c r="L432" s="22">
        <v>0</v>
      </c>
      <c r="M432" s="42">
        <v>0</v>
      </c>
      <c r="N432" s="22">
        <v>0.1</v>
      </c>
      <c r="O432" s="42">
        <v>10</v>
      </c>
      <c r="P432" s="22">
        <v>0.5</v>
      </c>
      <c r="Q432" s="16">
        <v>2</v>
      </c>
      <c r="R432" s="16">
        <v>3</v>
      </c>
      <c r="S432" s="22">
        <v>0.5</v>
      </c>
      <c r="T432" s="16">
        <v>0</v>
      </c>
      <c r="U432" s="16">
        <v>0.2</v>
      </c>
      <c r="V432" s="16">
        <v>0</v>
      </c>
      <c r="W432" s="16">
        <v>-0.2</v>
      </c>
      <c r="X432" s="16">
        <v>-0.2</v>
      </c>
      <c r="Y432" s="16">
        <v>0</v>
      </c>
      <c r="Z432" s="16">
        <v>0.2</v>
      </c>
      <c r="AA432" s="16">
        <v>0</v>
      </c>
      <c r="AB432" s="16">
        <v>-0.2</v>
      </c>
      <c r="AC432" s="16">
        <v>-0.2</v>
      </c>
      <c r="AD432" s="16">
        <v>0</v>
      </c>
      <c r="AE432" s="16">
        <v>0.2</v>
      </c>
      <c r="AF432" s="16">
        <v>0</v>
      </c>
      <c r="AG432" s="16">
        <v>-0.2</v>
      </c>
      <c r="AH432" s="16">
        <v>-0.2</v>
      </c>
      <c r="AI432" s="48">
        <v>20011</v>
      </c>
      <c r="AJ432" s="48">
        <v>20002</v>
      </c>
      <c r="AK432" s="48">
        <v>20003</v>
      </c>
      <c r="AL432" s="48">
        <v>20004</v>
      </c>
      <c r="AM432" s="48">
        <v>20015</v>
      </c>
      <c r="AN432" s="25">
        <v>0.25</v>
      </c>
      <c r="AO432" s="49">
        <v>3</v>
      </c>
      <c r="AP432" s="50">
        <v>75</v>
      </c>
      <c r="AQ432" s="51" t="s">
        <v>1967</v>
      </c>
      <c r="AR432" s="51">
        <f>=F432*247.95</f>
        <v>3484193.4</v>
      </c>
      <c r="AS432" s="51">
        <f>=G432*32.6061</f>
        <v>3456.2466</v>
      </c>
      <c r="AT432" s="51">
        <f>=J432*2.35</f>
        <v>11519.7</v>
      </c>
      <c r="AU432" s="47">
        <f>=H432*15.88</f>
        <v>857.52</v>
      </c>
    </row>
    <row r="433" spans="1:47">
      <c r="A433" s="16" t="s">
        <v>1964</v>
      </c>
      <c r="B433" s="16">
        <v>31443</v>
      </c>
      <c r="C433" s="16" t="s">
        <v>1961</v>
      </c>
      <c r="D433" s="16" t="s">
        <v>1965</v>
      </c>
      <c r="E433" s="16">
        <v>900031443</v>
      </c>
      <c r="F433" s="16">
        <v>14052</v>
      </c>
      <c r="G433" s="16">
        <v>106</v>
      </c>
      <c r="H433" s="16">
        <v>54</v>
      </c>
      <c r="I433" s="22">
        <v>0.5</v>
      </c>
      <c r="J433" s="16">
        <v>4902</v>
      </c>
      <c r="K433" s="16" t="b">
        <v>1</v>
      </c>
      <c r="L433" s="22">
        <v>0</v>
      </c>
      <c r="M433" s="42">
        <v>0</v>
      </c>
      <c r="N433" s="22">
        <v>0.1</v>
      </c>
      <c r="O433" s="42">
        <v>10</v>
      </c>
      <c r="P433" s="22">
        <v>0.5</v>
      </c>
      <c r="Q433" s="16">
        <v>2</v>
      </c>
      <c r="R433" s="16">
        <v>3</v>
      </c>
      <c r="S433" s="22">
        <v>0.5</v>
      </c>
      <c r="T433" s="16">
        <v>0</v>
      </c>
      <c r="U433" s="16">
        <v>0.2</v>
      </c>
      <c r="V433" s="16">
        <v>0</v>
      </c>
      <c r="W433" s="16">
        <v>-0.2</v>
      </c>
      <c r="X433" s="16">
        <v>-0.2</v>
      </c>
      <c r="Y433" s="16">
        <v>0</v>
      </c>
      <c r="Z433" s="16">
        <v>0.2</v>
      </c>
      <c r="AA433" s="16">
        <v>0</v>
      </c>
      <c r="AB433" s="16">
        <v>-0.2</v>
      </c>
      <c r="AC433" s="16">
        <v>-0.2</v>
      </c>
      <c r="AD433" s="16">
        <v>0</v>
      </c>
      <c r="AE433" s="16">
        <v>0.2</v>
      </c>
      <c r="AF433" s="16">
        <v>0</v>
      </c>
      <c r="AG433" s="16">
        <v>-0.2</v>
      </c>
      <c r="AH433" s="16">
        <v>-0.2</v>
      </c>
      <c r="AI433" s="48">
        <v>20011</v>
      </c>
      <c r="AJ433" s="48">
        <v>20002</v>
      </c>
      <c r="AK433" s="48">
        <v>20003</v>
      </c>
      <c r="AL433" s="48">
        <v>20004</v>
      </c>
      <c r="AM433" s="48">
        <v>20015</v>
      </c>
      <c r="AN433" s="25">
        <v>0.25</v>
      </c>
      <c r="AO433" s="49">
        <v>3</v>
      </c>
      <c r="AP433" s="50">
        <v>75</v>
      </c>
      <c r="AQ433" s="51" t="s">
        <v>1967</v>
      </c>
      <c r="AR433" s="51">
        <f>=F433*247.95</f>
        <v>3484193.4</v>
      </c>
      <c r="AS433" s="51">
        <f>=G433*32.6061</f>
        <v>3456.2466</v>
      </c>
      <c r="AT433" s="51">
        <f>=J433*2.35</f>
        <v>11519.7</v>
      </c>
      <c r="AU433" s="47">
        <f>=H433*15.88</f>
        <v>857.52</v>
      </c>
    </row>
    <row r="434" spans="1:47">
      <c r="A434" s="16" t="s">
        <v>1960</v>
      </c>
      <c r="B434" s="16">
        <v>31444</v>
      </c>
      <c r="C434" s="16" t="s">
        <v>1961</v>
      </c>
      <c r="D434" s="16" t="s">
        <v>1962</v>
      </c>
      <c r="E434" s="16">
        <v>900031444</v>
      </c>
      <c r="F434" s="16">
        <v>14555</v>
      </c>
      <c r="G434" s="16">
        <v>121</v>
      </c>
      <c r="H434" s="16">
        <v>54</v>
      </c>
      <c r="I434" s="22">
        <v>0.5</v>
      </c>
      <c r="J434" s="16">
        <v>5561</v>
      </c>
      <c r="K434" s="16" t="b">
        <v>1</v>
      </c>
      <c r="L434" s="22">
        <v>0</v>
      </c>
      <c r="M434" s="42">
        <v>0</v>
      </c>
      <c r="N434" s="22">
        <v>0.1</v>
      </c>
      <c r="O434" s="42">
        <v>10</v>
      </c>
      <c r="P434" s="22">
        <v>0.5</v>
      </c>
      <c r="Q434" s="16">
        <v>2</v>
      </c>
      <c r="R434" s="16">
        <v>5</v>
      </c>
      <c r="S434" s="22">
        <v>0.5</v>
      </c>
      <c r="T434" s="16">
        <v>0</v>
      </c>
      <c r="U434" s="16">
        <v>0.2</v>
      </c>
      <c r="V434" s="16">
        <v>0</v>
      </c>
      <c r="W434" s="16">
        <v>-0.2</v>
      </c>
      <c r="X434" s="16">
        <v>-0.2</v>
      </c>
      <c r="Y434" s="16">
        <v>0</v>
      </c>
      <c r="Z434" s="16">
        <v>0.2</v>
      </c>
      <c r="AA434" s="16">
        <v>0</v>
      </c>
      <c r="AB434" s="16">
        <v>-0.2</v>
      </c>
      <c r="AC434" s="16">
        <v>-0.2</v>
      </c>
      <c r="AD434" s="16">
        <v>0</v>
      </c>
      <c r="AE434" s="16">
        <v>0.2</v>
      </c>
      <c r="AF434" s="16">
        <v>0</v>
      </c>
      <c r="AG434" s="16">
        <v>-0.2</v>
      </c>
      <c r="AH434" s="16">
        <v>-0.2</v>
      </c>
      <c r="AI434" s="48">
        <v>20011</v>
      </c>
      <c r="AJ434" s="48">
        <v>20002</v>
      </c>
      <c r="AK434" s="48">
        <v>20003</v>
      </c>
      <c r="AL434" s="48">
        <v>20004</v>
      </c>
      <c r="AM434" s="48">
        <v>20015</v>
      </c>
      <c r="AN434" s="25">
        <v>0.25</v>
      </c>
      <c r="AO434" s="49">
        <v>3</v>
      </c>
      <c r="AP434" s="50">
        <v>75</v>
      </c>
      <c r="AQ434" s="51" t="s">
        <v>1967</v>
      </c>
      <c r="AR434" s="51">
        <f>=F434*247.95</f>
        <v>3608912.25</v>
      </c>
      <c r="AS434" s="51">
        <f>=G434*32.6061</f>
        <v>3945.3381</v>
      </c>
      <c r="AT434" s="51">
        <f>=J434*2.35</f>
        <v>13068.35</v>
      </c>
      <c r="AU434" s="47">
        <f>=H434*15.88</f>
        <v>857.52</v>
      </c>
    </row>
    <row r="435" spans="1:47">
      <c r="A435" s="16" t="s">
        <v>1964</v>
      </c>
      <c r="B435" s="16">
        <v>31444</v>
      </c>
      <c r="C435" s="16" t="s">
        <v>1961</v>
      </c>
      <c r="D435" s="16" t="s">
        <v>1965</v>
      </c>
      <c r="E435" s="16">
        <v>900031444</v>
      </c>
      <c r="F435" s="16">
        <v>14555</v>
      </c>
      <c r="G435" s="16">
        <v>121</v>
      </c>
      <c r="H435" s="16">
        <v>54</v>
      </c>
      <c r="I435" s="22">
        <v>0.5</v>
      </c>
      <c r="J435" s="16">
        <v>5561</v>
      </c>
      <c r="K435" s="16" t="b">
        <v>1</v>
      </c>
      <c r="L435" s="22">
        <v>0</v>
      </c>
      <c r="M435" s="42">
        <v>0</v>
      </c>
      <c r="N435" s="22">
        <v>0.1</v>
      </c>
      <c r="O435" s="42">
        <v>10</v>
      </c>
      <c r="P435" s="22">
        <v>0.5</v>
      </c>
      <c r="Q435" s="16">
        <v>2</v>
      </c>
      <c r="R435" s="16">
        <v>5</v>
      </c>
      <c r="S435" s="22">
        <v>0.5</v>
      </c>
      <c r="T435" s="16">
        <v>0</v>
      </c>
      <c r="U435" s="16">
        <v>0.2</v>
      </c>
      <c r="V435" s="16">
        <v>0</v>
      </c>
      <c r="W435" s="16">
        <v>-0.2</v>
      </c>
      <c r="X435" s="16">
        <v>-0.2</v>
      </c>
      <c r="Y435" s="16">
        <v>0</v>
      </c>
      <c r="Z435" s="16">
        <v>0.2</v>
      </c>
      <c r="AA435" s="16">
        <v>0</v>
      </c>
      <c r="AB435" s="16">
        <v>-0.2</v>
      </c>
      <c r="AC435" s="16">
        <v>-0.2</v>
      </c>
      <c r="AD435" s="16">
        <v>0</v>
      </c>
      <c r="AE435" s="16">
        <v>0.2</v>
      </c>
      <c r="AF435" s="16">
        <v>0</v>
      </c>
      <c r="AG435" s="16">
        <v>-0.2</v>
      </c>
      <c r="AH435" s="16">
        <v>-0.2</v>
      </c>
      <c r="AI435" s="48">
        <v>20011</v>
      </c>
      <c r="AJ435" s="48">
        <v>20002</v>
      </c>
      <c r="AK435" s="48">
        <v>20003</v>
      </c>
      <c r="AL435" s="48">
        <v>20004</v>
      </c>
      <c r="AM435" s="48">
        <v>20015</v>
      </c>
      <c r="AN435" s="25">
        <v>0.25</v>
      </c>
      <c r="AO435" s="49">
        <v>3</v>
      </c>
      <c r="AP435" s="50">
        <v>75</v>
      </c>
      <c r="AQ435" s="51" t="s">
        <v>1967</v>
      </c>
      <c r="AR435" s="51">
        <f>=F435*247.95</f>
        <v>3608912.25</v>
      </c>
      <c r="AS435" s="51">
        <f>=G435*32.6061</f>
        <v>3945.3381</v>
      </c>
      <c r="AT435" s="51">
        <f>=J435*2.35</f>
        <v>13068.35</v>
      </c>
      <c r="AU435" s="47">
        <f>=H435*15.88</f>
        <v>857.52</v>
      </c>
    </row>
    <row r="436" spans="1:47">
      <c r="A436" s="16" t="s">
        <v>1968</v>
      </c>
      <c r="B436" s="16">
        <v>31451</v>
      </c>
      <c r="C436" s="16" t="s">
        <v>1969</v>
      </c>
      <c r="D436" s="16" t="s">
        <v>1970</v>
      </c>
      <c r="E436" s="16">
        <v>900031451</v>
      </c>
      <c r="F436" s="16">
        <v>52977</v>
      </c>
      <c r="G436" s="16">
        <v>130</v>
      </c>
      <c r="H436" s="16">
        <v>30</v>
      </c>
      <c r="I436" s="22">
        <v>0.5</v>
      </c>
      <c r="J436" s="16">
        <v>8501</v>
      </c>
      <c r="K436" s="16" t="b">
        <v>1</v>
      </c>
      <c r="L436" s="22">
        <v>0</v>
      </c>
      <c r="M436" s="42">
        <v>0</v>
      </c>
      <c r="N436" s="22">
        <v>0.0666</v>
      </c>
      <c r="O436" s="42">
        <v>15.015015</v>
      </c>
      <c r="P436" s="22">
        <v>0.5</v>
      </c>
      <c r="Q436" s="16">
        <v>3</v>
      </c>
      <c r="R436" s="16">
        <v>5</v>
      </c>
      <c r="S436" s="22">
        <v>0.75</v>
      </c>
      <c r="T436" s="16">
        <v>0.4</v>
      </c>
      <c r="U436" s="16">
        <v>0.4</v>
      </c>
      <c r="V436" s="16">
        <v>0</v>
      </c>
      <c r="W436" s="16">
        <v>0</v>
      </c>
      <c r="X436" s="16">
        <v>-0.2</v>
      </c>
      <c r="Y436" s="16">
        <v>0.2</v>
      </c>
      <c r="Z436" s="16">
        <v>0.2</v>
      </c>
      <c r="AA436" s="16">
        <v>0</v>
      </c>
      <c r="AB436" s="16">
        <v>0</v>
      </c>
      <c r="AC436" s="16">
        <v>-0.2</v>
      </c>
      <c r="AD436" s="16">
        <v>0.2</v>
      </c>
      <c r="AE436" s="16">
        <v>0.2</v>
      </c>
      <c r="AF436" s="16">
        <v>0</v>
      </c>
      <c r="AG436" s="16">
        <v>0</v>
      </c>
      <c r="AH436" s="16">
        <v>-0.2</v>
      </c>
      <c r="AI436" s="48">
        <v>30011</v>
      </c>
      <c r="AJ436" s="48">
        <v>30002</v>
      </c>
      <c r="AK436" s="48">
        <v>30003</v>
      </c>
      <c r="AL436" s="48">
        <v>30004</v>
      </c>
      <c r="AM436" s="48">
        <v>30015</v>
      </c>
      <c r="AN436" s="25">
        <v>0.25</v>
      </c>
      <c r="AO436" s="49">
        <v>5</v>
      </c>
      <c r="AP436" s="50">
        <v>100</v>
      </c>
      <c r="AQ436" s="51" t="s">
        <v>1725</v>
      </c>
      <c r="AR436" s="51">
        <f>=F436*247.95</f>
        <v>13135647.15</v>
      </c>
      <c r="AS436" s="51">
        <f>=G436*32.6061</f>
        <v>4238.793</v>
      </c>
      <c r="AT436" s="51">
        <f>=J436*2.35</f>
        <v>19977.35</v>
      </c>
      <c r="AU436" s="47">
        <f>=H436*15.88</f>
        <v>476.4</v>
      </c>
    </row>
    <row r="437" spans="1:47">
      <c r="A437" s="16" t="s">
        <v>1592</v>
      </c>
      <c r="B437" s="16">
        <v>11671</v>
      </c>
      <c r="C437" s="16" t="s">
        <v>1593</v>
      </c>
      <c r="D437" s="16" t="s">
        <v>1594</v>
      </c>
      <c r="E437" s="16">
        <v>900111671</v>
      </c>
      <c r="F437" s="16">
        <v>21811</v>
      </c>
      <c r="G437" s="16">
        <v>132</v>
      </c>
      <c r="H437" s="16">
        <v>60</v>
      </c>
      <c r="I437" s="22">
        <v>0.5</v>
      </c>
      <c r="J437" s="16">
        <v>5543</v>
      </c>
      <c r="K437" s="16" t="b">
        <v>1</v>
      </c>
      <c r="L437" s="22">
        <v>0</v>
      </c>
      <c r="M437" s="42">
        <v>0</v>
      </c>
      <c r="N437" s="22">
        <v>0.0833</v>
      </c>
      <c r="O437" s="42">
        <v>12.0048</v>
      </c>
      <c r="P437" s="22">
        <v>0.5</v>
      </c>
      <c r="Q437" s="16">
        <v>3</v>
      </c>
      <c r="R437" s="16">
        <v>5</v>
      </c>
      <c r="S437" s="22">
        <v>0.75</v>
      </c>
      <c r="T437" s="16">
        <v>0.2</v>
      </c>
      <c r="U437" s="16">
        <v>-0.2</v>
      </c>
      <c r="V437" s="16">
        <v>0</v>
      </c>
      <c r="W437" s="16">
        <v>-0.2</v>
      </c>
      <c r="X437" s="16">
        <v>0</v>
      </c>
      <c r="Y437" s="16">
        <v>0.2</v>
      </c>
      <c r="Z437" s="16">
        <v>-0.2</v>
      </c>
      <c r="AA437" s="16">
        <v>0</v>
      </c>
      <c r="AB437" s="16">
        <v>-0.2</v>
      </c>
      <c r="AC437" s="16">
        <v>0</v>
      </c>
      <c r="AD437" s="16">
        <v>0.2</v>
      </c>
      <c r="AE437" s="16">
        <v>-0.2</v>
      </c>
      <c r="AF437" s="16">
        <v>0</v>
      </c>
      <c r="AG437" s="16">
        <v>-0.2</v>
      </c>
      <c r="AH437" s="16">
        <v>0</v>
      </c>
      <c r="AI437" s="48">
        <v>30001</v>
      </c>
      <c r="AJ437" s="48">
        <v>30012</v>
      </c>
      <c r="AK437" s="48">
        <v>30003</v>
      </c>
      <c r="AL437" s="48">
        <v>30004</v>
      </c>
      <c r="AM437" s="48">
        <v>30005</v>
      </c>
      <c r="AN437" s="25">
        <v>0</v>
      </c>
      <c r="AO437" s="49">
        <v>5</v>
      </c>
      <c r="AP437" s="50">
        <v>100</v>
      </c>
      <c r="AQ437" s="51" t="s">
        <v>1435</v>
      </c>
      <c r="AR437" s="51">
        <f>=F437*247.95</f>
        <v>5408037.45</v>
      </c>
      <c r="AS437" s="51">
        <f>=G437*32.6061</f>
        <v>4304.0052</v>
      </c>
      <c r="AT437" s="51">
        <f>=J437*2.35</f>
        <v>13026.05</v>
      </c>
      <c r="AU437" s="47">
        <f>=H437*15.88</f>
        <v>952.8</v>
      </c>
    </row>
  </sheetData>
</worksheet>
</file>

<file path=xl/worksheets/sheet6.xml><?xml version="1.0" encoding="utf-8"?>
<worksheet xmlns="http://schemas.openxmlformats.org/spreadsheetml/2006/main">
  <sheetPr codeName="异常条">
    <tabColor/>
  </sheetPr>
  <dimension ref="O28"/>
  <sheetViews>
    <sheetView showGridLines="1" workbookViewId="0">
      <pane xSplit="1" ySplit="1" topLeftCell="B2" state="frozen"/>
    </sheetView>
  </sheetViews>
  <sheetFormatPr baseColWidth="13" defaultRowHeight="18" customHeight="1"/>
  <cols>
    <col min="1" max="1" width="11.8242" customWidth="1"/>
    <col min="2" max="2" width="8.13281" customWidth="1"/>
    <col min="3" max="3" width="15.0508" customWidth="1"/>
    <col min="4" max="4" width="13.0742" customWidth="1"/>
    <col min="5" max="5" width="10.4023" customWidth="1"/>
    <col min="6" max="14" width="15.0742" customWidth="1"/>
    <col min="15" max="15" width="16.0742" customWidth="1"/>
  </cols>
  <sheetData>
    <row r="1" spans="1:15">
      <c r="A1" s="16" t="s">
        <v>1971</v>
      </c>
      <c r="B1" s="16" t="s">
        <v>958</v>
      </c>
      <c r="C1" s="16" t="s">
        <v>1972</v>
      </c>
      <c r="D1" s="16" t="s">
        <v>1973</v>
      </c>
      <c r="E1" s="16" t="s">
        <v>1974</v>
      </c>
      <c r="F1" s="16" t="s">
        <v>1975</v>
      </c>
      <c r="G1" s="16" t="s">
        <v>1976</v>
      </c>
      <c r="H1" s="16" t="s">
        <v>1977</v>
      </c>
      <c r="I1" s="16" t="s">
        <v>1978</v>
      </c>
      <c r="J1" s="16" t="s">
        <v>1979</v>
      </c>
      <c r="K1" s="16" t="s">
        <v>1980</v>
      </c>
      <c r="L1" s="16" t="s">
        <v>1981</v>
      </c>
      <c r="M1" s="16" t="s">
        <v>1982</v>
      </c>
      <c r="N1" s="16" t="s">
        <v>1983</v>
      </c>
      <c r="O1" s="16" t="s">
        <v>1984</v>
      </c>
    </row>
    <row r="2" spans="1:15">
      <c r="A2" s="16">
        <v>10001</v>
      </c>
      <c r="B2" s="16" t="s">
        <v>1006</v>
      </c>
      <c r="C2" s="16">
        <v>1</v>
      </c>
      <c r="D2" s="16" t="s">
        <v>1985</v>
      </c>
      <c r="E2" s="16">
        <v>3</v>
      </c>
      <c r="F2" s="16">
        <v>600</v>
      </c>
      <c r="G2" s="16">
        <v>612</v>
      </c>
      <c r="H2" s="16">
        <v>624</v>
      </c>
      <c r="I2" s="16">
        <v>636</v>
      </c>
      <c r="J2" s="16">
        <v>648</v>
      </c>
      <c r="K2" s="16">
        <v>660</v>
      </c>
      <c r="L2" s="16">
        <v>673</v>
      </c>
      <c r="M2" s="16">
        <v>686</v>
      </c>
      <c r="N2" s="16">
        <v>699</v>
      </c>
      <c r="O2" s="16">
        <v>712</v>
      </c>
    </row>
    <row r="3" spans="1:15">
      <c r="A3" s="16">
        <v>10002</v>
      </c>
      <c r="B3" s="16" t="s">
        <v>1003</v>
      </c>
      <c r="C3" s="16">
        <v>2</v>
      </c>
      <c r="D3" s="16" t="s">
        <v>1986</v>
      </c>
      <c r="E3" s="16">
        <v>3</v>
      </c>
      <c r="F3" s="16">
        <v>600</v>
      </c>
      <c r="G3" s="16">
        <v>612</v>
      </c>
      <c r="H3" s="16">
        <v>624</v>
      </c>
      <c r="I3" s="16">
        <v>636</v>
      </c>
      <c r="J3" s="16">
        <v>648</v>
      </c>
      <c r="K3" s="16">
        <v>660</v>
      </c>
      <c r="L3" s="16">
        <v>673</v>
      </c>
      <c r="M3" s="16">
        <v>686</v>
      </c>
      <c r="N3" s="16">
        <v>699</v>
      </c>
      <c r="O3" s="16">
        <v>712</v>
      </c>
    </row>
    <row r="4" spans="1:15">
      <c r="A4" s="16">
        <v>10003</v>
      </c>
      <c r="B4" s="16" t="s">
        <v>988</v>
      </c>
      <c r="C4" s="16">
        <v>3</v>
      </c>
      <c r="D4" s="16" t="s">
        <v>1987</v>
      </c>
      <c r="E4" s="16">
        <v>3</v>
      </c>
      <c r="F4" s="16">
        <v>600</v>
      </c>
      <c r="G4" s="16">
        <v>612</v>
      </c>
      <c r="H4" s="16">
        <v>624</v>
      </c>
      <c r="I4" s="16">
        <v>636</v>
      </c>
      <c r="J4" s="16">
        <v>648</v>
      </c>
      <c r="K4" s="16">
        <v>660</v>
      </c>
      <c r="L4" s="16">
        <v>673</v>
      </c>
      <c r="M4" s="16">
        <v>686</v>
      </c>
      <c r="N4" s="16">
        <v>699</v>
      </c>
      <c r="O4" s="16">
        <v>712</v>
      </c>
    </row>
    <row r="5" spans="1:15">
      <c r="A5" s="16">
        <v>10004</v>
      </c>
      <c r="B5" s="16" t="s">
        <v>995</v>
      </c>
      <c r="C5" s="16">
        <v>4</v>
      </c>
      <c r="D5" s="16" t="s">
        <v>1988</v>
      </c>
      <c r="E5" s="16">
        <v>3</v>
      </c>
      <c r="F5" s="16">
        <v>720</v>
      </c>
      <c r="G5" s="16">
        <v>734</v>
      </c>
      <c r="H5" s="16">
        <v>748</v>
      </c>
      <c r="I5" s="16">
        <v>762</v>
      </c>
      <c r="J5" s="16">
        <v>777</v>
      </c>
      <c r="K5" s="16">
        <v>792</v>
      </c>
      <c r="L5" s="16">
        <v>807</v>
      </c>
      <c r="M5" s="16">
        <v>823</v>
      </c>
      <c r="N5" s="16">
        <v>839</v>
      </c>
      <c r="O5" s="16">
        <v>855</v>
      </c>
    </row>
    <row r="6" spans="1:15">
      <c r="A6" s="16">
        <v>10005</v>
      </c>
      <c r="B6" s="16" t="s">
        <v>999</v>
      </c>
      <c r="C6" s="16">
        <v>5</v>
      </c>
      <c r="D6" s="16" t="s">
        <v>1989</v>
      </c>
      <c r="E6" s="16">
        <v>3</v>
      </c>
      <c r="F6" s="16">
        <v>600</v>
      </c>
      <c r="G6" s="16">
        <v>612</v>
      </c>
      <c r="H6" s="16">
        <v>624</v>
      </c>
      <c r="I6" s="16">
        <v>636</v>
      </c>
      <c r="J6" s="16">
        <v>648</v>
      </c>
      <c r="K6" s="16">
        <v>660</v>
      </c>
      <c r="L6" s="16">
        <v>673</v>
      </c>
      <c r="M6" s="16">
        <v>686</v>
      </c>
      <c r="N6" s="16">
        <v>699</v>
      </c>
      <c r="O6" s="16">
        <v>712</v>
      </c>
    </row>
    <row r="7" spans="1:15">
      <c r="A7" s="16">
        <v>10011</v>
      </c>
      <c r="B7" s="16" t="s">
        <v>1006</v>
      </c>
      <c r="C7" s="26">
        <v>16</v>
      </c>
      <c r="D7" s="16" t="s">
        <v>1990</v>
      </c>
      <c r="E7" s="16">
        <v>3</v>
      </c>
      <c r="F7" s="16">
        <v>600</v>
      </c>
      <c r="G7" s="16">
        <v>612</v>
      </c>
      <c r="H7" s="16">
        <v>624</v>
      </c>
      <c r="I7" s="16">
        <v>636</v>
      </c>
      <c r="J7" s="16">
        <v>648</v>
      </c>
      <c r="K7" s="16">
        <v>660</v>
      </c>
      <c r="L7" s="16">
        <v>673</v>
      </c>
      <c r="M7" s="16">
        <v>686</v>
      </c>
      <c r="N7" s="16">
        <v>699</v>
      </c>
      <c r="O7" s="16">
        <v>712</v>
      </c>
    </row>
    <row r="8" spans="1:15">
      <c r="A8" s="16">
        <v>10012</v>
      </c>
      <c r="B8" s="16" t="s">
        <v>1003</v>
      </c>
      <c r="C8" s="26">
        <v>12</v>
      </c>
      <c r="D8" s="16" t="s">
        <v>1991</v>
      </c>
      <c r="E8" s="16">
        <v>3</v>
      </c>
      <c r="F8" s="16">
        <v>600</v>
      </c>
      <c r="G8" s="16">
        <v>612</v>
      </c>
      <c r="H8" s="16">
        <v>624</v>
      </c>
      <c r="I8" s="16">
        <v>636</v>
      </c>
      <c r="J8" s="16">
        <v>648</v>
      </c>
      <c r="K8" s="16">
        <v>660</v>
      </c>
      <c r="L8" s="16">
        <v>673</v>
      </c>
      <c r="M8" s="16">
        <v>686</v>
      </c>
      <c r="N8" s="16">
        <v>699</v>
      </c>
      <c r="O8" s="16">
        <v>712</v>
      </c>
    </row>
    <row r="9" spans="1:15">
      <c r="A9" s="16">
        <v>10013</v>
      </c>
      <c r="B9" s="16" t="s">
        <v>988</v>
      </c>
      <c r="C9" s="26">
        <v>13</v>
      </c>
      <c r="D9" s="16" t="s">
        <v>1992</v>
      </c>
      <c r="E9" s="16">
        <v>3</v>
      </c>
      <c r="F9" s="16">
        <v>600</v>
      </c>
      <c r="G9" s="16">
        <v>612</v>
      </c>
      <c r="H9" s="16">
        <v>624</v>
      </c>
      <c r="I9" s="16">
        <v>636</v>
      </c>
      <c r="J9" s="16">
        <v>648</v>
      </c>
      <c r="K9" s="16">
        <v>660</v>
      </c>
      <c r="L9" s="16">
        <v>673</v>
      </c>
      <c r="M9" s="16">
        <v>686</v>
      </c>
      <c r="N9" s="16">
        <v>699</v>
      </c>
      <c r="O9" s="16">
        <v>712</v>
      </c>
    </row>
    <row r="10" spans="1:15">
      <c r="A10" s="16">
        <v>10015</v>
      </c>
      <c r="B10" s="16" t="s">
        <v>999</v>
      </c>
      <c r="C10" s="26">
        <v>15</v>
      </c>
      <c r="D10" s="16" t="s">
        <v>1993</v>
      </c>
      <c r="E10" s="16">
        <v>3</v>
      </c>
      <c r="F10" s="16">
        <v>600</v>
      </c>
      <c r="G10" s="16">
        <v>612</v>
      </c>
      <c r="H10" s="16">
        <v>624</v>
      </c>
      <c r="I10" s="16">
        <v>636</v>
      </c>
      <c r="J10" s="16">
        <v>648</v>
      </c>
      <c r="K10" s="16">
        <v>660</v>
      </c>
      <c r="L10" s="16">
        <v>673</v>
      </c>
      <c r="M10" s="16">
        <v>686</v>
      </c>
      <c r="N10" s="16">
        <v>699</v>
      </c>
      <c r="O10" s="16">
        <v>712</v>
      </c>
    </row>
    <row r="11" spans="1:15">
      <c r="A11" s="16">
        <v>20001</v>
      </c>
      <c r="B11" s="16" t="s">
        <v>1006</v>
      </c>
      <c r="C11" s="16">
        <v>1</v>
      </c>
      <c r="D11" s="16" t="s">
        <v>1985</v>
      </c>
      <c r="E11" s="16">
        <v>3</v>
      </c>
      <c r="F11" s="16">
        <v>2250</v>
      </c>
      <c r="G11" s="16">
        <v>2295</v>
      </c>
      <c r="H11" s="16">
        <v>2340</v>
      </c>
      <c r="I11" s="16">
        <v>2386</v>
      </c>
      <c r="J11" s="16">
        <v>2433</v>
      </c>
      <c r="K11" s="16">
        <v>2481</v>
      </c>
      <c r="L11" s="16">
        <v>2530</v>
      </c>
      <c r="M11" s="16">
        <v>2580</v>
      </c>
      <c r="N11" s="16">
        <v>2631</v>
      </c>
      <c r="O11" s="16">
        <v>2683</v>
      </c>
    </row>
    <row r="12" spans="1:15">
      <c r="A12" s="16">
        <v>20002</v>
      </c>
      <c r="B12" s="16" t="s">
        <v>1003</v>
      </c>
      <c r="C12" s="16">
        <v>2</v>
      </c>
      <c r="D12" s="16" t="s">
        <v>1986</v>
      </c>
      <c r="E12" s="16">
        <v>3</v>
      </c>
      <c r="F12" s="16">
        <v>2250</v>
      </c>
      <c r="G12" s="16">
        <v>2295</v>
      </c>
      <c r="H12" s="16">
        <v>2340</v>
      </c>
      <c r="I12" s="16">
        <v>2386</v>
      </c>
      <c r="J12" s="16">
        <v>2433</v>
      </c>
      <c r="K12" s="16">
        <v>2481</v>
      </c>
      <c r="L12" s="16">
        <v>2530</v>
      </c>
      <c r="M12" s="16">
        <v>2580</v>
      </c>
      <c r="N12" s="16">
        <v>2631</v>
      </c>
      <c r="O12" s="16">
        <v>2683</v>
      </c>
    </row>
    <row r="13" spans="1:15">
      <c r="A13" s="16">
        <v>20003</v>
      </c>
      <c r="B13" s="16" t="s">
        <v>988</v>
      </c>
      <c r="C13" s="16">
        <v>3</v>
      </c>
      <c r="D13" s="16" t="s">
        <v>1987</v>
      </c>
      <c r="E13" s="16">
        <v>3</v>
      </c>
      <c r="F13" s="16">
        <v>2250</v>
      </c>
      <c r="G13" s="16">
        <v>2295</v>
      </c>
      <c r="H13" s="16">
        <v>2340</v>
      </c>
      <c r="I13" s="16">
        <v>2386</v>
      </c>
      <c r="J13" s="16">
        <v>2433</v>
      </c>
      <c r="K13" s="16">
        <v>2481</v>
      </c>
      <c r="L13" s="16">
        <v>2530</v>
      </c>
      <c r="M13" s="16">
        <v>2580</v>
      </c>
      <c r="N13" s="16">
        <v>2631</v>
      </c>
      <c r="O13" s="16">
        <v>2683</v>
      </c>
    </row>
    <row r="14" spans="1:15">
      <c r="A14" s="16">
        <v>20004</v>
      </c>
      <c r="B14" s="16" t="s">
        <v>995</v>
      </c>
      <c r="C14" s="16">
        <v>4</v>
      </c>
      <c r="D14" s="16" t="s">
        <v>1988</v>
      </c>
      <c r="E14" s="16">
        <v>3</v>
      </c>
      <c r="F14" s="16">
        <v>2700</v>
      </c>
      <c r="G14" s="16">
        <v>2754</v>
      </c>
      <c r="H14" s="16">
        <v>2809</v>
      </c>
      <c r="I14" s="16">
        <v>2865</v>
      </c>
      <c r="J14" s="16">
        <v>2922</v>
      </c>
      <c r="K14" s="16">
        <v>2980</v>
      </c>
      <c r="L14" s="16">
        <v>3039</v>
      </c>
      <c r="M14" s="16">
        <v>3099</v>
      </c>
      <c r="N14" s="16">
        <v>3160</v>
      </c>
      <c r="O14" s="16">
        <v>3223</v>
      </c>
    </row>
    <row r="15" spans="1:15">
      <c r="A15" s="16">
        <v>20005</v>
      </c>
      <c r="B15" s="16" t="s">
        <v>999</v>
      </c>
      <c r="C15" s="16">
        <v>5</v>
      </c>
      <c r="D15" s="16" t="s">
        <v>1989</v>
      </c>
      <c r="E15" s="16">
        <v>3</v>
      </c>
      <c r="F15" s="16">
        <v>2250</v>
      </c>
      <c r="G15" s="16">
        <v>2295</v>
      </c>
      <c r="H15" s="16">
        <v>2340</v>
      </c>
      <c r="I15" s="16">
        <v>2386</v>
      </c>
      <c r="J15" s="16">
        <v>2433</v>
      </c>
      <c r="K15" s="16">
        <v>2481</v>
      </c>
      <c r="L15" s="16">
        <v>2530</v>
      </c>
      <c r="M15" s="16">
        <v>2580</v>
      </c>
      <c r="N15" s="16">
        <v>2631</v>
      </c>
      <c r="O15" s="16">
        <v>2683</v>
      </c>
    </row>
    <row r="16" spans="1:15">
      <c r="A16" s="16">
        <v>20011</v>
      </c>
      <c r="B16" s="16" t="s">
        <v>1006</v>
      </c>
      <c r="C16" s="26">
        <v>16</v>
      </c>
      <c r="D16" s="16" t="s">
        <v>1990</v>
      </c>
      <c r="E16" s="16">
        <v>3</v>
      </c>
      <c r="F16" s="16">
        <v>2250</v>
      </c>
      <c r="G16" s="16">
        <v>2295</v>
      </c>
      <c r="H16" s="16">
        <v>2340</v>
      </c>
      <c r="I16" s="16">
        <v>2386</v>
      </c>
      <c r="J16" s="16">
        <v>2433</v>
      </c>
      <c r="K16" s="16">
        <v>2481</v>
      </c>
      <c r="L16" s="16">
        <v>2530</v>
      </c>
      <c r="M16" s="16">
        <v>2580</v>
      </c>
      <c r="N16" s="16">
        <v>2631</v>
      </c>
      <c r="O16" s="16">
        <v>2683</v>
      </c>
    </row>
    <row r="17" spans="1:15">
      <c r="A17" s="16">
        <v>20012</v>
      </c>
      <c r="B17" s="16" t="s">
        <v>1003</v>
      </c>
      <c r="C17" s="26">
        <v>12</v>
      </c>
      <c r="D17" s="16" t="s">
        <v>1991</v>
      </c>
      <c r="E17" s="16">
        <v>3</v>
      </c>
      <c r="F17" s="16">
        <v>2250</v>
      </c>
      <c r="G17" s="16">
        <v>2295</v>
      </c>
      <c r="H17" s="16">
        <v>2340</v>
      </c>
      <c r="I17" s="16">
        <v>2386</v>
      </c>
      <c r="J17" s="16">
        <v>2433</v>
      </c>
      <c r="K17" s="16">
        <v>2481</v>
      </c>
      <c r="L17" s="16">
        <v>2530</v>
      </c>
      <c r="M17" s="16">
        <v>2580</v>
      </c>
      <c r="N17" s="16">
        <v>2631</v>
      </c>
      <c r="O17" s="16">
        <v>2683</v>
      </c>
    </row>
    <row r="18" spans="1:15">
      <c r="A18" s="16">
        <v>20013</v>
      </c>
      <c r="B18" s="16" t="s">
        <v>988</v>
      </c>
      <c r="C18" s="26">
        <v>13</v>
      </c>
      <c r="D18" s="16" t="s">
        <v>1992</v>
      </c>
      <c r="E18" s="16">
        <v>3</v>
      </c>
      <c r="F18" s="16">
        <v>2250</v>
      </c>
      <c r="G18" s="16">
        <v>2295</v>
      </c>
      <c r="H18" s="16">
        <v>2340</v>
      </c>
      <c r="I18" s="16">
        <v>2386</v>
      </c>
      <c r="J18" s="16">
        <v>2433</v>
      </c>
      <c r="K18" s="16">
        <v>2481</v>
      </c>
      <c r="L18" s="16">
        <v>2530</v>
      </c>
      <c r="M18" s="16">
        <v>2580</v>
      </c>
      <c r="N18" s="16">
        <v>2631</v>
      </c>
      <c r="O18" s="16">
        <v>2683</v>
      </c>
    </row>
    <row r="19" spans="1:15">
      <c r="A19" s="16">
        <v>20015</v>
      </c>
      <c r="B19" s="16" t="s">
        <v>999</v>
      </c>
      <c r="C19" s="26">
        <v>15</v>
      </c>
      <c r="D19" s="16" t="s">
        <v>1993</v>
      </c>
      <c r="E19" s="16">
        <v>3</v>
      </c>
      <c r="F19" s="16">
        <v>2250</v>
      </c>
      <c r="G19" s="16">
        <v>2295</v>
      </c>
      <c r="H19" s="16">
        <v>2340</v>
      </c>
      <c r="I19" s="16">
        <v>2386</v>
      </c>
      <c r="J19" s="16">
        <v>2433</v>
      </c>
      <c r="K19" s="16">
        <v>2481</v>
      </c>
      <c r="L19" s="16">
        <v>2530</v>
      </c>
      <c r="M19" s="16">
        <v>2580</v>
      </c>
      <c r="N19" s="16">
        <v>2631</v>
      </c>
      <c r="O19" s="16">
        <v>2683</v>
      </c>
    </row>
    <row r="20" spans="1:15">
      <c r="A20" s="16">
        <v>30001</v>
      </c>
      <c r="B20" s="16" t="s">
        <v>1006</v>
      </c>
      <c r="C20" s="16">
        <v>1</v>
      </c>
      <c r="D20" s="16" t="s">
        <v>1985</v>
      </c>
      <c r="E20" s="16">
        <v>3</v>
      </c>
      <c r="F20" s="16">
        <v>3000</v>
      </c>
      <c r="G20" s="16">
        <v>3060</v>
      </c>
      <c r="H20" s="16">
        <v>3121</v>
      </c>
      <c r="I20" s="16">
        <v>3183</v>
      </c>
      <c r="J20" s="16">
        <v>3246</v>
      </c>
      <c r="K20" s="16">
        <v>3310</v>
      </c>
      <c r="L20" s="16">
        <v>3376</v>
      </c>
      <c r="M20" s="16">
        <v>3443</v>
      </c>
      <c r="N20" s="16">
        <v>3511</v>
      </c>
      <c r="O20" s="16">
        <v>3581</v>
      </c>
    </row>
    <row r="21" spans="1:15">
      <c r="A21" s="16">
        <v>30002</v>
      </c>
      <c r="B21" s="16" t="s">
        <v>1003</v>
      </c>
      <c r="C21" s="16">
        <v>2</v>
      </c>
      <c r="D21" s="16" t="s">
        <v>1986</v>
      </c>
      <c r="E21" s="16">
        <v>3</v>
      </c>
      <c r="F21" s="16">
        <v>3000</v>
      </c>
      <c r="G21" s="16">
        <v>3060</v>
      </c>
      <c r="H21" s="16">
        <v>3121</v>
      </c>
      <c r="I21" s="16">
        <v>3183</v>
      </c>
      <c r="J21" s="16">
        <v>3246</v>
      </c>
      <c r="K21" s="16">
        <v>3310</v>
      </c>
      <c r="L21" s="16">
        <v>3376</v>
      </c>
      <c r="M21" s="16">
        <v>3443</v>
      </c>
      <c r="N21" s="16">
        <v>3511</v>
      </c>
      <c r="O21" s="16">
        <v>3581</v>
      </c>
    </row>
    <row r="22" spans="1:15">
      <c r="A22" s="16">
        <v>30003</v>
      </c>
      <c r="B22" s="16" t="s">
        <v>988</v>
      </c>
      <c r="C22" s="16">
        <v>3</v>
      </c>
      <c r="D22" s="16" t="s">
        <v>1987</v>
      </c>
      <c r="E22" s="16">
        <v>3</v>
      </c>
      <c r="F22" s="16">
        <v>3000</v>
      </c>
      <c r="G22" s="16">
        <v>3060</v>
      </c>
      <c r="H22" s="16">
        <v>3121</v>
      </c>
      <c r="I22" s="16">
        <v>3183</v>
      </c>
      <c r="J22" s="16">
        <v>3246</v>
      </c>
      <c r="K22" s="16">
        <v>3310</v>
      </c>
      <c r="L22" s="16">
        <v>3376</v>
      </c>
      <c r="M22" s="16">
        <v>3443</v>
      </c>
      <c r="N22" s="16">
        <v>3511</v>
      </c>
      <c r="O22" s="16">
        <v>3581</v>
      </c>
    </row>
    <row r="23" spans="1:15">
      <c r="A23" s="16">
        <v>30004</v>
      </c>
      <c r="B23" s="16" t="s">
        <v>995</v>
      </c>
      <c r="C23" s="16">
        <v>4</v>
      </c>
      <c r="D23" s="16" t="s">
        <v>1988</v>
      </c>
      <c r="E23" s="16">
        <v>3</v>
      </c>
      <c r="F23" s="16">
        <v>3600</v>
      </c>
      <c r="G23" s="16">
        <v>3672</v>
      </c>
      <c r="H23" s="16">
        <v>3745</v>
      </c>
      <c r="I23" s="16">
        <v>3819</v>
      </c>
      <c r="J23" s="16">
        <v>3895</v>
      </c>
      <c r="K23" s="16">
        <v>3972</v>
      </c>
      <c r="L23" s="16">
        <v>4051</v>
      </c>
      <c r="M23" s="16">
        <v>4132</v>
      </c>
      <c r="N23" s="16">
        <v>4214</v>
      </c>
      <c r="O23" s="16">
        <v>4298</v>
      </c>
    </row>
    <row r="24" spans="1:15">
      <c r="A24" s="16">
        <v>30005</v>
      </c>
      <c r="B24" s="16" t="s">
        <v>999</v>
      </c>
      <c r="C24" s="16">
        <v>5</v>
      </c>
      <c r="D24" s="16" t="s">
        <v>1989</v>
      </c>
      <c r="E24" s="16">
        <v>3</v>
      </c>
      <c r="F24" s="16">
        <v>3000</v>
      </c>
      <c r="G24" s="16">
        <v>3060</v>
      </c>
      <c r="H24" s="16">
        <v>3121</v>
      </c>
      <c r="I24" s="16">
        <v>3183</v>
      </c>
      <c r="J24" s="16">
        <v>3246</v>
      </c>
      <c r="K24" s="16">
        <v>3310</v>
      </c>
      <c r="L24" s="16">
        <v>3376</v>
      </c>
      <c r="M24" s="16">
        <v>3443</v>
      </c>
      <c r="N24" s="16">
        <v>3511</v>
      </c>
      <c r="O24" s="16">
        <v>3581</v>
      </c>
    </row>
    <row r="25" spans="1:15">
      <c r="A25" s="16">
        <v>30011</v>
      </c>
      <c r="B25" s="16" t="s">
        <v>1006</v>
      </c>
      <c r="C25" s="26">
        <v>16</v>
      </c>
      <c r="D25" s="16" t="s">
        <v>1990</v>
      </c>
      <c r="E25" s="16">
        <v>3</v>
      </c>
      <c r="F25" s="16">
        <v>3000</v>
      </c>
      <c r="G25" s="16">
        <v>3060</v>
      </c>
      <c r="H25" s="16">
        <v>3121</v>
      </c>
      <c r="I25" s="16">
        <v>3183</v>
      </c>
      <c r="J25" s="16">
        <v>3246</v>
      </c>
      <c r="K25" s="16">
        <v>3310</v>
      </c>
      <c r="L25" s="16">
        <v>3376</v>
      </c>
      <c r="M25" s="16">
        <v>3443</v>
      </c>
      <c r="N25" s="16">
        <v>3511</v>
      </c>
      <c r="O25" s="16">
        <v>3581</v>
      </c>
    </row>
    <row r="26" spans="1:15">
      <c r="A26" s="16">
        <v>30012</v>
      </c>
      <c r="B26" s="16" t="s">
        <v>1003</v>
      </c>
      <c r="C26" s="26">
        <v>12</v>
      </c>
      <c r="D26" s="16" t="s">
        <v>1991</v>
      </c>
      <c r="E26" s="16">
        <v>3</v>
      </c>
      <c r="F26" s="16">
        <v>3000</v>
      </c>
      <c r="G26" s="16">
        <v>3060</v>
      </c>
      <c r="H26" s="16">
        <v>3121</v>
      </c>
      <c r="I26" s="16">
        <v>3183</v>
      </c>
      <c r="J26" s="16">
        <v>3246</v>
      </c>
      <c r="K26" s="16">
        <v>3310</v>
      </c>
      <c r="L26" s="16">
        <v>3376</v>
      </c>
      <c r="M26" s="16">
        <v>3443</v>
      </c>
      <c r="N26" s="16">
        <v>3511</v>
      </c>
      <c r="O26" s="16">
        <v>3581</v>
      </c>
    </row>
    <row r="27" spans="1:15">
      <c r="A27" s="16">
        <v>30013</v>
      </c>
      <c r="B27" s="16" t="s">
        <v>988</v>
      </c>
      <c r="C27" s="26">
        <v>13</v>
      </c>
      <c r="D27" s="16" t="s">
        <v>1992</v>
      </c>
      <c r="E27" s="16">
        <v>3</v>
      </c>
      <c r="F27" s="16">
        <v>3000</v>
      </c>
      <c r="G27" s="16">
        <v>3060</v>
      </c>
      <c r="H27" s="16">
        <v>3121</v>
      </c>
      <c r="I27" s="16">
        <v>3183</v>
      </c>
      <c r="J27" s="16">
        <v>3246</v>
      </c>
      <c r="K27" s="16">
        <v>3310</v>
      </c>
      <c r="L27" s="16">
        <v>3376</v>
      </c>
      <c r="M27" s="16">
        <v>3443</v>
      </c>
      <c r="N27" s="16">
        <v>3511</v>
      </c>
      <c r="O27" s="16">
        <v>3581</v>
      </c>
    </row>
    <row r="28" spans="1:15">
      <c r="A28" s="16">
        <v>30015</v>
      </c>
      <c r="B28" s="16" t="s">
        <v>999</v>
      </c>
      <c r="C28" s="26">
        <v>15</v>
      </c>
      <c r="D28" s="16" t="s">
        <v>1993</v>
      </c>
      <c r="E28" s="16">
        <v>3</v>
      </c>
      <c r="F28" s="16">
        <v>3000</v>
      </c>
      <c r="G28" s="16">
        <v>3060</v>
      </c>
      <c r="H28" s="16">
        <v>3121</v>
      </c>
      <c r="I28" s="16">
        <v>3183</v>
      </c>
      <c r="J28" s="16">
        <v>3246</v>
      </c>
      <c r="K28" s="16">
        <v>3310</v>
      </c>
      <c r="L28" s="16">
        <v>3376</v>
      </c>
      <c r="M28" s="16">
        <v>3443</v>
      </c>
      <c r="N28" s="16">
        <v>3511</v>
      </c>
      <c r="O28" s="16">
        <v>3581</v>
      </c>
    </row>
  </sheetData>
</worksheet>
</file>

<file path=xl/worksheets/sheet7.xml><?xml version="1.0" encoding="utf-8"?>
<worksheet xmlns="http://schemas.openxmlformats.org/spreadsheetml/2006/main">
  <sheetPr codeName="敌人属性调整">
    <tabColor/>
  </sheetPr>
  <dimension ref="H700"/>
  <sheetViews>
    <sheetView showGridLines="1" workbookViewId="0">
      <pane xSplit="1" ySplit="1" topLeftCell="B2" state="frozen"/>
    </sheetView>
  </sheetViews>
  <sheetFormatPr baseColWidth="13" defaultRowHeight="18" customHeight="1"/>
  <cols>
    <col min="1" max="1" width="10.9219" style="16" customWidth="1"/>
    <col min="2" max="2" width="16.5938" style="87" customWidth="1"/>
    <col min="3" max="3" width="16.5938" style="83" customWidth="1"/>
    <col min="4" max="4" width="19.8242" style="83" customWidth="1"/>
    <col min="5" max="5" width="18.2109" style="83" customWidth="1"/>
    <col min="6" max="6" width="16.043" style="83" customWidth="1"/>
    <col min="7" max="7" width="18.0234" style="83" customWidth="1"/>
    <col min="8" max="8" width="9.30078" style="16" customWidth="1"/>
  </cols>
  <sheetData>
    <row r="1" spans="1:8">
      <c r="A1" s="16" t="s">
        <v>956</v>
      </c>
      <c r="B1" s="26" t="s">
        <v>1994</v>
      </c>
      <c r="C1" s="22" t="s">
        <v>963</v>
      </c>
      <c r="D1" s="22" t="s">
        <v>965</v>
      </c>
      <c r="E1" s="22" t="s">
        <v>1086</v>
      </c>
      <c r="F1" s="22" t="s">
        <v>967</v>
      </c>
      <c r="G1" s="22" t="s">
        <v>1995</v>
      </c>
      <c r="H1" s="16" t="s">
        <v>1996</v>
      </c>
    </row>
    <row r="2" spans="1:8">
      <c r="A2" s="16">
        <v>10101</v>
      </c>
      <c r="B2" s="26">
        <v>0</v>
      </c>
      <c r="C2" s="22">
        <v>1</v>
      </c>
      <c r="D2" s="22">
        <v>0.5</v>
      </c>
      <c r="E2" s="22">
        <v>1</v>
      </c>
      <c r="F2" s="22">
        <v>0</v>
      </c>
      <c r="G2" s="22">
        <v>0.25</v>
      </c>
      <c r="H2" s="16">
        <v>1010101</v>
      </c>
    </row>
    <row r="3" spans="1:8">
      <c r="A3" s="16">
        <v>10101</v>
      </c>
      <c r="B3" s="26">
        <v>1</v>
      </c>
      <c r="C3" s="22">
        <v>3.5</v>
      </c>
      <c r="D3" s="22">
        <v>0.5</v>
      </c>
      <c r="E3" s="22">
        <v>1</v>
      </c>
      <c r="F3" s="22">
        <v>0</v>
      </c>
      <c r="G3" s="22">
        <v>0.25</v>
      </c>
      <c r="H3" s="16">
        <v>1010102</v>
      </c>
    </row>
    <row r="4" spans="1:8">
      <c r="A4" s="16">
        <v>10101</v>
      </c>
      <c r="B4" s="26">
        <v>2</v>
      </c>
      <c r="C4" s="22">
        <v>8</v>
      </c>
      <c r="D4" s="22">
        <v>0.5</v>
      </c>
      <c r="E4" s="22">
        <v>2</v>
      </c>
      <c r="F4" s="22">
        <v>0.5</v>
      </c>
      <c r="G4" s="22">
        <v>0.25</v>
      </c>
      <c r="H4" s="16">
        <v>1010103</v>
      </c>
    </row>
    <row r="5" spans="1:8">
      <c r="A5" s="16">
        <v>10102</v>
      </c>
      <c r="B5" s="26">
        <v>0</v>
      </c>
      <c r="C5" s="22">
        <v>1</v>
      </c>
      <c r="D5" s="22">
        <v>0.5</v>
      </c>
      <c r="E5" s="22">
        <v>1</v>
      </c>
      <c r="F5" s="22">
        <v>0</v>
      </c>
      <c r="G5" s="22">
        <v>0.25</v>
      </c>
      <c r="H5" s="16">
        <v>1010201</v>
      </c>
    </row>
    <row r="6" spans="1:8">
      <c r="A6" s="16">
        <v>10102</v>
      </c>
      <c r="B6" s="26">
        <v>1</v>
      </c>
      <c r="C6" s="22">
        <v>3.5</v>
      </c>
      <c r="D6" s="22">
        <v>0.5</v>
      </c>
      <c r="E6" s="22">
        <v>1</v>
      </c>
      <c r="F6" s="22">
        <v>0</v>
      </c>
      <c r="G6" s="22">
        <v>0.25</v>
      </c>
      <c r="H6" s="16">
        <v>1010202</v>
      </c>
    </row>
    <row r="7" spans="1:8">
      <c r="A7" s="16">
        <v>10102</v>
      </c>
      <c r="B7" s="26">
        <v>2</v>
      </c>
      <c r="C7" s="22">
        <v>8</v>
      </c>
      <c r="D7" s="22">
        <v>0.5</v>
      </c>
      <c r="E7" s="22">
        <v>2</v>
      </c>
      <c r="F7" s="22">
        <v>0.5</v>
      </c>
      <c r="G7" s="22">
        <v>0.25</v>
      </c>
      <c r="H7" s="16">
        <v>1010203</v>
      </c>
    </row>
    <row r="8" spans="1:8">
      <c r="A8" s="16">
        <v>10201</v>
      </c>
      <c r="B8" s="26">
        <v>0</v>
      </c>
      <c r="C8" s="22">
        <v>3</v>
      </c>
      <c r="D8" s="22">
        <v>0.5</v>
      </c>
      <c r="E8" s="22">
        <v>0</v>
      </c>
      <c r="F8" s="22">
        <v>0</v>
      </c>
      <c r="G8" s="22">
        <v>0.25</v>
      </c>
      <c r="H8" s="16">
        <v>1020101</v>
      </c>
    </row>
    <row r="9" spans="1:8">
      <c r="A9" s="16">
        <v>10201</v>
      </c>
      <c r="B9" s="26">
        <v>1</v>
      </c>
      <c r="C9" s="22">
        <v>3.5</v>
      </c>
      <c r="D9" s="22">
        <v>0.5</v>
      </c>
      <c r="E9" s="22">
        <v>0</v>
      </c>
      <c r="F9" s="22">
        <v>0</v>
      </c>
      <c r="G9" s="22">
        <v>0.25</v>
      </c>
      <c r="H9" s="16">
        <v>1020102</v>
      </c>
    </row>
    <row r="10" spans="1:8">
      <c r="A10" s="16">
        <v>10201</v>
      </c>
      <c r="B10" s="26">
        <v>2</v>
      </c>
      <c r="C10" s="22">
        <v>11</v>
      </c>
      <c r="D10" s="22">
        <v>0.5</v>
      </c>
      <c r="E10" s="22">
        <v>1</v>
      </c>
      <c r="F10" s="22">
        <v>0.5</v>
      </c>
      <c r="G10" s="22">
        <v>0.25</v>
      </c>
      <c r="H10" s="16">
        <v>1020103</v>
      </c>
    </row>
    <row r="11" spans="1:8">
      <c r="A11" s="16">
        <v>10202</v>
      </c>
      <c r="B11" s="26">
        <v>0</v>
      </c>
      <c r="C11" s="22">
        <v>3</v>
      </c>
      <c r="D11" s="22">
        <v>0.5</v>
      </c>
      <c r="E11" s="22">
        <v>0</v>
      </c>
      <c r="F11" s="22">
        <v>0</v>
      </c>
      <c r="G11" s="22">
        <v>0.25</v>
      </c>
      <c r="H11" s="16">
        <v>1020201</v>
      </c>
    </row>
    <row r="12" spans="1:8">
      <c r="A12" s="16">
        <v>10202</v>
      </c>
      <c r="B12" s="26">
        <v>1</v>
      </c>
      <c r="C12" s="22">
        <v>3.5</v>
      </c>
      <c r="D12" s="22">
        <v>0.5</v>
      </c>
      <c r="E12" s="22">
        <v>0</v>
      </c>
      <c r="F12" s="22">
        <v>0</v>
      </c>
      <c r="G12" s="22">
        <v>0.25</v>
      </c>
      <c r="H12" s="16">
        <v>1020202</v>
      </c>
    </row>
    <row r="13" spans="1:8">
      <c r="A13" s="16">
        <v>10202</v>
      </c>
      <c r="B13" s="26">
        <v>2</v>
      </c>
      <c r="C13" s="22">
        <v>11</v>
      </c>
      <c r="D13" s="22">
        <v>0.5</v>
      </c>
      <c r="E13" s="22">
        <v>1</v>
      </c>
      <c r="F13" s="22">
        <v>0.5</v>
      </c>
      <c r="G13" s="22">
        <v>0.25</v>
      </c>
      <c r="H13" s="16">
        <v>1020203</v>
      </c>
    </row>
    <row r="14" spans="1:8">
      <c r="A14" s="16">
        <v>10301</v>
      </c>
      <c r="B14" s="26">
        <v>0</v>
      </c>
      <c r="C14" s="22">
        <v>2</v>
      </c>
      <c r="D14" s="22">
        <v>0.5</v>
      </c>
      <c r="E14" s="22">
        <v>0</v>
      </c>
      <c r="F14" s="22">
        <v>0</v>
      </c>
      <c r="G14" s="22">
        <v>0.25</v>
      </c>
      <c r="H14" s="16">
        <v>1030101</v>
      </c>
    </row>
    <row r="15" spans="1:8">
      <c r="A15" s="16">
        <v>10301</v>
      </c>
      <c r="B15" s="26">
        <v>1</v>
      </c>
      <c r="C15" s="22">
        <v>3.5</v>
      </c>
      <c r="D15" s="22">
        <v>0.5</v>
      </c>
      <c r="E15" s="22">
        <v>0</v>
      </c>
      <c r="F15" s="22">
        <v>0</v>
      </c>
      <c r="G15" s="22">
        <v>0.25</v>
      </c>
      <c r="H15" s="16">
        <v>1030102</v>
      </c>
    </row>
    <row r="16" spans="1:8">
      <c r="A16" s="16">
        <v>10301</v>
      </c>
      <c r="B16" s="26">
        <v>2</v>
      </c>
      <c r="C16" s="22">
        <v>7.4</v>
      </c>
      <c r="D16" s="22">
        <v>0.5</v>
      </c>
      <c r="E16" s="22">
        <v>1</v>
      </c>
      <c r="F16" s="22">
        <v>0.5</v>
      </c>
      <c r="G16" s="22">
        <v>0.25</v>
      </c>
      <c r="H16" s="16">
        <v>1030103</v>
      </c>
    </row>
    <row r="17" spans="1:8">
      <c r="A17" s="16">
        <v>10302</v>
      </c>
      <c r="B17" s="26">
        <v>0</v>
      </c>
      <c r="C17" s="22">
        <v>2</v>
      </c>
      <c r="D17" s="22">
        <v>0.5</v>
      </c>
      <c r="E17" s="22">
        <v>0</v>
      </c>
      <c r="F17" s="22">
        <v>0</v>
      </c>
      <c r="G17" s="22">
        <v>0.25</v>
      </c>
      <c r="H17" s="16">
        <v>1030201</v>
      </c>
    </row>
    <row r="18" spans="1:8">
      <c r="A18" s="16">
        <v>10302</v>
      </c>
      <c r="B18" s="26">
        <v>1</v>
      </c>
      <c r="C18" s="22">
        <v>3.5</v>
      </c>
      <c r="D18" s="22">
        <v>0.5</v>
      </c>
      <c r="E18" s="22">
        <v>0</v>
      </c>
      <c r="F18" s="22">
        <v>0</v>
      </c>
      <c r="G18" s="22">
        <v>0.25</v>
      </c>
      <c r="H18" s="16">
        <v>1030202</v>
      </c>
    </row>
    <row r="19" spans="1:8">
      <c r="A19" s="16">
        <v>10302</v>
      </c>
      <c r="B19" s="26">
        <v>2</v>
      </c>
      <c r="C19" s="22">
        <v>7.4</v>
      </c>
      <c r="D19" s="22">
        <v>0.5</v>
      </c>
      <c r="E19" s="22">
        <v>1</v>
      </c>
      <c r="F19" s="22">
        <v>0.5</v>
      </c>
      <c r="G19" s="22">
        <v>0.25</v>
      </c>
      <c r="H19" s="16">
        <v>1030203</v>
      </c>
    </row>
    <row r="20" spans="1:8">
      <c r="A20" s="16">
        <v>10401</v>
      </c>
      <c r="B20" s="26">
        <v>0</v>
      </c>
      <c r="C20" s="22">
        <v>1</v>
      </c>
      <c r="D20" s="22">
        <v>0.5</v>
      </c>
      <c r="E20" s="22">
        <v>0</v>
      </c>
      <c r="F20" s="22">
        <v>0</v>
      </c>
      <c r="G20" s="22">
        <v>0.25</v>
      </c>
      <c r="H20" s="16">
        <v>1040101</v>
      </c>
    </row>
    <row r="21" spans="1:8">
      <c r="A21" s="16">
        <v>10401</v>
      </c>
      <c r="B21" s="26">
        <v>1</v>
      </c>
      <c r="C21" s="22">
        <v>3.5</v>
      </c>
      <c r="D21" s="22">
        <v>0.5</v>
      </c>
      <c r="E21" s="22">
        <v>0</v>
      </c>
      <c r="F21" s="22">
        <v>0</v>
      </c>
      <c r="G21" s="22">
        <v>0.25</v>
      </c>
      <c r="H21" s="16">
        <v>1040102</v>
      </c>
    </row>
    <row r="22" spans="1:8">
      <c r="A22" s="16">
        <v>10401</v>
      </c>
      <c r="B22" s="26">
        <v>2</v>
      </c>
      <c r="C22" s="22">
        <v>2.5</v>
      </c>
      <c r="D22" s="22">
        <v>0.5</v>
      </c>
      <c r="E22" s="22">
        <v>1</v>
      </c>
      <c r="F22" s="22">
        <v>0.5</v>
      </c>
      <c r="G22" s="22">
        <v>0.25</v>
      </c>
      <c r="H22" s="16">
        <v>1040103</v>
      </c>
    </row>
    <row r="23" spans="1:8">
      <c r="A23" s="16">
        <v>10402</v>
      </c>
      <c r="B23" s="26">
        <v>0</v>
      </c>
      <c r="C23" s="22">
        <v>1</v>
      </c>
      <c r="D23" s="22">
        <v>0.5</v>
      </c>
      <c r="E23" s="22">
        <v>0</v>
      </c>
      <c r="F23" s="22">
        <v>0</v>
      </c>
      <c r="G23" s="22">
        <v>0.25</v>
      </c>
      <c r="H23" s="16">
        <v>1040201</v>
      </c>
    </row>
    <row r="24" spans="1:8">
      <c r="A24" s="16">
        <v>10402</v>
      </c>
      <c r="B24" s="26">
        <v>1</v>
      </c>
      <c r="C24" s="22">
        <v>3.5</v>
      </c>
      <c r="D24" s="22">
        <v>0.5</v>
      </c>
      <c r="E24" s="22">
        <v>0</v>
      </c>
      <c r="F24" s="22">
        <v>0</v>
      </c>
      <c r="G24" s="22">
        <v>0.25</v>
      </c>
      <c r="H24" s="16">
        <v>1040202</v>
      </c>
    </row>
    <row r="25" spans="1:8">
      <c r="A25" s="16">
        <v>10402</v>
      </c>
      <c r="B25" s="26">
        <v>2</v>
      </c>
      <c r="C25" s="22">
        <v>2</v>
      </c>
      <c r="D25" s="22">
        <v>0.5</v>
      </c>
      <c r="E25" s="22">
        <v>1</v>
      </c>
      <c r="F25" s="22">
        <v>0.5</v>
      </c>
      <c r="G25" s="22">
        <v>0.25</v>
      </c>
      <c r="H25" s="16">
        <v>1040203</v>
      </c>
    </row>
    <row r="26" spans="1:8">
      <c r="A26" s="16">
        <v>10403</v>
      </c>
      <c r="B26" s="26">
        <v>0</v>
      </c>
      <c r="C26" s="22">
        <v>1</v>
      </c>
      <c r="D26" s="22">
        <v>1</v>
      </c>
      <c r="E26" s="22">
        <v>0</v>
      </c>
      <c r="F26" s="22">
        <v>0</v>
      </c>
      <c r="G26" s="22">
        <v>0.25</v>
      </c>
      <c r="H26" s="16">
        <v>1040301</v>
      </c>
    </row>
    <row r="27" spans="1:8">
      <c r="A27" s="16">
        <v>10403</v>
      </c>
      <c r="B27" s="26">
        <v>1</v>
      </c>
      <c r="C27" s="22">
        <v>3.5</v>
      </c>
      <c r="D27" s="22">
        <v>1</v>
      </c>
      <c r="E27" s="22">
        <v>0</v>
      </c>
      <c r="F27" s="22">
        <v>0</v>
      </c>
      <c r="G27" s="22">
        <v>0.25</v>
      </c>
      <c r="H27" s="16">
        <v>1040302</v>
      </c>
    </row>
    <row r="28" spans="1:8">
      <c r="A28" s="16">
        <v>10403</v>
      </c>
      <c r="B28" s="26">
        <v>2</v>
      </c>
      <c r="C28" s="22">
        <v>3</v>
      </c>
      <c r="D28" s="22">
        <v>1</v>
      </c>
      <c r="E28" s="22">
        <v>1</v>
      </c>
      <c r="F28" s="22">
        <v>0.5</v>
      </c>
      <c r="G28" s="22">
        <v>0.25</v>
      </c>
      <c r="H28" s="16">
        <v>1040303</v>
      </c>
    </row>
    <row r="29" spans="1:8">
      <c r="A29" s="16">
        <v>10503</v>
      </c>
      <c r="B29" s="26">
        <v>2</v>
      </c>
      <c r="C29" s="22">
        <v>24</v>
      </c>
      <c r="D29" s="22">
        <v>1</v>
      </c>
      <c r="E29" s="22">
        <v>1.5</v>
      </c>
      <c r="F29" s="22">
        <v>0.5</v>
      </c>
      <c r="G29" s="22">
        <v>0.25</v>
      </c>
      <c r="H29" s="16">
        <v>1050301</v>
      </c>
    </row>
    <row r="30" spans="1:8">
      <c r="A30" s="16">
        <v>10603</v>
      </c>
      <c r="B30" s="26">
        <v>2</v>
      </c>
      <c r="C30" s="22">
        <v>8</v>
      </c>
      <c r="D30" s="22">
        <v>1</v>
      </c>
      <c r="E30" s="22">
        <v>1</v>
      </c>
      <c r="F30" s="22">
        <v>0.5</v>
      </c>
      <c r="G30" s="22">
        <v>0.25</v>
      </c>
      <c r="H30" s="16">
        <v>1060301</v>
      </c>
    </row>
    <row r="31" spans="1:8">
      <c r="A31" s="16">
        <v>20101</v>
      </c>
      <c r="B31" s="26">
        <v>0</v>
      </c>
      <c r="C31" s="22">
        <v>-0.2</v>
      </c>
      <c r="D31" s="22">
        <v>-0.5</v>
      </c>
      <c r="E31" s="22">
        <v>-0.2</v>
      </c>
      <c r="F31" s="22">
        <v>0</v>
      </c>
      <c r="G31" s="22">
        <v>-0.2</v>
      </c>
      <c r="H31" s="16">
        <v>2010101</v>
      </c>
    </row>
    <row r="32" spans="1:8">
      <c r="A32" s="16">
        <v>20101</v>
      </c>
      <c r="B32" s="26">
        <v>1</v>
      </c>
      <c r="C32" s="22">
        <v>-0.2</v>
      </c>
      <c r="D32" s="22">
        <v>-0.5</v>
      </c>
      <c r="E32" s="22">
        <v>-0.2</v>
      </c>
      <c r="F32" s="22">
        <v>0</v>
      </c>
      <c r="G32" s="22">
        <v>-0.2</v>
      </c>
      <c r="H32" s="16">
        <v>2010102</v>
      </c>
    </row>
    <row r="33" spans="1:8">
      <c r="A33" s="16">
        <v>20101</v>
      </c>
      <c r="B33" s="26">
        <v>2</v>
      </c>
      <c r="C33" s="22">
        <v>-0.2</v>
      </c>
      <c r="D33" s="22">
        <v>-0.5</v>
      </c>
      <c r="E33" s="22">
        <v>-0.2</v>
      </c>
      <c r="F33" s="22">
        <v>0</v>
      </c>
      <c r="G33" s="22">
        <v>-0.2</v>
      </c>
      <c r="H33" s="16">
        <v>2010103</v>
      </c>
    </row>
    <row r="34" spans="1:8">
      <c r="A34" s="16">
        <v>20102</v>
      </c>
      <c r="B34" s="26">
        <v>0</v>
      </c>
      <c r="C34" s="22">
        <v>-0.35</v>
      </c>
      <c r="D34" s="22">
        <v>-0.65</v>
      </c>
      <c r="E34" s="22">
        <v>-0.35</v>
      </c>
      <c r="F34" s="22">
        <v>0</v>
      </c>
      <c r="G34" s="22">
        <v>-0.35</v>
      </c>
      <c r="H34" s="16">
        <v>2010201</v>
      </c>
    </row>
    <row r="35" spans="1:8">
      <c r="A35" s="16">
        <v>20102</v>
      </c>
      <c r="B35" s="26">
        <v>1</v>
      </c>
      <c r="C35" s="22">
        <v>-0.35</v>
      </c>
      <c r="D35" s="22">
        <v>-0.65</v>
      </c>
      <c r="E35" s="22">
        <v>-0.35</v>
      </c>
      <c r="F35" s="22">
        <v>0</v>
      </c>
      <c r="G35" s="22">
        <v>-0.35</v>
      </c>
      <c r="H35" s="16">
        <v>2010202</v>
      </c>
    </row>
    <row r="36" spans="1:8">
      <c r="A36" s="16">
        <v>20102</v>
      </c>
      <c r="B36" s="26">
        <v>2</v>
      </c>
      <c r="C36" s="22">
        <v>-0.35</v>
      </c>
      <c r="D36" s="22">
        <v>-0.65</v>
      </c>
      <c r="E36" s="22">
        <v>-0.35</v>
      </c>
      <c r="F36" s="22">
        <v>0</v>
      </c>
      <c r="G36" s="22">
        <v>-0.35</v>
      </c>
      <c r="H36" s="16">
        <v>2010203</v>
      </c>
    </row>
    <row r="37" spans="1:8">
      <c r="A37" s="16">
        <v>20103</v>
      </c>
      <c r="B37" s="26">
        <v>0</v>
      </c>
      <c r="C37" s="22">
        <v>-0.5</v>
      </c>
      <c r="D37" s="22">
        <v>-0.8</v>
      </c>
      <c r="E37" s="22">
        <v>-0.5</v>
      </c>
      <c r="F37" s="22">
        <v>0</v>
      </c>
      <c r="G37" s="22">
        <v>-0.5</v>
      </c>
      <c r="H37" s="16">
        <v>2010301</v>
      </c>
    </row>
    <row r="38" spans="1:8">
      <c r="A38" s="16">
        <v>20103</v>
      </c>
      <c r="B38" s="26">
        <v>1</v>
      </c>
      <c r="C38" s="22">
        <v>-0.5</v>
      </c>
      <c r="D38" s="22">
        <v>-0.8</v>
      </c>
      <c r="E38" s="22">
        <v>-0.5</v>
      </c>
      <c r="F38" s="22">
        <v>0</v>
      </c>
      <c r="G38" s="22">
        <v>-0.5</v>
      </c>
      <c r="H38" s="16">
        <v>2010302</v>
      </c>
    </row>
    <row r="39" spans="1:8">
      <c r="A39" s="16">
        <v>20103</v>
      </c>
      <c r="B39" s="26">
        <v>2</v>
      </c>
      <c r="C39" s="22">
        <v>-0.5</v>
      </c>
      <c r="D39" s="22">
        <v>-0.8</v>
      </c>
      <c r="E39" s="22">
        <v>-0.5</v>
      </c>
      <c r="F39" s="22">
        <v>0</v>
      </c>
      <c r="G39" s="22">
        <v>-0.5</v>
      </c>
      <c r="H39" s="16">
        <v>2010303</v>
      </c>
    </row>
    <row r="40" spans="1:8">
      <c r="A40" s="16">
        <v>20110</v>
      </c>
      <c r="B40" s="26">
        <v>2</v>
      </c>
      <c r="C40" s="22">
        <v>0.3</v>
      </c>
      <c r="D40" s="22">
        <v>0.15</v>
      </c>
      <c r="E40" s="22">
        <v>0.15</v>
      </c>
      <c r="F40" s="22">
        <v>0</v>
      </c>
      <c r="G40" s="22">
        <v>0.3</v>
      </c>
      <c r="H40" s="16">
        <v>2011003</v>
      </c>
    </row>
    <row r="41" spans="1:8">
      <c r="A41" s="16">
        <v>20111</v>
      </c>
      <c r="B41" s="26">
        <v>0</v>
      </c>
      <c r="C41" s="22">
        <v>0</v>
      </c>
      <c r="D41" s="22">
        <v>-0.3</v>
      </c>
      <c r="E41" s="22">
        <v>0</v>
      </c>
      <c r="F41" s="22">
        <v>0</v>
      </c>
      <c r="G41" s="22">
        <v>0</v>
      </c>
      <c r="H41" s="16">
        <v>2011101</v>
      </c>
    </row>
    <row r="42" spans="1:8">
      <c r="A42" s="16">
        <v>20111</v>
      </c>
      <c r="B42" s="26">
        <v>1</v>
      </c>
      <c r="C42" s="22">
        <v>0</v>
      </c>
      <c r="D42" s="22">
        <v>-0.25</v>
      </c>
      <c r="E42" s="22">
        <v>0</v>
      </c>
      <c r="F42" s="22">
        <v>0</v>
      </c>
      <c r="G42" s="22">
        <v>0</v>
      </c>
      <c r="H42" s="16">
        <v>2011102</v>
      </c>
    </row>
    <row r="43" spans="1:8">
      <c r="A43" s="16">
        <v>20111</v>
      </c>
      <c r="B43" s="26">
        <v>2</v>
      </c>
      <c r="C43" s="22">
        <v>0</v>
      </c>
      <c r="D43" s="22">
        <v>-0.2</v>
      </c>
      <c r="E43" s="22">
        <v>0</v>
      </c>
      <c r="F43" s="22">
        <v>0</v>
      </c>
      <c r="G43" s="22">
        <v>0</v>
      </c>
      <c r="H43" s="16">
        <v>2011103</v>
      </c>
    </row>
    <row r="44" spans="1:8">
      <c r="A44" s="16">
        <v>20112</v>
      </c>
      <c r="B44" s="26">
        <v>1</v>
      </c>
      <c r="C44" s="22">
        <v>0.6</v>
      </c>
      <c r="D44" s="22">
        <v>0.2</v>
      </c>
      <c r="E44" s="22">
        <v>0</v>
      </c>
      <c r="F44" s="22">
        <v>0</v>
      </c>
      <c r="G44" s="22">
        <v>0</v>
      </c>
      <c r="H44" s="16">
        <v>2011202</v>
      </c>
    </row>
    <row r="45" spans="1:8">
      <c r="A45" s="16">
        <v>20113</v>
      </c>
      <c r="B45" s="26">
        <v>2</v>
      </c>
      <c r="C45" s="22">
        <v>0.25</v>
      </c>
      <c r="D45" s="22">
        <v>0</v>
      </c>
      <c r="E45" s="22">
        <v>0.1</v>
      </c>
      <c r="F45" s="22">
        <v>0</v>
      </c>
      <c r="G45" s="22">
        <v>0</v>
      </c>
      <c r="H45" s="16">
        <v>2011303</v>
      </c>
    </row>
    <row r="46" spans="1:8">
      <c r="A46" s="16">
        <v>20114</v>
      </c>
      <c r="B46" s="26">
        <v>0</v>
      </c>
      <c r="C46" s="22">
        <v>0</v>
      </c>
      <c r="D46" s="22">
        <v>-0.3</v>
      </c>
      <c r="E46" s="22">
        <v>0</v>
      </c>
      <c r="F46" s="22">
        <v>0</v>
      </c>
      <c r="G46" s="22">
        <v>0.25</v>
      </c>
      <c r="H46" s="16">
        <v>2011401</v>
      </c>
    </row>
    <row r="47" spans="1:8">
      <c r="A47" s="16">
        <v>20114</v>
      </c>
      <c r="B47" s="26">
        <v>1</v>
      </c>
      <c r="C47" s="22">
        <v>0</v>
      </c>
      <c r="D47" s="22">
        <v>-0.3</v>
      </c>
      <c r="E47" s="22">
        <v>0</v>
      </c>
      <c r="F47" s="22">
        <v>0</v>
      </c>
      <c r="G47" s="22">
        <v>0.25</v>
      </c>
      <c r="H47" s="16">
        <v>2011402</v>
      </c>
    </row>
    <row r="48" spans="1:8">
      <c r="A48" s="16">
        <v>20114</v>
      </c>
      <c r="B48" s="26">
        <v>2</v>
      </c>
      <c r="C48" s="22">
        <v>0</v>
      </c>
      <c r="D48" s="22">
        <v>-0.3</v>
      </c>
      <c r="E48" s="22">
        <v>0</v>
      </c>
      <c r="F48" s="22">
        <v>0</v>
      </c>
      <c r="G48" s="22">
        <v>0.25</v>
      </c>
      <c r="H48" s="16">
        <v>2011403</v>
      </c>
    </row>
    <row r="49" spans="1:8">
      <c r="A49" s="16">
        <v>20115</v>
      </c>
      <c r="B49" s="26">
        <v>1</v>
      </c>
      <c r="C49" s="22">
        <v>0.25</v>
      </c>
      <c r="D49" s="22">
        <v>0</v>
      </c>
      <c r="E49" s="22">
        <v>0.1</v>
      </c>
      <c r="F49" s="22">
        <v>0</v>
      </c>
      <c r="G49" s="22">
        <v>0</v>
      </c>
      <c r="H49" s="16">
        <v>2011502</v>
      </c>
    </row>
    <row r="50" spans="1:8">
      <c r="A50" s="16">
        <v>20116</v>
      </c>
      <c r="B50" s="26">
        <v>0</v>
      </c>
      <c r="C50" s="22">
        <v>-0.2</v>
      </c>
      <c r="D50" s="22">
        <v>-0.15</v>
      </c>
      <c r="E50" s="22">
        <v>-0.4</v>
      </c>
      <c r="F50" s="22">
        <v>0</v>
      </c>
      <c r="G50" s="22">
        <v>0</v>
      </c>
      <c r="H50" s="16">
        <v>2011601</v>
      </c>
    </row>
    <row r="51" spans="1:8">
      <c r="A51" s="16">
        <v>20116</v>
      </c>
      <c r="B51" s="26">
        <v>1</v>
      </c>
      <c r="C51" s="22">
        <v>-0.2</v>
      </c>
      <c r="D51" s="22">
        <v>-0.15</v>
      </c>
      <c r="E51" s="22">
        <v>-0.35</v>
      </c>
      <c r="F51" s="22">
        <v>0</v>
      </c>
      <c r="G51" s="22">
        <v>0</v>
      </c>
      <c r="H51" s="16">
        <v>2011602</v>
      </c>
    </row>
    <row r="52" spans="1:8">
      <c r="A52" s="16">
        <v>20116</v>
      </c>
      <c r="B52" s="26">
        <v>2</v>
      </c>
      <c r="C52" s="22">
        <v>-0.45</v>
      </c>
      <c r="D52" s="22">
        <v>-0.15</v>
      </c>
      <c r="E52" s="22">
        <v>-0.5</v>
      </c>
      <c r="F52" s="22">
        <v>0</v>
      </c>
      <c r="G52" s="22">
        <v>0</v>
      </c>
      <c r="H52" s="16">
        <v>2011603</v>
      </c>
    </row>
    <row r="53" spans="1:8">
      <c r="A53" s="16">
        <v>20117</v>
      </c>
      <c r="B53" s="26">
        <v>999</v>
      </c>
      <c r="C53" s="22">
        <v>-0.7</v>
      </c>
      <c r="D53" s="22">
        <v>0</v>
      </c>
      <c r="E53" s="22">
        <v>-0.5</v>
      </c>
      <c r="F53" s="22">
        <v>0</v>
      </c>
      <c r="G53" s="22">
        <v>0</v>
      </c>
      <c r="H53" s="16">
        <v>2011701</v>
      </c>
    </row>
    <row r="54" spans="1:8">
      <c r="A54" s="16">
        <v>20118</v>
      </c>
      <c r="B54" s="26">
        <v>0</v>
      </c>
      <c r="C54" s="22">
        <v>-0.1</v>
      </c>
      <c r="D54" s="22">
        <v>-0.1</v>
      </c>
      <c r="E54" s="22">
        <v>0</v>
      </c>
      <c r="F54" s="22">
        <v>0</v>
      </c>
      <c r="G54" s="22">
        <v>0</v>
      </c>
      <c r="H54" s="16">
        <v>2011801</v>
      </c>
    </row>
    <row r="55" spans="1:8">
      <c r="A55" s="16">
        <v>20118</v>
      </c>
      <c r="B55" s="26">
        <v>1</v>
      </c>
      <c r="C55" s="22">
        <v>-0.1</v>
      </c>
      <c r="D55" s="22">
        <v>-0.1</v>
      </c>
      <c r="E55" s="22">
        <v>0</v>
      </c>
      <c r="F55" s="22">
        <v>0</v>
      </c>
      <c r="G55" s="22">
        <v>0</v>
      </c>
      <c r="H55" s="16">
        <v>2011802</v>
      </c>
    </row>
    <row r="56" spans="1:8">
      <c r="A56" s="16">
        <v>20118</v>
      </c>
      <c r="B56" s="26">
        <v>2</v>
      </c>
      <c r="C56" s="22">
        <v>-0.1</v>
      </c>
      <c r="D56" s="22">
        <v>-0.1</v>
      </c>
      <c r="E56" s="22">
        <v>0</v>
      </c>
      <c r="F56" s="22">
        <v>0</v>
      </c>
      <c r="G56" s="22">
        <v>0</v>
      </c>
      <c r="H56" s="16">
        <v>2011803</v>
      </c>
    </row>
    <row r="57" spans="1:8">
      <c r="A57" s="16">
        <v>20119</v>
      </c>
      <c r="B57" s="26">
        <v>2</v>
      </c>
      <c r="C57" s="22">
        <v>-0.1</v>
      </c>
      <c r="D57" s="22">
        <v>-0.1</v>
      </c>
      <c r="E57" s="22">
        <v>0</v>
      </c>
      <c r="F57" s="22">
        <v>0</v>
      </c>
      <c r="G57" s="22">
        <v>0</v>
      </c>
      <c r="H57" s="16">
        <v>2011903</v>
      </c>
    </row>
    <row r="58" spans="1:8">
      <c r="A58" s="16">
        <v>20120</v>
      </c>
      <c r="B58" s="26">
        <v>2</v>
      </c>
      <c r="C58" s="22">
        <v>-0.35</v>
      </c>
      <c r="D58" s="22">
        <v>0</v>
      </c>
      <c r="E58" s="22">
        <v>0</v>
      </c>
      <c r="F58" s="22">
        <v>0</v>
      </c>
      <c r="G58" s="22">
        <v>0</v>
      </c>
      <c r="H58" s="16">
        <v>2012003</v>
      </c>
    </row>
    <row r="59" spans="1:8">
      <c r="A59" s="16">
        <v>20121</v>
      </c>
      <c r="B59" s="26">
        <v>999</v>
      </c>
      <c r="C59" s="22">
        <v>-0.35</v>
      </c>
      <c r="D59" s="22">
        <v>0</v>
      </c>
      <c r="E59" s="22">
        <v>0</v>
      </c>
      <c r="F59" s="22">
        <v>0</v>
      </c>
      <c r="G59" s="22">
        <v>0</v>
      </c>
      <c r="H59" s="16">
        <v>2012101</v>
      </c>
    </row>
    <row r="60" spans="1:8">
      <c r="A60" s="16">
        <v>20501</v>
      </c>
      <c r="B60" s="26">
        <v>0</v>
      </c>
      <c r="C60" s="22">
        <v>0.8</v>
      </c>
      <c r="D60" s="22">
        <v>0</v>
      </c>
      <c r="E60" s="22">
        <v>-0.35</v>
      </c>
      <c r="F60" s="22">
        <v>0</v>
      </c>
      <c r="G60" s="22">
        <v>0</v>
      </c>
      <c r="H60" s="16">
        <v>2050101</v>
      </c>
    </row>
    <row r="61" spans="1:8">
      <c r="A61" s="16">
        <v>20502</v>
      </c>
      <c r="B61" s="26">
        <v>0</v>
      </c>
      <c r="C61" s="22">
        <v>0</v>
      </c>
      <c r="D61" s="22">
        <v>0</v>
      </c>
      <c r="E61" s="22">
        <v>0</v>
      </c>
      <c r="F61" s="22">
        <v>0</v>
      </c>
      <c r="G61" s="22">
        <v>0</v>
      </c>
      <c r="H61" s="16">
        <v>2050201</v>
      </c>
    </row>
    <row r="62" spans="1:8">
      <c r="A62" s="16">
        <v>20502</v>
      </c>
      <c r="B62" s="26">
        <v>1</v>
      </c>
      <c r="C62" s="22">
        <v>0</v>
      </c>
      <c r="D62" s="22">
        <v>0</v>
      </c>
      <c r="E62" s="22">
        <v>0</v>
      </c>
      <c r="F62" s="22">
        <v>0</v>
      </c>
      <c r="G62" s="22">
        <v>0</v>
      </c>
      <c r="H62" s="16">
        <v>2050202</v>
      </c>
    </row>
    <row r="63" spans="1:8">
      <c r="A63" s="16">
        <v>20502</v>
      </c>
      <c r="B63" s="26">
        <v>2</v>
      </c>
      <c r="C63" s="22">
        <v>0.6</v>
      </c>
      <c r="D63" s="22">
        <v>0.33</v>
      </c>
      <c r="E63" s="22">
        <v>0.06</v>
      </c>
      <c r="F63" s="22">
        <v>0</v>
      </c>
      <c r="G63" s="22">
        <v>0</v>
      </c>
      <c r="H63" s="16">
        <v>2050203</v>
      </c>
    </row>
    <row r="64" spans="1:8">
      <c r="A64" s="16">
        <v>20521</v>
      </c>
      <c r="B64" s="26">
        <v>999</v>
      </c>
      <c r="C64" s="22">
        <v>0</v>
      </c>
      <c r="D64" s="22">
        <v>-0.2</v>
      </c>
      <c r="E64" s="22">
        <v>0</v>
      </c>
      <c r="F64" s="22">
        <v>0</v>
      </c>
      <c r="G64" s="22">
        <v>0</v>
      </c>
      <c r="H64" s="16">
        <v>2050211</v>
      </c>
    </row>
    <row r="65" spans="1:8">
      <c r="A65" s="16">
        <v>20522</v>
      </c>
      <c r="B65" s="26">
        <v>999</v>
      </c>
      <c r="C65" s="22">
        <v>0.07</v>
      </c>
      <c r="D65" s="22">
        <v>-0.1</v>
      </c>
      <c r="E65" s="22">
        <v>0.05</v>
      </c>
      <c r="F65" s="22">
        <v>0</v>
      </c>
      <c r="G65" s="22">
        <v>0.1</v>
      </c>
      <c r="H65" s="16">
        <v>2050212</v>
      </c>
    </row>
    <row r="66" spans="1:8">
      <c r="A66" s="16">
        <v>20523</v>
      </c>
      <c r="B66" s="26">
        <v>999</v>
      </c>
      <c r="C66" s="22">
        <v>0.07</v>
      </c>
      <c r="D66" s="22">
        <v>-0.1</v>
      </c>
      <c r="E66" s="22">
        <v>0.05</v>
      </c>
      <c r="F66" s="22">
        <v>0</v>
      </c>
      <c r="G66" s="22">
        <v>0.1</v>
      </c>
      <c r="H66" s="16">
        <v>2050213</v>
      </c>
    </row>
    <row r="67" spans="1:8">
      <c r="A67" s="16">
        <v>20524</v>
      </c>
      <c r="B67" s="26">
        <v>999</v>
      </c>
      <c r="C67" s="22">
        <v>1.28</v>
      </c>
      <c r="D67" s="22">
        <v>0.08</v>
      </c>
      <c r="E67" s="22">
        <v>0.12</v>
      </c>
      <c r="F67" s="22">
        <v>0</v>
      </c>
      <c r="G67" s="22">
        <v>0.24</v>
      </c>
      <c r="H67" s="16">
        <v>2050214</v>
      </c>
    </row>
    <row r="68" spans="1:8">
      <c r="A68" s="16">
        <v>20503</v>
      </c>
      <c r="B68" s="26">
        <v>0</v>
      </c>
      <c r="C68" s="22">
        <v>1</v>
      </c>
      <c r="D68" s="22">
        <v>0.4</v>
      </c>
      <c r="E68" s="22">
        <v>0.11</v>
      </c>
      <c r="F68" s="22">
        <v>0</v>
      </c>
      <c r="G68" s="22">
        <v>0</v>
      </c>
      <c r="H68" s="16">
        <v>2050301</v>
      </c>
    </row>
    <row r="69" spans="1:8">
      <c r="A69" s="16">
        <v>20503</v>
      </c>
      <c r="B69" s="26">
        <v>1</v>
      </c>
      <c r="C69" s="22">
        <v>1</v>
      </c>
      <c r="D69" s="22">
        <v>0.4</v>
      </c>
      <c r="E69" s="22">
        <v>0.11</v>
      </c>
      <c r="F69" s="22">
        <v>0</v>
      </c>
      <c r="G69" s="22">
        <v>0</v>
      </c>
      <c r="H69" s="16">
        <v>2050302</v>
      </c>
    </row>
    <row r="70" spans="1:8">
      <c r="A70" s="16">
        <v>20503</v>
      </c>
      <c r="B70" s="26">
        <v>2</v>
      </c>
      <c r="C70" s="22">
        <v>1.35</v>
      </c>
      <c r="D70" s="22">
        <v>0.43</v>
      </c>
      <c r="E70" s="22">
        <v>0.15</v>
      </c>
      <c r="F70" s="22">
        <v>0</v>
      </c>
      <c r="G70" s="22">
        <v>0</v>
      </c>
      <c r="H70" s="16">
        <v>2050303</v>
      </c>
    </row>
    <row r="71" spans="1:8">
      <c r="A71" s="16">
        <v>20531</v>
      </c>
      <c r="B71" s="26">
        <v>999</v>
      </c>
      <c r="C71" s="22">
        <v>0</v>
      </c>
      <c r="D71" s="22">
        <v>-0.1</v>
      </c>
      <c r="E71" s="22">
        <v>0</v>
      </c>
      <c r="F71" s="22">
        <v>0</v>
      </c>
      <c r="G71" s="22">
        <v>0</v>
      </c>
      <c r="H71" s="16">
        <v>2050311</v>
      </c>
    </row>
    <row r="72" spans="1:8">
      <c r="A72" s="16">
        <v>20532</v>
      </c>
      <c r="B72" s="26">
        <v>999</v>
      </c>
      <c r="C72" s="22">
        <v>0.21</v>
      </c>
      <c r="D72" s="22">
        <v>0.18</v>
      </c>
      <c r="E72" s="22">
        <v>0.05</v>
      </c>
      <c r="F72" s="22">
        <v>0</v>
      </c>
      <c r="G72" s="22">
        <v>0.1</v>
      </c>
      <c r="H72" s="16">
        <v>2050312</v>
      </c>
    </row>
    <row r="73" spans="1:8">
      <c r="A73" s="16">
        <v>20533</v>
      </c>
      <c r="B73" s="26">
        <v>999</v>
      </c>
      <c r="C73" s="22">
        <v>0.21</v>
      </c>
      <c r="D73" s="22">
        <v>0.18</v>
      </c>
      <c r="E73" s="22">
        <v>0.05</v>
      </c>
      <c r="F73" s="22">
        <v>0</v>
      </c>
      <c r="G73" s="22">
        <v>0.1</v>
      </c>
      <c r="H73" s="16">
        <v>2050313</v>
      </c>
    </row>
    <row r="74" spans="1:8">
      <c r="A74" s="16">
        <v>20534</v>
      </c>
      <c r="B74" s="26">
        <v>999</v>
      </c>
      <c r="C74" s="22">
        <v>1.39</v>
      </c>
      <c r="D74" s="22">
        <v>0.37</v>
      </c>
      <c r="E74" s="22">
        <v>0.12</v>
      </c>
      <c r="F74" s="22">
        <v>0</v>
      </c>
      <c r="G74" s="22">
        <v>0.24</v>
      </c>
      <c r="H74" s="16">
        <v>2050314</v>
      </c>
    </row>
    <row r="75" spans="1:8">
      <c r="A75" s="16">
        <v>20504</v>
      </c>
      <c r="B75" s="26">
        <v>0</v>
      </c>
      <c r="C75" s="22">
        <v>1.35</v>
      </c>
      <c r="D75" s="22">
        <v>0.43</v>
      </c>
      <c r="E75" s="22">
        <v>0.15</v>
      </c>
      <c r="F75" s="22">
        <v>0</v>
      </c>
      <c r="G75" s="22">
        <v>0</v>
      </c>
      <c r="H75" s="16">
        <v>2050401</v>
      </c>
    </row>
    <row r="76" spans="1:8">
      <c r="A76" s="16">
        <v>20504</v>
      </c>
      <c r="B76" s="26">
        <v>1</v>
      </c>
      <c r="C76" s="22">
        <v>1.35</v>
      </c>
      <c r="D76" s="22">
        <v>0.43</v>
      </c>
      <c r="E76" s="22">
        <v>0.15</v>
      </c>
      <c r="F76" s="22">
        <v>0</v>
      </c>
      <c r="G76" s="22">
        <v>0</v>
      </c>
      <c r="H76" s="16">
        <v>2050402</v>
      </c>
    </row>
    <row r="77" spans="1:8">
      <c r="A77" s="16">
        <v>20504</v>
      </c>
      <c r="B77" s="26">
        <v>2</v>
      </c>
      <c r="C77" s="22">
        <v>3.7</v>
      </c>
      <c r="D77" s="22">
        <v>0.71</v>
      </c>
      <c r="E77" s="22">
        <v>0.27</v>
      </c>
      <c r="F77" s="22">
        <v>0</v>
      </c>
      <c r="G77" s="22">
        <v>0</v>
      </c>
      <c r="H77" s="16">
        <v>2050403</v>
      </c>
    </row>
    <row r="78" spans="1:8">
      <c r="A78" s="16">
        <v>20541</v>
      </c>
      <c r="B78" s="26">
        <v>999</v>
      </c>
      <c r="C78" s="22">
        <v>0</v>
      </c>
      <c r="D78" s="22">
        <v>0</v>
      </c>
      <c r="E78" s="22">
        <v>0</v>
      </c>
      <c r="F78" s="22">
        <v>0</v>
      </c>
      <c r="G78" s="22">
        <v>0</v>
      </c>
      <c r="H78" s="16">
        <v>2050411</v>
      </c>
    </row>
    <row r="79" spans="1:8">
      <c r="A79" s="16">
        <v>20542</v>
      </c>
      <c r="B79" s="26">
        <v>999</v>
      </c>
      <c r="C79" s="22">
        <v>0.39</v>
      </c>
      <c r="D79" s="22">
        <v>0.2</v>
      </c>
      <c r="E79" s="22">
        <v>0.04</v>
      </c>
      <c r="F79" s="22">
        <v>0</v>
      </c>
      <c r="G79" s="22">
        <v>0.08</v>
      </c>
      <c r="H79" s="16">
        <v>2050412</v>
      </c>
    </row>
    <row r="80" spans="1:8">
      <c r="A80" s="16">
        <v>20543</v>
      </c>
      <c r="B80" s="26">
        <v>999</v>
      </c>
      <c r="C80" s="22">
        <v>0.39</v>
      </c>
      <c r="D80" s="22">
        <v>0.2</v>
      </c>
      <c r="E80" s="22">
        <v>0.04</v>
      </c>
      <c r="F80" s="22">
        <v>0</v>
      </c>
      <c r="G80" s="22">
        <v>0.08</v>
      </c>
      <c r="H80" s="16">
        <v>2050413</v>
      </c>
    </row>
    <row r="81" spans="1:8">
      <c r="A81" s="16">
        <v>20544</v>
      </c>
      <c r="B81" s="26">
        <v>999</v>
      </c>
      <c r="C81" s="22">
        <v>1.44</v>
      </c>
      <c r="D81" s="22">
        <v>0.41</v>
      </c>
      <c r="E81" s="22">
        <v>0.12</v>
      </c>
      <c r="F81" s="22">
        <v>0</v>
      </c>
      <c r="G81" s="22">
        <v>0.24</v>
      </c>
      <c r="H81" s="16">
        <v>2050414</v>
      </c>
    </row>
    <row r="82" spans="1:8">
      <c r="A82" s="16">
        <v>20545</v>
      </c>
      <c r="B82" s="26">
        <v>999</v>
      </c>
      <c r="C82" s="22">
        <v>1.44</v>
      </c>
      <c r="D82" s="22">
        <v>0.41</v>
      </c>
      <c r="E82" s="22">
        <v>0.12</v>
      </c>
      <c r="F82" s="22">
        <v>0</v>
      </c>
      <c r="G82" s="22">
        <v>0.24</v>
      </c>
      <c r="H82" s="16">
        <v>2050415</v>
      </c>
    </row>
    <row r="83" spans="1:8">
      <c r="A83" s="16">
        <v>20546</v>
      </c>
      <c r="B83" s="26">
        <v>999</v>
      </c>
      <c r="C83" s="22">
        <v>3</v>
      </c>
      <c r="D83" s="22">
        <v>0.6</v>
      </c>
      <c r="E83" s="22">
        <v>0.19</v>
      </c>
      <c r="F83" s="22">
        <v>0</v>
      </c>
      <c r="G83" s="22">
        <v>0.38</v>
      </c>
      <c r="H83" s="16">
        <v>2050416</v>
      </c>
    </row>
    <row r="84" spans="1:8">
      <c r="A84" s="16">
        <v>20551</v>
      </c>
      <c r="B84" s="26">
        <v>999</v>
      </c>
      <c r="C84" s="22">
        <v>0</v>
      </c>
      <c r="D84" s="22">
        <v>0</v>
      </c>
      <c r="E84" s="22">
        <v>0</v>
      </c>
      <c r="F84" s="22">
        <v>0</v>
      </c>
      <c r="G84" s="22">
        <v>0</v>
      </c>
      <c r="H84" s="16">
        <v>2050511</v>
      </c>
    </row>
    <row r="85" spans="1:8">
      <c r="A85" s="16">
        <v>20552</v>
      </c>
      <c r="B85" s="26">
        <v>999</v>
      </c>
      <c r="C85" s="22">
        <v>0.42</v>
      </c>
      <c r="D85" s="22">
        <v>0.21</v>
      </c>
      <c r="E85" s="22">
        <v>0.05</v>
      </c>
      <c r="F85" s="22">
        <v>0</v>
      </c>
      <c r="G85" s="22">
        <v>0.1</v>
      </c>
      <c r="H85" s="16">
        <v>2050512</v>
      </c>
    </row>
    <row r="86" spans="1:8">
      <c r="A86" s="16">
        <v>20553</v>
      </c>
      <c r="B86" s="26">
        <v>999</v>
      </c>
      <c r="C86" s="22">
        <v>0.42</v>
      </c>
      <c r="D86" s="22">
        <v>0.21</v>
      </c>
      <c r="E86" s="22">
        <v>0.05</v>
      </c>
      <c r="F86" s="22">
        <v>0</v>
      </c>
      <c r="G86" s="22">
        <v>0.1</v>
      </c>
      <c r="H86" s="16">
        <v>2050513</v>
      </c>
    </row>
    <row r="87" spans="1:8">
      <c r="A87" s="16">
        <v>20554</v>
      </c>
      <c r="B87" s="26">
        <v>999</v>
      </c>
      <c r="C87" s="22">
        <v>1.45</v>
      </c>
      <c r="D87" s="22">
        <v>0.45</v>
      </c>
      <c r="E87" s="22">
        <v>0.11</v>
      </c>
      <c r="F87" s="22">
        <v>0</v>
      </c>
      <c r="G87" s="22">
        <v>0.22</v>
      </c>
      <c r="H87" s="16">
        <v>2050514</v>
      </c>
    </row>
    <row r="88" spans="1:8">
      <c r="A88" s="16">
        <v>20555</v>
      </c>
      <c r="B88" s="26">
        <v>999</v>
      </c>
      <c r="C88" s="22">
        <v>1.45</v>
      </c>
      <c r="D88" s="22">
        <v>0.45</v>
      </c>
      <c r="E88" s="22">
        <v>0.11</v>
      </c>
      <c r="F88" s="22">
        <v>0</v>
      </c>
      <c r="G88" s="22">
        <v>0.22</v>
      </c>
      <c r="H88" s="16">
        <v>2050515</v>
      </c>
    </row>
    <row r="89" spans="1:8">
      <c r="A89" s="16">
        <v>20556</v>
      </c>
      <c r="B89" s="26">
        <v>999</v>
      </c>
      <c r="C89" s="22">
        <v>3.15</v>
      </c>
      <c r="D89" s="22">
        <v>0.75</v>
      </c>
      <c r="E89" s="22">
        <v>0.18</v>
      </c>
      <c r="F89" s="22">
        <v>0</v>
      </c>
      <c r="G89" s="22">
        <v>0.36</v>
      </c>
      <c r="H89" s="16">
        <v>2050516</v>
      </c>
    </row>
    <row r="90" spans="1:8">
      <c r="A90" s="16">
        <v>20561</v>
      </c>
      <c r="B90" s="26">
        <v>999</v>
      </c>
      <c r="C90" s="22">
        <v>0</v>
      </c>
      <c r="D90" s="22">
        <v>0</v>
      </c>
      <c r="E90" s="22">
        <v>0</v>
      </c>
      <c r="F90" s="22">
        <v>0</v>
      </c>
      <c r="G90" s="22">
        <v>0</v>
      </c>
      <c r="H90" s="16">
        <v>2050611</v>
      </c>
    </row>
    <row r="91" spans="1:8">
      <c r="A91" s="16">
        <v>20562</v>
      </c>
      <c r="B91" s="26">
        <v>999</v>
      </c>
      <c r="C91" s="22">
        <v>0.54</v>
      </c>
      <c r="D91" s="22">
        <v>0.4</v>
      </c>
      <c r="E91" s="22">
        <v>0.04</v>
      </c>
      <c r="F91" s="22">
        <v>0</v>
      </c>
      <c r="G91" s="22">
        <v>0.08</v>
      </c>
      <c r="H91" s="16">
        <v>2050612</v>
      </c>
    </row>
    <row r="92" spans="1:8">
      <c r="A92" s="16">
        <v>20563</v>
      </c>
      <c r="B92" s="26">
        <v>999</v>
      </c>
      <c r="C92" s="22">
        <v>0.54</v>
      </c>
      <c r="D92" s="22">
        <v>0.4</v>
      </c>
      <c r="E92" s="22">
        <v>0.04</v>
      </c>
      <c r="F92" s="22">
        <v>0</v>
      </c>
      <c r="G92" s="22">
        <v>0.08</v>
      </c>
      <c r="H92" s="16">
        <v>2050613</v>
      </c>
    </row>
    <row r="93" spans="1:8">
      <c r="A93" s="16">
        <v>20564</v>
      </c>
      <c r="B93" s="26">
        <v>999</v>
      </c>
      <c r="C93" s="22">
        <v>1.54</v>
      </c>
      <c r="D93" s="22">
        <v>0.59</v>
      </c>
      <c r="E93" s="22">
        <v>0.1</v>
      </c>
      <c r="F93" s="22">
        <v>0</v>
      </c>
      <c r="G93" s="22">
        <v>0.2</v>
      </c>
      <c r="H93" s="16">
        <v>2050614</v>
      </c>
    </row>
    <row r="94" spans="1:8">
      <c r="A94" s="16">
        <v>20565</v>
      </c>
      <c r="B94" s="26">
        <v>999</v>
      </c>
      <c r="C94" s="22">
        <v>1.54</v>
      </c>
      <c r="D94" s="22">
        <v>0.59</v>
      </c>
      <c r="E94" s="22">
        <v>0.1</v>
      </c>
      <c r="F94" s="22">
        <v>0</v>
      </c>
      <c r="G94" s="22">
        <v>0.2</v>
      </c>
      <c r="H94" s="16">
        <v>2050615</v>
      </c>
    </row>
    <row r="95" spans="1:8">
      <c r="A95" s="16">
        <v>20566</v>
      </c>
      <c r="B95" s="26">
        <v>999</v>
      </c>
      <c r="C95" s="22">
        <v>3.51</v>
      </c>
      <c r="D95" s="22">
        <v>0.79</v>
      </c>
      <c r="E95" s="22">
        <v>0.17</v>
      </c>
      <c r="F95" s="22">
        <v>0</v>
      </c>
      <c r="G95" s="22">
        <v>0.34</v>
      </c>
      <c r="H95" s="16">
        <v>2050616</v>
      </c>
    </row>
    <row r="96" spans="1:8">
      <c r="A96" s="16">
        <v>20571</v>
      </c>
      <c r="B96" s="26">
        <v>999</v>
      </c>
      <c r="C96" s="22">
        <v>0</v>
      </c>
      <c r="D96" s="22">
        <v>0</v>
      </c>
      <c r="E96" s="22">
        <v>0</v>
      </c>
      <c r="F96" s="22">
        <v>0</v>
      </c>
      <c r="G96" s="22">
        <v>0</v>
      </c>
      <c r="H96" s="16">
        <v>2050701</v>
      </c>
    </row>
    <row r="97" spans="1:8">
      <c r="A97" s="16">
        <v>20572</v>
      </c>
      <c r="B97" s="26">
        <v>999</v>
      </c>
      <c r="C97" s="22">
        <v>0.2</v>
      </c>
      <c r="D97" s="22">
        <v>0.1</v>
      </c>
      <c r="E97" s="22">
        <v>0.05</v>
      </c>
      <c r="F97" s="22">
        <v>0</v>
      </c>
      <c r="G97" s="22">
        <v>0.05</v>
      </c>
      <c r="H97" s="16">
        <v>2050702</v>
      </c>
    </row>
    <row r="98" spans="1:8">
      <c r="A98" s="16">
        <v>20573</v>
      </c>
      <c r="B98" s="26">
        <v>999</v>
      </c>
      <c r="C98" s="22">
        <v>0</v>
      </c>
      <c r="D98" s="22">
        <v>0</v>
      </c>
      <c r="E98" s="22">
        <v>0</v>
      </c>
      <c r="F98" s="22">
        <v>0</v>
      </c>
      <c r="G98" s="22">
        <v>0</v>
      </c>
      <c r="H98" s="16">
        <v>2050703</v>
      </c>
    </row>
    <row r="99" spans="1:8">
      <c r="A99" s="16">
        <v>20574</v>
      </c>
      <c r="B99" s="26">
        <v>999</v>
      </c>
      <c r="C99" s="22">
        <v>0.1</v>
      </c>
      <c r="D99" s="22">
        <v>0</v>
      </c>
      <c r="E99" s="22">
        <v>0.04</v>
      </c>
      <c r="F99" s="22">
        <v>0</v>
      </c>
      <c r="G99" s="22">
        <v>0.04</v>
      </c>
      <c r="H99" s="16">
        <v>2050704</v>
      </c>
    </row>
    <row r="100" spans="1:8">
      <c r="A100" s="16">
        <v>20575</v>
      </c>
      <c r="B100" s="26">
        <v>999</v>
      </c>
      <c r="C100" s="22">
        <v>0.39</v>
      </c>
      <c r="D100" s="22">
        <v>0.1</v>
      </c>
      <c r="E100" s="22">
        <v>0.04</v>
      </c>
      <c r="F100" s="22">
        <v>0</v>
      </c>
      <c r="G100" s="22">
        <v>0.04</v>
      </c>
      <c r="H100" s="16">
        <v>2050705</v>
      </c>
    </row>
    <row r="101" spans="1:8">
      <c r="A101" s="16">
        <v>20576</v>
      </c>
      <c r="B101" s="26">
        <v>999</v>
      </c>
      <c r="C101" s="22">
        <v>0.72</v>
      </c>
      <c r="D101" s="22">
        <v>0.21</v>
      </c>
      <c r="E101" s="22">
        <v>0.12</v>
      </c>
      <c r="F101" s="22">
        <v>0</v>
      </c>
      <c r="G101" s="22">
        <v>0.12</v>
      </c>
      <c r="H101" s="16">
        <v>2050706</v>
      </c>
    </row>
    <row r="102" spans="1:8">
      <c r="A102" s="16">
        <v>20581</v>
      </c>
      <c r="B102" s="26">
        <v>999</v>
      </c>
      <c r="C102" s="22">
        <v>0</v>
      </c>
      <c r="D102" s="22">
        <v>0</v>
      </c>
      <c r="E102" s="22">
        <v>0</v>
      </c>
      <c r="F102" s="22">
        <v>0</v>
      </c>
      <c r="G102" s="22">
        <v>0</v>
      </c>
      <c r="H102" s="16">
        <v>2050801</v>
      </c>
    </row>
    <row r="103" spans="1:8">
      <c r="A103" s="16">
        <v>20582</v>
      </c>
      <c r="B103" s="26">
        <v>999</v>
      </c>
      <c r="C103" s="22">
        <v>0.39</v>
      </c>
      <c r="D103" s="22">
        <v>0.1</v>
      </c>
      <c r="E103" s="22">
        <v>0.04</v>
      </c>
      <c r="F103" s="22">
        <v>0</v>
      </c>
      <c r="G103" s="22">
        <v>0.04</v>
      </c>
      <c r="H103" s="16">
        <v>2050802</v>
      </c>
    </row>
    <row r="104" spans="1:8">
      <c r="A104" s="16">
        <v>20583</v>
      </c>
      <c r="B104" s="26">
        <v>999</v>
      </c>
      <c r="C104" s="22">
        <v>0.39</v>
      </c>
      <c r="D104" s="22">
        <v>0.1</v>
      </c>
      <c r="E104" s="22">
        <v>0.04</v>
      </c>
      <c r="F104" s="22">
        <v>0</v>
      </c>
      <c r="G104" s="22">
        <v>0.04</v>
      </c>
      <c r="H104" s="16">
        <v>2050803</v>
      </c>
    </row>
    <row r="105" spans="1:8">
      <c r="A105" s="16">
        <v>20584</v>
      </c>
      <c r="B105" s="26">
        <v>999</v>
      </c>
      <c r="C105" s="22">
        <v>0.72</v>
      </c>
      <c r="D105" s="22">
        <v>0.21</v>
      </c>
      <c r="E105" s="22">
        <v>0.12</v>
      </c>
      <c r="F105" s="22">
        <v>0</v>
      </c>
      <c r="G105" s="22">
        <v>0.12</v>
      </c>
      <c r="H105" s="16">
        <v>2050804</v>
      </c>
    </row>
    <row r="106" spans="1:8">
      <c r="A106" s="16">
        <v>20585</v>
      </c>
      <c r="B106" s="26">
        <v>999</v>
      </c>
      <c r="C106" s="22">
        <v>0.72</v>
      </c>
      <c r="D106" s="22">
        <v>0.21</v>
      </c>
      <c r="E106" s="22">
        <v>0.12</v>
      </c>
      <c r="F106" s="22">
        <v>0</v>
      </c>
      <c r="G106" s="22">
        <v>0.12</v>
      </c>
      <c r="H106" s="16">
        <v>2050805</v>
      </c>
    </row>
    <row r="107" spans="1:8">
      <c r="A107" s="16">
        <v>20586</v>
      </c>
      <c r="B107" s="26">
        <v>999</v>
      </c>
      <c r="C107" s="22">
        <v>1.8</v>
      </c>
      <c r="D107" s="22">
        <v>0.3</v>
      </c>
      <c r="E107" s="22">
        <v>0.19</v>
      </c>
      <c r="F107" s="22">
        <v>0</v>
      </c>
      <c r="G107" s="22">
        <v>0.19</v>
      </c>
      <c r="H107" s="16">
        <v>2050806</v>
      </c>
    </row>
    <row r="108" spans="1:8">
      <c r="A108" s="16">
        <v>20601</v>
      </c>
      <c r="B108" s="26">
        <v>0</v>
      </c>
      <c r="C108" s="22">
        <v>0.3</v>
      </c>
      <c r="D108" s="22">
        <v>0</v>
      </c>
      <c r="E108" s="22">
        <v>-0.5</v>
      </c>
      <c r="F108" s="22">
        <v>0</v>
      </c>
      <c r="G108" s="22">
        <v>0</v>
      </c>
      <c r="H108" s="16">
        <v>2060101</v>
      </c>
    </row>
    <row r="109" spans="1:8">
      <c r="A109" s="16">
        <v>20601</v>
      </c>
      <c r="B109" s="26">
        <v>1</v>
      </c>
      <c r="C109" s="22">
        <v>0.2</v>
      </c>
      <c r="D109" s="22">
        <v>0.1</v>
      </c>
      <c r="E109" s="22">
        <v>-0.5</v>
      </c>
      <c r="F109" s="22">
        <v>0</v>
      </c>
      <c r="G109" s="22">
        <v>0</v>
      </c>
      <c r="H109" s="16">
        <v>2060102</v>
      </c>
    </row>
    <row r="110" spans="1:8">
      <c r="A110" s="16">
        <v>20601</v>
      </c>
      <c r="B110" s="26">
        <v>2</v>
      </c>
      <c r="C110" s="22">
        <v>0.2</v>
      </c>
      <c r="D110" s="22">
        <v>0.1</v>
      </c>
      <c r="E110" s="22">
        <v>-0.5</v>
      </c>
      <c r="F110" s="22">
        <v>0</v>
      </c>
      <c r="G110" s="22">
        <v>0</v>
      </c>
      <c r="H110" s="16">
        <v>2060103</v>
      </c>
    </row>
    <row r="111" spans="1:8">
      <c r="A111" s="16">
        <v>20602</v>
      </c>
      <c r="B111" s="26">
        <v>0</v>
      </c>
      <c r="C111" s="22">
        <v>0.4</v>
      </c>
      <c r="D111" s="22">
        <v>0</v>
      </c>
      <c r="E111" s="22">
        <v>-0.5</v>
      </c>
      <c r="F111" s="22">
        <v>0</v>
      </c>
      <c r="G111" s="22">
        <v>0</v>
      </c>
      <c r="H111" s="16">
        <v>2060201</v>
      </c>
    </row>
    <row r="112" spans="1:8">
      <c r="A112" s="16">
        <v>20602</v>
      </c>
      <c r="B112" s="26">
        <v>1</v>
      </c>
      <c r="C112" s="22">
        <v>0.3</v>
      </c>
      <c r="D112" s="22">
        <v>0</v>
      </c>
      <c r="E112" s="22">
        <v>-0.5</v>
      </c>
      <c r="F112" s="22">
        <v>0</v>
      </c>
      <c r="G112" s="22">
        <v>0</v>
      </c>
      <c r="H112" s="16">
        <v>2060202</v>
      </c>
    </row>
    <row r="113" spans="1:8">
      <c r="A113" s="16">
        <v>20602</v>
      </c>
      <c r="B113" s="26">
        <v>2</v>
      </c>
      <c r="C113" s="22">
        <v>0.3</v>
      </c>
      <c r="D113" s="22">
        <v>0.15</v>
      </c>
      <c r="E113" s="22">
        <v>-0.5</v>
      </c>
      <c r="F113" s="22">
        <v>0</v>
      </c>
      <c r="G113" s="22">
        <v>0</v>
      </c>
      <c r="H113" s="16">
        <v>2060203</v>
      </c>
    </row>
    <row r="114" spans="1:8">
      <c r="A114" s="16">
        <v>20603</v>
      </c>
      <c r="B114" s="26">
        <v>0</v>
      </c>
      <c r="C114" s="22">
        <v>-0.2</v>
      </c>
      <c r="D114" s="22">
        <v>0</v>
      </c>
      <c r="E114" s="22">
        <v>-0.5</v>
      </c>
      <c r="F114" s="22">
        <v>0</v>
      </c>
      <c r="G114" s="22">
        <v>0</v>
      </c>
      <c r="H114" s="16">
        <v>2060301</v>
      </c>
    </row>
    <row r="115" spans="1:8">
      <c r="A115" s="16">
        <v>20603</v>
      </c>
      <c r="B115" s="26">
        <v>1</v>
      </c>
      <c r="C115" s="22">
        <v>-0.25</v>
      </c>
      <c r="D115" s="22">
        <v>0.1</v>
      </c>
      <c r="E115" s="22">
        <v>-0.5</v>
      </c>
      <c r="F115" s="22">
        <v>0</v>
      </c>
      <c r="G115" s="22">
        <v>0</v>
      </c>
      <c r="H115" s="16">
        <v>2060302</v>
      </c>
    </row>
    <row r="116" spans="1:8">
      <c r="A116" s="16">
        <v>20603</v>
      </c>
      <c r="B116" s="26">
        <v>2</v>
      </c>
      <c r="C116" s="22">
        <v>-0.25</v>
      </c>
      <c r="D116" s="22">
        <v>0.1</v>
      </c>
      <c r="E116" s="22">
        <v>-0.5</v>
      </c>
      <c r="F116" s="22">
        <v>0</v>
      </c>
      <c r="G116" s="22">
        <v>0</v>
      </c>
      <c r="H116" s="16">
        <v>2060303</v>
      </c>
    </row>
    <row r="117" spans="1:8">
      <c r="A117" s="16">
        <v>20604</v>
      </c>
      <c r="B117" s="26">
        <v>0</v>
      </c>
      <c r="C117" s="22">
        <v>0</v>
      </c>
      <c r="D117" s="22">
        <v>0</v>
      </c>
      <c r="E117" s="22">
        <v>-0.5</v>
      </c>
      <c r="F117" s="22">
        <v>0</v>
      </c>
      <c r="G117" s="22">
        <v>0</v>
      </c>
      <c r="H117" s="16">
        <v>2060401</v>
      </c>
    </row>
    <row r="118" spans="1:8">
      <c r="A118" s="16">
        <v>20604</v>
      </c>
      <c r="B118" s="26">
        <v>1</v>
      </c>
      <c r="C118" s="22">
        <v>-0.1</v>
      </c>
      <c r="D118" s="22">
        <v>0</v>
      </c>
      <c r="E118" s="22">
        <v>-0.5</v>
      </c>
      <c r="F118" s="22">
        <v>0</v>
      </c>
      <c r="G118" s="22">
        <v>0</v>
      </c>
      <c r="H118" s="16">
        <v>2060402</v>
      </c>
    </row>
    <row r="119" spans="1:8">
      <c r="A119" s="16">
        <v>20604</v>
      </c>
      <c r="B119" s="26">
        <v>2</v>
      </c>
      <c r="C119" s="22">
        <v>-0.1</v>
      </c>
      <c r="D119" s="22">
        <v>0</v>
      </c>
      <c r="E119" s="22">
        <v>-0.5</v>
      </c>
      <c r="F119" s="22">
        <v>0</v>
      </c>
      <c r="G119" s="22">
        <v>0</v>
      </c>
      <c r="H119" s="16">
        <v>2060403</v>
      </c>
    </row>
    <row r="120" spans="1:8">
      <c r="A120" s="16">
        <v>20605</v>
      </c>
      <c r="B120" s="26">
        <v>0</v>
      </c>
      <c r="C120" s="22">
        <v>0.15</v>
      </c>
      <c r="D120" s="22">
        <v>0</v>
      </c>
      <c r="E120" s="22">
        <v>-0.3</v>
      </c>
      <c r="F120" s="22">
        <v>0</v>
      </c>
      <c r="G120" s="22">
        <v>0</v>
      </c>
      <c r="H120" s="16">
        <v>2060501</v>
      </c>
    </row>
    <row r="121" spans="1:8">
      <c r="A121" s="16">
        <v>20605</v>
      </c>
      <c r="B121" s="26">
        <v>1</v>
      </c>
      <c r="C121" s="22">
        <v>0.05</v>
      </c>
      <c r="D121" s="22">
        <v>0.1</v>
      </c>
      <c r="E121" s="22">
        <v>-0.3</v>
      </c>
      <c r="F121" s="22">
        <v>0</v>
      </c>
      <c r="G121" s="22">
        <v>0</v>
      </c>
      <c r="H121" s="16">
        <v>2060502</v>
      </c>
    </row>
    <row r="122" spans="1:8">
      <c r="A122" s="16">
        <v>20605</v>
      </c>
      <c r="B122" s="26">
        <v>2</v>
      </c>
      <c r="C122" s="22">
        <v>0.05</v>
      </c>
      <c r="D122" s="22">
        <v>0.1</v>
      </c>
      <c r="E122" s="22">
        <v>-0.3</v>
      </c>
      <c r="F122" s="22">
        <v>0</v>
      </c>
      <c r="G122" s="22">
        <v>0</v>
      </c>
      <c r="H122" s="16">
        <v>2060503</v>
      </c>
    </row>
    <row r="123" spans="1:8">
      <c r="A123" s="16">
        <v>20606</v>
      </c>
      <c r="B123" s="26">
        <v>0</v>
      </c>
      <c r="C123" s="22">
        <v>0.5</v>
      </c>
      <c r="D123" s="22">
        <v>0</v>
      </c>
      <c r="E123" s="22">
        <v>-0.3</v>
      </c>
      <c r="F123" s="22">
        <v>0</v>
      </c>
      <c r="G123" s="22">
        <v>0</v>
      </c>
      <c r="H123" s="16">
        <v>2060601</v>
      </c>
    </row>
    <row r="124" spans="1:8">
      <c r="A124" s="16">
        <v>20606</v>
      </c>
      <c r="B124" s="26">
        <v>1</v>
      </c>
      <c r="C124" s="22">
        <v>0.4</v>
      </c>
      <c r="D124" s="22">
        <v>0</v>
      </c>
      <c r="E124" s="22">
        <v>-0.3</v>
      </c>
      <c r="F124" s="22">
        <v>0</v>
      </c>
      <c r="G124" s="22">
        <v>0</v>
      </c>
      <c r="H124" s="16">
        <v>2060602</v>
      </c>
    </row>
    <row r="125" spans="1:8">
      <c r="A125" s="16">
        <v>20606</v>
      </c>
      <c r="B125" s="26">
        <v>2</v>
      </c>
      <c r="C125" s="22">
        <v>0.4</v>
      </c>
      <c r="D125" s="22">
        <v>0</v>
      </c>
      <c r="E125" s="22">
        <v>-0.3</v>
      </c>
      <c r="F125" s="22">
        <v>0</v>
      </c>
      <c r="G125" s="22">
        <v>0</v>
      </c>
      <c r="H125" s="16">
        <v>2060603</v>
      </c>
    </row>
    <row r="126" spans="1:8">
      <c r="A126" s="16">
        <v>20607</v>
      </c>
      <c r="B126" s="26">
        <v>0</v>
      </c>
      <c r="C126" s="22">
        <v>0.3</v>
      </c>
      <c r="D126" s="22">
        <v>0</v>
      </c>
      <c r="E126" s="22">
        <v>-0.5</v>
      </c>
      <c r="F126" s="22">
        <v>0</v>
      </c>
      <c r="G126" s="22">
        <v>0</v>
      </c>
      <c r="H126" s="16">
        <v>2060701</v>
      </c>
    </row>
    <row r="127" spans="1:8">
      <c r="A127" s="16">
        <v>20607</v>
      </c>
      <c r="B127" s="26">
        <v>1</v>
      </c>
      <c r="C127" s="22">
        <v>0.3</v>
      </c>
      <c r="D127" s="22">
        <v>0.1</v>
      </c>
      <c r="E127" s="22">
        <v>-0.5</v>
      </c>
      <c r="F127" s="22">
        <v>0</v>
      </c>
      <c r="G127" s="22">
        <v>0</v>
      </c>
      <c r="H127" s="16">
        <v>2060702</v>
      </c>
    </row>
    <row r="128" spans="1:8">
      <c r="A128" s="16">
        <v>20607</v>
      </c>
      <c r="B128" s="26">
        <v>2</v>
      </c>
      <c r="C128" s="22">
        <v>0.2</v>
      </c>
      <c r="D128" s="22">
        <v>0.1</v>
      </c>
      <c r="E128" s="22">
        <v>-0.5</v>
      </c>
      <c r="F128" s="22">
        <v>0</v>
      </c>
      <c r="G128" s="22">
        <v>0</v>
      </c>
      <c r="H128" s="16">
        <v>2060703</v>
      </c>
    </row>
    <row r="129" spans="1:8">
      <c r="A129" s="16">
        <v>20671</v>
      </c>
      <c r="B129" s="26">
        <v>999</v>
      </c>
      <c r="C129" s="22">
        <v>0.98</v>
      </c>
      <c r="D129" s="22">
        <v>0.45</v>
      </c>
      <c r="E129" s="22">
        <v>0.02</v>
      </c>
      <c r="F129" s="22">
        <v>0</v>
      </c>
      <c r="G129" s="22">
        <v>0.04</v>
      </c>
      <c r="H129" s="16">
        <v>2060711</v>
      </c>
    </row>
    <row r="130" spans="1:8">
      <c r="A130" s="16">
        <v>20672</v>
      </c>
      <c r="B130" s="26">
        <v>999</v>
      </c>
      <c r="C130" s="22">
        <v>1.95</v>
      </c>
      <c r="D130" s="22">
        <v>0.89</v>
      </c>
      <c r="E130" s="22">
        <v>0.04</v>
      </c>
      <c r="F130" s="22">
        <v>0</v>
      </c>
      <c r="G130" s="22">
        <v>0.08</v>
      </c>
      <c r="H130" s="16">
        <v>2060712</v>
      </c>
    </row>
    <row r="131" spans="1:8">
      <c r="A131" s="16">
        <v>20673</v>
      </c>
      <c r="B131" s="26">
        <v>999</v>
      </c>
      <c r="C131" s="22">
        <v>1.95</v>
      </c>
      <c r="D131" s="22">
        <v>0.89</v>
      </c>
      <c r="E131" s="22">
        <v>0.04</v>
      </c>
      <c r="F131" s="22">
        <v>0</v>
      </c>
      <c r="G131" s="22">
        <v>0.08</v>
      </c>
      <c r="H131" s="16">
        <v>2060713</v>
      </c>
    </row>
    <row r="132" spans="1:8">
      <c r="A132" s="16">
        <v>20674</v>
      </c>
      <c r="B132" s="26">
        <v>999</v>
      </c>
      <c r="C132" s="22">
        <v>3.9</v>
      </c>
      <c r="D132" s="22">
        <v>1</v>
      </c>
      <c r="E132" s="22">
        <v>0.1</v>
      </c>
      <c r="F132" s="22">
        <v>0</v>
      </c>
      <c r="G132" s="22">
        <v>0.2</v>
      </c>
      <c r="H132" s="16">
        <v>2060714</v>
      </c>
    </row>
    <row r="133" spans="1:8">
      <c r="A133" s="16">
        <v>20675</v>
      </c>
      <c r="B133" s="26">
        <v>999</v>
      </c>
      <c r="C133" s="22">
        <v>3.9</v>
      </c>
      <c r="D133" s="22">
        <v>1</v>
      </c>
      <c r="E133" s="22">
        <v>0.1</v>
      </c>
      <c r="F133" s="22">
        <v>0</v>
      </c>
      <c r="G133" s="22">
        <v>0.2</v>
      </c>
      <c r="H133" s="16">
        <v>2060715</v>
      </c>
    </row>
    <row r="134" spans="1:8">
      <c r="A134" s="16">
        <v>20676</v>
      </c>
      <c r="B134" s="26">
        <v>999</v>
      </c>
      <c r="C134" s="22">
        <v>9.1</v>
      </c>
      <c r="D134" s="22">
        <v>1.26</v>
      </c>
      <c r="E134" s="22">
        <v>0.17</v>
      </c>
      <c r="F134" s="22">
        <v>0</v>
      </c>
      <c r="G134" s="22">
        <v>0.34</v>
      </c>
      <c r="H134" s="16">
        <v>2060716</v>
      </c>
    </row>
    <row r="135" spans="1:8">
      <c r="A135" s="16">
        <v>20608</v>
      </c>
      <c r="B135" s="26">
        <v>0</v>
      </c>
      <c r="C135" s="22">
        <v>0.25</v>
      </c>
      <c r="D135" s="22">
        <v>0</v>
      </c>
      <c r="E135" s="22">
        <v>-0.5</v>
      </c>
      <c r="F135" s="22">
        <v>0</v>
      </c>
      <c r="G135" s="22">
        <v>0</v>
      </c>
      <c r="H135" s="16">
        <v>2060801</v>
      </c>
    </row>
    <row r="136" spans="1:8">
      <c r="A136" s="16">
        <v>20608</v>
      </c>
      <c r="B136" s="26">
        <v>1</v>
      </c>
      <c r="C136" s="22">
        <v>0.2</v>
      </c>
      <c r="D136" s="22">
        <v>0</v>
      </c>
      <c r="E136" s="22">
        <v>-0.6</v>
      </c>
      <c r="F136" s="22">
        <v>0</v>
      </c>
      <c r="G136" s="22">
        <v>0</v>
      </c>
      <c r="H136" s="16">
        <v>2060802</v>
      </c>
    </row>
    <row r="137" spans="1:8">
      <c r="A137" s="16">
        <v>20608</v>
      </c>
      <c r="B137" s="26">
        <v>2</v>
      </c>
      <c r="C137" s="22">
        <v>0.2</v>
      </c>
      <c r="D137" s="22">
        <v>0</v>
      </c>
      <c r="E137" s="22">
        <v>-0.6</v>
      </c>
      <c r="F137" s="22">
        <v>0</v>
      </c>
      <c r="G137" s="22">
        <v>0</v>
      </c>
      <c r="H137" s="16">
        <v>2060803</v>
      </c>
    </row>
    <row r="138" spans="1:8">
      <c r="A138" s="16">
        <v>20609</v>
      </c>
      <c r="B138" s="26">
        <v>0</v>
      </c>
      <c r="C138" s="22">
        <v>-0.25</v>
      </c>
      <c r="D138" s="22">
        <v>0</v>
      </c>
      <c r="E138" s="22">
        <v>-0.5</v>
      </c>
      <c r="F138" s="22">
        <v>0</v>
      </c>
      <c r="G138" s="22">
        <v>0</v>
      </c>
      <c r="H138" s="16">
        <v>2060901</v>
      </c>
    </row>
    <row r="139" spans="1:8">
      <c r="A139" s="16">
        <v>20609</v>
      </c>
      <c r="B139" s="26">
        <v>1</v>
      </c>
      <c r="C139" s="22">
        <v>-0.7</v>
      </c>
      <c r="D139" s="22">
        <v>0</v>
      </c>
      <c r="E139" s="22">
        <v>-0.5</v>
      </c>
      <c r="F139" s="22">
        <v>0</v>
      </c>
      <c r="G139" s="22">
        <v>0</v>
      </c>
      <c r="H139" s="16">
        <v>2060902</v>
      </c>
    </row>
    <row r="140" spans="1:8">
      <c r="A140" s="16">
        <v>20609</v>
      </c>
      <c r="B140" s="26">
        <v>2</v>
      </c>
      <c r="C140" s="22">
        <v>-0.7</v>
      </c>
      <c r="D140" s="22">
        <v>0</v>
      </c>
      <c r="E140" s="22">
        <v>-0.5</v>
      </c>
      <c r="F140" s="22">
        <v>0</v>
      </c>
      <c r="G140" s="22">
        <v>0</v>
      </c>
      <c r="H140" s="16">
        <v>2060903</v>
      </c>
    </row>
    <row r="141" spans="1:8">
      <c r="A141" s="16">
        <v>20610</v>
      </c>
      <c r="B141" s="26">
        <v>0</v>
      </c>
      <c r="C141" s="22">
        <v>0</v>
      </c>
      <c r="D141" s="22">
        <v>0</v>
      </c>
      <c r="E141" s="22">
        <v>-0.5</v>
      </c>
      <c r="F141" s="22">
        <v>0</v>
      </c>
      <c r="G141" s="22">
        <v>0</v>
      </c>
      <c r="H141" s="16">
        <v>2061001</v>
      </c>
    </row>
    <row r="142" spans="1:8">
      <c r="A142" s="16">
        <v>20610</v>
      </c>
      <c r="B142" s="26">
        <v>1</v>
      </c>
      <c r="C142" s="22">
        <v>-0.45</v>
      </c>
      <c r="D142" s="22">
        <v>0</v>
      </c>
      <c r="E142" s="22">
        <v>-0.5</v>
      </c>
      <c r="F142" s="22">
        <v>0</v>
      </c>
      <c r="G142" s="22">
        <v>0</v>
      </c>
      <c r="H142" s="16">
        <v>2061002</v>
      </c>
    </row>
    <row r="143" spans="1:8">
      <c r="A143" s="16">
        <v>20610</v>
      </c>
      <c r="B143" s="26">
        <v>2</v>
      </c>
      <c r="C143" s="22">
        <v>-0.45</v>
      </c>
      <c r="D143" s="22">
        <v>0</v>
      </c>
      <c r="E143" s="22">
        <v>-0.5</v>
      </c>
      <c r="F143" s="22">
        <v>0</v>
      </c>
      <c r="G143" s="22">
        <v>0</v>
      </c>
      <c r="H143" s="16">
        <v>2061003</v>
      </c>
    </row>
    <row r="144" spans="1:8">
      <c r="A144" s="16">
        <v>20611</v>
      </c>
      <c r="B144" s="26">
        <v>0</v>
      </c>
      <c r="C144" s="22">
        <v>0.15</v>
      </c>
      <c r="D144" s="22">
        <v>0</v>
      </c>
      <c r="E144" s="22">
        <v>-0.6</v>
      </c>
      <c r="F144" s="22">
        <v>0</v>
      </c>
      <c r="G144" s="22">
        <v>0</v>
      </c>
      <c r="H144" s="16">
        <v>2061101</v>
      </c>
    </row>
    <row r="145" spans="1:8">
      <c r="A145" s="16">
        <v>20611</v>
      </c>
      <c r="B145" s="26">
        <v>1</v>
      </c>
      <c r="C145" s="22">
        <v>0.05</v>
      </c>
      <c r="D145" s="22">
        <v>0</v>
      </c>
      <c r="E145" s="22">
        <v>-0.6</v>
      </c>
      <c r="F145" s="22">
        <v>0</v>
      </c>
      <c r="G145" s="22">
        <v>0</v>
      </c>
      <c r="H145" s="16">
        <v>2061102</v>
      </c>
    </row>
    <row r="146" spans="1:8">
      <c r="A146" s="16">
        <v>20611</v>
      </c>
      <c r="B146" s="26">
        <v>2</v>
      </c>
      <c r="C146" s="22">
        <v>0</v>
      </c>
      <c r="D146" s="22">
        <v>0</v>
      </c>
      <c r="E146" s="22">
        <v>-0.6</v>
      </c>
      <c r="F146" s="22">
        <v>0</v>
      </c>
      <c r="G146" s="22">
        <v>0</v>
      </c>
      <c r="H146" s="16">
        <v>2061103</v>
      </c>
    </row>
    <row r="147" spans="1:8">
      <c r="A147" s="16">
        <v>20612</v>
      </c>
      <c r="B147" s="26">
        <v>0</v>
      </c>
      <c r="C147" s="22">
        <v>0.3</v>
      </c>
      <c r="D147" s="22">
        <v>0</v>
      </c>
      <c r="E147" s="22">
        <v>-0.6</v>
      </c>
      <c r="F147" s="22">
        <v>0</v>
      </c>
      <c r="G147" s="22">
        <v>0</v>
      </c>
      <c r="H147" s="16">
        <v>2061201</v>
      </c>
    </row>
    <row r="148" spans="1:8">
      <c r="A148" s="16">
        <v>20612</v>
      </c>
      <c r="B148" s="26">
        <v>1</v>
      </c>
      <c r="C148" s="22">
        <v>0.2</v>
      </c>
      <c r="D148" s="22">
        <v>-0.15</v>
      </c>
      <c r="E148" s="22">
        <v>-0.6</v>
      </c>
      <c r="F148" s="22">
        <v>0</v>
      </c>
      <c r="G148" s="22">
        <v>0</v>
      </c>
      <c r="H148" s="16">
        <v>2061202</v>
      </c>
    </row>
    <row r="149" spans="1:8">
      <c r="A149" s="16">
        <v>20612</v>
      </c>
      <c r="B149" s="26">
        <v>2</v>
      </c>
      <c r="C149" s="22">
        <v>0.2</v>
      </c>
      <c r="D149" s="22">
        <v>-0.2</v>
      </c>
      <c r="E149" s="22">
        <v>-0.6</v>
      </c>
      <c r="F149" s="22">
        <v>0</v>
      </c>
      <c r="G149" s="22">
        <v>0</v>
      </c>
      <c r="H149" s="16">
        <v>2061203</v>
      </c>
    </row>
    <row r="150" spans="1:8">
      <c r="A150" s="16">
        <v>20613</v>
      </c>
      <c r="B150" s="26">
        <v>0</v>
      </c>
      <c r="C150" s="22">
        <v>0.2</v>
      </c>
      <c r="D150" s="22">
        <v>0</v>
      </c>
      <c r="E150" s="22">
        <v>-0.5</v>
      </c>
      <c r="F150" s="22">
        <v>0</v>
      </c>
      <c r="G150" s="22">
        <v>0</v>
      </c>
      <c r="H150" s="16">
        <v>2061301</v>
      </c>
    </row>
    <row r="151" spans="1:8">
      <c r="A151" s="16">
        <v>20613</v>
      </c>
      <c r="B151" s="26">
        <v>1</v>
      </c>
      <c r="C151" s="22">
        <v>0</v>
      </c>
      <c r="D151" s="22">
        <v>-0.1</v>
      </c>
      <c r="E151" s="22">
        <v>-0.5</v>
      </c>
      <c r="F151" s="22">
        <v>0</v>
      </c>
      <c r="G151" s="22">
        <v>0</v>
      </c>
      <c r="H151" s="16">
        <v>2061302</v>
      </c>
    </row>
    <row r="152" spans="1:8">
      <c r="A152" s="16">
        <v>20613</v>
      </c>
      <c r="B152" s="26">
        <v>2</v>
      </c>
      <c r="C152" s="22">
        <v>0</v>
      </c>
      <c r="D152" s="22">
        <v>-0.15</v>
      </c>
      <c r="E152" s="22">
        <v>-0.5</v>
      </c>
      <c r="F152" s="22">
        <v>0</v>
      </c>
      <c r="G152" s="22">
        <v>0</v>
      </c>
      <c r="H152" s="16">
        <v>2061303</v>
      </c>
    </row>
    <row r="153" spans="1:8">
      <c r="A153" s="16">
        <v>20614</v>
      </c>
      <c r="B153" s="26">
        <v>0</v>
      </c>
      <c r="C153" s="22">
        <v>0.2</v>
      </c>
      <c r="D153" s="22">
        <v>0</v>
      </c>
      <c r="E153" s="22">
        <v>-0.5</v>
      </c>
      <c r="F153" s="22">
        <v>0</v>
      </c>
      <c r="G153" s="22">
        <v>0</v>
      </c>
      <c r="H153" s="16">
        <v>2061401</v>
      </c>
    </row>
    <row r="154" spans="1:8">
      <c r="A154" s="16">
        <v>20614</v>
      </c>
      <c r="B154" s="26">
        <v>1</v>
      </c>
      <c r="C154" s="22">
        <v>0</v>
      </c>
      <c r="D154" s="22">
        <v>-0.1</v>
      </c>
      <c r="E154" s="22">
        <v>-0.5</v>
      </c>
      <c r="F154" s="22">
        <v>0</v>
      </c>
      <c r="G154" s="22">
        <v>0</v>
      </c>
      <c r="H154" s="16">
        <v>2061402</v>
      </c>
    </row>
    <row r="155" spans="1:8">
      <c r="A155" s="16">
        <v>20614</v>
      </c>
      <c r="B155" s="26">
        <v>2</v>
      </c>
      <c r="C155" s="22">
        <v>0</v>
      </c>
      <c r="D155" s="22">
        <v>-0.2</v>
      </c>
      <c r="E155" s="22">
        <v>-0.5</v>
      </c>
      <c r="F155" s="22">
        <v>0</v>
      </c>
      <c r="G155" s="22">
        <v>0</v>
      </c>
      <c r="H155" s="16">
        <v>2061403</v>
      </c>
    </row>
    <row r="156" spans="1:8">
      <c r="A156" s="16">
        <v>20615</v>
      </c>
      <c r="B156" s="26">
        <v>0</v>
      </c>
      <c r="C156" s="22">
        <v>0</v>
      </c>
      <c r="D156" s="22">
        <v>0</v>
      </c>
      <c r="E156" s="22">
        <v>-0.5</v>
      </c>
      <c r="F156" s="22">
        <v>0</v>
      </c>
      <c r="G156" s="22">
        <v>0</v>
      </c>
      <c r="H156" s="16">
        <v>2061501</v>
      </c>
    </row>
    <row r="157" spans="1:8">
      <c r="A157" s="16">
        <v>20615</v>
      </c>
      <c r="B157" s="26">
        <v>1</v>
      </c>
      <c r="C157" s="22">
        <v>-0.4</v>
      </c>
      <c r="D157" s="22">
        <v>-0.15</v>
      </c>
      <c r="E157" s="22">
        <v>-0.7</v>
      </c>
      <c r="F157" s="22">
        <v>0</v>
      </c>
      <c r="G157" s="22">
        <v>0</v>
      </c>
      <c r="H157" s="16">
        <v>2061502</v>
      </c>
    </row>
    <row r="158" spans="1:8">
      <c r="A158" s="16">
        <v>20615</v>
      </c>
      <c r="B158" s="26">
        <v>2</v>
      </c>
      <c r="C158" s="22">
        <v>-0.55</v>
      </c>
      <c r="D158" s="22">
        <v>-0.3</v>
      </c>
      <c r="E158" s="22">
        <v>-0.7</v>
      </c>
      <c r="F158" s="22">
        <v>0</v>
      </c>
      <c r="G158" s="22">
        <v>0</v>
      </c>
      <c r="H158" s="16">
        <v>2061503</v>
      </c>
    </row>
    <row r="159" spans="1:8">
      <c r="A159" s="16">
        <v>20616</v>
      </c>
      <c r="B159" s="26">
        <v>0</v>
      </c>
      <c r="C159" s="22">
        <v>0</v>
      </c>
      <c r="D159" s="22">
        <v>-0.2</v>
      </c>
      <c r="E159" s="22">
        <v>-0.5</v>
      </c>
      <c r="F159" s="22">
        <v>0</v>
      </c>
      <c r="G159" s="22">
        <v>0</v>
      </c>
      <c r="H159" s="16">
        <v>2061601</v>
      </c>
    </row>
    <row r="160" spans="1:8">
      <c r="A160" s="16">
        <v>20616</v>
      </c>
      <c r="B160" s="26">
        <v>1</v>
      </c>
      <c r="C160" s="22">
        <v>-0.35</v>
      </c>
      <c r="D160" s="22">
        <v>-0.35</v>
      </c>
      <c r="E160" s="22">
        <v>-0.7</v>
      </c>
      <c r="F160" s="22">
        <v>0</v>
      </c>
      <c r="G160" s="22">
        <v>0</v>
      </c>
      <c r="H160" s="16">
        <v>2061602</v>
      </c>
    </row>
    <row r="161" spans="1:8">
      <c r="A161" s="16">
        <v>20616</v>
      </c>
      <c r="B161" s="26">
        <v>2</v>
      </c>
      <c r="C161" s="22">
        <v>-0.35</v>
      </c>
      <c r="D161" s="22">
        <v>-0.45</v>
      </c>
      <c r="E161" s="22">
        <v>-0.7</v>
      </c>
      <c r="F161" s="22">
        <v>0</v>
      </c>
      <c r="G161" s="22">
        <v>0</v>
      </c>
      <c r="H161" s="16">
        <v>2061603</v>
      </c>
    </row>
    <row r="162" spans="1:8">
      <c r="A162" s="16">
        <v>20621</v>
      </c>
      <c r="B162" s="26">
        <v>0</v>
      </c>
      <c r="C162" s="22">
        <v>0.4</v>
      </c>
      <c r="D162" s="22">
        <v>0</v>
      </c>
      <c r="E162" s="22">
        <v>0</v>
      </c>
      <c r="F162" s="22">
        <v>0</v>
      </c>
      <c r="G162" s="22">
        <v>0</v>
      </c>
      <c r="H162" s="16">
        <v>2062101</v>
      </c>
    </row>
    <row r="163" spans="1:8">
      <c r="A163" s="16">
        <v>20621</v>
      </c>
      <c r="B163" s="26">
        <v>1</v>
      </c>
      <c r="C163" s="22">
        <v>0.5</v>
      </c>
      <c r="D163" s="22">
        <v>0</v>
      </c>
      <c r="E163" s="22">
        <v>0</v>
      </c>
      <c r="F163" s="22">
        <v>0</v>
      </c>
      <c r="G163" s="22">
        <v>0</v>
      </c>
      <c r="H163" s="16">
        <v>2062102</v>
      </c>
    </row>
    <row r="164" spans="1:8">
      <c r="A164" s="16">
        <v>20621</v>
      </c>
      <c r="B164" s="26">
        <v>2</v>
      </c>
      <c r="C164" s="22">
        <v>0.5</v>
      </c>
      <c r="D164" s="22">
        <v>0</v>
      </c>
      <c r="E164" s="22">
        <v>0</v>
      </c>
      <c r="F164" s="22">
        <v>0</v>
      </c>
      <c r="G164" s="22">
        <v>0</v>
      </c>
      <c r="H164" s="16">
        <v>2062103</v>
      </c>
    </row>
    <row r="165" spans="1:8">
      <c r="A165" s="16">
        <v>20622</v>
      </c>
      <c r="B165" s="26">
        <v>0</v>
      </c>
      <c r="C165" s="22">
        <v>0</v>
      </c>
      <c r="D165" s="22">
        <v>0</v>
      </c>
      <c r="E165" s="22">
        <v>0</v>
      </c>
      <c r="F165" s="22">
        <v>0</v>
      </c>
      <c r="G165" s="22">
        <v>0</v>
      </c>
      <c r="H165" s="16">
        <v>2062201</v>
      </c>
    </row>
    <row r="166" spans="1:8">
      <c r="A166" s="16">
        <v>20622</v>
      </c>
      <c r="B166" s="26">
        <v>1</v>
      </c>
      <c r="C166" s="22">
        <v>0</v>
      </c>
      <c r="D166" s="22">
        <v>0</v>
      </c>
      <c r="E166" s="22">
        <v>0</v>
      </c>
      <c r="F166" s="22">
        <v>0</v>
      </c>
      <c r="G166" s="22">
        <v>0</v>
      </c>
      <c r="H166" s="16">
        <v>2062202</v>
      </c>
    </row>
    <row r="167" spans="1:8">
      <c r="A167" s="16">
        <v>20622</v>
      </c>
      <c r="B167" s="26">
        <v>2</v>
      </c>
      <c r="C167" s="22">
        <v>0</v>
      </c>
      <c r="D167" s="22">
        <v>0</v>
      </c>
      <c r="E167" s="22">
        <v>0</v>
      </c>
      <c r="F167" s="22">
        <v>0</v>
      </c>
      <c r="G167" s="22">
        <v>0</v>
      </c>
      <c r="H167" s="16">
        <v>2062203</v>
      </c>
    </row>
    <row r="168" spans="1:8">
      <c r="A168" s="16">
        <v>20623</v>
      </c>
      <c r="B168" s="26">
        <v>999</v>
      </c>
      <c r="C168" s="22">
        <v>1.2</v>
      </c>
      <c r="D168" s="22">
        <v>0</v>
      </c>
      <c r="E168" s="22">
        <v>0</v>
      </c>
      <c r="F168" s="22">
        <v>0</v>
      </c>
      <c r="G168" s="22">
        <v>0</v>
      </c>
      <c r="H168" s="16">
        <v>2062301</v>
      </c>
    </row>
    <row r="169" spans="1:8">
      <c r="A169" s="16">
        <v>20624</v>
      </c>
      <c r="B169" s="26">
        <v>0</v>
      </c>
      <c r="C169" s="22">
        <v>-0.1</v>
      </c>
      <c r="D169" s="22">
        <v>0</v>
      </c>
      <c r="E169" s="22">
        <v>-0.2</v>
      </c>
      <c r="F169" s="22">
        <v>0</v>
      </c>
      <c r="G169" s="22">
        <v>0</v>
      </c>
      <c r="H169" s="16">
        <v>2062401</v>
      </c>
    </row>
    <row r="170" spans="1:8">
      <c r="A170" s="16">
        <v>20624</v>
      </c>
      <c r="B170" s="26">
        <v>1</v>
      </c>
      <c r="C170" s="22">
        <v>-0.1</v>
      </c>
      <c r="D170" s="22">
        <v>0</v>
      </c>
      <c r="E170" s="22">
        <v>-0.2</v>
      </c>
      <c r="F170" s="22">
        <v>0</v>
      </c>
      <c r="G170" s="22">
        <v>0</v>
      </c>
      <c r="H170" s="16">
        <v>2062402</v>
      </c>
    </row>
    <row r="171" spans="1:8">
      <c r="A171" s="16">
        <v>20624</v>
      </c>
      <c r="B171" s="26">
        <v>2</v>
      </c>
      <c r="C171" s="22">
        <v>-0.15</v>
      </c>
      <c r="D171" s="22">
        <v>0</v>
      </c>
      <c r="E171" s="22">
        <v>-0.2</v>
      </c>
      <c r="F171" s="22">
        <v>0</v>
      </c>
      <c r="G171" s="22">
        <v>0</v>
      </c>
      <c r="H171" s="16">
        <v>2062403</v>
      </c>
    </row>
    <row r="172" spans="1:8">
      <c r="A172" s="16">
        <v>20625</v>
      </c>
      <c r="B172" s="26">
        <v>0</v>
      </c>
      <c r="C172" s="22">
        <v>-0.3</v>
      </c>
      <c r="D172" s="22">
        <v>0</v>
      </c>
      <c r="E172" s="22">
        <v>-0.2</v>
      </c>
      <c r="F172" s="22">
        <v>0</v>
      </c>
      <c r="G172" s="22">
        <v>0</v>
      </c>
      <c r="H172" s="16">
        <v>2062501</v>
      </c>
    </row>
    <row r="173" spans="1:8">
      <c r="A173" s="16">
        <v>20625</v>
      </c>
      <c r="B173" s="26">
        <v>1</v>
      </c>
      <c r="C173" s="22">
        <v>-0.3</v>
      </c>
      <c r="D173" s="22">
        <v>0</v>
      </c>
      <c r="E173" s="22">
        <v>-0.2</v>
      </c>
      <c r="F173" s="22">
        <v>0</v>
      </c>
      <c r="G173" s="22">
        <v>0</v>
      </c>
      <c r="H173" s="16">
        <v>2062502</v>
      </c>
    </row>
    <row r="174" spans="1:8">
      <c r="A174" s="16">
        <v>20625</v>
      </c>
      <c r="B174" s="26">
        <v>2</v>
      </c>
      <c r="C174" s="22">
        <v>-0.5</v>
      </c>
      <c r="D174" s="22">
        <v>0</v>
      </c>
      <c r="E174" s="22">
        <v>-0.2</v>
      </c>
      <c r="F174" s="22">
        <v>0</v>
      </c>
      <c r="G174" s="22">
        <v>0</v>
      </c>
      <c r="H174" s="16">
        <v>2062503</v>
      </c>
    </row>
    <row r="175" spans="1:8">
      <c r="A175" s="16">
        <v>20626</v>
      </c>
      <c r="B175" s="26">
        <v>999</v>
      </c>
      <c r="C175" s="22">
        <v>0.4</v>
      </c>
      <c r="D175" s="22">
        <v>0</v>
      </c>
      <c r="E175" s="22">
        <v>-0.2</v>
      </c>
      <c r="F175" s="22">
        <v>0</v>
      </c>
      <c r="G175" s="22">
        <v>0</v>
      </c>
      <c r="H175" s="16">
        <v>2062601</v>
      </c>
    </row>
    <row r="176" spans="1:8">
      <c r="A176" s="16">
        <v>20627</v>
      </c>
      <c r="B176" s="26">
        <v>0</v>
      </c>
      <c r="C176" s="22">
        <v>0.1</v>
      </c>
      <c r="D176" s="22">
        <v>0</v>
      </c>
      <c r="E176" s="22">
        <v>0</v>
      </c>
      <c r="F176" s="22">
        <v>0</v>
      </c>
      <c r="G176" s="22">
        <v>0</v>
      </c>
      <c r="H176" s="16">
        <v>2062701</v>
      </c>
    </row>
    <row r="177" spans="1:8">
      <c r="A177" s="16">
        <v>20627</v>
      </c>
      <c r="B177" s="26">
        <v>1</v>
      </c>
      <c r="C177" s="22">
        <v>0.2</v>
      </c>
      <c r="D177" s="22">
        <v>0</v>
      </c>
      <c r="E177" s="22">
        <v>0</v>
      </c>
      <c r="F177" s="22">
        <v>0</v>
      </c>
      <c r="G177" s="22">
        <v>0</v>
      </c>
      <c r="H177" s="16">
        <v>2062702</v>
      </c>
    </row>
    <row r="178" spans="1:8">
      <c r="A178" s="16">
        <v>20627</v>
      </c>
      <c r="B178" s="26">
        <v>2</v>
      </c>
      <c r="C178" s="22">
        <v>0.2</v>
      </c>
      <c r="D178" s="22">
        <v>0</v>
      </c>
      <c r="E178" s="22">
        <v>0</v>
      </c>
      <c r="F178" s="22">
        <v>0</v>
      </c>
      <c r="G178" s="22">
        <v>0</v>
      </c>
      <c r="H178" s="16">
        <v>2062703</v>
      </c>
    </row>
    <row r="179" spans="1:8">
      <c r="A179" s="16">
        <v>20628</v>
      </c>
      <c r="B179" s="26">
        <v>0</v>
      </c>
      <c r="C179" s="22">
        <v>0</v>
      </c>
      <c r="D179" s="22">
        <v>0</v>
      </c>
      <c r="E179" s="22">
        <v>0</v>
      </c>
      <c r="F179" s="22">
        <v>0</v>
      </c>
      <c r="G179" s="22">
        <v>0</v>
      </c>
      <c r="H179" s="16">
        <v>2062801</v>
      </c>
    </row>
    <row r="180" spans="1:8">
      <c r="A180" s="16">
        <v>20628</v>
      </c>
      <c r="B180" s="26">
        <v>1</v>
      </c>
      <c r="C180" s="22">
        <v>-0.45</v>
      </c>
      <c r="D180" s="22">
        <v>0</v>
      </c>
      <c r="E180" s="22">
        <v>0</v>
      </c>
      <c r="F180" s="22">
        <v>0</v>
      </c>
      <c r="G180" s="22">
        <v>0</v>
      </c>
      <c r="H180" s="16">
        <v>2062802</v>
      </c>
    </row>
    <row r="181" spans="1:8">
      <c r="A181" s="16">
        <v>20628</v>
      </c>
      <c r="B181" s="26">
        <v>2</v>
      </c>
      <c r="C181" s="22">
        <v>-0.55</v>
      </c>
      <c r="D181" s="22">
        <v>0</v>
      </c>
      <c r="E181" s="22">
        <v>0</v>
      </c>
      <c r="F181" s="22">
        <v>0</v>
      </c>
      <c r="G181" s="22">
        <v>0</v>
      </c>
      <c r="H181" s="16">
        <v>2062803</v>
      </c>
    </row>
    <row r="182" spans="1:8">
      <c r="A182" s="16">
        <v>20629</v>
      </c>
      <c r="B182" s="26">
        <v>999</v>
      </c>
      <c r="C182" s="22">
        <v>1.5</v>
      </c>
      <c r="D182" s="22">
        <v>0</v>
      </c>
      <c r="E182" s="22">
        <v>0</v>
      </c>
      <c r="F182" s="22">
        <v>0</v>
      </c>
      <c r="G182" s="22">
        <v>0</v>
      </c>
      <c r="H182" s="16">
        <v>2062901</v>
      </c>
    </row>
    <row r="183" spans="1:8">
      <c r="A183" s="16">
        <v>20630</v>
      </c>
      <c r="B183" s="26">
        <v>0</v>
      </c>
      <c r="C183" s="22">
        <v>0.1</v>
      </c>
      <c r="D183" s="22">
        <v>0</v>
      </c>
      <c r="E183" s="22">
        <v>0</v>
      </c>
      <c r="F183" s="22">
        <v>0</v>
      </c>
      <c r="G183" s="22">
        <v>-0.2</v>
      </c>
      <c r="H183" s="16">
        <v>2063001</v>
      </c>
    </row>
    <row r="184" spans="1:8">
      <c r="A184" s="16">
        <v>20630</v>
      </c>
      <c r="B184" s="26">
        <v>1</v>
      </c>
      <c r="C184" s="22">
        <v>0.3</v>
      </c>
      <c r="D184" s="22">
        <v>0</v>
      </c>
      <c r="E184" s="22">
        <v>0</v>
      </c>
      <c r="F184" s="22">
        <v>0</v>
      </c>
      <c r="G184" s="22">
        <v>-0.2</v>
      </c>
      <c r="H184" s="16">
        <v>2063002</v>
      </c>
    </row>
    <row r="185" spans="1:8">
      <c r="A185" s="16">
        <v>20630</v>
      </c>
      <c r="B185" s="26">
        <v>2</v>
      </c>
      <c r="C185" s="22">
        <v>0.3</v>
      </c>
      <c r="D185" s="22">
        <v>0</v>
      </c>
      <c r="E185" s="22">
        <v>0</v>
      </c>
      <c r="F185" s="22">
        <v>0</v>
      </c>
      <c r="G185" s="22">
        <v>-0.2</v>
      </c>
      <c r="H185" s="16">
        <v>2063003</v>
      </c>
    </row>
    <row r="186" spans="1:8">
      <c r="A186" s="16">
        <v>20631</v>
      </c>
      <c r="B186" s="26">
        <v>0</v>
      </c>
      <c r="C186" s="22">
        <v>0.1</v>
      </c>
      <c r="D186" s="22">
        <v>0</v>
      </c>
      <c r="E186" s="22">
        <v>0</v>
      </c>
      <c r="F186" s="22">
        <v>0</v>
      </c>
      <c r="G186" s="22">
        <v>-0.2</v>
      </c>
      <c r="H186" s="16">
        <v>2063101</v>
      </c>
    </row>
    <row r="187" spans="1:8">
      <c r="A187" s="16">
        <v>20631</v>
      </c>
      <c r="B187" s="26">
        <v>1</v>
      </c>
      <c r="C187" s="22">
        <v>-0.5</v>
      </c>
      <c r="D187" s="22">
        <v>0</v>
      </c>
      <c r="E187" s="22">
        <v>0</v>
      </c>
      <c r="F187" s="22">
        <v>0</v>
      </c>
      <c r="G187" s="22">
        <v>-0.2</v>
      </c>
      <c r="H187" s="16">
        <v>2063102</v>
      </c>
    </row>
    <row r="188" spans="1:8">
      <c r="A188" s="16">
        <v>20631</v>
      </c>
      <c r="B188" s="26">
        <v>2</v>
      </c>
      <c r="C188" s="22">
        <v>-0.5</v>
      </c>
      <c r="D188" s="22">
        <v>-0.4</v>
      </c>
      <c r="E188" s="22">
        <v>0</v>
      </c>
      <c r="F188" s="22">
        <v>0</v>
      </c>
      <c r="G188" s="22">
        <v>-0.2</v>
      </c>
      <c r="H188" s="16">
        <v>2063103</v>
      </c>
    </row>
    <row r="189" spans="1:8">
      <c r="A189" s="16">
        <v>20632</v>
      </c>
      <c r="B189" s="26">
        <v>999</v>
      </c>
      <c r="C189" s="22">
        <v>0.2</v>
      </c>
      <c r="D189" s="22">
        <v>-0.6</v>
      </c>
      <c r="E189" s="22">
        <v>0</v>
      </c>
      <c r="F189" s="22">
        <v>0</v>
      </c>
      <c r="G189" s="22">
        <v>0</v>
      </c>
      <c r="H189" s="16">
        <v>2063201</v>
      </c>
    </row>
    <row r="190" spans="1:8">
      <c r="A190" s="16">
        <v>20633</v>
      </c>
      <c r="B190" s="26">
        <v>0</v>
      </c>
      <c r="C190" s="22">
        <v>0.3</v>
      </c>
      <c r="D190" s="22">
        <v>0</v>
      </c>
      <c r="E190" s="22">
        <v>0</v>
      </c>
      <c r="F190" s="22">
        <v>0</v>
      </c>
      <c r="G190" s="22">
        <v>0</v>
      </c>
      <c r="H190" s="16">
        <v>2063301</v>
      </c>
    </row>
    <row r="191" spans="1:8">
      <c r="A191" s="16">
        <v>20633</v>
      </c>
      <c r="B191" s="26">
        <v>1</v>
      </c>
      <c r="C191" s="22">
        <v>0.2</v>
      </c>
      <c r="D191" s="22">
        <v>0</v>
      </c>
      <c r="E191" s="22">
        <v>0</v>
      </c>
      <c r="F191" s="22">
        <v>0</v>
      </c>
      <c r="G191" s="22">
        <v>0</v>
      </c>
      <c r="H191" s="16">
        <v>2063302</v>
      </c>
    </row>
    <row r="192" spans="1:8">
      <c r="A192" s="16">
        <v>20633</v>
      </c>
      <c r="B192" s="26">
        <v>2</v>
      </c>
      <c r="C192" s="22">
        <v>0.2</v>
      </c>
      <c r="D192" s="22">
        <v>0</v>
      </c>
      <c r="E192" s="22">
        <v>0</v>
      </c>
      <c r="F192" s="22">
        <v>0</v>
      </c>
      <c r="G192" s="22">
        <v>0</v>
      </c>
      <c r="H192" s="16">
        <v>2063303</v>
      </c>
    </row>
    <row r="193" spans="1:8">
      <c r="A193" s="16">
        <v>20634</v>
      </c>
      <c r="B193" s="26">
        <v>0</v>
      </c>
      <c r="C193" s="22">
        <v>0</v>
      </c>
      <c r="D193" s="22">
        <v>0</v>
      </c>
      <c r="E193" s="22">
        <v>0</v>
      </c>
      <c r="F193" s="22">
        <v>0</v>
      </c>
      <c r="G193" s="22">
        <v>0</v>
      </c>
      <c r="H193" s="16">
        <v>2063401</v>
      </c>
    </row>
    <row r="194" spans="1:8">
      <c r="A194" s="16">
        <v>20634</v>
      </c>
      <c r="B194" s="26">
        <v>1</v>
      </c>
      <c r="C194" s="22">
        <v>-0.1</v>
      </c>
      <c r="D194" s="22">
        <v>0</v>
      </c>
      <c r="E194" s="22">
        <v>0</v>
      </c>
      <c r="F194" s="22">
        <v>0</v>
      </c>
      <c r="G194" s="22">
        <v>0</v>
      </c>
      <c r="H194" s="16">
        <v>2063402</v>
      </c>
    </row>
    <row r="195" spans="1:8">
      <c r="A195" s="16">
        <v>20634</v>
      </c>
      <c r="B195" s="26">
        <v>2</v>
      </c>
      <c r="C195" s="22">
        <v>-0.2</v>
      </c>
      <c r="D195" s="22">
        <v>0</v>
      </c>
      <c r="E195" s="22">
        <v>0</v>
      </c>
      <c r="F195" s="22">
        <v>0</v>
      </c>
      <c r="G195" s="22">
        <v>0</v>
      </c>
      <c r="H195" s="16">
        <v>2063403</v>
      </c>
    </row>
    <row r="196" spans="1:8">
      <c r="A196" s="16">
        <v>20635</v>
      </c>
      <c r="B196" s="26">
        <v>999</v>
      </c>
      <c r="C196" s="22">
        <v>0.3</v>
      </c>
      <c r="D196" s="22">
        <v>0</v>
      </c>
      <c r="E196" s="22">
        <v>0</v>
      </c>
      <c r="F196" s="22">
        <v>0</v>
      </c>
      <c r="G196" s="22">
        <v>0</v>
      </c>
      <c r="H196" s="16">
        <v>2063501</v>
      </c>
    </row>
    <row r="197" spans="1:8">
      <c r="A197" s="16">
        <v>20636</v>
      </c>
      <c r="B197" s="26">
        <v>0</v>
      </c>
      <c r="C197" s="22">
        <v>0.3</v>
      </c>
      <c r="D197" s="22">
        <v>0</v>
      </c>
      <c r="E197" s="22">
        <v>0</v>
      </c>
      <c r="F197" s="22">
        <v>0</v>
      </c>
      <c r="G197" s="22">
        <v>0</v>
      </c>
      <c r="H197" s="16">
        <v>2063601</v>
      </c>
    </row>
    <row r="198" spans="1:8">
      <c r="A198" s="16">
        <v>20636</v>
      </c>
      <c r="B198" s="26">
        <v>1</v>
      </c>
      <c r="C198" s="22">
        <v>0.2</v>
      </c>
      <c r="D198" s="22">
        <v>0</v>
      </c>
      <c r="E198" s="22">
        <v>0</v>
      </c>
      <c r="F198" s="22">
        <v>0</v>
      </c>
      <c r="G198" s="22">
        <v>0</v>
      </c>
      <c r="H198" s="16">
        <v>2063602</v>
      </c>
    </row>
    <row r="199" spans="1:8">
      <c r="A199" s="16">
        <v>20636</v>
      </c>
      <c r="B199" s="26">
        <v>2</v>
      </c>
      <c r="C199" s="22">
        <v>0.2</v>
      </c>
      <c r="D199" s="22">
        <v>0</v>
      </c>
      <c r="E199" s="22">
        <v>0</v>
      </c>
      <c r="F199" s="22">
        <v>0</v>
      </c>
      <c r="G199" s="22">
        <v>0</v>
      </c>
      <c r="H199" s="16">
        <v>2063603</v>
      </c>
    </row>
    <row r="200" spans="1:8">
      <c r="A200" s="16">
        <v>20637</v>
      </c>
      <c r="B200" s="26">
        <v>0</v>
      </c>
      <c r="C200" s="22">
        <v>0.1</v>
      </c>
      <c r="D200" s="22">
        <v>0</v>
      </c>
      <c r="E200" s="22">
        <v>0</v>
      </c>
      <c r="F200" s="22">
        <v>0</v>
      </c>
      <c r="G200" s="22">
        <v>0</v>
      </c>
      <c r="H200" s="16">
        <v>2063701</v>
      </c>
    </row>
    <row r="201" spans="1:8">
      <c r="A201" s="16">
        <v>20637</v>
      </c>
      <c r="B201" s="26">
        <v>1</v>
      </c>
      <c r="C201" s="22">
        <v>0.1</v>
      </c>
      <c r="D201" s="22">
        <v>0</v>
      </c>
      <c r="E201" s="22">
        <v>0</v>
      </c>
      <c r="F201" s="22">
        <v>0</v>
      </c>
      <c r="G201" s="22">
        <v>0</v>
      </c>
      <c r="H201" s="16">
        <v>2063702</v>
      </c>
    </row>
    <row r="202" spans="1:8">
      <c r="A202" s="16">
        <v>20637</v>
      </c>
      <c r="B202" s="26">
        <v>2</v>
      </c>
      <c r="C202" s="22">
        <v>0.1</v>
      </c>
      <c r="D202" s="22">
        <v>0</v>
      </c>
      <c r="E202" s="22">
        <v>0</v>
      </c>
      <c r="F202" s="22">
        <v>0</v>
      </c>
      <c r="G202" s="22">
        <v>0</v>
      </c>
      <c r="H202" s="16">
        <v>2063703</v>
      </c>
    </row>
    <row r="203" spans="1:8">
      <c r="A203" s="16">
        <v>20638</v>
      </c>
      <c r="B203" s="26">
        <v>999</v>
      </c>
      <c r="C203" s="22">
        <v>0.75</v>
      </c>
      <c r="D203" s="22">
        <v>-0.4</v>
      </c>
      <c r="E203" s="22">
        <v>0</v>
      </c>
      <c r="F203" s="22">
        <v>0</v>
      </c>
      <c r="G203" s="22">
        <v>0</v>
      </c>
      <c r="H203" s="16">
        <v>2063801</v>
      </c>
    </row>
    <row r="204" spans="1:8">
      <c r="A204" s="16">
        <v>20639</v>
      </c>
      <c r="B204" s="26">
        <v>0</v>
      </c>
      <c r="C204" s="22">
        <v>0.2</v>
      </c>
      <c r="D204" s="22">
        <v>0</v>
      </c>
      <c r="E204" s="22">
        <v>0</v>
      </c>
      <c r="F204" s="22">
        <v>0</v>
      </c>
      <c r="G204" s="22">
        <v>0</v>
      </c>
      <c r="H204" s="16">
        <v>2063901</v>
      </c>
    </row>
    <row r="205" spans="1:8">
      <c r="A205" s="16">
        <v>20639</v>
      </c>
      <c r="B205" s="26">
        <v>1</v>
      </c>
      <c r="C205" s="22">
        <v>0.45</v>
      </c>
      <c r="D205" s="22">
        <v>0</v>
      </c>
      <c r="E205" s="22">
        <v>0</v>
      </c>
      <c r="F205" s="22">
        <v>0</v>
      </c>
      <c r="G205" s="22">
        <v>0</v>
      </c>
      <c r="H205" s="16">
        <v>2063902</v>
      </c>
    </row>
    <row r="206" spans="1:8">
      <c r="A206" s="16">
        <v>20639</v>
      </c>
      <c r="B206" s="26">
        <v>2</v>
      </c>
      <c r="C206" s="22">
        <v>0.45</v>
      </c>
      <c r="D206" s="22">
        <v>0</v>
      </c>
      <c r="E206" s="22">
        <v>0</v>
      </c>
      <c r="F206" s="22">
        <v>0</v>
      </c>
      <c r="G206" s="22">
        <v>0</v>
      </c>
      <c r="H206" s="16">
        <v>2063903</v>
      </c>
    </row>
    <row r="207" spans="1:8">
      <c r="A207" s="16">
        <v>20640</v>
      </c>
      <c r="B207" s="26">
        <v>0</v>
      </c>
      <c r="C207" s="22">
        <v>0.2</v>
      </c>
      <c r="D207" s="22">
        <v>0</v>
      </c>
      <c r="E207" s="22">
        <v>0</v>
      </c>
      <c r="F207" s="22">
        <v>0</v>
      </c>
      <c r="G207" s="22">
        <v>0</v>
      </c>
      <c r="H207" s="16">
        <v>2064001</v>
      </c>
    </row>
    <row r="208" spans="1:8">
      <c r="A208" s="16">
        <v>20640</v>
      </c>
      <c r="B208" s="26">
        <v>1</v>
      </c>
      <c r="C208" s="22">
        <v>0.45</v>
      </c>
      <c r="D208" s="22">
        <v>0</v>
      </c>
      <c r="E208" s="22">
        <v>0</v>
      </c>
      <c r="F208" s="22">
        <v>0</v>
      </c>
      <c r="G208" s="22">
        <v>0</v>
      </c>
      <c r="H208" s="16">
        <v>2064002</v>
      </c>
    </row>
    <row r="209" spans="1:8">
      <c r="A209" s="16">
        <v>20640</v>
      </c>
      <c r="B209" s="26">
        <v>2</v>
      </c>
      <c r="C209" s="22">
        <v>0.5</v>
      </c>
      <c r="D209" s="22">
        <v>0</v>
      </c>
      <c r="E209" s="22">
        <v>0</v>
      </c>
      <c r="F209" s="22">
        <v>0</v>
      </c>
      <c r="G209" s="22">
        <v>0</v>
      </c>
      <c r="H209" s="16">
        <v>2064003</v>
      </c>
    </row>
    <row r="210" spans="1:8">
      <c r="A210" s="16">
        <v>20641</v>
      </c>
      <c r="B210" s="26">
        <v>999</v>
      </c>
      <c r="C210" s="22">
        <v>1.2</v>
      </c>
      <c r="D210" s="22">
        <v>-0.25</v>
      </c>
      <c r="E210" s="22">
        <v>0</v>
      </c>
      <c r="F210" s="22">
        <v>0</v>
      </c>
      <c r="G210" s="22">
        <v>0</v>
      </c>
      <c r="H210" s="16">
        <v>2064101</v>
      </c>
    </row>
    <row r="211" spans="1:8">
      <c r="A211" s="16">
        <v>20642</v>
      </c>
      <c r="B211" s="26">
        <v>0</v>
      </c>
      <c r="C211" s="22">
        <v>-0.25</v>
      </c>
      <c r="D211" s="22">
        <v>0</v>
      </c>
      <c r="E211" s="22">
        <v>0</v>
      </c>
      <c r="F211" s="22">
        <v>0</v>
      </c>
      <c r="G211" s="22">
        <v>0</v>
      </c>
      <c r="H211" s="16">
        <v>2064201</v>
      </c>
    </row>
    <row r="212" spans="1:8">
      <c r="A212" s="16">
        <v>20642</v>
      </c>
      <c r="B212" s="26">
        <v>1</v>
      </c>
      <c r="C212" s="22">
        <v>-0.25</v>
      </c>
      <c r="D212" s="22">
        <v>0</v>
      </c>
      <c r="E212" s="22">
        <v>0</v>
      </c>
      <c r="F212" s="22">
        <v>0</v>
      </c>
      <c r="G212" s="22">
        <v>0</v>
      </c>
      <c r="H212" s="16">
        <v>2064202</v>
      </c>
    </row>
    <row r="213" spans="1:8">
      <c r="A213" s="16">
        <v>20642</v>
      </c>
      <c r="B213" s="26">
        <v>2</v>
      </c>
      <c r="C213" s="22">
        <v>-0.2</v>
      </c>
      <c r="D213" s="22">
        <v>0</v>
      </c>
      <c r="E213" s="22">
        <v>0</v>
      </c>
      <c r="F213" s="22">
        <v>0</v>
      </c>
      <c r="G213" s="22">
        <v>0</v>
      </c>
      <c r="H213" s="16">
        <v>2064203</v>
      </c>
    </row>
    <row r="214" spans="1:8">
      <c r="A214" s="16">
        <v>20643</v>
      </c>
      <c r="B214" s="26">
        <v>0</v>
      </c>
      <c r="C214" s="22">
        <v>-0.4</v>
      </c>
      <c r="D214" s="22">
        <v>0</v>
      </c>
      <c r="E214" s="22">
        <v>0</v>
      </c>
      <c r="F214" s="22">
        <v>0</v>
      </c>
      <c r="G214" s="22">
        <v>0</v>
      </c>
      <c r="H214" s="16">
        <v>2064301</v>
      </c>
    </row>
    <row r="215" spans="1:8">
      <c r="A215" s="16">
        <v>20643</v>
      </c>
      <c r="B215" s="26">
        <v>1</v>
      </c>
      <c r="C215" s="22">
        <v>-0.4</v>
      </c>
      <c r="D215" s="22">
        <v>0</v>
      </c>
      <c r="E215" s="22">
        <v>0</v>
      </c>
      <c r="F215" s="22">
        <v>0</v>
      </c>
      <c r="G215" s="22">
        <v>0</v>
      </c>
      <c r="H215" s="16">
        <v>2064302</v>
      </c>
    </row>
    <row r="216" spans="1:8">
      <c r="A216" s="16">
        <v>20643</v>
      </c>
      <c r="B216" s="26">
        <v>2</v>
      </c>
      <c r="C216" s="22">
        <v>-0.4</v>
      </c>
      <c r="D216" s="22">
        <v>0</v>
      </c>
      <c r="E216" s="22">
        <v>0</v>
      </c>
      <c r="F216" s="22">
        <v>0</v>
      </c>
      <c r="G216" s="22">
        <v>0</v>
      </c>
      <c r="H216" s="16">
        <v>2064303</v>
      </c>
    </row>
    <row r="217" spans="1:8">
      <c r="A217" s="16">
        <v>20644</v>
      </c>
      <c r="B217" s="26">
        <v>999</v>
      </c>
      <c r="C217" s="22">
        <v>1.4</v>
      </c>
      <c r="D217" s="22">
        <v>-0.4</v>
      </c>
      <c r="E217" s="22">
        <v>0</v>
      </c>
      <c r="F217" s="22">
        <v>0</v>
      </c>
      <c r="G217" s="22">
        <v>0</v>
      </c>
      <c r="H217" s="16">
        <v>2064401</v>
      </c>
    </row>
    <row r="218" spans="1:8">
      <c r="A218" s="16">
        <v>20701</v>
      </c>
      <c r="B218" s="26">
        <v>0</v>
      </c>
      <c r="C218" s="22">
        <v>-0.3</v>
      </c>
      <c r="D218" s="22">
        <v>0.4</v>
      </c>
      <c r="E218" s="22">
        <v>-0.15</v>
      </c>
      <c r="F218" s="22">
        <v>0</v>
      </c>
      <c r="G218" s="22">
        <v>0</v>
      </c>
      <c r="H218" s="16">
        <v>2070101</v>
      </c>
    </row>
    <row r="219" spans="1:8">
      <c r="A219" s="16">
        <v>20701</v>
      </c>
      <c r="B219" s="26">
        <v>1</v>
      </c>
      <c r="C219" s="22">
        <v>-0.3</v>
      </c>
      <c r="D219" s="22">
        <v>0.4</v>
      </c>
      <c r="E219" s="22">
        <v>-0.15</v>
      </c>
      <c r="F219" s="22">
        <v>0</v>
      </c>
      <c r="G219" s="22">
        <v>0</v>
      </c>
      <c r="H219" s="16">
        <v>2070102</v>
      </c>
    </row>
    <row r="220" spans="1:8">
      <c r="A220" s="16">
        <v>20701</v>
      </c>
      <c r="B220" s="26">
        <v>2</v>
      </c>
      <c r="C220" s="22">
        <v>0</v>
      </c>
      <c r="D220" s="22">
        <v>0.4</v>
      </c>
      <c r="E220" s="22">
        <v>0</v>
      </c>
      <c r="F220" s="22">
        <v>0</v>
      </c>
      <c r="G220" s="22">
        <v>0</v>
      </c>
      <c r="H220" s="16">
        <v>2070103</v>
      </c>
    </row>
    <row r="221" spans="1:8">
      <c r="A221" s="16">
        <v>20711</v>
      </c>
      <c r="B221" s="26">
        <v>999</v>
      </c>
      <c r="C221" s="22">
        <v>0.27</v>
      </c>
      <c r="D221" s="22">
        <v>0.45</v>
      </c>
      <c r="E221" s="22">
        <v>0.02</v>
      </c>
      <c r="F221" s="22">
        <v>0</v>
      </c>
      <c r="G221" s="22">
        <v>0.04</v>
      </c>
      <c r="H221" s="16">
        <v>2070111</v>
      </c>
    </row>
    <row r="222" spans="1:8">
      <c r="A222" s="16">
        <v>20712</v>
      </c>
      <c r="B222" s="26">
        <v>999</v>
      </c>
      <c r="C222" s="22">
        <v>1.16</v>
      </c>
      <c r="D222" s="22">
        <v>0.89</v>
      </c>
      <c r="E222" s="22">
        <v>0.04</v>
      </c>
      <c r="F222" s="22">
        <v>0</v>
      </c>
      <c r="G222" s="22">
        <v>0.08</v>
      </c>
      <c r="H222" s="16">
        <v>2070112</v>
      </c>
    </row>
    <row r="223" spans="1:8">
      <c r="A223" s="16">
        <v>20713</v>
      </c>
      <c r="B223" s="26">
        <v>999</v>
      </c>
      <c r="C223" s="22">
        <v>1.16</v>
      </c>
      <c r="D223" s="22">
        <v>0.89</v>
      </c>
      <c r="E223" s="22">
        <v>0.04</v>
      </c>
      <c r="F223" s="22">
        <v>0</v>
      </c>
      <c r="G223" s="22">
        <v>0.08</v>
      </c>
      <c r="H223" s="16">
        <v>2070113</v>
      </c>
    </row>
    <row r="224" spans="1:8">
      <c r="A224" s="16">
        <v>20714</v>
      </c>
      <c r="B224" s="26">
        <v>999</v>
      </c>
      <c r="C224" s="22">
        <v>2.31</v>
      </c>
      <c r="D224" s="22">
        <v>1</v>
      </c>
      <c r="E224" s="22">
        <v>0.1</v>
      </c>
      <c r="F224" s="22">
        <v>0</v>
      </c>
      <c r="G224" s="22">
        <v>0.2</v>
      </c>
      <c r="H224" s="16">
        <v>2070114</v>
      </c>
    </row>
    <row r="225" spans="1:8">
      <c r="A225" s="16">
        <v>20715</v>
      </c>
      <c r="B225" s="26">
        <v>999</v>
      </c>
      <c r="C225" s="22">
        <v>2.31</v>
      </c>
      <c r="D225" s="22">
        <v>1</v>
      </c>
      <c r="E225" s="22">
        <v>0.1</v>
      </c>
      <c r="F225" s="22">
        <v>0</v>
      </c>
      <c r="G225" s="22">
        <v>0.2</v>
      </c>
      <c r="H225" s="16">
        <v>2070115</v>
      </c>
    </row>
    <row r="226" spans="1:8">
      <c r="A226" s="16">
        <v>20716</v>
      </c>
      <c r="B226" s="26">
        <v>999</v>
      </c>
      <c r="C226" s="22">
        <v>4.8</v>
      </c>
      <c r="D226" s="22">
        <v>1.26</v>
      </c>
      <c r="E226" s="22">
        <v>0.17</v>
      </c>
      <c r="F226" s="22">
        <v>0</v>
      </c>
      <c r="G226" s="22">
        <v>0.34</v>
      </c>
      <c r="H226" s="16">
        <v>2070116</v>
      </c>
    </row>
    <row r="227" spans="1:8">
      <c r="A227" s="16">
        <v>20702</v>
      </c>
      <c r="B227" s="26">
        <v>0</v>
      </c>
      <c r="C227" s="22">
        <v>-0.1</v>
      </c>
      <c r="D227" s="22">
        <v>0.4</v>
      </c>
      <c r="E227" s="22">
        <v>0</v>
      </c>
      <c r="F227" s="22">
        <v>0</v>
      </c>
      <c r="G227" s="22">
        <v>0</v>
      </c>
      <c r="H227" s="16">
        <v>2070201</v>
      </c>
    </row>
    <row r="228" spans="1:8">
      <c r="A228" s="16">
        <v>20702</v>
      </c>
      <c r="B228" s="26">
        <v>1</v>
      </c>
      <c r="C228" s="22">
        <v>-0.1</v>
      </c>
      <c r="D228" s="22">
        <v>0.4</v>
      </c>
      <c r="E228" s="22">
        <v>0</v>
      </c>
      <c r="F228" s="22">
        <v>0</v>
      </c>
      <c r="G228" s="22">
        <v>0</v>
      </c>
      <c r="H228" s="16">
        <v>2070202</v>
      </c>
    </row>
    <row r="229" spans="1:8">
      <c r="A229" s="16">
        <v>20702</v>
      </c>
      <c r="B229" s="26">
        <v>2</v>
      </c>
      <c r="C229" s="22">
        <v>0</v>
      </c>
      <c r="D229" s="22">
        <v>0.4</v>
      </c>
      <c r="E229" s="22">
        <v>0</v>
      </c>
      <c r="F229" s="22">
        <v>0</v>
      </c>
      <c r="G229" s="22">
        <v>0</v>
      </c>
      <c r="H229" s="16">
        <v>2070203</v>
      </c>
    </row>
    <row r="230" spans="1:8">
      <c r="A230" s="16">
        <v>20704</v>
      </c>
      <c r="B230" s="26">
        <v>0</v>
      </c>
      <c r="C230" s="22">
        <v>1.2</v>
      </c>
      <c r="D230" s="22">
        <v>0</v>
      </c>
      <c r="E230" s="22">
        <v>-0.5</v>
      </c>
      <c r="F230" s="22">
        <v>0</v>
      </c>
      <c r="G230" s="22">
        <v>0</v>
      </c>
      <c r="H230" s="16">
        <v>2070401</v>
      </c>
    </row>
    <row r="231" spans="1:8">
      <c r="A231" s="16">
        <v>20704</v>
      </c>
      <c r="B231" s="26">
        <v>1</v>
      </c>
      <c r="C231" s="22">
        <v>1.2</v>
      </c>
      <c r="D231" s="22">
        <v>0</v>
      </c>
      <c r="E231" s="22">
        <v>-0.5</v>
      </c>
      <c r="F231" s="22">
        <v>0</v>
      </c>
      <c r="G231" s="22">
        <v>0</v>
      </c>
      <c r="H231" s="16">
        <v>2070402</v>
      </c>
    </row>
    <row r="232" spans="1:8">
      <c r="A232" s="16">
        <v>20901</v>
      </c>
      <c r="B232" s="26">
        <v>0</v>
      </c>
      <c r="C232" s="22">
        <v>0.3</v>
      </c>
      <c r="D232" s="22">
        <v>0</v>
      </c>
      <c r="E232" s="22">
        <v>0</v>
      </c>
      <c r="F232" s="22">
        <v>0</v>
      </c>
      <c r="G232" s="22">
        <v>0</v>
      </c>
      <c r="H232" s="16">
        <v>2090101</v>
      </c>
    </row>
    <row r="233" spans="1:8">
      <c r="A233" s="16">
        <v>20901</v>
      </c>
      <c r="B233" s="26">
        <v>1</v>
      </c>
      <c r="C233" s="22">
        <v>0.3</v>
      </c>
      <c r="D233" s="22">
        <v>0</v>
      </c>
      <c r="E233" s="22">
        <v>0</v>
      </c>
      <c r="F233" s="22">
        <v>0</v>
      </c>
      <c r="G233" s="22">
        <v>0</v>
      </c>
      <c r="H233" s="16">
        <v>2090102</v>
      </c>
    </row>
    <row r="234" spans="1:8">
      <c r="A234" s="16">
        <v>20901</v>
      </c>
      <c r="B234" s="26">
        <v>2</v>
      </c>
      <c r="C234" s="22">
        <v>0.3</v>
      </c>
      <c r="D234" s="22">
        <v>0</v>
      </c>
      <c r="E234" s="22">
        <v>0</v>
      </c>
      <c r="F234" s="22">
        <v>0</v>
      </c>
      <c r="G234" s="22">
        <v>0</v>
      </c>
      <c r="H234" s="16">
        <v>2090103</v>
      </c>
    </row>
    <row r="235" spans="1:8">
      <c r="A235" s="16">
        <v>20902</v>
      </c>
      <c r="B235" s="26">
        <v>0</v>
      </c>
      <c r="C235" s="22">
        <v>0.3</v>
      </c>
      <c r="D235" s="22">
        <v>0</v>
      </c>
      <c r="E235" s="22">
        <v>0</v>
      </c>
      <c r="F235" s="22">
        <v>0</v>
      </c>
      <c r="G235" s="22">
        <v>0</v>
      </c>
      <c r="H235" s="16">
        <v>2090201</v>
      </c>
    </row>
    <row r="236" spans="1:8">
      <c r="A236" s="16">
        <v>20902</v>
      </c>
      <c r="B236" s="26">
        <v>1</v>
      </c>
      <c r="C236" s="22">
        <v>0.3</v>
      </c>
      <c r="D236" s="22">
        <v>0</v>
      </c>
      <c r="E236" s="22">
        <v>0</v>
      </c>
      <c r="F236" s="22">
        <v>0</v>
      </c>
      <c r="G236" s="22">
        <v>0</v>
      </c>
      <c r="H236" s="16">
        <v>2090202</v>
      </c>
    </row>
    <row r="237" spans="1:8">
      <c r="A237" s="16">
        <v>20902</v>
      </c>
      <c r="B237" s="26">
        <v>2</v>
      </c>
      <c r="C237" s="22">
        <v>0.3</v>
      </c>
      <c r="D237" s="22">
        <v>0</v>
      </c>
      <c r="E237" s="22">
        <v>0</v>
      </c>
      <c r="F237" s="22">
        <v>0</v>
      </c>
      <c r="G237" s="22">
        <v>0</v>
      </c>
      <c r="H237" s="16">
        <v>2090203</v>
      </c>
    </row>
    <row r="238" spans="1:8">
      <c r="A238" s="16">
        <v>20904</v>
      </c>
      <c r="B238" s="26">
        <v>0</v>
      </c>
      <c r="C238" s="22">
        <v>0.07</v>
      </c>
      <c r="D238" s="22">
        <v>-0.07</v>
      </c>
      <c r="E238" s="22">
        <v>-0.03</v>
      </c>
      <c r="F238" s="22">
        <v>0</v>
      </c>
      <c r="G238" s="22">
        <v>0</v>
      </c>
      <c r="H238" s="16">
        <v>2090401</v>
      </c>
    </row>
    <row r="239" spans="1:8">
      <c r="A239" s="16">
        <v>20904</v>
      </c>
      <c r="B239" s="26">
        <v>1</v>
      </c>
      <c r="C239" s="22">
        <v>0.07</v>
      </c>
      <c r="D239" s="22">
        <v>-0.07</v>
      </c>
      <c r="E239" s="22">
        <v>-0.03</v>
      </c>
      <c r="F239" s="22">
        <v>0</v>
      </c>
      <c r="G239" s="22">
        <v>0</v>
      </c>
      <c r="H239" s="16">
        <v>2090402</v>
      </c>
    </row>
    <row r="240" spans="1:8">
      <c r="A240" s="16">
        <v>20904</v>
      </c>
      <c r="B240" s="26">
        <v>2</v>
      </c>
      <c r="C240" s="22">
        <v>0.07</v>
      </c>
      <c r="D240" s="22">
        <v>-0.07</v>
      </c>
      <c r="E240" s="22">
        <v>-0.03</v>
      </c>
      <c r="F240" s="22">
        <v>0</v>
      </c>
      <c r="G240" s="22">
        <v>0</v>
      </c>
      <c r="H240" s="16">
        <v>2090403</v>
      </c>
    </row>
    <row r="241" spans="1:8">
      <c r="A241" s="16">
        <v>20905</v>
      </c>
      <c r="B241" s="26">
        <v>0</v>
      </c>
      <c r="C241" s="22">
        <v>0.3</v>
      </c>
      <c r="D241" s="22">
        <v>0</v>
      </c>
      <c r="E241" s="22">
        <v>0.3</v>
      </c>
      <c r="F241" s="22">
        <v>0</v>
      </c>
      <c r="G241" s="22">
        <v>0</v>
      </c>
      <c r="H241" s="16">
        <v>2090501</v>
      </c>
    </row>
    <row r="242" spans="1:8">
      <c r="A242" s="16">
        <v>20905</v>
      </c>
      <c r="B242" s="26">
        <v>1</v>
      </c>
      <c r="C242" s="22">
        <v>0.3</v>
      </c>
      <c r="D242" s="22">
        <v>0</v>
      </c>
      <c r="E242" s="22">
        <v>0.3</v>
      </c>
      <c r="F242" s="22">
        <v>0</v>
      </c>
      <c r="G242" s="22">
        <v>0</v>
      </c>
      <c r="H242" s="16">
        <v>2090502</v>
      </c>
    </row>
    <row r="243" spans="1:8">
      <c r="A243" s="16">
        <v>20905</v>
      </c>
      <c r="B243" s="26">
        <v>2</v>
      </c>
      <c r="C243" s="22">
        <v>0.3</v>
      </c>
      <c r="D243" s="22">
        <v>0</v>
      </c>
      <c r="E243" s="22">
        <v>0.3</v>
      </c>
      <c r="F243" s="22">
        <v>0</v>
      </c>
      <c r="G243" s="22">
        <v>0</v>
      </c>
      <c r="H243" s="16">
        <v>2090503</v>
      </c>
    </row>
    <row r="244" spans="1:8">
      <c r="A244" s="16">
        <v>20906</v>
      </c>
      <c r="B244" s="26">
        <v>0</v>
      </c>
      <c r="C244" s="22">
        <v>0.3</v>
      </c>
      <c r="D244" s="22">
        <v>0</v>
      </c>
      <c r="E244" s="22">
        <v>0</v>
      </c>
      <c r="F244" s="22">
        <v>0</v>
      </c>
      <c r="G244" s="22">
        <v>0</v>
      </c>
      <c r="H244" s="16">
        <v>2090601</v>
      </c>
    </row>
    <row r="245" spans="1:8">
      <c r="A245" s="16">
        <v>20906</v>
      </c>
      <c r="B245" s="26">
        <v>1</v>
      </c>
      <c r="C245" s="22">
        <v>0.3</v>
      </c>
      <c r="D245" s="22">
        <v>0</v>
      </c>
      <c r="E245" s="22">
        <v>0</v>
      </c>
      <c r="F245" s="22">
        <v>0</v>
      </c>
      <c r="G245" s="22">
        <v>0</v>
      </c>
      <c r="H245" s="16">
        <v>2090602</v>
      </c>
    </row>
    <row r="246" spans="1:8">
      <c r="A246" s="16">
        <v>20906</v>
      </c>
      <c r="B246" s="26">
        <v>2</v>
      </c>
      <c r="C246" s="22">
        <v>0.3</v>
      </c>
      <c r="D246" s="22">
        <v>0</v>
      </c>
      <c r="E246" s="22">
        <v>0</v>
      </c>
      <c r="F246" s="22">
        <v>0</v>
      </c>
      <c r="G246" s="22">
        <v>0</v>
      </c>
      <c r="H246" s="16">
        <v>2090603</v>
      </c>
    </row>
    <row r="247" spans="1:8">
      <c r="A247" s="16">
        <v>20907</v>
      </c>
      <c r="B247" s="26">
        <v>0</v>
      </c>
      <c r="C247" s="22">
        <v>0.45</v>
      </c>
      <c r="D247" s="22">
        <v>0</v>
      </c>
      <c r="E247" s="22">
        <v>0</v>
      </c>
      <c r="F247" s="22">
        <v>0</v>
      </c>
      <c r="G247" s="22">
        <v>0</v>
      </c>
      <c r="H247" s="16">
        <v>2090701</v>
      </c>
    </row>
    <row r="248" spans="1:8">
      <c r="A248" s="16">
        <v>20907</v>
      </c>
      <c r="B248" s="26">
        <v>1</v>
      </c>
      <c r="C248" s="22">
        <v>0.45</v>
      </c>
      <c r="D248" s="22">
        <v>0</v>
      </c>
      <c r="E248" s="22">
        <v>0</v>
      </c>
      <c r="F248" s="22">
        <v>0</v>
      </c>
      <c r="G248" s="22">
        <v>0</v>
      </c>
      <c r="H248" s="16">
        <v>2090702</v>
      </c>
    </row>
    <row r="249" spans="1:8">
      <c r="A249" s="16">
        <v>20907</v>
      </c>
      <c r="B249" s="26">
        <v>2</v>
      </c>
      <c r="C249" s="22">
        <v>0.45</v>
      </c>
      <c r="D249" s="22">
        <v>0</v>
      </c>
      <c r="E249" s="22">
        <v>0</v>
      </c>
      <c r="F249" s="22">
        <v>0</v>
      </c>
      <c r="G249" s="22">
        <v>0</v>
      </c>
      <c r="H249" s="16">
        <v>2090703</v>
      </c>
    </row>
    <row r="250" spans="1:8">
      <c r="A250" s="16">
        <v>20908</v>
      </c>
      <c r="B250" s="26">
        <v>999</v>
      </c>
      <c r="C250" s="22">
        <v>0.35</v>
      </c>
      <c r="D250" s="22">
        <v>0</v>
      </c>
      <c r="E250" s="22">
        <v>0</v>
      </c>
      <c r="F250" s="22">
        <v>0</v>
      </c>
      <c r="G250" s="22">
        <v>0</v>
      </c>
      <c r="H250" s="16">
        <v>2090801</v>
      </c>
    </row>
    <row r="251" spans="1:8">
      <c r="A251" s="16">
        <v>20909</v>
      </c>
      <c r="B251" s="26">
        <v>999</v>
      </c>
      <c r="C251" s="22">
        <v>0.5</v>
      </c>
      <c r="D251" s="22">
        <v>0</v>
      </c>
      <c r="E251" s="22">
        <v>0</v>
      </c>
      <c r="F251" s="22">
        <v>0</v>
      </c>
      <c r="G251" s="22">
        <v>0</v>
      </c>
      <c r="H251" s="16">
        <v>2090901</v>
      </c>
    </row>
    <row r="252" spans="1:8">
      <c r="A252" s="16">
        <v>20910</v>
      </c>
      <c r="B252" s="26">
        <v>0</v>
      </c>
      <c r="C252" s="22">
        <v>0.4</v>
      </c>
      <c r="D252" s="22">
        <v>0</v>
      </c>
      <c r="E252" s="22">
        <v>0</v>
      </c>
      <c r="F252" s="22">
        <v>0</v>
      </c>
      <c r="G252" s="22">
        <v>0</v>
      </c>
      <c r="H252" s="16">
        <v>2091001</v>
      </c>
    </row>
    <row r="253" spans="1:8">
      <c r="A253" s="16">
        <v>20910</v>
      </c>
      <c r="B253" s="26">
        <v>1</v>
      </c>
      <c r="C253" s="22">
        <v>0.4</v>
      </c>
      <c r="D253" s="22">
        <v>0</v>
      </c>
      <c r="E253" s="22">
        <v>0</v>
      </c>
      <c r="F253" s="22">
        <v>0</v>
      </c>
      <c r="G253" s="22">
        <v>0</v>
      </c>
      <c r="H253" s="16">
        <v>2091002</v>
      </c>
    </row>
    <row r="254" spans="1:8">
      <c r="A254" s="16">
        <v>20910</v>
      </c>
      <c r="B254" s="26">
        <v>2</v>
      </c>
      <c r="C254" s="22">
        <v>0.4</v>
      </c>
      <c r="D254" s="22">
        <v>0</v>
      </c>
      <c r="E254" s="22">
        <v>0</v>
      </c>
      <c r="F254" s="22">
        <v>0</v>
      </c>
      <c r="G254" s="22">
        <v>0</v>
      </c>
      <c r="H254" s="16">
        <v>2091003</v>
      </c>
    </row>
    <row r="255" spans="1:8">
      <c r="A255" s="16">
        <v>20912</v>
      </c>
      <c r="B255" s="26">
        <v>0</v>
      </c>
      <c r="C255" s="22">
        <v>0.3</v>
      </c>
      <c r="D255" s="22">
        <v>0</v>
      </c>
      <c r="E255" s="22">
        <v>0.15</v>
      </c>
      <c r="F255" s="22">
        <v>0</v>
      </c>
      <c r="G255" s="22">
        <v>0</v>
      </c>
      <c r="H255" s="16">
        <v>2091201</v>
      </c>
    </row>
    <row r="256" spans="1:8">
      <c r="A256" s="16">
        <v>20912</v>
      </c>
      <c r="B256" s="26">
        <v>1</v>
      </c>
      <c r="C256" s="22">
        <v>0.3</v>
      </c>
      <c r="D256" s="22">
        <v>0</v>
      </c>
      <c r="E256" s="22">
        <v>0.15</v>
      </c>
      <c r="F256" s="22">
        <v>0</v>
      </c>
      <c r="G256" s="22">
        <v>0</v>
      </c>
      <c r="H256" s="16">
        <v>2091202</v>
      </c>
    </row>
    <row r="257" spans="1:8">
      <c r="A257" s="16">
        <v>20912</v>
      </c>
      <c r="B257" s="26">
        <v>2</v>
      </c>
      <c r="C257" s="22">
        <v>0.3</v>
      </c>
      <c r="D257" s="22">
        <v>0</v>
      </c>
      <c r="E257" s="22">
        <v>0.15</v>
      </c>
      <c r="F257" s="22">
        <v>0</v>
      </c>
      <c r="G257" s="22">
        <v>0</v>
      </c>
      <c r="H257" s="16">
        <v>2091203</v>
      </c>
    </row>
    <row r="258" spans="1:8">
      <c r="A258" s="16">
        <v>20913</v>
      </c>
      <c r="B258" s="26">
        <v>0</v>
      </c>
      <c r="C258" s="22">
        <v>0.4</v>
      </c>
      <c r="D258" s="22">
        <v>0</v>
      </c>
      <c r="E258" s="22">
        <v>0.15</v>
      </c>
      <c r="F258" s="22">
        <v>0</v>
      </c>
      <c r="G258" s="22">
        <v>0</v>
      </c>
      <c r="H258" s="16">
        <v>2091301</v>
      </c>
    </row>
    <row r="259" spans="1:8">
      <c r="A259" s="16">
        <v>20913</v>
      </c>
      <c r="B259" s="26">
        <v>1</v>
      </c>
      <c r="C259" s="22">
        <v>0.4</v>
      </c>
      <c r="D259" s="22">
        <v>0</v>
      </c>
      <c r="E259" s="22">
        <v>0.15</v>
      </c>
      <c r="F259" s="22">
        <v>0</v>
      </c>
      <c r="G259" s="22">
        <v>0</v>
      </c>
      <c r="H259" s="16">
        <v>2091302</v>
      </c>
    </row>
    <row r="260" spans="1:8">
      <c r="A260" s="16">
        <v>20913</v>
      </c>
      <c r="B260" s="26">
        <v>2</v>
      </c>
      <c r="C260" s="22">
        <v>0.4</v>
      </c>
      <c r="D260" s="22">
        <v>0</v>
      </c>
      <c r="E260" s="22">
        <v>0.15</v>
      </c>
      <c r="F260" s="22">
        <v>0</v>
      </c>
      <c r="G260" s="22">
        <v>0</v>
      </c>
      <c r="H260" s="16">
        <v>2091303</v>
      </c>
    </row>
    <row r="261" spans="1:8">
      <c r="A261" s="16">
        <v>20914</v>
      </c>
      <c r="B261" s="26">
        <v>0</v>
      </c>
      <c r="C261" s="22">
        <v>0.3</v>
      </c>
      <c r="D261" s="22">
        <v>0</v>
      </c>
      <c r="E261" s="22">
        <v>0</v>
      </c>
      <c r="F261" s="22">
        <v>0</v>
      </c>
      <c r="G261" s="22">
        <v>0</v>
      </c>
      <c r="H261" s="16">
        <v>2091401</v>
      </c>
    </row>
    <row r="262" spans="1:8">
      <c r="A262" s="16">
        <v>20914</v>
      </c>
      <c r="B262" s="26">
        <v>1</v>
      </c>
      <c r="C262" s="22">
        <v>0.3</v>
      </c>
      <c r="D262" s="22">
        <v>0</v>
      </c>
      <c r="E262" s="22">
        <v>0</v>
      </c>
      <c r="F262" s="22">
        <v>0</v>
      </c>
      <c r="G262" s="22">
        <v>0</v>
      </c>
      <c r="H262" s="16">
        <v>2091402</v>
      </c>
    </row>
    <row r="263" spans="1:8">
      <c r="A263" s="16">
        <v>20914</v>
      </c>
      <c r="B263" s="26">
        <v>2</v>
      </c>
      <c r="C263" s="22">
        <v>0.3</v>
      </c>
      <c r="D263" s="22">
        <v>0</v>
      </c>
      <c r="E263" s="22">
        <v>0</v>
      </c>
      <c r="F263" s="22">
        <v>0</v>
      </c>
      <c r="G263" s="22">
        <v>0</v>
      </c>
      <c r="H263" s="16">
        <v>2091403</v>
      </c>
    </row>
    <row r="264" spans="1:8">
      <c r="A264" s="16">
        <v>20915</v>
      </c>
      <c r="B264" s="26">
        <v>0</v>
      </c>
      <c r="C264" s="22">
        <v>0</v>
      </c>
      <c r="D264" s="22">
        <v>0</v>
      </c>
      <c r="E264" s="22">
        <v>0</v>
      </c>
      <c r="F264" s="22">
        <v>0</v>
      </c>
      <c r="G264" s="22">
        <v>0</v>
      </c>
      <c r="H264" s="16">
        <v>2091501</v>
      </c>
    </row>
    <row r="265" spans="1:8">
      <c r="A265" s="16">
        <v>20915</v>
      </c>
      <c r="B265" s="26">
        <v>1</v>
      </c>
      <c r="C265" s="22">
        <v>0</v>
      </c>
      <c r="D265" s="22">
        <v>0</v>
      </c>
      <c r="E265" s="22">
        <v>0</v>
      </c>
      <c r="F265" s="22">
        <v>0</v>
      </c>
      <c r="G265" s="22">
        <v>0</v>
      </c>
      <c r="H265" s="16">
        <v>2091502</v>
      </c>
    </row>
    <row r="266" spans="1:8">
      <c r="A266" s="16">
        <v>20915</v>
      </c>
      <c r="B266" s="26">
        <v>2</v>
      </c>
      <c r="C266" s="22">
        <v>0</v>
      </c>
      <c r="D266" s="22">
        <v>0</v>
      </c>
      <c r="E266" s="22">
        <v>0</v>
      </c>
      <c r="F266" s="22">
        <v>0</v>
      </c>
      <c r="G266" s="22">
        <v>0</v>
      </c>
      <c r="H266" s="16">
        <v>2091503</v>
      </c>
    </row>
    <row r="267" spans="1:8">
      <c r="A267" s="16">
        <v>20916</v>
      </c>
      <c r="B267" s="26">
        <v>0</v>
      </c>
      <c r="C267" s="22">
        <v>0.3</v>
      </c>
      <c r="D267" s="22">
        <v>0</v>
      </c>
      <c r="E267" s="22">
        <v>0</v>
      </c>
      <c r="F267" s="22">
        <v>0</v>
      </c>
      <c r="G267" s="22">
        <v>0</v>
      </c>
      <c r="H267" s="16">
        <v>2091601</v>
      </c>
    </row>
    <row r="268" spans="1:8">
      <c r="A268" s="16">
        <v>20916</v>
      </c>
      <c r="B268" s="26">
        <v>1</v>
      </c>
      <c r="C268" s="22">
        <v>0.3</v>
      </c>
      <c r="D268" s="22">
        <v>0</v>
      </c>
      <c r="E268" s="22">
        <v>0</v>
      </c>
      <c r="F268" s="22">
        <v>0</v>
      </c>
      <c r="G268" s="22">
        <v>0</v>
      </c>
      <c r="H268" s="16">
        <v>2091602</v>
      </c>
    </row>
    <row r="269" spans="1:8">
      <c r="A269" s="16">
        <v>20916</v>
      </c>
      <c r="B269" s="26">
        <v>2</v>
      </c>
      <c r="C269" s="22">
        <v>0.3</v>
      </c>
      <c r="D269" s="22">
        <v>0</v>
      </c>
      <c r="E269" s="22">
        <v>0</v>
      </c>
      <c r="F269" s="22">
        <v>0</v>
      </c>
      <c r="G269" s="22">
        <v>0</v>
      </c>
      <c r="H269" s="16">
        <v>2091603</v>
      </c>
    </row>
    <row r="270" spans="1:8">
      <c r="A270" s="16">
        <v>20917</v>
      </c>
      <c r="B270" s="26">
        <v>0</v>
      </c>
      <c r="C270" s="22">
        <v>0.3</v>
      </c>
      <c r="D270" s="22">
        <v>0</v>
      </c>
      <c r="E270" s="22">
        <v>0</v>
      </c>
      <c r="F270" s="22">
        <v>0</v>
      </c>
      <c r="G270" s="22">
        <v>0</v>
      </c>
      <c r="H270" s="16">
        <v>2091701</v>
      </c>
    </row>
    <row r="271" spans="1:8">
      <c r="A271" s="16">
        <v>20917</v>
      </c>
      <c r="B271" s="26">
        <v>1</v>
      </c>
      <c r="C271" s="22">
        <v>0.3</v>
      </c>
      <c r="D271" s="22">
        <v>0</v>
      </c>
      <c r="E271" s="22">
        <v>0</v>
      </c>
      <c r="F271" s="22">
        <v>0</v>
      </c>
      <c r="G271" s="22">
        <v>0</v>
      </c>
      <c r="H271" s="16">
        <v>2091702</v>
      </c>
    </row>
    <row r="272" spans="1:8">
      <c r="A272" s="16">
        <v>20917</v>
      </c>
      <c r="B272" s="26">
        <v>2</v>
      </c>
      <c r="C272" s="22">
        <v>0.3</v>
      </c>
      <c r="D272" s="22">
        <v>0</v>
      </c>
      <c r="E272" s="22">
        <v>0</v>
      </c>
      <c r="F272" s="22">
        <v>0</v>
      </c>
      <c r="G272" s="22">
        <v>0</v>
      </c>
      <c r="H272" s="16">
        <v>2091703</v>
      </c>
    </row>
    <row r="273" spans="1:8">
      <c r="A273" s="16">
        <v>20918</v>
      </c>
      <c r="B273" s="26">
        <v>0</v>
      </c>
      <c r="C273" s="22">
        <v>0.3</v>
      </c>
      <c r="D273" s="22">
        <v>0</v>
      </c>
      <c r="E273" s="22">
        <v>0.2</v>
      </c>
      <c r="F273" s="22">
        <v>0</v>
      </c>
      <c r="G273" s="22">
        <v>0</v>
      </c>
      <c r="H273" s="16">
        <v>2091801</v>
      </c>
    </row>
    <row r="274" spans="1:8">
      <c r="A274" s="16">
        <v>20918</v>
      </c>
      <c r="B274" s="26">
        <v>1</v>
      </c>
      <c r="C274" s="22">
        <v>0.3</v>
      </c>
      <c r="D274" s="22">
        <v>0</v>
      </c>
      <c r="E274" s="22">
        <v>0.2</v>
      </c>
      <c r="F274" s="22">
        <v>0</v>
      </c>
      <c r="G274" s="22">
        <v>0</v>
      </c>
      <c r="H274" s="16">
        <v>2091802</v>
      </c>
    </row>
    <row r="275" spans="1:8">
      <c r="A275" s="16">
        <v>20918</v>
      </c>
      <c r="B275" s="26">
        <v>2</v>
      </c>
      <c r="C275" s="22">
        <v>0.3</v>
      </c>
      <c r="D275" s="22">
        <v>0</v>
      </c>
      <c r="E275" s="22">
        <v>0.2</v>
      </c>
      <c r="F275" s="22">
        <v>0</v>
      </c>
      <c r="G275" s="22">
        <v>0</v>
      </c>
      <c r="H275" s="16">
        <v>2091803</v>
      </c>
    </row>
    <row r="276" spans="1:8">
      <c r="A276" s="16">
        <v>20919</v>
      </c>
      <c r="B276" s="26">
        <v>0</v>
      </c>
      <c r="C276" s="22">
        <v>0.5</v>
      </c>
      <c r="D276" s="22">
        <v>0</v>
      </c>
      <c r="E276" s="22">
        <v>0</v>
      </c>
      <c r="F276" s="22">
        <v>0</v>
      </c>
      <c r="G276" s="22">
        <v>0</v>
      </c>
      <c r="H276" s="16">
        <v>2091901</v>
      </c>
    </row>
    <row r="277" spans="1:8">
      <c r="A277" s="16">
        <v>20919</v>
      </c>
      <c r="B277" s="26">
        <v>1</v>
      </c>
      <c r="C277" s="22">
        <v>0.5</v>
      </c>
      <c r="D277" s="22">
        <v>0</v>
      </c>
      <c r="E277" s="22">
        <v>0</v>
      </c>
      <c r="F277" s="22">
        <v>0</v>
      </c>
      <c r="G277" s="22">
        <v>0</v>
      </c>
      <c r="H277" s="16">
        <v>2091902</v>
      </c>
    </row>
    <row r="278" spans="1:8">
      <c r="A278" s="16">
        <v>20919</v>
      </c>
      <c r="B278" s="26">
        <v>2</v>
      </c>
      <c r="C278" s="22">
        <v>0.5</v>
      </c>
      <c r="D278" s="22">
        <v>0</v>
      </c>
      <c r="E278" s="22">
        <v>0</v>
      </c>
      <c r="F278" s="22">
        <v>0</v>
      </c>
      <c r="G278" s="22">
        <v>0</v>
      </c>
      <c r="H278" s="16">
        <v>2091903</v>
      </c>
    </row>
    <row r="279" spans="1:8">
      <c r="A279" s="16">
        <v>20920</v>
      </c>
      <c r="B279" s="26">
        <v>0</v>
      </c>
      <c r="C279" s="22">
        <v>0.5</v>
      </c>
      <c r="D279" s="22">
        <v>0</v>
      </c>
      <c r="E279" s="22">
        <v>0.2</v>
      </c>
      <c r="F279" s="22">
        <v>0</v>
      </c>
      <c r="G279" s="22">
        <v>0</v>
      </c>
      <c r="H279" s="16">
        <v>2092001</v>
      </c>
    </row>
    <row r="280" spans="1:8">
      <c r="A280" s="16">
        <v>20920</v>
      </c>
      <c r="B280" s="26">
        <v>1</v>
      </c>
      <c r="C280" s="22">
        <v>0.5</v>
      </c>
      <c r="D280" s="22">
        <v>0</v>
      </c>
      <c r="E280" s="22">
        <v>0.2</v>
      </c>
      <c r="F280" s="22">
        <v>0</v>
      </c>
      <c r="G280" s="22">
        <v>0</v>
      </c>
      <c r="H280" s="16">
        <v>2092002</v>
      </c>
    </row>
    <row r="281" spans="1:8">
      <c r="A281" s="16">
        <v>20920</v>
      </c>
      <c r="B281" s="26">
        <v>2</v>
      </c>
      <c r="C281" s="22">
        <v>0.5</v>
      </c>
      <c r="D281" s="22">
        <v>0</v>
      </c>
      <c r="E281" s="22">
        <v>0.2</v>
      </c>
      <c r="F281" s="22">
        <v>0</v>
      </c>
      <c r="G281" s="22">
        <v>0</v>
      </c>
      <c r="H281" s="16">
        <v>2092003</v>
      </c>
    </row>
    <row r="282" spans="1:8">
      <c r="A282" s="16">
        <v>20921</v>
      </c>
      <c r="B282" s="26">
        <v>0</v>
      </c>
      <c r="C282" s="22">
        <v>0.6</v>
      </c>
      <c r="D282" s="22">
        <v>0</v>
      </c>
      <c r="E282" s="22">
        <v>0</v>
      </c>
      <c r="F282" s="22">
        <v>0</v>
      </c>
      <c r="G282" s="22">
        <v>0</v>
      </c>
      <c r="H282" s="16">
        <v>2092101</v>
      </c>
    </row>
    <row r="283" spans="1:8">
      <c r="A283" s="16">
        <v>20921</v>
      </c>
      <c r="B283" s="26">
        <v>1</v>
      </c>
      <c r="C283" s="22">
        <v>0.6</v>
      </c>
      <c r="D283" s="22">
        <v>0</v>
      </c>
      <c r="E283" s="22">
        <v>0</v>
      </c>
      <c r="F283" s="22">
        <v>0</v>
      </c>
      <c r="G283" s="22">
        <v>0</v>
      </c>
      <c r="H283" s="16">
        <v>2092102</v>
      </c>
    </row>
    <row r="284" spans="1:8">
      <c r="A284" s="16">
        <v>20921</v>
      </c>
      <c r="B284" s="26">
        <v>2</v>
      </c>
      <c r="C284" s="22">
        <v>0.6</v>
      </c>
      <c r="D284" s="22">
        <v>0</v>
      </c>
      <c r="E284" s="22">
        <v>0</v>
      </c>
      <c r="F284" s="22">
        <v>0</v>
      </c>
      <c r="G284" s="22">
        <v>0</v>
      </c>
      <c r="H284" s="16">
        <v>2092103</v>
      </c>
    </row>
    <row r="285" spans="1:8">
      <c r="A285" s="16">
        <v>20922</v>
      </c>
      <c r="B285" s="26">
        <v>999</v>
      </c>
      <c r="C285" s="22">
        <v>1</v>
      </c>
      <c r="D285" s="22">
        <v>0</v>
      </c>
      <c r="E285" s="22">
        <v>0</v>
      </c>
      <c r="F285" s="22">
        <v>0</v>
      </c>
      <c r="G285" s="22">
        <v>0</v>
      </c>
      <c r="H285" s="16">
        <v>2092201</v>
      </c>
    </row>
    <row r="286" spans="1:8">
      <c r="A286" s="16">
        <v>20923</v>
      </c>
      <c r="B286" s="26">
        <v>999</v>
      </c>
      <c r="C286" s="22">
        <v>1.2</v>
      </c>
      <c r="D286" s="22">
        <v>0</v>
      </c>
      <c r="E286" s="22">
        <v>0</v>
      </c>
      <c r="F286" s="22">
        <v>0</v>
      </c>
      <c r="G286" s="22">
        <v>0</v>
      </c>
      <c r="H286" s="16">
        <v>2092301</v>
      </c>
    </row>
    <row r="287" spans="1:8">
      <c r="A287" s="16">
        <v>20924</v>
      </c>
      <c r="B287" s="26">
        <v>999</v>
      </c>
      <c r="C287" s="22">
        <v>0.45</v>
      </c>
      <c r="D287" s="22">
        <v>0</v>
      </c>
      <c r="E287" s="22">
        <v>0</v>
      </c>
      <c r="F287" s="22">
        <v>0</v>
      </c>
      <c r="G287" s="22">
        <v>0</v>
      </c>
      <c r="H287" s="16">
        <v>2092401</v>
      </c>
    </row>
    <row r="288" spans="1:8">
      <c r="A288" s="16">
        <v>20925</v>
      </c>
      <c r="B288" s="26">
        <v>999</v>
      </c>
      <c r="C288" s="22">
        <v>1</v>
      </c>
      <c r="D288" s="22">
        <v>0</v>
      </c>
      <c r="E288" s="22">
        <v>0</v>
      </c>
      <c r="F288" s="22">
        <v>0</v>
      </c>
      <c r="G288" s="22">
        <v>0</v>
      </c>
      <c r="H288" s="16">
        <v>2092501</v>
      </c>
    </row>
    <row r="289" spans="1:8">
      <c r="A289" s="16">
        <v>20926</v>
      </c>
      <c r="B289" s="26">
        <v>999</v>
      </c>
      <c r="C289" s="22">
        <v>1.1</v>
      </c>
      <c r="D289" s="22">
        <v>0</v>
      </c>
      <c r="E289" s="22">
        <v>0</v>
      </c>
      <c r="F289" s="22">
        <v>0</v>
      </c>
      <c r="G289" s="22">
        <v>0</v>
      </c>
      <c r="H289" s="16">
        <v>2092601</v>
      </c>
    </row>
    <row r="290" spans="1:8">
      <c r="A290" s="16">
        <v>20927</v>
      </c>
      <c r="B290" s="26">
        <v>999</v>
      </c>
      <c r="C290" s="22">
        <v>1.15</v>
      </c>
      <c r="D290" s="22">
        <v>0</v>
      </c>
      <c r="E290" s="22">
        <v>0</v>
      </c>
      <c r="F290" s="22">
        <v>0</v>
      </c>
      <c r="G290" s="22">
        <v>0</v>
      </c>
      <c r="H290" s="16">
        <v>2092701</v>
      </c>
    </row>
    <row r="291" spans="1:8">
      <c r="A291" s="16">
        <v>20928</v>
      </c>
      <c r="B291" s="26">
        <v>999</v>
      </c>
      <c r="C291" s="22">
        <v>0.4</v>
      </c>
      <c r="D291" s="22">
        <v>0</v>
      </c>
      <c r="E291" s="22">
        <v>0</v>
      </c>
      <c r="F291" s="22">
        <v>0</v>
      </c>
      <c r="G291" s="22">
        <v>0</v>
      </c>
      <c r="H291" s="16">
        <v>2092801</v>
      </c>
    </row>
    <row r="292" spans="1:8">
      <c r="A292" s="16">
        <v>20929</v>
      </c>
      <c r="B292" s="26">
        <v>999</v>
      </c>
      <c r="C292" s="22">
        <v>0.7</v>
      </c>
      <c r="D292" s="22">
        <v>0</v>
      </c>
      <c r="E292" s="22">
        <v>0</v>
      </c>
      <c r="F292" s="22">
        <v>0</v>
      </c>
      <c r="G292" s="22">
        <v>0</v>
      </c>
      <c r="H292" s="16">
        <v>2092901</v>
      </c>
    </row>
    <row r="293" spans="1:8">
      <c r="A293" s="16">
        <v>20930</v>
      </c>
      <c r="B293" s="26">
        <v>999</v>
      </c>
      <c r="C293" s="22">
        <v>1.4</v>
      </c>
      <c r="D293" s="22">
        <v>0</v>
      </c>
      <c r="E293" s="22">
        <v>0</v>
      </c>
      <c r="F293" s="22">
        <v>0</v>
      </c>
      <c r="G293" s="22">
        <v>0</v>
      </c>
      <c r="H293" s="16">
        <v>2093001</v>
      </c>
    </row>
    <row r="294" spans="1:8">
      <c r="A294" s="16">
        <v>20931</v>
      </c>
      <c r="B294" s="26">
        <v>999</v>
      </c>
      <c r="C294" s="22">
        <v>0.67</v>
      </c>
      <c r="D294" s="22">
        <v>0</v>
      </c>
      <c r="E294" s="22">
        <v>0</v>
      </c>
      <c r="F294" s="22">
        <v>0</v>
      </c>
      <c r="G294" s="22">
        <v>0</v>
      </c>
      <c r="H294" s="16">
        <v>2093101</v>
      </c>
    </row>
    <row r="295" spans="1:8">
      <c r="A295" s="16">
        <v>20932</v>
      </c>
      <c r="B295" s="26">
        <v>999</v>
      </c>
      <c r="C295" s="22">
        <v>1.5</v>
      </c>
      <c r="D295" s="22">
        <v>0</v>
      </c>
      <c r="E295" s="22">
        <v>0</v>
      </c>
      <c r="F295" s="22">
        <v>0</v>
      </c>
      <c r="G295" s="22">
        <v>0</v>
      </c>
      <c r="H295" s="16">
        <v>2093201</v>
      </c>
    </row>
    <row r="296" spans="1:8">
      <c r="A296" s="16">
        <v>20933</v>
      </c>
      <c r="B296" s="26">
        <v>999</v>
      </c>
      <c r="C296" s="22">
        <v>1.2</v>
      </c>
      <c r="D296" s="22">
        <v>-0.25</v>
      </c>
      <c r="E296" s="22">
        <v>0</v>
      </c>
      <c r="F296" s="22">
        <v>0</v>
      </c>
      <c r="G296" s="22">
        <v>0</v>
      </c>
      <c r="H296" s="16">
        <v>2093301</v>
      </c>
    </row>
    <row r="297" spans="1:8">
      <c r="A297" s="16">
        <v>20934</v>
      </c>
      <c r="B297" s="26">
        <v>999</v>
      </c>
      <c r="C297" s="22">
        <v>0.75</v>
      </c>
      <c r="D297" s="22">
        <v>0</v>
      </c>
      <c r="E297" s="22">
        <v>0</v>
      </c>
      <c r="F297" s="22">
        <v>0</v>
      </c>
      <c r="G297" s="22">
        <v>0</v>
      </c>
      <c r="H297" s="16">
        <v>2093401</v>
      </c>
    </row>
    <row r="298" spans="1:8">
      <c r="A298" s="16">
        <v>20935</v>
      </c>
      <c r="B298" s="26">
        <v>999</v>
      </c>
      <c r="C298" s="22">
        <v>1.95</v>
      </c>
      <c r="D298" s="22">
        <v>0</v>
      </c>
      <c r="E298" s="22">
        <v>0</v>
      </c>
      <c r="F298" s="22">
        <v>0</v>
      </c>
      <c r="G298" s="22">
        <v>0</v>
      </c>
      <c r="H298" s="16">
        <v>2093501</v>
      </c>
    </row>
    <row r="299" spans="1:8">
      <c r="A299" s="16">
        <v>20936</v>
      </c>
      <c r="B299" s="26">
        <v>999</v>
      </c>
      <c r="C299" s="22">
        <v>1.65</v>
      </c>
      <c r="D299" s="22">
        <v>-0.25</v>
      </c>
      <c r="E299" s="22">
        <v>0</v>
      </c>
      <c r="F299" s="22">
        <v>0</v>
      </c>
      <c r="G299" s="22">
        <v>0</v>
      </c>
      <c r="H299" s="16">
        <v>2093601</v>
      </c>
    </row>
    <row r="300" spans="1:8">
      <c r="A300" s="16">
        <v>20937</v>
      </c>
      <c r="B300" s="26">
        <v>999</v>
      </c>
      <c r="C300" s="22">
        <v>1.1</v>
      </c>
      <c r="D300" s="22">
        <v>0</v>
      </c>
      <c r="E300" s="22">
        <v>0</v>
      </c>
      <c r="F300" s="22">
        <v>0</v>
      </c>
      <c r="G300" s="22">
        <v>0</v>
      </c>
      <c r="H300" s="16">
        <v>2093701</v>
      </c>
    </row>
    <row r="301" spans="1:8">
      <c r="A301" s="16">
        <v>20938</v>
      </c>
      <c r="B301" s="26">
        <v>999</v>
      </c>
      <c r="C301" s="22">
        <v>1.45</v>
      </c>
      <c r="D301" s="22">
        <v>-0.4</v>
      </c>
      <c r="E301" s="22">
        <v>0</v>
      </c>
      <c r="F301" s="22">
        <v>0</v>
      </c>
      <c r="G301" s="22">
        <v>0</v>
      </c>
      <c r="H301" s="16">
        <v>2093801</v>
      </c>
    </row>
    <row r="302" spans="1:8">
      <c r="A302" s="16">
        <v>20939</v>
      </c>
      <c r="B302" s="26">
        <v>999</v>
      </c>
      <c r="C302" s="22">
        <v>2.5</v>
      </c>
      <c r="D302" s="22">
        <v>0</v>
      </c>
      <c r="E302" s="22">
        <v>0</v>
      </c>
      <c r="F302" s="22">
        <v>0</v>
      </c>
      <c r="G302" s="22">
        <v>0</v>
      </c>
      <c r="H302" s="16">
        <v>2093901</v>
      </c>
    </row>
    <row r="303" spans="1:8">
      <c r="A303" s="16">
        <v>20940</v>
      </c>
      <c r="B303" s="26">
        <v>999</v>
      </c>
      <c r="C303" s="22">
        <v>2.1</v>
      </c>
      <c r="D303" s="22">
        <v>-0.25</v>
      </c>
      <c r="E303" s="22">
        <v>0</v>
      </c>
      <c r="F303" s="22">
        <v>0</v>
      </c>
      <c r="G303" s="22">
        <v>0</v>
      </c>
      <c r="H303" s="16">
        <v>2094001</v>
      </c>
    </row>
    <row r="304" spans="1:8">
      <c r="A304" s="16">
        <v>20942</v>
      </c>
      <c r="B304" s="26">
        <v>999</v>
      </c>
      <c r="C304" s="22">
        <v>2.7</v>
      </c>
      <c r="D304" s="22">
        <v>0</v>
      </c>
      <c r="E304" s="22">
        <v>0</v>
      </c>
      <c r="F304" s="22">
        <v>0</v>
      </c>
      <c r="G304" s="22">
        <v>0</v>
      </c>
      <c r="H304" s="16">
        <v>2094201</v>
      </c>
    </row>
    <row r="305" spans="1:8">
      <c r="A305" s="16">
        <v>20943</v>
      </c>
      <c r="B305" s="26">
        <v>999</v>
      </c>
      <c r="C305" s="22">
        <v>2.3</v>
      </c>
      <c r="D305" s="22">
        <v>-0.25</v>
      </c>
      <c r="E305" s="22">
        <v>0</v>
      </c>
      <c r="F305" s="22">
        <v>0</v>
      </c>
      <c r="G305" s="22">
        <v>0</v>
      </c>
      <c r="H305" s="16">
        <v>2094301</v>
      </c>
    </row>
    <row r="306" spans="1:8">
      <c r="A306" s="16">
        <v>20944</v>
      </c>
      <c r="B306" s="26">
        <v>999</v>
      </c>
      <c r="C306" s="22">
        <v>1.9</v>
      </c>
      <c r="D306" s="22">
        <v>-0.25</v>
      </c>
      <c r="E306" s="22">
        <v>0</v>
      </c>
      <c r="F306" s="22">
        <v>0</v>
      </c>
      <c r="G306" s="22">
        <v>0</v>
      </c>
      <c r="H306" s="16">
        <v>2094401</v>
      </c>
    </row>
    <row r="307" spans="1:8">
      <c r="A307" s="16">
        <v>20946</v>
      </c>
      <c r="B307" s="26">
        <v>999</v>
      </c>
      <c r="C307" s="22">
        <v>2</v>
      </c>
      <c r="D307" s="22">
        <v>-0.25</v>
      </c>
      <c r="E307" s="22">
        <v>0</v>
      </c>
      <c r="F307" s="22">
        <v>0</v>
      </c>
      <c r="G307" s="22">
        <v>0</v>
      </c>
      <c r="H307" s="16">
        <v>2094601</v>
      </c>
    </row>
    <row r="308" spans="1:8">
      <c r="A308" s="16">
        <v>20947</v>
      </c>
      <c r="B308" s="26">
        <v>999</v>
      </c>
      <c r="C308" s="22">
        <v>3.4</v>
      </c>
      <c r="D308" s="22">
        <v>0</v>
      </c>
      <c r="E308" s="22">
        <v>0</v>
      </c>
      <c r="F308" s="22">
        <v>0</v>
      </c>
      <c r="G308" s="22">
        <v>0</v>
      </c>
      <c r="H308" s="16">
        <v>2094701</v>
      </c>
    </row>
    <row r="309" spans="1:8">
      <c r="A309" s="16">
        <v>20948</v>
      </c>
      <c r="B309" s="26">
        <v>999</v>
      </c>
      <c r="C309" s="22">
        <v>2.8</v>
      </c>
      <c r="D309" s="22">
        <v>-0.25</v>
      </c>
      <c r="E309" s="22">
        <v>0</v>
      </c>
      <c r="F309" s="22">
        <v>0</v>
      </c>
      <c r="G309" s="22">
        <v>0</v>
      </c>
      <c r="H309" s="16">
        <v>2094801</v>
      </c>
    </row>
    <row r="310" spans="1:8">
      <c r="A310" s="16">
        <v>20949</v>
      </c>
      <c r="B310" s="26">
        <v>999</v>
      </c>
      <c r="C310" s="22">
        <v>2.4</v>
      </c>
      <c r="D310" s="22">
        <v>-0.25</v>
      </c>
      <c r="E310" s="22">
        <v>0</v>
      </c>
      <c r="F310" s="22">
        <v>0</v>
      </c>
      <c r="G310" s="22">
        <v>0</v>
      </c>
      <c r="H310" s="16">
        <v>2094901</v>
      </c>
    </row>
    <row r="311" spans="1:8">
      <c r="A311" s="16">
        <v>20950</v>
      </c>
      <c r="B311" s="26">
        <v>999</v>
      </c>
      <c r="C311" s="22">
        <v>2.5</v>
      </c>
      <c r="D311" s="22">
        <v>-0.25</v>
      </c>
      <c r="E311" s="22">
        <v>0</v>
      </c>
      <c r="F311" s="22">
        <v>0</v>
      </c>
      <c r="G311" s="22">
        <v>0</v>
      </c>
      <c r="H311" s="16">
        <v>2095001</v>
      </c>
    </row>
    <row r="312" spans="1:8">
      <c r="A312" s="16">
        <v>20951</v>
      </c>
      <c r="B312" s="26">
        <v>2</v>
      </c>
      <c r="C312" s="22">
        <v>2.8</v>
      </c>
      <c r="D312" s="22">
        <v>-0.25</v>
      </c>
      <c r="E312" s="22">
        <v>0</v>
      </c>
      <c r="F312" s="22">
        <v>0</v>
      </c>
      <c r="G312" s="22">
        <v>0</v>
      </c>
      <c r="H312" s="16">
        <v>2095101</v>
      </c>
    </row>
    <row r="313" spans="1:8">
      <c r="A313" s="16">
        <v>20951</v>
      </c>
      <c r="B313" s="26">
        <v>1</v>
      </c>
      <c r="C313" s="22">
        <v>1.6</v>
      </c>
      <c r="D313" s="22">
        <v>-0.25</v>
      </c>
      <c r="E313" s="22">
        <v>0</v>
      </c>
      <c r="F313" s="22">
        <v>0</v>
      </c>
      <c r="G313" s="22">
        <v>0</v>
      </c>
      <c r="H313" s="16">
        <v>2095102</v>
      </c>
    </row>
    <row r="314" spans="1:8">
      <c r="A314" s="16">
        <v>20951</v>
      </c>
      <c r="B314" s="26">
        <v>0</v>
      </c>
      <c r="C314" s="22">
        <v>1.6</v>
      </c>
      <c r="D314" s="22">
        <v>-0.25</v>
      </c>
      <c r="E314" s="22">
        <v>0</v>
      </c>
      <c r="F314" s="22">
        <v>0</v>
      </c>
      <c r="G314" s="22">
        <v>0</v>
      </c>
      <c r="H314" s="16">
        <v>2095103</v>
      </c>
    </row>
    <row r="315" spans="1:8">
      <c r="A315" s="16">
        <v>20952</v>
      </c>
      <c r="B315" s="26">
        <v>999</v>
      </c>
      <c r="C315" s="22">
        <v>3</v>
      </c>
      <c r="D315" s="22">
        <v>-0.25</v>
      </c>
      <c r="E315" s="22">
        <v>0</v>
      </c>
      <c r="F315" s="22">
        <v>0</v>
      </c>
      <c r="G315" s="22">
        <v>0</v>
      </c>
      <c r="H315" s="16">
        <v>2095201</v>
      </c>
    </row>
    <row r="316" spans="1:8">
      <c r="A316" s="16">
        <v>20953</v>
      </c>
      <c r="B316" s="26">
        <v>999</v>
      </c>
      <c r="C316" s="22">
        <v>0.75</v>
      </c>
      <c r="D316" s="22">
        <v>0</v>
      </c>
      <c r="E316" s="22">
        <v>0</v>
      </c>
      <c r="F316" s="22">
        <v>0</v>
      </c>
      <c r="G316" s="22">
        <v>0</v>
      </c>
      <c r="H316" s="16">
        <v>2095301</v>
      </c>
    </row>
    <row r="317" spans="1:8">
      <c r="A317" s="16">
        <v>20954</v>
      </c>
      <c r="B317" s="26">
        <v>999</v>
      </c>
      <c r="C317" s="22">
        <v>2.5</v>
      </c>
      <c r="D317" s="22">
        <v>-0.25</v>
      </c>
      <c r="E317" s="22">
        <v>0</v>
      </c>
      <c r="F317" s="22">
        <v>0</v>
      </c>
      <c r="G317" s="22">
        <v>0</v>
      </c>
      <c r="H317" s="16">
        <v>2095401</v>
      </c>
    </row>
    <row r="318" spans="1:8">
      <c r="A318" s="16">
        <v>20955</v>
      </c>
      <c r="B318" s="26">
        <v>2</v>
      </c>
      <c r="C318" s="22">
        <v>2.6</v>
      </c>
      <c r="D318" s="22">
        <v>-0.25</v>
      </c>
      <c r="E318" s="22">
        <v>0</v>
      </c>
      <c r="F318" s="22">
        <v>0</v>
      </c>
      <c r="G318" s="22">
        <v>0</v>
      </c>
      <c r="H318" s="16">
        <v>2095501</v>
      </c>
    </row>
    <row r="319" spans="1:8">
      <c r="A319" s="16">
        <v>20955</v>
      </c>
      <c r="B319" s="26">
        <v>1</v>
      </c>
      <c r="C319" s="22">
        <v>1.2</v>
      </c>
      <c r="D319" s="22">
        <v>-0.25</v>
      </c>
      <c r="E319" s="22">
        <v>0</v>
      </c>
      <c r="F319" s="22">
        <v>0</v>
      </c>
      <c r="G319" s="22">
        <v>0</v>
      </c>
      <c r="H319" s="16">
        <v>2095502</v>
      </c>
    </row>
    <row r="320" spans="1:8">
      <c r="A320" s="16">
        <v>20955</v>
      </c>
      <c r="B320" s="26">
        <v>0</v>
      </c>
      <c r="C320" s="22">
        <v>1</v>
      </c>
      <c r="D320" s="22">
        <v>-0.25</v>
      </c>
      <c r="E320" s="22">
        <v>0</v>
      </c>
      <c r="F320" s="22">
        <v>0</v>
      </c>
      <c r="G320" s="22">
        <v>0</v>
      </c>
      <c r="H320" s="16">
        <v>2095503</v>
      </c>
    </row>
    <row r="321" spans="1:8">
      <c r="A321" s="16">
        <v>20956</v>
      </c>
      <c r="B321" s="26">
        <v>2</v>
      </c>
      <c r="C321" s="22">
        <v>3</v>
      </c>
      <c r="D321" s="22">
        <v>-0.25</v>
      </c>
      <c r="E321" s="22">
        <v>0</v>
      </c>
      <c r="F321" s="22">
        <v>0</v>
      </c>
      <c r="G321" s="22">
        <v>0</v>
      </c>
      <c r="H321" s="16">
        <v>2095601</v>
      </c>
    </row>
    <row r="322" spans="1:8">
      <c r="A322" s="16">
        <v>20956</v>
      </c>
      <c r="B322" s="26">
        <v>1</v>
      </c>
      <c r="C322" s="22">
        <v>1.4</v>
      </c>
      <c r="D322" s="22">
        <v>-0.25</v>
      </c>
      <c r="E322" s="22">
        <v>0</v>
      </c>
      <c r="F322" s="22">
        <v>0</v>
      </c>
      <c r="G322" s="22">
        <v>0</v>
      </c>
      <c r="H322" s="16">
        <v>2095602</v>
      </c>
    </row>
    <row r="323" spans="1:8">
      <c r="A323" s="16">
        <v>20956</v>
      </c>
      <c r="B323" s="26">
        <v>0</v>
      </c>
      <c r="C323" s="22">
        <v>1.2</v>
      </c>
      <c r="D323" s="22">
        <v>-0.25</v>
      </c>
      <c r="E323" s="22">
        <v>0</v>
      </c>
      <c r="F323" s="22">
        <v>0</v>
      </c>
      <c r="G323" s="22">
        <v>0</v>
      </c>
      <c r="H323" s="16">
        <v>2095603</v>
      </c>
    </row>
    <row r="324" spans="1:8">
      <c r="A324" s="16">
        <v>20957</v>
      </c>
      <c r="B324" s="26">
        <v>2</v>
      </c>
      <c r="C324" s="22">
        <v>2.8</v>
      </c>
      <c r="D324" s="22">
        <v>-0.25</v>
      </c>
      <c r="E324" s="22">
        <v>0</v>
      </c>
      <c r="F324" s="22">
        <v>0</v>
      </c>
      <c r="G324" s="22">
        <v>0</v>
      </c>
      <c r="H324" s="16">
        <v>2095701</v>
      </c>
    </row>
    <row r="325" spans="1:8">
      <c r="A325" s="16">
        <v>20957</v>
      </c>
      <c r="B325" s="26">
        <v>1</v>
      </c>
      <c r="C325" s="22">
        <v>1.2</v>
      </c>
      <c r="D325" s="22">
        <v>-0.25</v>
      </c>
      <c r="E325" s="22">
        <v>0</v>
      </c>
      <c r="F325" s="22">
        <v>0</v>
      </c>
      <c r="G325" s="22">
        <v>0</v>
      </c>
      <c r="H325" s="16">
        <v>2095702</v>
      </c>
    </row>
    <row r="326" spans="1:8">
      <c r="A326" s="16">
        <v>20957</v>
      </c>
      <c r="B326" s="26">
        <v>0</v>
      </c>
      <c r="C326" s="22">
        <v>1</v>
      </c>
      <c r="D326" s="22">
        <v>-0.25</v>
      </c>
      <c r="E326" s="22">
        <v>0</v>
      </c>
      <c r="F326" s="22">
        <v>0</v>
      </c>
      <c r="G326" s="22">
        <v>0</v>
      </c>
      <c r="H326" s="16">
        <v>2095703</v>
      </c>
    </row>
    <row r="327" spans="1:8">
      <c r="A327" s="16">
        <v>20958</v>
      </c>
      <c r="B327" s="26">
        <v>2</v>
      </c>
      <c r="C327" s="22">
        <v>3.2</v>
      </c>
      <c r="D327" s="22">
        <v>-0.25</v>
      </c>
      <c r="E327" s="22">
        <v>0</v>
      </c>
      <c r="F327" s="22">
        <v>0</v>
      </c>
      <c r="G327" s="22">
        <v>0</v>
      </c>
      <c r="H327" s="16">
        <v>2095801</v>
      </c>
    </row>
    <row r="328" spans="1:8">
      <c r="A328" s="16">
        <v>20958</v>
      </c>
      <c r="B328" s="26">
        <v>1</v>
      </c>
      <c r="C328" s="22">
        <v>1.4</v>
      </c>
      <c r="D328" s="22">
        <v>-0.25</v>
      </c>
      <c r="E328" s="22">
        <v>0</v>
      </c>
      <c r="F328" s="22">
        <v>0</v>
      </c>
      <c r="G328" s="22">
        <v>0</v>
      </c>
      <c r="H328" s="16">
        <v>2095802</v>
      </c>
    </row>
    <row r="329" spans="1:8">
      <c r="A329" s="16">
        <v>20958</v>
      </c>
      <c r="B329" s="26">
        <v>0</v>
      </c>
      <c r="C329" s="22">
        <v>1.2</v>
      </c>
      <c r="D329" s="22">
        <v>-0.25</v>
      </c>
      <c r="E329" s="22">
        <v>0</v>
      </c>
      <c r="F329" s="22">
        <v>0</v>
      </c>
      <c r="G329" s="22">
        <v>0</v>
      </c>
      <c r="H329" s="16">
        <v>2095803</v>
      </c>
    </row>
    <row r="330" spans="1:8">
      <c r="A330" s="16">
        <v>20959</v>
      </c>
      <c r="B330" s="26">
        <v>2</v>
      </c>
      <c r="C330" s="22">
        <v>2.7</v>
      </c>
      <c r="D330" s="22">
        <v>-0.25</v>
      </c>
      <c r="E330" s="22">
        <v>0</v>
      </c>
      <c r="F330" s="22">
        <v>0</v>
      </c>
      <c r="G330" s="22">
        <v>0</v>
      </c>
      <c r="H330" s="16">
        <v>2095901</v>
      </c>
    </row>
    <row r="331" spans="1:8">
      <c r="A331" s="16">
        <v>20959</v>
      </c>
      <c r="B331" s="26">
        <v>1</v>
      </c>
      <c r="C331" s="22">
        <v>0.8</v>
      </c>
      <c r="D331" s="22">
        <v>-0.25</v>
      </c>
      <c r="E331" s="22">
        <v>0</v>
      </c>
      <c r="F331" s="22">
        <v>0</v>
      </c>
      <c r="G331" s="22">
        <v>0</v>
      </c>
      <c r="H331" s="16">
        <v>2095902</v>
      </c>
    </row>
    <row r="332" spans="1:8">
      <c r="A332" s="16">
        <v>20959</v>
      </c>
      <c r="B332" s="26">
        <v>0</v>
      </c>
      <c r="C332" s="22">
        <v>0.8</v>
      </c>
      <c r="D332" s="22">
        <v>-0.25</v>
      </c>
      <c r="E332" s="22">
        <v>0</v>
      </c>
      <c r="F332" s="22">
        <v>0</v>
      </c>
      <c r="G332" s="22">
        <v>0</v>
      </c>
      <c r="H332" s="16">
        <v>2095903</v>
      </c>
    </row>
    <row r="333" spans="1:8">
      <c r="A333" s="16">
        <v>20960</v>
      </c>
      <c r="B333" s="26">
        <v>2</v>
      </c>
      <c r="C333" s="22">
        <v>3.6</v>
      </c>
      <c r="D333" s="22">
        <v>-0.25</v>
      </c>
      <c r="E333" s="22">
        <v>0</v>
      </c>
      <c r="F333" s="22">
        <v>0</v>
      </c>
      <c r="G333" s="22">
        <v>0</v>
      </c>
      <c r="H333" s="16">
        <v>2096001</v>
      </c>
    </row>
    <row r="334" spans="1:8">
      <c r="A334" s="16">
        <v>20960</v>
      </c>
      <c r="B334" s="26">
        <v>1</v>
      </c>
      <c r="C334" s="22">
        <v>1.6</v>
      </c>
      <c r="D334" s="22">
        <v>-0.25</v>
      </c>
      <c r="E334" s="22">
        <v>0</v>
      </c>
      <c r="F334" s="22">
        <v>0</v>
      </c>
      <c r="G334" s="22">
        <v>0</v>
      </c>
      <c r="H334" s="16">
        <v>2096002</v>
      </c>
    </row>
    <row r="335" spans="1:8">
      <c r="A335" s="16">
        <v>20960</v>
      </c>
      <c r="B335" s="26">
        <v>0</v>
      </c>
      <c r="C335" s="22">
        <v>1.4</v>
      </c>
      <c r="D335" s="22">
        <v>-0.25</v>
      </c>
      <c r="E335" s="22">
        <v>0</v>
      </c>
      <c r="F335" s="22">
        <v>0</v>
      </c>
      <c r="G335" s="22">
        <v>0</v>
      </c>
      <c r="H335" s="16">
        <v>2096003</v>
      </c>
    </row>
    <row r="336" spans="1:8">
      <c r="A336" s="16">
        <v>21401</v>
      </c>
      <c r="B336" s="26">
        <v>0</v>
      </c>
      <c r="C336" s="22">
        <v>0.33</v>
      </c>
      <c r="D336" s="22">
        <v>0</v>
      </c>
      <c r="E336" s="22">
        <v>0.9</v>
      </c>
      <c r="F336" s="22">
        <v>0</v>
      </c>
      <c r="G336" s="22">
        <v>0.85</v>
      </c>
      <c r="H336" s="16">
        <v>2140101</v>
      </c>
    </row>
    <row r="337" spans="1:8">
      <c r="A337" s="16">
        <v>21401</v>
      </c>
      <c r="B337" s="26">
        <v>1</v>
      </c>
      <c r="C337" s="22">
        <v>0.33</v>
      </c>
      <c r="D337" s="22">
        <v>0</v>
      </c>
      <c r="E337" s="22">
        <v>0.9</v>
      </c>
      <c r="F337" s="22">
        <v>0</v>
      </c>
      <c r="G337" s="22">
        <v>0.85</v>
      </c>
      <c r="H337" s="16">
        <v>2140102</v>
      </c>
    </row>
    <row r="338" spans="1:8">
      <c r="A338" s="16">
        <v>21401</v>
      </c>
      <c r="B338" s="26">
        <v>2</v>
      </c>
      <c r="C338" s="22">
        <v>0.33</v>
      </c>
      <c r="D338" s="22">
        <v>0</v>
      </c>
      <c r="E338" s="22">
        <v>0.9</v>
      </c>
      <c r="F338" s="22">
        <v>0</v>
      </c>
      <c r="G338" s="22">
        <v>0.85</v>
      </c>
      <c r="H338" s="16">
        <v>2140103</v>
      </c>
    </row>
    <row r="339" spans="1:8">
      <c r="A339" s="16">
        <v>21402</v>
      </c>
      <c r="B339" s="26">
        <v>0</v>
      </c>
      <c r="C339" s="22">
        <v>1.23</v>
      </c>
      <c r="D339" s="22">
        <v>0</v>
      </c>
      <c r="E339" s="22">
        <v>1.48</v>
      </c>
      <c r="F339" s="22">
        <v>0</v>
      </c>
      <c r="G339" s="22">
        <v>1.55</v>
      </c>
      <c r="H339" s="16">
        <v>2140201</v>
      </c>
    </row>
    <row r="340" spans="1:8">
      <c r="A340" s="16">
        <v>21402</v>
      </c>
      <c r="B340" s="26">
        <v>1</v>
      </c>
      <c r="C340" s="22">
        <v>1.23</v>
      </c>
      <c r="D340" s="22">
        <v>0</v>
      </c>
      <c r="E340" s="22">
        <v>1.48</v>
      </c>
      <c r="F340" s="22">
        <v>0</v>
      </c>
      <c r="G340" s="22">
        <v>1.55</v>
      </c>
      <c r="H340" s="16">
        <v>2140202</v>
      </c>
    </row>
    <row r="341" spans="1:8">
      <c r="A341" s="16">
        <v>21402</v>
      </c>
      <c r="B341" s="26">
        <v>2</v>
      </c>
      <c r="C341" s="22">
        <v>1.23</v>
      </c>
      <c r="D341" s="22">
        <v>0</v>
      </c>
      <c r="E341" s="22">
        <v>1.48</v>
      </c>
      <c r="F341" s="22">
        <v>0</v>
      </c>
      <c r="G341" s="22">
        <v>1.55</v>
      </c>
      <c r="H341" s="16">
        <v>2140203</v>
      </c>
    </row>
    <row r="342" spans="1:8">
      <c r="A342" s="16">
        <v>21901</v>
      </c>
      <c r="B342" s="26">
        <v>0</v>
      </c>
      <c r="C342" s="22">
        <v>0.7</v>
      </c>
      <c r="D342" s="22">
        <v>0</v>
      </c>
      <c r="E342" s="22">
        <v>0</v>
      </c>
      <c r="F342" s="22">
        <v>0</v>
      </c>
      <c r="G342" s="22">
        <v>0</v>
      </c>
      <c r="H342" s="16">
        <v>2190101</v>
      </c>
    </row>
    <row r="343" spans="1:8">
      <c r="A343" s="16">
        <v>21901</v>
      </c>
      <c r="B343" s="26">
        <v>1</v>
      </c>
      <c r="C343" s="22">
        <v>0.5</v>
      </c>
      <c r="D343" s="22">
        <v>0</v>
      </c>
      <c r="E343" s="22">
        <v>0</v>
      </c>
      <c r="F343" s="22">
        <v>0</v>
      </c>
      <c r="G343" s="22">
        <v>0</v>
      </c>
      <c r="H343" s="16">
        <v>2190102</v>
      </c>
    </row>
    <row r="344" spans="1:8">
      <c r="A344" s="16">
        <v>21901</v>
      </c>
      <c r="B344" s="26">
        <v>2</v>
      </c>
      <c r="C344" s="22">
        <v>0.35</v>
      </c>
      <c r="D344" s="22">
        <v>0</v>
      </c>
      <c r="E344" s="22">
        <v>0</v>
      </c>
      <c r="F344" s="22">
        <v>0</v>
      </c>
      <c r="G344" s="22">
        <v>0</v>
      </c>
      <c r="H344" s="16">
        <v>2190103</v>
      </c>
    </row>
    <row r="345" spans="1:8">
      <c r="A345" s="16">
        <v>21902</v>
      </c>
      <c r="B345" s="26">
        <v>0</v>
      </c>
      <c r="C345" s="22">
        <v>0.7</v>
      </c>
      <c r="D345" s="22">
        <v>-0.3</v>
      </c>
      <c r="E345" s="22">
        <v>0</v>
      </c>
      <c r="F345" s="22">
        <v>0</v>
      </c>
      <c r="G345" s="22">
        <v>0</v>
      </c>
      <c r="H345" s="16">
        <v>2190201</v>
      </c>
    </row>
    <row r="346" spans="1:8">
      <c r="A346" s="16">
        <v>21902</v>
      </c>
      <c r="B346" s="26">
        <v>1</v>
      </c>
      <c r="C346" s="22">
        <v>0.5</v>
      </c>
      <c r="D346" s="22">
        <v>-0.3</v>
      </c>
      <c r="E346" s="22">
        <v>0</v>
      </c>
      <c r="F346" s="22">
        <v>0</v>
      </c>
      <c r="G346" s="22">
        <v>0</v>
      </c>
      <c r="H346" s="16">
        <v>2190202</v>
      </c>
    </row>
    <row r="347" spans="1:8">
      <c r="A347" s="16">
        <v>21902</v>
      </c>
      <c r="B347" s="26">
        <v>2</v>
      </c>
      <c r="C347" s="22">
        <v>0.35</v>
      </c>
      <c r="D347" s="22">
        <v>-0.3</v>
      </c>
      <c r="E347" s="22">
        <v>0</v>
      </c>
      <c r="F347" s="22">
        <v>0</v>
      </c>
      <c r="G347" s="22">
        <v>0</v>
      </c>
      <c r="H347" s="16">
        <v>2190203</v>
      </c>
    </row>
    <row r="348" spans="1:8">
      <c r="A348" s="16">
        <v>21903</v>
      </c>
      <c r="B348" s="26">
        <v>0</v>
      </c>
      <c r="C348" s="22">
        <v>0.99</v>
      </c>
      <c r="D348" s="22">
        <v>0</v>
      </c>
      <c r="E348" s="22">
        <v>0</v>
      </c>
      <c r="F348" s="22">
        <v>0</v>
      </c>
      <c r="G348" s="22">
        <v>0</v>
      </c>
      <c r="H348" s="16">
        <v>2190301</v>
      </c>
    </row>
    <row r="349" spans="1:8">
      <c r="A349" s="16">
        <v>21903</v>
      </c>
      <c r="B349" s="26">
        <v>1</v>
      </c>
      <c r="C349" s="22">
        <v>0.7</v>
      </c>
      <c r="D349" s="22">
        <v>0</v>
      </c>
      <c r="E349" s="22">
        <v>0</v>
      </c>
      <c r="F349" s="22">
        <v>0</v>
      </c>
      <c r="G349" s="22">
        <v>0</v>
      </c>
      <c r="H349" s="16">
        <v>2190302</v>
      </c>
    </row>
    <row r="350" spans="1:8">
      <c r="A350" s="16">
        <v>21903</v>
      </c>
      <c r="B350" s="26">
        <v>2</v>
      </c>
      <c r="C350" s="22">
        <v>0.5</v>
      </c>
      <c r="D350" s="22">
        <v>0</v>
      </c>
      <c r="E350" s="22">
        <v>0</v>
      </c>
      <c r="F350" s="22">
        <v>0</v>
      </c>
      <c r="G350" s="22">
        <v>0</v>
      </c>
      <c r="H350" s="16">
        <v>2190303</v>
      </c>
    </row>
    <row r="351" spans="1:8">
      <c r="A351" s="16">
        <v>21904</v>
      </c>
      <c r="B351" s="26">
        <v>0</v>
      </c>
      <c r="C351" s="22">
        <v>0.5</v>
      </c>
      <c r="D351" s="22">
        <v>0</v>
      </c>
      <c r="E351" s="22">
        <v>0</v>
      </c>
      <c r="F351" s="22">
        <v>0</v>
      </c>
      <c r="G351" s="22">
        <v>0</v>
      </c>
      <c r="H351" s="16">
        <v>2190401</v>
      </c>
    </row>
    <row r="352" spans="1:8">
      <c r="A352" s="16">
        <v>21904</v>
      </c>
      <c r="B352" s="26">
        <v>1</v>
      </c>
      <c r="C352" s="22">
        <v>0.4</v>
      </c>
      <c r="D352" s="22">
        <v>0</v>
      </c>
      <c r="E352" s="22">
        <v>0</v>
      </c>
      <c r="F352" s="22">
        <v>0</v>
      </c>
      <c r="G352" s="22">
        <v>0</v>
      </c>
      <c r="H352" s="16">
        <v>2190402</v>
      </c>
    </row>
    <row r="353" spans="1:8">
      <c r="A353" s="16">
        <v>21904</v>
      </c>
      <c r="B353" s="26">
        <v>2</v>
      </c>
      <c r="C353" s="22">
        <v>0.3</v>
      </c>
      <c r="D353" s="22">
        <v>0</v>
      </c>
      <c r="E353" s="22">
        <v>0</v>
      </c>
      <c r="F353" s="22">
        <v>0</v>
      </c>
      <c r="G353" s="22">
        <v>0</v>
      </c>
      <c r="H353" s="16">
        <v>2190403</v>
      </c>
    </row>
    <row r="354" spans="1:8">
      <c r="A354" s="16">
        <v>21905</v>
      </c>
      <c r="B354" s="26">
        <v>0</v>
      </c>
      <c r="C354" s="22">
        <v>0.3</v>
      </c>
      <c r="D354" s="22">
        <v>0</v>
      </c>
      <c r="E354" s="22">
        <v>0</v>
      </c>
      <c r="F354" s="22">
        <v>0</v>
      </c>
      <c r="G354" s="22">
        <v>0</v>
      </c>
      <c r="H354" s="16">
        <v>2190501</v>
      </c>
    </row>
    <row r="355" spans="1:8">
      <c r="A355" s="16">
        <v>21905</v>
      </c>
      <c r="B355" s="26">
        <v>1</v>
      </c>
      <c r="C355" s="22">
        <v>-0.1</v>
      </c>
      <c r="D355" s="22">
        <v>0</v>
      </c>
      <c r="E355" s="22">
        <v>0</v>
      </c>
      <c r="F355" s="22">
        <v>0</v>
      </c>
      <c r="G355" s="22">
        <v>0</v>
      </c>
      <c r="H355" s="16">
        <v>2190502</v>
      </c>
    </row>
    <row r="356" spans="1:8">
      <c r="A356" s="16">
        <v>21905</v>
      </c>
      <c r="B356" s="26">
        <v>2</v>
      </c>
      <c r="C356" s="22">
        <v>-0.2</v>
      </c>
      <c r="D356" s="22">
        <v>0</v>
      </c>
      <c r="E356" s="22">
        <v>0</v>
      </c>
      <c r="F356" s="22">
        <v>0</v>
      </c>
      <c r="G356" s="22">
        <v>0</v>
      </c>
      <c r="H356" s="16">
        <v>2190503</v>
      </c>
    </row>
    <row r="357" spans="1:8">
      <c r="A357" s="16">
        <v>21906</v>
      </c>
      <c r="B357" s="26">
        <v>0</v>
      </c>
      <c r="C357" s="22">
        <v>0.6</v>
      </c>
      <c r="D357" s="22">
        <v>-0.35</v>
      </c>
      <c r="E357" s="22">
        <v>0</v>
      </c>
      <c r="F357" s="22">
        <v>0</v>
      </c>
      <c r="G357" s="22">
        <v>0</v>
      </c>
      <c r="H357" s="16">
        <v>2190601</v>
      </c>
    </row>
    <row r="358" spans="1:8">
      <c r="A358" s="16">
        <v>21906</v>
      </c>
      <c r="B358" s="26">
        <v>1</v>
      </c>
      <c r="C358" s="22">
        <v>0.3</v>
      </c>
      <c r="D358" s="22">
        <v>-0.35</v>
      </c>
      <c r="E358" s="22">
        <v>0</v>
      </c>
      <c r="F358" s="22">
        <v>0</v>
      </c>
      <c r="G358" s="22">
        <v>0</v>
      </c>
      <c r="H358" s="16">
        <v>2190602</v>
      </c>
    </row>
    <row r="359" spans="1:8">
      <c r="A359" s="16">
        <v>21906</v>
      </c>
      <c r="B359" s="26">
        <v>2</v>
      </c>
      <c r="C359" s="22">
        <v>0.15</v>
      </c>
      <c r="D359" s="22">
        <v>-0.35</v>
      </c>
      <c r="E359" s="22">
        <v>0</v>
      </c>
      <c r="F359" s="22">
        <v>0</v>
      </c>
      <c r="G359" s="22">
        <v>0</v>
      </c>
      <c r="H359" s="16">
        <v>2190603</v>
      </c>
    </row>
    <row r="360" spans="1:8">
      <c r="A360" s="16">
        <v>22101</v>
      </c>
      <c r="B360" s="26">
        <v>0</v>
      </c>
      <c r="C360" s="22">
        <v>0.8</v>
      </c>
      <c r="D360" s="22">
        <v>0</v>
      </c>
      <c r="E360" s="22">
        <v>0.8</v>
      </c>
      <c r="F360" s="22">
        <v>0</v>
      </c>
      <c r="G360" s="22">
        <v>0</v>
      </c>
      <c r="H360" s="16">
        <v>2210101</v>
      </c>
    </row>
    <row r="361" spans="1:8">
      <c r="A361" s="16">
        <v>22101</v>
      </c>
      <c r="B361" s="26">
        <v>1</v>
      </c>
      <c r="C361" s="22">
        <v>0.8</v>
      </c>
      <c r="D361" s="22">
        <v>0</v>
      </c>
      <c r="E361" s="22">
        <v>0.4</v>
      </c>
      <c r="F361" s="22">
        <v>0</v>
      </c>
      <c r="G361" s="22">
        <v>0</v>
      </c>
      <c r="H361" s="16">
        <v>2210102</v>
      </c>
    </row>
    <row r="362" spans="1:8">
      <c r="A362" s="16">
        <v>22101</v>
      </c>
      <c r="B362" s="26">
        <v>2</v>
      </c>
      <c r="C362" s="22">
        <v>0.8</v>
      </c>
      <c r="D362" s="22">
        <v>0</v>
      </c>
      <c r="E362" s="22">
        <v>0.4</v>
      </c>
      <c r="F362" s="22">
        <v>0</v>
      </c>
      <c r="G362" s="22">
        <v>0</v>
      </c>
      <c r="H362" s="16">
        <v>2210103</v>
      </c>
    </row>
    <row r="363" spans="1:8">
      <c r="A363" s="16">
        <v>22301</v>
      </c>
      <c r="B363" s="26">
        <v>0</v>
      </c>
      <c r="C363" s="22">
        <v>0.1</v>
      </c>
      <c r="D363" s="22">
        <v>0</v>
      </c>
      <c r="E363" s="22">
        <v>0.05</v>
      </c>
      <c r="F363" s="22">
        <v>0</v>
      </c>
      <c r="G363" s="22">
        <v>0</v>
      </c>
      <c r="H363" s="16">
        <v>2230101</v>
      </c>
    </row>
    <row r="364" spans="1:8">
      <c r="A364" s="16">
        <v>22301</v>
      </c>
      <c r="B364" s="26">
        <v>1</v>
      </c>
      <c r="C364" s="22">
        <v>0.1</v>
      </c>
      <c r="D364" s="22">
        <v>0</v>
      </c>
      <c r="E364" s="22">
        <v>0.05</v>
      </c>
      <c r="F364" s="22">
        <v>0</v>
      </c>
      <c r="G364" s="22">
        <v>0</v>
      </c>
      <c r="H364" s="16">
        <v>2230102</v>
      </c>
    </row>
    <row r="365" spans="1:8">
      <c r="A365" s="16">
        <v>22301</v>
      </c>
      <c r="B365" s="26">
        <v>2</v>
      </c>
      <c r="C365" s="22">
        <v>0.1</v>
      </c>
      <c r="D365" s="22">
        <v>0</v>
      </c>
      <c r="E365" s="22">
        <v>0.05</v>
      </c>
      <c r="F365" s="22">
        <v>0</v>
      </c>
      <c r="G365" s="22">
        <v>0</v>
      </c>
      <c r="H365" s="16">
        <v>2230103</v>
      </c>
    </row>
    <row r="366" spans="1:8">
      <c r="A366" s="16">
        <v>22302</v>
      </c>
      <c r="B366" s="26">
        <v>0</v>
      </c>
      <c r="C366" s="22">
        <v>0.2</v>
      </c>
      <c r="D366" s="22">
        <v>0</v>
      </c>
      <c r="E366" s="22">
        <v>0.1</v>
      </c>
      <c r="F366" s="22">
        <v>0</v>
      </c>
      <c r="G366" s="22">
        <v>0</v>
      </c>
      <c r="H366" s="16">
        <v>2230201</v>
      </c>
    </row>
    <row r="367" spans="1:8">
      <c r="A367" s="16">
        <v>22302</v>
      </c>
      <c r="B367" s="26">
        <v>1</v>
      </c>
      <c r="C367" s="22">
        <v>0.2</v>
      </c>
      <c r="D367" s="22">
        <v>0</v>
      </c>
      <c r="E367" s="22">
        <v>0.1</v>
      </c>
      <c r="F367" s="22">
        <v>0</v>
      </c>
      <c r="G367" s="22">
        <v>0</v>
      </c>
      <c r="H367" s="16">
        <v>2230202</v>
      </c>
    </row>
    <row r="368" spans="1:8">
      <c r="A368" s="16">
        <v>22302</v>
      </c>
      <c r="B368" s="26">
        <v>2</v>
      </c>
      <c r="C368" s="22">
        <v>0.2</v>
      </c>
      <c r="D368" s="22">
        <v>0</v>
      </c>
      <c r="E368" s="22">
        <v>0.1</v>
      </c>
      <c r="F368" s="22">
        <v>0</v>
      </c>
      <c r="G368" s="22">
        <v>0</v>
      </c>
      <c r="H368" s="16">
        <v>2230203</v>
      </c>
    </row>
    <row r="369" spans="1:8">
      <c r="A369" s="16">
        <v>22303</v>
      </c>
      <c r="B369" s="26">
        <v>0</v>
      </c>
      <c r="C369" s="22">
        <v>0.3</v>
      </c>
      <c r="D369" s="22">
        <v>0</v>
      </c>
      <c r="E369" s="22">
        <v>0.15</v>
      </c>
      <c r="F369" s="22">
        <v>0</v>
      </c>
      <c r="G369" s="22">
        <v>0</v>
      </c>
      <c r="H369" s="16">
        <v>2230301</v>
      </c>
    </row>
    <row r="370" spans="1:8">
      <c r="A370" s="16">
        <v>22303</v>
      </c>
      <c r="B370" s="26">
        <v>1</v>
      </c>
      <c r="C370" s="22">
        <v>0.3</v>
      </c>
      <c r="D370" s="22">
        <v>0</v>
      </c>
      <c r="E370" s="22">
        <v>0.15</v>
      </c>
      <c r="F370" s="22">
        <v>0</v>
      </c>
      <c r="G370" s="22">
        <v>0</v>
      </c>
      <c r="H370" s="16">
        <v>2230302</v>
      </c>
    </row>
    <row r="371" spans="1:8">
      <c r="A371" s="16">
        <v>22303</v>
      </c>
      <c r="B371" s="26">
        <v>2</v>
      </c>
      <c r="C371" s="22">
        <v>0.3</v>
      </c>
      <c r="D371" s="22">
        <v>0</v>
      </c>
      <c r="E371" s="22">
        <v>0.15</v>
      </c>
      <c r="F371" s="22">
        <v>0</v>
      </c>
      <c r="G371" s="22">
        <v>0</v>
      </c>
      <c r="H371" s="16">
        <v>2230303</v>
      </c>
    </row>
    <row r="372" spans="1:8">
      <c r="A372" s="16">
        <v>22304</v>
      </c>
      <c r="B372" s="26">
        <v>0</v>
      </c>
      <c r="C372" s="22">
        <v>0.4</v>
      </c>
      <c r="D372" s="22">
        <v>0</v>
      </c>
      <c r="E372" s="22">
        <v>0.2</v>
      </c>
      <c r="F372" s="22">
        <v>0</v>
      </c>
      <c r="G372" s="22">
        <v>0</v>
      </c>
      <c r="H372" s="16">
        <v>2230401</v>
      </c>
    </row>
    <row r="373" spans="1:8">
      <c r="A373" s="16">
        <v>22304</v>
      </c>
      <c r="B373" s="26">
        <v>1</v>
      </c>
      <c r="C373" s="22">
        <v>0.4</v>
      </c>
      <c r="D373" s="22">
        <v>0</v>
      </c>
      <c r="E373" s="22">
        <v>0.2</v>
      </c>
      <c r="F373" s="22">
        <v>0</v>
      </c>
      <c r="G373" s="22">
        <v>0</v>
      </c>
      <c r="H373" s="16">
        <v>2230402</v>
      </c>
    </row>
    <row r="374" spans="1:8">
      <c r="A374" s="16">
        <v>22304</v>
      </c>
      <c r="B374" s="26">
        <v>2</v>
      </c>
      <c r="C374" s="22">
        <v>0.4</v>
      </c>
      <c r="D374" s="22">
        <v>0</v>
      </c>
      <c r="E374" s="22">
        <v>0.2</v>
      </c>
      <c r="F374" s="22">
        <v>0</v>
      </c>
      <c r="G374" s="22">
        <v>0</v>
      </c>
      <c r="H374" s="16">
        <v>2230403</v>
      </c>
    </row>
    <row r="375" spans="1:8">
      <c r="A375" s="16">
        <v>22305</v>
      </c>
      <c r="B375" s="26">
        <v>0</v>
      </c>
      <c r="C375" s="22">
        <v>0.5</v>
      </c>
      <c r="D375" s="22">
        <v>0</v>
      </c>
      <c r="E375" s="22">
        <v>0.25</v>
      </c>
      <c r="F375" s="22">
        <v>0</v>
      </c>
      <c r="G375" s="22">
        <v>0</v>
      </c>
      <c r="H375" s="16">
        <v>2230501</v>
      </c>
    </row>
    <row r="376" spans="1:8">
      <c r="A376" s="16">
        <v>22305</v>
      </c>
      <c r="B376" s="26">
        <v>1</v>
      </c>
      <c r="C376" s="22">
        <v>0.5</v>
      </c>
      <c r="D376" s="22">
        <v>0</v>
      </c>
      <c r="E376" s="22">
        <v>0.25</v>
      </c>
      <c r="F376" s="22">
        <v>0</v>
      </c>
      <c r="G376" s="22">
        <v>0</v>
      </c>
      <c r="H376" s="16">
        <v>2230502</v>
      </c>
    </row>
    <row r="377" spans="1:8">
      <c r="A377" s="16">
        <v>22305</v>
      </c>
      <c r="B377" s="26">
        <v>2</v>
      </c>
      <c r="C377" s="22">
        <v>0.5</v>
      </c>
      <c r="D377" s="22">
        <v>0</v>
      </c>
      <c r="E377" s="22">
        <v>0.25</v>
      </c>
      <c r="F377" s="22">
        <v>0</v>
      </c>
      <c r="G377" s="22">
        <v>0</v>
      </c>
      <c r="H377" s="16">
        <v>2230503</v>
      </c>
    </row>
    <row r="378" spans="1:8">
      <c r="A378" s="16">
        <v>22306</v>
      </c>
      <c r="B378" s="26">
        <v>0</v>
      </c>
      <c r="C378" s="22">
        <v>0.5</v>
      </c>
      <c r="D378" s="22">
        <v>0.25</v>
      </c>
      <c r="E378" s="22">
        <v>0.25</v>
      </c>
      <c r="F378" s="22">
        <v>0</v>
      </c>
      <c r="G378" s="22">
        <v>0.25</v>
      </c>
      <c r="H378" s="16">
        <v>2230601</v>
      </c>
    </row>
    <row r="379" spans="1:8">
      <c r="A379" s="16">
        <v>22306</v>
      </c>
      <c r="B379" s="26">
        <v>1</v>
      </c>
      <c r="C379" s="22">
        <v>0.5</v>
      </c>
      <c r="D379" s="22">
        <v>0.25</v>
      </c>
      <c r="E379" s="22">
        <v>0.25</v>
      </c>
      <c r="F379" s="22">
        <v>0</v>
      </c>
      <c r="G379" s="22">
        <v>0.25</v>
      </c>
      <c r="H379" s="16">
        <v>2230602</v>
      </c>
    </row>
    <row r="380" spans="1:8">
      <c r="A380" s="16">
        <v>22306</v>
      </c>
      <c r="B380" s="26">
        <v>2</v>
      </c>
      <c r="C380" s="22">
        <v>0.5</v>
      </c>
      <c r="D380" s="22">
        <v>0.25</v>
      </c>
      <c r="E380" s="22">
        <v>0.25</v>
      </c>
      <c r="F380" s="22">
        <v>0</v>
      </c>
      <c r="G380" s="22">
        <v>0.25</v>
      </c>
      <c r="H380" s="16">
        <v>2230603</v>
      </c>
    </row>
    <row r="381" spans="1:8">
      <c r="A381" s="16">
        <v>22307</v>
      </c>
      <c r="B381" s="26">
        <v>0</v>
      </c>
      <c r="C381" s="22">
        <v>0.75</v>
      </c>
      <c r="D381" s="22">
        <v>0.5</v>
      </c>
      <c r="E381" s="22">
        <v>0.35</v>
      </c>
      <c r="F381" s="22">
        <v>0</v>
      </c>
      <c r="G381" s="22">
        <v>0.35</v>
      </c>
      <c r="H381" s="16">
        <v>2230701</v>
      </c>
    </row>
    <row r="382" spans="1:8">
      <c r="A382" s="16">
        <v>22307</v>
      </c>
      <c r="B382" s="26">
        <v>1</v>
      </c>
      <c r="C382" s="22">
        <v>0.75</v>
      </c>
      <c r="D382" s="22">
        <v>0.5</v>
      </c>
      <c r="E382" s="22">
        <v>0.35</v>
      </c>
      <c r="F382" s="22">
        <v>0</v>
      </c>
      <c r="G382" s="22">
        <v>0.35</v>
      </c>
      <c r="H382" s="16">
        <v>2230702</v>
      </c>
    </row>
    <row r="383" spans="1:8">
      <c r="A383" s="16">
        <v>22307</v>
      </c>
      <c r="B383" s="26">
        <v>2</v>
      </c>
      <c r="C383" s="22">
        <v>0.75</v>
      </c>
      <c r="D383" s="22">
        <v>0.5</v>
      </c>
      <c r="E383" s="22">
        <v>0.35</v>
      </c>
      <c r="F383" s="22">
        <v>0</v>
      </c>
      <c r="G383" s="22">
        <v>0.35</v>
      </c>
      <c r="H383" s="16">
        <v>2230703</v>
      </c>
    </row>
    <row r="384" spans="1:8">
      <c r="A384" s="16">
        <v>22308</v>
      </c>
      <c r="B384" s="26">
        <v>0</v>
      </c>
      <c r="C384" s="22">
        <v>1</v>
      </c>
      <c r="D384" s="22">
        <v>0.5</v>
      </c>
      <c r="E384" s="22">
        <v>0.5</v>
      </c>
      <c r="F384" s="22">
        <v>0</v>
      </c>
      <c r="G384" s="22">
        <v>0.5</v>
      </c>
      <c r="H384" s="16">
        <v>2230801</v>
      </c>
    </row>
    <row r="385" spans="1:8">
      <c r="A385" s="16">
        <v>22308</v>
      </c>
      <c r="B385" s="26">
        <v>1</v>
      </c>
      <c r="C385" s="22">
        <v>1</v>
      </c>
      <c r="D385" s="22">
        <v>0.5</v>
      </c>
      <c r="E385" s="22">
        <v>0.5</v>
      </c>
      <c r="F385" s="22">
        <v>0</v>
      </c>
      <c r="G385" s="22">
        <v>0.5</v>
      </c>
      <c r="H385" s="16">
        <v>2230802</v>
      </c>
    </row>
    <row r="386" spans="1:8">
      <c r="A386" s="16">
        <v>22308</v>
      </c>
      <c r="B386" s="26">
        <v>2</v>
      </c>
      <c r="C386" s="22">
        <v>1</v>
      </c>
      <c r="D386" s="22">
        <v>0.5</v>
      </c>
      <c r="E386" s="22">
        <v>0.5</v>
      </c>
      <c r="F386" s="22">
        <v>0</v>
      </c>
      <c r="G386" s="22">
        <v>0.5</v>
      </c>
      <c r="H386" s="16">
        <v>2230803</v>
      </c>
    </row>
    <row r="387" spans="1:8">
      <c r="A387" s="16">
        <v>22310</v>
      </c>
      <c r="B387" s="26">
        <v>999</v>
      </c>
      <c r="C387" s="22">
        <v>0</v>
      </c>
      <c r="D387" s="22">
        <v>-0.25</v>
      </c>
      <c r="E387" s="22">
        <v>0</v>
      </c>
      <c r="F387" s="22">
        <v>0</v>
      </c>
      <c r="G387" s="22">
        <v>0</v>
      </c>
      <c r="H387" s="16">
        <v>2231000</v>
      </c>
    </row>
    <row r="388" spans="1:8">
      <c r="A388" s="16">
        <v>22311</v>
      </c>
      <c r="B388" s="26">
        <v>999</v>
      </c>
      <c r="C388" s="22">
        <v>0.25</v>
      </c>
      <c r="D388" s="22">
        <v>0</v>
      </c>
      <c r="E388" s="22">
        <v>0.15</v>
      </c>
      <c r="F388" s="22">
        <v>0</v>
      </c>
      <c r="G388" s="22">
        <v>0.15</v>
      </c>
      <c r="H388" s="16">
        <v>2231001</v>
      </c>
    </row>
    <row r="389" spans="1:8">
      <c r="A389" s="16">
        <v>22312</v>
      </c>
      <c r="B389" s="26">
        <v>999</v>
      </c>
      <c r="C389" s="22">
        <v>0.5</v>
      </c>
      <c r="D389" s="22">
        <v>0.15</v>
      </c>
      <c r="E389" s="22">
        <v>0.25</v>
      </c>
      <c r="F389" s="22">
        <v>0</v>
      </c>
      <c r="G389" s="22">
        <v>0.25</v>
      </c>
      <c r="H389" s="16">
        <v>2231002</v>
      </c>
    </row>
    <row r="390" spans="1:8">
      <c r="A390" s="16">
        <v>22313</v>
      </c>
      <c r="B390" s="26">
        <v>999</v>
      </c>
      <c r="C390" s="22">
        <v>0.6</v>
      </c>
      <c r="D390" s="22">
        <v>0.15</v>
      </c>
      <c r="E390" s="22">
        <v>0.25</v>
      </c>
      <c r="F390" s="22">
        <v>0</v>
      </c>
      <c r="G390" s="22">
        <v>0.25</v>
      </c>
      <c r="H390" s="16">
        <v>2231003</v>
      </c>
    </row>
    <row r="391" spans="1:8">
      <c r="A391" s="16">
        <v>22314</v>
      </c>
      <c r="B391" s="26">
        <v>999</v>
      </c>
      <c r="C391" s="22">
        <v>0.75</v>
      </c>
      <c r="D391" s="22">
        <v>0.25</v>
      </c>
      <c r="E391" s="22">
        <v>0.25</v>
      </c>
      <c r="F391" s="22">
        <v>0</v>
      </c>
      <c r="G391" s="22">
        <v>0.25</v>
      </c>
      <c r="H391" s="16">
        <v>2231004</v>
      </c>
    </row>
    <row r="392" spans="1:8">
      <c r="A392" s="16">
        <v>22315</v>
      </c>
      <c r="B392" s="26">
        <v>999</v>
      </c>
      <c r="C392" s="22">
        <v>1</v>
      </c>
      <c r="D392" s="22">
        <v>0.5</v>
      </c>
      <c r="E392" s="22">
        <v>0.5</v>
      </c>
      <c r="F392" s="22">
        <v>0</v>
      </c>
      <c r="G392" s="22">
        <v>0.5</v>
      </c>
      <c r="H392" s="16">
        <v>2231005</v>
      </c>
    </row>
    <row r="393" spans="1:8">
      <c r="A393" s="16">
        <v>22316</v>
      </c>
      <c r="B393" s="26">
        <v>999</v>
      </c>
      <c r="C393" s="22">
        <v>1.25</v>
      </c>
      <c r="D393" s="22">
        <v>0.5</v>
      </c>
      <c r="E393" s="22">
        <v>0.5</v>
      </c>
      <c r="F393" s="22">
        <v>0</v>
      </c>
      <c r="G393" s="22">
        <v>0.5</v>
      </c>
      <c r="H393" s="16">
        <v>2231006</v>
      </c>
    </row>
    <row r="394" spans="1:8">
      <c r="A394" s="16">
        <v>22317</v>
      </c>
      <c r="B394" s="26">
        <v>999</v>
      </c>
      <c r="C394" s="22">
        <v>1.5</v>
      </c>
      <c r="D394" s="22">
        <v>0.6</v>
      </c>
      <c r="E394" s="22">
        <v>0.5</v>
      </c>
      <c r="F394" s="22">
        <v>0</v>
      </c>
      <c r="G394" s="22">
        <v>0.5</v>
      </c>
      <c r="H394" s="16">
        <v>2231007</v>
      </c>
    </row>
    <row r="395" spans="1:8">
      <c r="A395" s="16">
        <v>22318</v>
      </c>
      <c r="B395" s="26">
        <v>999</v>
      </c>
      <c r="C395" s="22">
        <v>1.75</v>
      </c>
      <c r="D395" s="22">
        <v>0.7</v>
      </c>
      <c r="E395" s="22">
        <v>0.5</v>
      </c>
      <c r="F395" s="22">
        <v>0</v>
      </c>
      <c r="G395" s="22">
        <v>0.5</v>
      </c>
      <c r="H395" s="16">
        <v>2231008</v>
      </c>
    </row>
    <row r="396" spans="1:8">
      <c r="A396" s="16">
        <v>22319</v>
      </c>
      <c r="B396" s="26">
        <v>999</v>
      </c>
      <c r="C396" s="22">
        <v>2</v>
      </c>
      <c r="D396" s="22">
        <v>0.8</v>
      </c>
      <c r="E396" s="22">
        <v>0.5</v>
      </c>
      <c r="F396" s="22">
        <v>0</v>
      </c>
      <c r="G396" s="22">
        <v>0.5</v>
      </c>
      <c r="H396" s="16">
        <v>2231009</v>
      </c>
    </row>
    <row r="397" spans="1:8">
      <c r="A397" s="16">
        <v>22320</v>
      </c>
      <c r="B397" s="26">
        <v>999</v>
      </c>
      <c r="C397" s="22">
        <v>2.25</v>
      </c>
      <c r="D397" s="22">
        <v>0.9</v>
      </c>
      <c r="E397" s="22">
        <v>0.5</v>
      </c>
      <c r="F397" s="22">
        <v>0</v>
      </c>
      <c r="G397" s="22">
        <v>0.5</v>
      </c>
      <c r="H397" s="16">
        <v>2231010</v>
      </c>
    </row>
    <row r="398" spans="1:8">
      <c r="A398" s="16">
        <v>22321</v>
      </c>
      <c r="B398" s="26">
        <v>999</v>
      </c>
      <c r="C398" s="22">
        <v>2.5</v>
      </c>
      <c r="D398" s="22">
        <v>1</v>
      </c>
      <c r="E398" s="22">
        <v>0.5</v>
      </c>
      <c r="F398" s="22">
        <v>0</v>
      </c>
      <c r="G398" s="22">
        <v>0.5</v>
      </c>
      <c r="H398" s="16">
        <v>2231011</v>
      </c>
    </row>
    <row r="399" spans="1:8">
      <c r="A399" s="16">
        <v>22322</v>
      </c>
      <c r="B399" s="26">
        <v>999</v>
      </c>
      <c r="C399" s="22">
        <v>2.75</v>
      </c>
      <c r="D399" s="22">
        <v>1</v>
      </c>
      <c r="E399" s="22">
        <v>0.5</v>
      </c>
      <c r="F399" s="22">
        <v>0</v>
      </c>
      <c r="G399" s="22">
        <v>0.5</v>
      </c>
      <c r="H399" s="16">
        <v>2231012</v>
      </c>
    </row>
    <row r="400" spans="1:8">
      <c r="A400" s="16">
        <v>22323</v>
      </c>
      <c r="B400" s="26">
        <v>999</v>
      </c>
      <c r="C400" s="22">
        <v>3</v>
      </c>
      <c r="D400" s="22">
        <v>1</v>
      </c>
      <c r="E400" s="22">
        <v>0.5</v>
      </c>
      <c r="F400" s="22">
        <v>0</v>
      </c>
      <c r="G400" s="22">
        <v>0.5</v>
      </c>
      <c r="H400" s="16">
        <v>2231013</v>
      </c>
    </row>
    <row r="401" spans="1:8">
      <c r="A401" s="16">
        <v>22324</v>
      </c>
      <c r="B401" s="26">
        <v>999</v>
      </c>
      <c r="C401" s="22">
        <v>3.5</v>
      </c>
      <c r="D401" s="22">
        <v>1</v>
      </c>
      <c r="E401" s="22">
        <v>0.5</v>
      </c>
      <c r="F401" s="22">
        <v>0</v>
      </c>
      <c r="G401" s="22">
        <v>0.5</v>
      </c>
      <c r="H401" s="16">
        <v>2231014</v>
      </c>
    </row>
    <row r="402" spans="1:8">
      <c r="A402" s="16">
        <v>22325</v>
      </c>
      <c r="B402" s="26">
        <v>999</v>
      </c>
      <c r="C402" s="22">
        <v>4</v>
      </c>
      <c r="D402" s="22">
        <v>1</v>
      </c>
      <c r="E402" s="22">
        <v>0.5</v>
      </c>
      <c r="F402" s="22">
        <v>0</v>
      </c>
      <c r="G402" s="22">
        <v>0.5</v>
      </c>
      <c r="H402" s="16">
        <v>2231015</v>
      </c>
    </row>
    <row r="403" spans="1:8">
      <c r="A403" s="16">
        <v>22326</v>
      </c>
      <c r="B403" s="26">
        <v>999</v>
      </c>
      <c r="C403" s="22">
        <v>4</v>
      </c>
      <c r="D403" s="22">
        <v>1</v>
      </c>
      <c r="E403" s="22">
        <v>1</v>
      </c>
      <c r="F403" s="22">
        <v>0</v>
      </c>
      <c r="G403" s="22">
        <v>1</v>
      </c>
      <c r="H403" s="16">
        <v>2231016</v>
      </c>
    </row>
    <row r="404" spans="1:8">
      <c r="A404" s="16">
        <v>22327</v>
      </c>
      <c r="B404" s="26">
        <v>999</v>
      </c>
      <c r="C404" s="22">
        <v>0.5</v>
      </c>
      <c r="D404" s="22">
        <v>-0.25</v>
      </c>
      <c r="E404" s="22">
        <v>0</v>
      </c>
      <c r="F404" s="22">
        <v>0</v>
      </c>
      <c r="G404" s="22">
        <v>0</v>
      </c>
      <c r="H404" s="16">
        <v>2231027</v>
      </c>
    </row>
    <row r="405" spans="1:8">
      <c r="A405" s="16">
        <v>22328</v>
      </c>
      <c r="B405" s="26">
        <v>999</v>
      </c>
      <c r="C405" s="22">
        <v>0.5</v>
      </c>
      <c r="D405" s="22">
        <v>0</v>
      </c>
      <c r="E405" s="22">
        <v>0.15</v>
      </c>
      <c r="F405" s="22">
        <v>0</v>
      </c>
      <c r="G405" s="22">
        <v>0.15</v>
      </c>
      <c r="H405" s="16">
        <v>2231028</v>
      </c>
    </row>
    <row r="406" spans="1:8">
      <c r="A406" s="16">
        <v>22329</v>
      </c>
      <c r="B406" s="26">
        <v>999</v>
      </c>
      <c r="C406" s="22">
        <v>0.75</v>
      </c>
      <c r="D406" s="22">
        <v>0.15</v>
      </c>
      <c r="E406" s="22">
        <v>0.25</v>
      </c>
      <c r="F406" s="22">
        <v>0</v>
      </c>
      <c r="G406" s="22">
        <v>0.25</v>
      </c>
      <c r="H406" s="16">
        <v>2231029</v>
      </c>
    </row>
    <row r="407" spans="1:8">
      <c r="A407" s="16">
        <v>22330</v>
      </c>
      <c r="B407" s="26">
        <v>999</v>
      </c>
      <c r="C407" s="22">
        <v>1</v>
      </c>
      <c r="D407" s="22">
        <v>0.15</v>
      </c>
      <c r="E407" s="22">
        <v>0.25</v>
      </c>
      <c r="F407" s="22">
        <v>0</v>
      </c>
      <c r="G407" s="22">
        <v>0.25</v>
      </c>
      <c r="H407" s="16">
        <v>2231030</v>
      </c>
    </row>
    <row r="408" spans="1:8">
      <c r="A408" s="16">
        <v>22331</v>
      </c>
      <c r="B408" s="26">
        <v>999</v>
      </c>
      <c r="C408" s="22">
        <v>1.25</v>
      </c>
      <c r="D408" s="22">
        <v>0.25</v>
      </c>
      <c r="E408" s="22">
        <v>0.25</v>
      </c>
      <c r="F408" s="22">
        <v>0</v>
      </c>
      <c r="G408" s="22">
        <v>0.25</v>
      </c>
      <c r="H408" s="16">
        <v>2231031</v>
      </c>
    </row>
    <row r="409" spans="1:8">
      <c r="A409" s="16">
        <v>22332</v>
      </c>
      <c r="B409" s="26">
        <v>999</v>
      </c>
      <c r="C409" s="22">
        <v>1.5</v>
      </c>
      <c r="D409" s="22">
        <v>0.5</v>
      </c>
      <c r="E409" s="22">
        <v>0.5</v>
      </c>
      <c r="F409" s="22">
        <v>0</v>
      </c>
      <c r="G409" s="22">
        <v>0.5</v>
      </c>
      <c r="H409" s="16">
        <v>2231032</v>
      </c>
    </row>
    <row r="410" spans="1:8">
      <c r="A410" s="16">
        <v>22333</v>
      </c>
      <c r="B410" s="26">
        <v>999</v>
      </c>
      <c r="C410" s="22">
        <v>1.75</v>
      </c>
      <c r="D410" s="22">
        <v>0.5</v>
      </c>
      <c r="E410" s="22">
        <v>0.5</v>
      </c>
      <c r="F410" s="22">
        <v>0</v>
      </c>
      <c r="G410" s="22">
        <v>0.5</v>
      </c>
      <c r="H410" s="16">
        <v>2231033</v>
      </c>
    </row>
    <row r="411" spans="1:8">
      <c r="A411" s="16">
        <v>22334</v>
      </c>
      <c r="B411" s="26">
        <v>999</v>
      </c>
      <c r="C411" s="22">
        <v>2</v>
      </c>
      <c r="D411" s="22">
        <v>0.6</v>
      </c>
      <c r="E411" s="22">
        <v>0.5</v>
      </c>
      <c r="F411" s="22">
        <v>0</v>
      </c>
      <c r="G411" s="22">
        <v>0.5</v>
      </c>
      <c r="H411" s="16">
        <v>2231034</v>
      </c>
    </row>
    <row r="412" spans="1:8">
      <c r="A412" s="16">
        <v>22335</v>
      </c>
      <c r="B412" s="26">
        <v>999</v>
      </c>
      <c r="C412" s="22">
        <v>2.25</v>
      </c>
      <c r="D412" s="22">
        <v>0.7</v>
      </c>
      <c r="E412" s="22">
        <v>0.5</v>
      </c>
      <c r="F412" s="22">
        <v>0</v>
      </c>
      <c r="G412" s="22">
        <v>0.5</v>
      </c>
      <c r="H412" s="16">
        <v>2231035</v>
      </c>
    </row>
    <row r="413" spans="1:8">
      <c r="A413" s="16">
        <v>22336</v>
      </c>
      <c r="B413" s="26">
        <v>999</v>
      </c>
      <c r="C413" s="22">
        <v>2.5</v>
      </c>
      <c r="D413" s="22">
        <v>0.8</v>
      </c>
      <c r="E413" s="22">
        <v>0.5</v>
      </c>
      <c r="F413" s="22">
        <v>0</v>
      </c>
      <c r="G413" s="22">
        <v>0.5</v>
      </c>
      <c r="H413" s="16">
        <v>2231036</v>
      </c>
    </row>
    <row r="414" spans="1:8">
      <c r="A414" s="16">
        <v>22337</v>
      </c>
      <c r="B414" s="26">
        <v>999</v>
      </c>
      <c r="C414" s="22">
        <v>3</v>
      </c>
      <c r="D414" s="22">
        <v>0.8</v>
      </c>
      <c r="E414" s="22">
        <v>0.5</v>
      </c>
      <c r="F414" s="22">
        <v>0</v>
      </c>
      <c r="G414" s="22">
        <v>0.5</v>
      </c>
      <c r="H414" s="16">
        <v>2231037</v>
      </c>
    </row>
    <row r="415" spans="1:8">
      <c r="A415" s="16">
        <v>22338</v>
      </c>
      <c r="B415" s="26">
        <v>999</v>
      </c>
      <c r="C415" s="22">
        <v>3.5</v>
      </c>
      <c r="D415" s="22">
        <v>0.8</v>
      </c>
      <c r="E415" s="22">
        <v>0.5</v>
      </c>
      <c r="F415" s="22">
        <v>0</v>
      </c>
      <c r="G415" s="22">
        <v>0.5</v>
      </c>
      <c r="H415" s="16">
        <v>2231038</v>
      </c>
    </row>
    <row r="416" spans="1:8">
      <c r="A416" s="16">
        <v>22339</v>
      </c>
      <c r="B416" s="26">
        <v>999</v>
      </c>
      <c r="C416" s="22">
        <v>4</v>
      </c>
      <c r="D416" s="22">
        <v>0.8</v>
      </c>
      <c r="E416" s="22">
        <v>0.5</v>
      </c>
      <c r="F416" s="22">
        <v>0</v>
      </c>
      <c r="G416" s="22">
        <v>0.5</v>
      </c>
      <c r="H416" s="16">
        <v>2231039</v>
      </c>
    </row>
    <row r="417" spans="1:8">
      <c r="A417" s="16">
        <v>22340</v>
      </c>
      <c r="B417" s="26">
        <v>999</v>
      </c>
      <c r="C417" s="22">
        <v>4.5</v>
      </c>
      <c r="D417" s="22">
        <v>0.8</v>
      </c>
      <c r="E417" s="22">
        <v>0.5</v>
      </c>
      <c r="F417" s="22">
        <v>0</v>
      </c>
      <c r="G417" s="22">
        <v>0.5</v>
      </c>
      <c r="H417" s="16">
        <v>2231040</v>
      </c>
    </row>
    <row r="418" spans="1:8">
      <c r="A418" s="16">
        <v>22341</v>
      </c>
      <c r="B418" s="26">
        <v>999</v>
      </c>
      <c r="C418" s="22">
        <v>5</v>
      </c>
      <c r="D418" s="22">
        <v>0.8</v>
      </c>
      <c r="E418" s="22">
        <v>0.5</v>
      </c>
      <c r="F418" s="22">
        <v>0</v>
      </c>
      <c r="G418" s="22">
        <v>0.5</v>
      </c>
      <c r="H418" s="16">
        <v>2231041</v>
      </c>
    </row>
    <row r="419" spans="1:8">
      <c r="A419" s="16">
        <v>22401</v>
      </c>
      <c r="B419" s="26">
        <v>999</v>
      </c>
      <c r="C419" s="22">
        <v>0.6</v>
      </c>
      <c r="D419" s="22">
        <v>-0.25</v>
      </c>
      <c r="E419" s="22">
        <v>0</v>
      </c>
      <c r="F419" s="22">
        <v>0</v>
      </c>
      <c r="G419" s="22">
        <v>0</v>
      </c>
      <c r="H419" s="16">
        <v>2240101</v>
      </c>
    </row>
    <row r="420" spans="1:8">
      <c r="A420" s="16">
        <v>22402</v>
      </c>
      <c r="B420" s="26">
        <v>999</v>
      </c>
      <c r="C420" s="22">
        <v>0.3</v>
      </c>
      <c r="D420" s="22">
        <v>-0.3</v>
      </c>
      <c r="E420" s="22">
        <v>0</v>
      </c>
      <c r="F420" s="22">
        <v>0</v>
      </c>
      <c r="G420" s="22">
        <v>0</v>
      </c>
      <c r="H420" s="16">
        <v>2240102</v>
      </c>
    </row>
    <row r="421" spans="1:8">
      <c r="A421" s="16">
        <v>22403</v>
      </c>
      <c r="B421" s="26">
        <v>999</v>
      </c>
      <c r="C421" s="22">
        <v>0.15</v>
      </c>
      <c r="D421" s="22">
        <v>-0.35</v>
      </c>
      <c r="E421" s="22">
        <v>0</v>
      </c>
      <c r="F421" s="22">
        <v>0</v>
      </c>
      <c r="G421" s="22">
        <v>0</v>
      </c>
      <c r="H421" s="16">
        <v>2240103</v>
      </c>
    </row>
    <row r="422" spans="1:8">
      <c r="A422" s="16">
        <v>22404</v>
      </c>
      <c r="B422" s="26">
        <v>999</v>
      </c>
      <c r="C422" s="22">
        <v>0</v>
      </c>
      <c r="D422" s="22">
        <v>-0.35</v>
      </c>
      <c r="E422" s="22">
        <v>0</v>
      </c>
      <c r="F422" s="22">
        <v>0</v>
      </c>
      <c r="G422" s="22">
        <v>0</v>
      </c>
      <c r="H422" s="16">
        <v>2240104</v>
      </c>
    </row>
    <row r="423" spans="1:8">
      <c r="A423" s="16">
        <v>22405</v>
      </c>
      <c r="B423" s="26">
        <v>999</v>
      </c>
      <c r="C423" s="22">
        <v>0.7</v>
      </c>
      <c r="D423" s="22">
        <v>-0.3</v>
      </c>
      <c r="E423" s="22">
        <v>0</v>
      </c>
      <c r="F423" s="22">
        <v>0</v>
      </c>
      <c r="G423" s="22">
        <v>0</v>
      </c>
      <c r="H423" s="16">
        <v>2240105</v>
      </c>
    </row>
    <row r="424" spans="1:8">
      <c r="A424" s="16">
        <v>22406</v>
      </c>
      <c r="B424" s="26">
        <v>999</v>
      </c>
      <c r="C424" s="22">
        <v>0.92</v>
      </c>
      <c r="D424" s="22">
        <v>-0.25</v>
      </c>
      <c r="E424" s="22">
        <v>0</v>
      </c>
      <c r="F424" s="22">
        <v>0</v>
      </c>
      <c r="G424" s="22">
        <v>0</v>
      </c>
      <c r="H424" s="16">
        <v>2240106</v>
      </c>
    </row>
    <row r="425" spans="1:8">
      <c r="A425" s="16">
        <v>22407</v>
      </c>
      <c r="B425" s="26">
        <v>999</v>
      </c>
      <c r="C425" s="22">
        <v>0.56</v>
      </c>
      <c r="D425" s="22">
        <v>-0.3</v>
      </c>
      <c r="E425" s="22">
        <v>0</v>
      </c>
      <c r="F425" s="22">
        <v>0</v>
      </c>
      <c r="G425" s="22">
        <v>0</v>
      </c>
      <c r="H425" s="16">
        <v>2240107</v>
      </c>
    </row>
    <row r="426" spans="1:8">
      <c r="A426" s="16">
        <v>22408</v>
      </c>
      <c r="B426" s="26">
        <v>999</v>
      </c>
      <c r="C426" s="22">
        <v>0.26</v>
      </c>
      <c r="D426" s="22">
        <v>-0.35</v>
      </c>
      <c r="E426" s="22">
        <v>0</v>
      </c>
      <c r="F426" s="22">
        <v>0</v>
      </c>
      <c r="G426" s="22">
        <v>0</v>
      </c>
      <c r="H426" s="16">
        <v>2240108</v>
      </c>
    </row>
    <row r="427" spans="1:8">
      <c r="A427" s="16">
        <v>22409</v>
      </c>
      <c r="B427" s="26">
        <v>999</v>
      </c>
      <c r="C427" s="22">
        <v>0.2</v>
      </c>
      <c r="D427" s="22">
        <v>-0.35</v>
      </c>
      <c r="E427" s="22">
        <v>0</v>
      </c>
      <c r="F427" s="22">
        <v>0</v>
      </c>
      <c r="G427" s="22">
        <v>0</v>
      </c>
      <c r="H427" s="16">
        <v>2240109</v>
      </c>
    </row>
    <row r="428" spans="1:8">
      <c r="A428" s="16">
        <v>22410</v>
      </c>
      <c r="B428" s="26">
        <v>999</v>
      </c>
      <c r="C428" s="22">
        <v>1</v>
      </c>
      <c r="D428" s="22">
        <v>-0.3</v>
      </c>
      <c r="E428" s="22">
        <v>0</v>
      </c>
      <c r="F428" s="22">
        <v>0</v>
      </c>
      <c r="G428" s="22">
        <v>0</v>
      </c>
      <c r="H428" s="16">
        <v>2240110</v>
      </c>
    </row>
    <row r="429" spans="1:8">
      <c r="A429" s="16">
        <v>22411</v>
      </c>
      <c r="B429" s="26">
        <v>999</v>
      </c>
      <c r="C429" s="22">
        <v>0.92</v>
      </c>
      <c r="D429" s="22">
        <v>-0.35</v>
      </c>
      <c r="E429" s="22">
        <v>0</v>
      </c>
      <c r="F429" s="22">
        <v>0</v>
      </c>
      <c r="G429" s="22">
        <v>0</v>
      </c>
      <c r="H429" s="16">
        <v>2240111</v>
      </c>
    </row>
    <row r="430" spans="1:8">
      <c r="A430" s="16">
        <v>22412</v>
      </c>
      <c r="B430" s="26">
        <v>999</v>
      </c>
      <c r="C430" s="22">
        <v>0.56</v>
      </c>
      <c r="D430" s="22">
        <v>-0.35</v>
      </c>
      <c r="E430" s="22">
        <v>0</v>
      </c>
      <c r="F430" s="22">
        <v>0</v>
      </c>
      <c r="G430" s="22">
        <v>0</v>
      </c>
      <c r="H430" s="16">
        <v>2240112</v>
      </c>
    </row>
    <row r="431" spans="1:8">
      <c r="A431" s="16">
        <v>22413</v>
      </c>
      <c r="B431" s="26">
        <v>999</v>
      </c>
      <c r="C431" s="22">
        <v>0.56</v>
      </c>
      <c r="D431" s="22">
        <v>-0.3</v>
      </c>
      <c r="E431" s="22">
        <v>0</v>
      </c>
      <c r="F431" s="22">
        <v>0</v>
      </c>
      <c r="G431" s="22">
        <v>0</v>
      </c>
      <c r="H431" s="16">
        <v>2240113</v>
      </c>
    </row>
    <row r="432" spans="1:8">
      <c r="A432" s="16">
        <v>22414</v>
      </c>
      <c r="B432" s="26">
        <v>999</v>
      </c>
      <c r="C432" s="22">
        <v>0.72</v>
      </c>
      <c r="D432" s="22">
        <v>-0.3</v>
      </c>
      <c r="E432" s="22">
        <v>0</v>
      </c>
      <c r="F432" s="22">
        <v>0</v>
      </c>
      <c r="G432" s="22">
        <v>0</v>
      </c>
      <c r="H432" s="16">
        <v>2240114</v>
      </c>
    </row>
    <row r="433" spans="1:8">
      <c r="A433" s="16">
        <v>22415</v>
      </c>
      <c r="B433" s="26">
        <v>999</v>
      </c>
      <c r="C433" s="22">
        <v>0.56</v>
      </c>
      <c r="D433" s="22">
        <v>-0.35</v>
      </c>
      <c r="E433" s="22">
        <v>0</v>
      </c>
      <c r="F433" s="22">
        <v>0</v>
      </c>
      <c r="G433" s="22">
        <v>0</v>
      </c>
      <c r="H433" s="16">
        <v>2240115</v>
      </c>
    </row>
    <row r="434" spans="1:8">
      <c r="A434" s="16">
        <v>22416</v>
      </c>
      <c r="B434" s="26">
        <v>999</v>
      </c>
      <c r="C434" s="22">
        <v>0.75</v>
      </c>
      <c r="D434" s="22">
        <v>-0.3</v>
      </c>
      <c r="E434" s="22">
        <v>0</v>
      </c>
      <c r="F434" s="22">
        <v>0</v>
      </c>
      <c r="G434" s="22">
        <v>0</v>
      </c>
      <c r="H434" s="16">
        <v>2240116</v>
      </c>
    </row>
    <row r="435" spans="1:8">
      <c r="A435" s="16">
        <v>22417</v>
      </c>
      <c r="B435" s="26">
        <v>999</v>
      </c>
      <c r="C435" s="22">
        <v>0.55</v>
      </c>
      <c r="D435" s="22">
        <v>-0.35</v>
      </c>
      <c r="E435" s="22">
        <v>0</v>
      </c>
      <c r="F435" s="22">
        <v>0</v>
      </c>
      <c r="G435" s="22">
        <v>0</v>
      </c>
      <c r="H435" s="16">
        <v>2240117</v>
      </c>
    </row>
    <row r="436" spans="1:8">
      <c r="A436" s="16">
        <v>22418</v>
      </c>
      <c r="B436" s="26">
        <v>999</v>
      </c>
      <c r="C436" s="22">
        <v>0.35</v>
      </c>
      <c r="D436" s="22">
        <v>-0.35</v>
      </c>
      <c r="E436" s="22">
        <v>0</v>
      </c>
      <c r="F436" s="22">
        <v>0</v>
      </c>
      <c r="G436" s="22">
        <v>0</v>
      </c>
      <c r="H436" s="16">
        <v>2240118</v>
      </c>
    </row>
    <row r="437" spans="1:8">
      <c r="A437" s="16">
        <v>22419</v>
      </c>
      <c r="B437" s="26">
        <v>999</v>
      </c>
      <c r="C437" s="22">
        <v>0.75</v>
      </c>
      <c r="D437" s="22">
        <v>-0.3</v>
      </c>
      <c r="E437" s="22">
        <v>0</v>
      </c>
      <c r="F437" s="22">
        <v>0</v>
      </c>
      <c r="G437" s="22">
        <v>0</v>
      </c>
      <c r="H437" s="16">
        <v>2240119</v>
      </c>
    </row>
    <row r="438" spans="1:8">
      <c r="A438" s="16">
        <v>22420</v>
      </c>
      <c r="B438" s="26">
        <v>999</v>
      </c>
      <c r="C438" s="22">
        <v>0.75</v>
      </c>
      <c r="D438" s="22">
        <v>-0.3</v>
      </c>
      <c r="E438" s="22">
        <v>0</v>
      </c>
      <c r="F438" s="22">
        <v>0</v>
      </c>
      <c r="G438" s="22">
        <v>0</v>
      </c>
      <c r="H438" s="16">
        <v>2240120</v>
      </c>
    </row>
    <row r="439" spans="1:8">
      <c r="A439" s="16">
        <v>22421</v>
      </c>
      <c r="B439" s="26">
        <v>999</v>
      </c>
      <c r="C439" s="22">
        <v>1.3</v>
      </c>
      <c r="D439" s="22">
        <v>-0.3</v>
      </c>
      <c r="E439" s="22">
        <v>0</v>
      </c>
      <c r="F439" s="22">
        <v>0</v>
      </c>
      <c r="G439" s="22">
        <v>0</v>
      </c>
      <c r="H439" s="16">
        <v>2240121</v>
      </c>
    </row>
    <row r="440" spans="1:8">
      <c r="A440" s="16">
        <v>22422</v>
      </c>
      <c r="B440" s="26">
        <v>999</v>
      </c>
      <c r="C440" s="22">
        <v>1.46</v>
      </c>
      <c r="D440" s="22">
        <v>-0.3</v>
      </c>
      <c r="E440" s="22">
        <v>0</v>
      </c>
      <c r="F440" s="22">
        <v>0</v>
      </c>
      <c r="G440" s="22">
        <v>0</v>
      </c>
      <c r="H440" s="16">
        <v>2240122</v>
      </c>
    </row>
    <row r="441" spans="1:8">
      <c r="A441" s="16">
        <v>22423</v>
      </c>
      <c r="B441" s="26">
        <v>999</v>
      </c>
      <c r="C441" s="22">
        <v>0.75</v>
      </c>
      <c r="D441" s="22">
        <v>-0.35</v>
      </c>
      <c r="E441" s="22">
        <v>0</v>
      </c>
      <c r="F441" s="22">
        <v>0</v>
      </c>
      <c r="G441" s="22">
        <v>0</v>
      </c>
      <c r="H441" s="16">
        <v>2240123</v>
      </c>
    </row>
    <row r="442" spans="1:8">
      <c r="A442" s="16">
        <v>22424</v>
      </c>
      <c r="B442" s="26">
        <v>999</v>
      </c>
      <c r="C442" s="22">
        <v>0.75</v>
      </c>
      <c r="D442" s="22">
        <v>-0.3</v>
      </c>
      <c r="E442" s="22">
        <v>0</v>
      </c>
      <c r="F442" s="22">
        <v>0</v>
      </c>
      <c r="G442" s="22">
        <v>0</v>
      </c>
      <c r="H442" s="16">
        <v>2240124</v>
      </c>
    </row>
    <row r="443" spans="1:8">
      <c r="A443" s="16">
        <v>22425</v>
      </c>
      <c r="B443" s="26">
        <v>999</v>
      </c>
      <c r="C443" s="22">
        <v>0.45</v>
      </c>
      <c r="D443" s="22">
        <v>-0.35</v>
      </c>
      <c r="E443" s="22">
        <v>0</v>
      </c>
      <c r="F443" s="22">
        <v>0</v>
      </c>
      <c r="G443" s="22">
        <v>0</v>
      </c>
      <c r="H443" s="16">
        <v>2240125</v>
      </c>
    </row>
    <row r="444" spans="1:8">
      <c r="A444" s="16">
        <v>22426</v>
      </c>
      <c r="B444" s="26">
        <v>999</v>
      </c>
      <c r="C444" s="22">
        <v>1.3</v>
      </c>
      <c r="D444" s="22">
        <v>-0.3</v>
      </c>
      <c r="E444" s="22">
        <v>0</v>
      </c>
      <c r="F444" s="22">
        <v>0</v>
      </c>
      <c r="G444" s="22">
        <v>0</v>
      </c>
      <c r="H444" s="16">
        <v>2240126</v>
      </c>
    </row>
    <row r="445" spans="1:8">
      <c r="A445" s="16">
        <v>22427</v>
      </c>
      <c r="B445" s="26">
        <v>999</v>
      </c>
      <c r="C445" s="22">
        <v>0.61</v>
      </c>
      <c r="D445" s="22">
        <v>-0.3</v>
      </c>
      <c r="E445" s="22">
        <v>0</v>
      </c>
      <c r="F445" s="22">
        <v>0</v>
      </c>
      <c r="G445" s="22">
        <v>0</v>
      </c>
      <c r="H445" s="16">
        <v>2240127</v>
      </c>
    </row>
    <row r="446" spans="1:8">
      <c r="A446" s="16">
        <v>22428</v>
      </c>
      <c r="B446" s="26">
        <v>999</v>
      </c>
      <c r="C446" s="22">
        <v>0.885</v>
      </c>
      <c r="D446" s="22">
        <v>-0.3</v>
      </c>
      <c r="E446" s="22">
        <v>0</v>
      </c>
      <c r="F446" s="22">
        <v>0</v>
      </c>
      <c r="G446" s="22">
        <v>0</v>
      </c>
      <c r="H446" s="16">
        <v>2240128</v>
      </c>
    </row>
    <row r="447" spans="1:8">
      <c r="A447" s="16">
        <v>22429</v>
      </c>
      <c r="B447" s="26">
        <v>999</v>
      </c>
      <c r="C447" s="22">
        <v>-0.15</v>
      </c>
      <c r="D447" s="22">
        <v>-0.4</v>
      </c>
      <c r="E447" s="22">
        <v>0</v>
      </c>
      <c r="F447" s="22">
        <v>0</v>
      </c>
      <c r="G447" s="22">
        <v>0</v>
      </c>
      <c r="H447" s="16">
        <v>2240129</v>
      </c>
    </row>
    <row r="448" spans="1:8">
      <c r="A448" s="16">
        <v>22430</v>
      </c>
      <c r="B448" s="26">
        <v>999</v>
      </c>
      <c r="C448" s="22">
        <v>0.55</v>
      </c>
      <c r="D448" s="22">
        <v>-0.35</v>
      </c>
      <c r="E448" s="22">
        <v>0</v>
      </c>
      <c r="F448" s="22">
        <v>0</v>
      </c>
      <c r="G448" s="22">
        <v>0</v>
      </c>
      <c r="H448" s="16">
        <v>2240130</v>
      </c>
    </row>
    <row r="449" spans="1:8">
      <c r="A449" s="16">
        <v>22431</v>
      </c>
      <c r="B449" s="26">
        <v>999</v>
      </c>
      <c r="C449" s="22">
        <v>0.85</v>
      </c>
      <c r="D449" s="22">
        <v>-0.3</v>
      </c>
      <c r="E449" s="22">
        <v>0</v>
      </c>
      <c r="F449" s="22">
        <v>0</v>
      </c>
      <c r="G449" s="22">
        <v>0</v>
      </c>
      <c r="H449" s="16">
        <v>2240131</v>
      </c>
    </row>
    <row r="450" spans="1:8">
      <c r="A450" s="16">
        <v>22432</v>
      </c>
      <c r="B450" s="26">
        <v>999</v>
      </c>
      <c r="C450" s="22">
        <v>0.85</v>
      </c>
      <c r="D450" s="22">
        <v>-0.3</v>
      </c>
      <c r="E450" s="22">
        <v>0</v>
      </c>
      <c r="F450" s="22">
        <v>0</v>
      </c>
      <c r="G450" s="22">
        <v>0</v>
      </c>
      <c r="H450" s="16">
        <v>2240132</v>
      </c>
    </row>
    <row r="451" spans="1:8">
      <c r="A451" s="16">
        <v>22433</v>
      </c>
      <c r="B451" s="26">
        <v>999</v>
      </c>
      <c r="C451" s="22">
        <v>1.55</v>
      </c>
      <c r="D451" s="22">
        <v>-0.3</v>
      </c>
      <c r="E451" s="22">
        <v>0</v>
      </c>
      <c r="F451" s="22">
        <v>0</v>
      </c>
      <c r="G451" s="22">
        <v>0</v>
      </c>
      <c r="H451" s="16">
        <v>2240133</v>
      </c>
    </row>
    <row r="452" spans="1:8">
      <c r="A452" s="16">
        <v>22434</v>
      </c>
      <c r="B452" s="26">
        <v>999</v>
      </c>
      <c r="C452" s="22">
        <v>0.85</v>
      </c>
      <c r="D452" s="22">
        <v>-0.3</v>
      </c>
      <c r="E452" s="22">
        <v>0</v>
      </c>
      <c r="F452" s="22">
        <v>0</v>
      </c>
      <c r="G452" s="22">
        <v>0</v>
      </c>
      <c r="H452" s="16">
        <v>2240134</v>
      </c>
    </row>
    <row r="453" spans="1:8">
      <c r="A453" s="16">
        <v>22435</v>
      </c>
      <c r="B453" s="26">
        <v>999</v>
      </c>
      <c r="C453" s="22">
        <v>1.4</v>
      </c>
      <c r="D453" s="22">
        <v>-0.3</v>
      </c>
      <c r="E453" s="22">
        <v>0</v>
      </c>
      <c r="F453" s="22">
        <v>0</v>
      </c>
      <c r="G453" s="22">
        <v>0</v>
      </c>
      <c r="H453" s="16">
        <v>2240135</v>
      </c>
    </row>
    <row r="454" spans="1:8">
      <c r="A454" s="16">
        <v>22436</v>
      </c>
      <c r="B454" s="26">
        <v>999</v>
      </c>
      <c r="C454" s="22">
        <v>0</v>
      </c>
      <c r="D454" s="22">
        <v>-0.4</v>
      </c>
      <c r="E454" s="22">
        <v>0</v>
      </c>
      <c r="F454" s="22">
        <v>0</v>
      </c>
      <c r="G454" s="22">
        <v>0.1</v>
      </c>
      <c r="H454" s="16">
        <v>2240136</v>
      </c>
    </row>
    <row r="455" spans="1:8">
      <c r="A455" s="16">
        <v>22437</v>
      </c>
      <c r="B455" s="26">
        <v>999</v>
      </c>
      <c r="C455" s="22">
        <v>0.55</v>
      </c>
      <c r="D455" s="22">
        <v>-0.4</v>
      </c>
      <c r="E455" s="22">
        <v>0</v>
      </c>
      <c r="F455" s="22">
        <v>0</v>
      </c>
      <c r="G455" s="22">
        <v>0.1</v>
      </c>
      <c r="H455" s="16">
        <v>2240137</v>
      </c>
    </row>
    <row r="456" spans="1:8">
      <c r="A456" s="16">
        <v>22438</v>
      </c>
      <c r="B456" s="26">
        <v>999</v>
      </c>
      <c r="C456" s="22">
        <v>1</v>
      </c>
      <c r="D456" s="22">
        <v>-0.3</v>
      </c>
      <c r="E456" s="22">
        <v>0</v>
      </c>
      <c r="F456" s="22">
        <v>0</v>
      </c>
      <c r="G456" s="22">
        <v>0.1</v>
      </c>
      <c r="H456" s="16">
        <v>2240138</v>
      </c>
    </row>
    <row r="457" spans="1:8">
      <c r="A457" s="16">
        <v>22439</v>
      </c>
      <c r="B457" s="26">
        <v>999</v>
      </c>
      <c r="C457" s="22">
        <v>1.65</v>
      </c>
      <c r="D457" s="22">
        <v>-0.3</v>
      </c>
      <c r="E457" s="22">
        <v>0</v>
      </c>
      <c r="F457" s="22">
        <v>0</v>
      </c>
      <c r="G457" s="22">
        <v>0.1</v>
      </c>
      <c r="H457" s="16">
        <v>2240139</v>
      </c>
    </row>
    <row r="458" spans="1:8">
      <c r="A458" s="16">
        <v>22440</v>
      </c>
      <c r="B458" s="26">
        <v>999</v>
      </c>
      <c r="C458" s="22">
        <v>0.7</v>
      </c>
      <c r="D458" s="22">
        <v>-0.35</v>
      </c>
      <c r="E458" s="22">
        <v>0</v>
      </c>
      <c r="F458" s="22">
        <v>0</v>
      </c>
      <c r="G458" s="22">
        <v>0.1</v>
      </c>
      <c r="H458" s="16">
        <v>2240140</v>
      </c>
    </row>
    <row r="459" spans="1:8">
      <c r="A459" s="16">
        <v>22441</v>
      </c>
      <c r="B459" s="26">
        <v>999</v>
      </c>
      <c r="C459" s="22">
        <v>0.75</v>
      </c>
      <c r="D459" s="22">
        <v>-0.3</v>
      </c>
      <c r="E459" s="22">
        <v>0</v>
      </c>
      <c r="F459" s="22">
        <v>0</v>
      </c>
      <c r="G459" s="22">
        <v>0.1</v>
      </c>
      <c r="H459" s="16">
        <v>2240141</v>
      </c>
    </row>
    <row r="460" spans="1:8">
      <c r="A460" s="16">
        <v>22442</v>
      </c>
      <c r="B460" s="26">
        <v>999</v>
      </c>
      <c r="C460" s="22">
        <v>0.4</v>
      </c>
      <c r="D460" s="22">
        <v>-0.3</v>
      </c>
      <c r="E460" s="22">
        <v>0</v>
      </c>
      <c r="F460" s="22">
        <v>0</v>
      </c>
      <c r="G460" s="22">
        <v>0.1</v>
      </c>
      <c r="H460" s="16">
        <v>2240142</v>
      </c>
    </row>
    <row r="461" spans="1:8">
      <c r="A461" s="16">
        <v>22443</v>
      </c>
      <c r="B461" s="26">
        <v>999</v>
      </c>
      <c r="C461" s="22">
        <v>0.85</v>
      </c>
      <c r="D461" s="22">
        <v>-0.3</v>
      </c>
      <c r="E461" s="22">
        <v>0</v>
      </c>
      <c r="F461" s="22">
        <v>0</v>
      </c>
      <c r="G461" s="22">
        <v>0.1</v>
      </c>
      <c r="H461" s="16">
        <v>2240143</v>
      </c>
    </row>
    <row r="462" spans="1:8">
      <c r="A462" s="16">
        <v>22444</v>
      </c>
      <c r="B462" s="26">
        <v>999</v>
      </c>
      <c r="C462" s="22">
        <v>0.2</v>
      </c>
      <c r="D462" s="22">
        <v>-0.35</v>
      </c>
      <c r="E462" s="22">
        <v>0</v>
      </c>
      <c r="F462" s="22">
        <v>0</v>
      </c>
      <c r="G462" s="22">
        <v>0.1</v>
      </c>
      <c r="H462" s="16">
        <v>2240144</v>
      </c>
    </row>
    <row r="463" spans="1:8">
      <c r="A463" s="16">
        <v>22445</v>
      </c>
      <c r="B463" s="26">
        <v>999</v>
      </c>
      <c r="C463" s="22">
        <v>2</v>
      </c>
      <c r="D463" s="22">
        <v>-0.3</v>
      </c>
      <c r="E463" s="22">
        <v>0</v>
      </c>
      <c r="F463" s="22">
        <v>0</v>
      </c>
      <c r="G463" s="22">
        <v>0.1</v>
      </c>
      <c r="H463" s="16">
        <v>2240145</v>
      </c>
    </row>
    <row r="464" spans="1:8">
      <c r="A464" s="16">
        <v>22446</v>
      </c>
      <c r="B464" s="26">
        <v>999</v>
      </c>
      <c r="C464" s="22">
        <v>1.28</v>
      </c>
      <c r="D464" s="22">
        <v>-0.3</v>
      </c>
      <c r="E464" s="22">
        <v>0</v>
      </c>
      <c r="F464" s="22">
        <v>0</v>
      </c>
      <c r="G464" s="22">
        <v>0.1</v>
      </c>
      <c r="H464" s="16">
        <v>2240146</v>
      </c>
    </row>
    <row r="465" spans="1:8">
      <c r="A465" s="16">
        <v>22447</v>
      </c>
      <c r="B465" s="26">
        <v>999</v>
      </c>
      <c r="C465" s="22">
        <v>1.4</v>
      </c>
      <c r="D465" s="22">
        <v>-0.3</v>
      </c>
      <c r="E465" s="22">
        <v>0</v>
      </c>
      <c r="F465" s="22">
        <v>0</v>
      </c>
      <c r="G465" s="22">
        <v>0.1</v>
      </c>
      <c r="H465" s="16">
        <v>2240147</v>
      </c>
    </row>
    <row r="466" spans="1:8">
      <c r="A466" s="16">
        <v>22448</v>
      </c>
      <c r="B466" s="26">
        <v>999</v>
      </c>
      <c r="C466" s="22">
        <v>0.38</v>
      </c>
      <c r="D466" s="22">
        <v>-0.3</v>
      </c>
      <c r="E466" s="22">
        <v>0</v>
      </c>
      <c r="F466" s="22">
        <v>0</v>
      </c>
      <c r="G466" s="22">
        <v>0.1</v>
      </c>
      <c r="H466" s="16">
        <v>2240148</v>
      </c>
    </row>
    <row r="467" spans="1:8">
      <c r="A467" s="16">
        <v>22449</v>
      </c>
      <c r="B467" s="26">
        <v>999</v>
      </c>
      <c r="C467" s="22">
        <v>0.55</v>
      </c>
      <c r="D467" s="22">
        <v>-0.3</v>
      </c>
      <c r="E467" s="22">
        <v>0</v>
      </c>
      <c r="F467" s="22">
        <v>0</v>
      </c>
      <c r="G467" s="22">
        <v>0.1</v>
      </c>
      <c r="H467" s="16">
        <v>2240149</v>
      </c>
    </row>
    <row r="468" spans="1:8">
      <c r="A468" s="16">
        <v>22450</v>
      </c>
      <c r="B468" s="26">
        <v>999</v>
      </c>
      <c r="C468" s="22">
        <v>2.05</v>
      </c>
      <c r="D468" s="22">
        <v>-0.3</v>
      </c>
      <c r="E468" s="22">
        <v>0</v>
      </c>
      <c r="F468" s="22">
        <v>0</v>
      </c>
      <c r="G468" s="22">
        <v>0.1</v>
      </c>
      <c r="H468" s="16">
        <v>2240150</v>
      </c>
    </row>
    <row r="469" spans="1:8">
      <c r="A469" s="16">
        <v>22451</v>
      </c>
      <c r="B469" s="26">
        <v>999</v>
      </c>
      <c r="C469" s="22">
        <v>0.25</v>
      </c>
      <c r="D469" s="22">
        <v>-0.3</v>
      </c>
      <c r="E469" s="22">
        <v>0</v>
      </c>
      <c r="F469" s="22">
        <v>0</v>
      </c>
      <c r="G469" s="22">
        <v>0.1</v>
      </c>
      <c r="H469" s="16">
        <v>2240151</v>
      </c>
    </row>
    <row r="470" spans="1:8">
      <c r="A470" s="16">
        <v>22452</v>
      </c>
      <c r="B470" s="26">
        <v>999</v>
      </c>
      <c r="C470" s="22">
        <v>1.05</v>
      </c>
      <c r="D470" s="22">
        <v>-0.3</v>
      </c>
      <c r="E470" s="22">
        <v>0</v>
      </c>
      <c r="F470" s="22">
        <v>0</v>
      </c>
      <c r="G470" s="22">
        <v>0.1</v>
      </c>
      <c r="H470" s="16">
        <v>2240152</v>
      </c>
    </row>
    <row r="471" spans="1:8">
      <c r="A471" s="16">
        <v>22453</v>
      </c>
      <c r="B471" s="26">
        <v>999</v>
      </c>
      <c r="C471" s="22">
        <v>1.2</v>
      </c>
      <c r="D471" s="22">
        <v>-0.3</v>
      </c>
      <c r="E471" s="22">
        <v>0</v>
      </c>
      <c r="F471" s="22">
        <v>0</v>
      </c>
      <c r="G471" s="22">
        <v>0.1</v>
      </c>
      <c r="H471" s="16">
        <v>2240153</v>
      </c>
    </row>
    <row r="472" spans="1:8">
      <c r="A472" s="16">
        <v>22454</v>
      </c>
      <c r="B472" s="26">
        <v>999</v>
      </c>
      <c r="C472" s="22">
        <v>1.55</v>
      </c>
      <c r="D472" s="22">
        <v>-0.3</v>
      </c>
      <c r="E472" s="22">
        <v>0</v>
      </c>
      <c r="F472" s="22">
        <v>0</v>
      </c>
      <c r="G472" s="22">
        <v>0.1</v>
      </c>
      <c r="H472" s="16">
        <v>2240154</v>
      </c>
    </row>
    <row r="473" spans="1:8">
      <c r="A473" s="16">
        <v>22455</v>
      </c>
      <c r="B473" s="26">
        <v>999</v>
      </c>
      <c r="C473" s="22">
        <v>1.2</v>
      </c>
      <c r="D473" s="22">
        <v>-0.35</v>
      </c>
      <c r="E473" s="22">
        <v>0</v>
      </c>
      <c r="F473" s="22">
        <v>0</v>
      </c>
      <c r="G473" s="22">
        <v>0.1</v>
      </c>
      <c r="H473" s="16">
        <v>2245501</v>
      </c>
    </row>
    <row r="474" spans="1:8">
      <c r="A474" s="16">
        <v>22456</v>
      </c>
      <c r="B474" s="26">
        <v>2</v>
      </c>
      <c r="C474" s="22">
        <v>0.8</v>
      </c>
      <c r="D474" s="22">
        <v>-0.3</v>
      </c>
      <c r="E474" s="22">
        <v>-0.2</v>
      </c>
      <c r="F474" s="22">
        <v>0</v>
      </c>
      <c r="G474" s="22">
        <v>0.1</v>
      </c>
      <c r="H474" s="16">
        <v>2245601</v>
      </c>
    </row>
    <row r="475" spans="1:8">
      <c r="A475" s="16">
        <v>22456</v>
      </c>
      <c r="B475" s="26">
        <v>1</v>
      </c>
      <c r="C475" s="22">
        <v>-0.3</v>
      </c>
      <c r="D475" s="22">
        <v>-0.3</v>
      </c>
      <c r="E475" s="22">
        <v>0</v>
      </c>
      <c r="F475" s="22">
        <v>0</v>
      </c>
      <c r="G475" s="22">
        <v>0.1</v>
      </c>
      <c r="H475" s="16">
        <v>2245602</v>
      </c>
    </row>
    <row r="476" spans="1:8">
      <c r="A476" s="16">
        <v>22457</v>
      </c>
      <c r="B476" s="26">
        <v>999</v>
      </c>
      <c r="C476" s="22">
        <v>2.5</v>
      </c>
      <c r="D476" s="22">
        <v>-0.3</v>
      </c>
      <c r="E476" s="22">
        <v>0</v>
      </c>
      <c r="F476" s="22">
        <v>0</v>
      </c>
      <c r="G476" s="22">
        <v>0.1</v>
      </c>
      <c r="H476" s="16">
        <v>2245701</v>
      </c>
    </row>
    <row r="477" spans="1:8">
      <c r="A477" s="16">
        <v>22458</v>
      </c>
      <c r="B477" s="26">
        <v>999</v>
      </c>
      <c r="C477" s="22">
        <v>0.58</v>
      </c>
      <c r="D477" s="22">
        <v>-0.3</v>
      </c>
      <c r="E477" s="22">
        <v>0</v>
      </c>
      <c r="F477" s="22">
        <v>0</v>
      </c>
      <c r="G477" s="22">
        <v>0.1</v>
      </c>
      <c r="H477" s="16">
        <v>2245801</v>
      </c>
    </row>
    <row r="478" spans="1:8">
      <c r="A478" s="16">
        <v>22459</v>
      </c>
      <c r="B478" s="26">
        <v>999</v>
      </c>
      <c r="C478" s="22">
        <v>1.45</v>
      </c>
      <c r="D478" s="22">
        <v>-0.3</v>
      </c>
      <c r="E478" s="22">
        <v>0</v>
      </c>
      <c r="F478" s="22">
        <v>0</v>
      </c>
      <c r="G478" s="22">
        <v>0.1</v>
      </c>
      <c r="H478" s="16">
        <v>2245901</v>
      </c>
    </row>
    <row r="479" spans="1:8">
      <c r="A479" s="16">
        <v>22460</v>
      </c>
      <c r="B479" s="26">
        <v>999</v>
      </c>
      <c r="C479" s="22">
        <v>0.78</v>
      </c>
      <c r="D479" s="22">
        <v>-0.3</v>
      </c>
      <c r="E479" s="22">
        <v>0</v>
      </c>
      <c r="F479" s="22">
        <v>0</v>
      </c>
      <c r="G479" s="22">
        <v>0.1</v>
      </c>
      <c r="H479" s="16">
        <v>2246001</v>
      </c>
    </row>
    <row r="480" spans="1:8">
      <c r="A480" s="16">
        <v>22461</v>
      </c>
      <c r="B480" s="26">
        <v>999</v>
      </c>
      <c r="C480" s="22">
        <v>2.8</v>
      </c>
      <c r="D480" s="22">
        <v>-0.3</v>
      </c>
      <c r="E480" s="22">
        <v>0</v>
      </c>
      <c r="F480" s="22">
        <v>0</v>
      </c>
      <c r="G480" s="22">
        <v>0.1</v>
      </c>
      <c r="H480" s="16">
        <v>2246101</v>
      </c>
    </row>
    <row r="481" spans="1:8">
      <c r="A481" s="16">
        <v>22462</v>
      </c>
      <c r="B481" s="26">
        <v>999</v>
      </c>
      <c r="C481" s="22">
        <v>0.2</v>
      </c>
      <c r="D481" s="22">
        <v>-0.3</v>
      </c>
      <c r="E481" s="22">
        <v>0</v>
      </c>
      <c r="F481" s="22">
        <v>0</v>
      </c>
      <c r="G481" s="22">
        <v>0.1</v>
      </c>
      <c r="H481" s="16">
        <v>2246201</v>
      </c>
    </row>
    <row r="482" spans="1:8">
      <c r="A482" s="16">
        <v>22463</v>
      </c>
      <c r="B482" s="26">
        <v>999</v>
      </c>
      <c r="C482" s="22">
        <v>1.35</v>
      </c>
      <c r="D482" s="22">
        <v>-0.3</v>
      </c>
      <c r="E482" s="22">
        <v>0</v>
      </c>
      <c r="F482" s="22">
        <v>0</v>
      </c>
      <c r="G482" s="22">
        <v>0.1</v>
      </c>
      <c r="H482" s="16">
        <v>2246301</v>
      </c>
    </row>
    <row r="483" spans="1:8">
      <c r="A483" s="16">
        <v>22464</v>
      </c>
      <c r="B483" s="26">
        <v>999</v>
      </c>
      <c r="C483" s="22">
        <v>0.75</v>
      </c>
      <c r="D483" s="22">
        <v>-0.3</v>
      </c>
      <c r="E483" s="22">
        <v>0</v>
      </c>
      <c r="F483" s="22">
        <v>0</v>
      </c>
      <c r="G483" s="22">
        <v>0.1</v>
      </c>
      <c r="H483" s="16">
        <v>2246401</v>
      </c>
    </row>
    <row r="484" spans="1:8">
      <c r="A484" s="16">
        <v>22465</v>
      </c>
      <c r="B484" s="26">
        <v>2</v>
      </c>
      <c r="C484" s="22">
        <v>0.8</v>
      </c>
      <c r="D484" s="22">
        <v>-0.3</v>
      </c>
      <c r="E484" s="22">
        <v>-0.2</v>
      </c>
      <c r="F484" s="22">
        <v>0</v>
      </c>
      <c r="G484" s="22">
        <v>0.1</v>
      </c>
      <c r="H484" s="16">
        <v>2246501</v>
      </c>
    </row>
    <row r="485" spans="1:8">
      <c r="A485" s="16">
        <v>22465</v>
      </c>
      <c r="B485" s="26">
        <v>1</v>
      </c>
      <c r="C485" s="22">
        <v>-0.3</v>
      </c>
      <c r="D485" s="22">
        <v>-0.3</v>
      </c>
      <c r="E485" s="22">
        <v>0</v>
      </c>
      <c r="F485" s="22">
        <v>0</v>
      </c>
      <c r="G485" s="22">
        <v>0.1</v>
      </c>
      <c r="H485" s="16">
        <v>2246502</v>
      </c>
    </row>
    <row r="486" spans="1:8">
      <c r="A486" s="16">
        <v>22466</v>
      </c>
      <c r="B486" s="26">
        <v>999</v>
      </c>
      <c r="C486" s="22">
        <v>1.5</v>
      </c>
      <c r="D486" s="22">
        <v>-0.3</v>
      </c>
      <c r="E486" s="22">
        <v>0</v>
      </c>
      <c r="F486" s="22">
        <v>0</v>
      </c>
      <c r="G486" s="22">
        <v>0.1</v>
      </c>
      <c r="H486" s="16">
        <v>2246601</v>
      </c>
    </row>
    <row r="487" spans="1:8">
      <c r="A487" s="16">
        <v>22467</v>
      </c>
      <c r="B487" s="26">
        <v>999</v>
      </c>
      <c r="C487" s="22">
        <v>0.4</v>
      </c>
      <c r="D487" s="22">
        <v>-0.3</v>
      </c>
      <c r="E487" s="22">
        <v>0</v>
      </c>
      <c r="F487" s="22">
        <v>0</v>
      </c>
      <c r="G487" s="22">
        <v>0.1</v>
      </c>
      <c r="H487" s="16">
        <v>2246701</v>
      </c>
    </row>
    <row r="488" spans="1:8">
      <c r="A488" s="16">
        <v>22468</v>
      </c>
      <c r="B488" s="26">
        <v>999</v>
      </c>
      <c r="C488" s="22">
        <v>1.7</v>
      </c>
      <c r="D488" s="22">
        <v>-0.3</v>
      </c>
      <c r="E488" s="22">
        <v>0</v>
      </c>
      <c r="F488" s="22">
        <v>0</v>
      </c>
      <c r="G488" s="22">
        <v>0.1</v>
      </c>
      <c r="H488" s="16">
        <v>2246801</v>
      </c>
    </row>
    <row r="489" spans="1:8">
      <c r="A489" s="16">
        <v>22469</v>
      </c>
      <c r="B489" s="26">
        <v>999</v>
      </c>
      <c r="C489" s="22">
        <v>0.74</v>
      </c>
      <c r="D489" s="22">
        <v>-0.3</v>
      </c>
      <c r="E489" s="22">
        <v>0</v>
      </c>
      <c r="F489" s="22">
        <v>0</v>
      </c>
      <c r="G489" s="22">
        <v>0.1</v>
      </c>
      <c r="H489" s="16">
        <v>2246901</v>
      </c>
    </row>
    <row r="490" spans="1:8">
      <c r="A490" s="16">
        <v>22470</v>
      </c>
      <c r="B490" s="26">
        <v>999</v>
      </c>
      <c r="C490" s="22">
        <v>1.05</v>
      </c>
      <c r="D490" s="22">
        <v>-0.3</v>
      </c>
      <c r="E490" s="22">
        <v>0</v>
      </c>
      <c r="F490" s="22">
        <v>0</v>
      </c>
      <c r="G490" s="22">
        <v>0.1</v>
      </c>
      <c r="H490" s="16">
        <v>2247001</v>
      </c>
    </row>
    <row r="491" spans="1:8">
      <c r="A491" s="16">
        <v>22471</v>
      </c>
      <c r="B491" s="26">
        <v>999</v>
      </c>
      <c r="C491" s="22">
        <v>1.35</v>
      </c>
      <c r="D491" s="22">
        <v>-0.3</v>
      </c>
      <c r="E491" s="22">
        <v>0</v>
      </c>
      <c r="F491" s="22">
        <v>0</v>
      </c>
      <c r="G491" s="22">
        <v>0.1</v>
      </c>
      <c r="H491" s="16">
        <v>2247101</v>
      </c>
    </row>
    <row r="492" spans="1:8">
      <c r="A492" s="16">
        <v>22472</v>
      </c>
      <c r="B492" s="26">
        <v>999</v>
      </c>
      <c r="C492" s="22">
        <v>0.58</v>
      </c>
      <c r="D492" s="22">
        <v>-0.3</v>
      </c>
      <c r="E492" s="22">
        <v>0</v>
      </c>
      <c r="F492" s="22">
        <v>0</v>
      </c>
      <c r="G492" s="22">
        <v>0.1</v>
      </c>
      <c r="H492" s="16">
        <v>2247201</v>
      </c>
    </row>
    <row r="493" spans="1:8">
      <c r="A493" s="16">
        <v>22473</v>
      </c>
      <c r="B493" s="26">
        <v>999</v>
      </c>
      <c r="C493" s="22">
        <v>3</v>
      </c>
      <c r="D493" s="22">
        <v>-0.3</v>
      </c>
      <c r="E493" s="22">
        <v>0</v>
      </c>
      <c r="F493" s="22">
        <v>0</v>
      </c>
      <c r="G493" s="22">
        <v>0.1</v>
      </c>
      <c r="H493" s="16">
        <v>2247301</v>
      </c>
    </row>
    <row r="494" spans="1:8">
      <c r="A494" s="16">
        <v>22474</v>
      </c>
      <c r="B494" s="26">
        <v>999</v>
      </c>
      <c r="C494" s="22">
        <v>1</v>
      </c>
      <c r="D494" s="22">
        <v>-0.3</v>
      </c>
      <c r="E494" s="22">
        <v>0</v>
      </c>
      <c r="F494" s="22">
        <v>0</v>
      </c>
      <c r="G494" s="22">
        <v>0.1</v>
      </c>
      <c r="H494" s="16">
        <v>2247401</v>
      </c>
    </row>
    <row r="495" spans="1:8">
      <c r="A495" s="16">
        <v>22475</v>
      </c>
      <c r="B495" s="26">
        <v>999</v>
      </c>
      <c r="C495" s="22">
        <v>0.9</v>
      </c>
      <c r="D495" s="22">
        <v>-0.3</v>
      </c>
      <c r="E495" s="22">
        <v>0</v>
      </c>
      <c r="F495" s="22">
        <v>0</v>
      </c>
      <c r="G495" s="22">
        <v>0.1</v>
      </c>
      <c r="H495" s="16">
        <v>2247501</v>
      </c>
    </row>
    <row r="496" spans="1:8">
      <c r="A496" s="16">
        <v>22476</v>
      </c>
      <c r="B496" s="26">
        <v>999</v>
      </c>
      <c r="C496" s="22">
        <v>0.8</v>
      </c>
      <c r="D496" s="22">
        <v>-0.3</v>
      </c>
      <c r="E496" s="22">
        <v>0</v>
      </c>
      <c r="F496" s="22">
        <v>0</v>
      </c>
      <c r="G496" s="22">
        <v>0.1</v>
      </c>
      <c r="H496" s="16">
        <v>2247601</v>
      </c>
    </row>
    <row r="497" spans="1:8">
      <c r="A497" s="16">
        <v>22477</v>
      </c>
      <c r="B497" s="26">
        <v>999</v>
      </c>
      <c r="C497" s="22">
        <v>1.6</v>
      </c>
      <c r="D497" s="22">
        <v>-0.3</v>
      </c>
      <c r="E497" s="22">
        <v>0</v>
      </c>
      <c r="F497" s="22">
        <v>0</v>
      </c>
      <c r="G497" s="22">
        <v>0.1</v>
      </c>
      <c r="H497" s="16">
        <v>2247701</v>
      </c>
    </row>
    <row r="498" spans="1:8">
      <c r="A498" s="16">
        <v>22478</v>
      </c>
      <c r="B498" s="26">
        <v>2</v>
      </c>
      <c r="C498" s="22">
        <v>0.8</v>
      </c>
      <c r="D498" s="22">
        <v>-0.3</v>
      </c>
      <c r="E498" s="22">
        <v>-0.2</v>
      </c>
      <c r="F498" s="22">
        <v>0</v>
      </c>
      <c r="G498" s="22">
        <v>0.1</v>
      </c>
      <c r="H498" s="16">
        <v>2247801</v>
      </c>
    </row>
    <row r="499" spans="1:8">
      <c r="A499" s="16">
        <v>22478</v>
      </c>
      <c r="B499" s="26">
        <v>1</v>
      </c>
      <c r="C499" s="22">
        <v>-0.2</v>
      </c>
      <c r="D499" s="22">
        <v>-0.3</v>
      </c>
      <c r="E499" s="22">
        <v>0</v>
      </c>
      <c r="F499" s="22">
        <v>0</v>
      </c>
      <c r="G499" s="22">
        <v>0.1</v>
      </c>
      <c r="H499" s="16">
        <v>2247802</v>
      </c>
    </row>
    <row r="500" spans="1:8">
      <c r="A500" s="16">
        <v>22479</v>
      </c>
      <c r="B500" s="26">
        <v>999</v>
      </c>
      <c r="C500" s="22">
        <v>1.6</v>
      </c>
      <c r="D500" s="22">
        <v>-0.3</v>
      </c>
      <c r="E500" s="22">
        <v>0</v>
      </c>
      <c r="F500" s="22">
        <v>0</v>
      </c>
      <c r="G500" s="22">
        <v>0.1</v>
      </c>
      <c r="H500" s="16">
        <v>2247901</v>
      </c>
    </row>
    <row r="501" spans="1:8">
      <c r="A501" s="16">
        <v>22801</v>
      </c>
      <c r="B501" s="26">
        <v>999</v>
      </c>
      <c r="C501" s="22">
        <v>0.07</v>
      </c>
      <c r="D501" s="22">
        <v>0.05</v>
      </c>
      <c r="E501" s="22">
        <v>0</v>
      </c>
      <c r="F501" s="22">
        <v>0</v>
      </c>
      <c r="G501" s="22">
        <v>0</v>
      </c>
      <c r="H501" s="16">
        <v>2280101</v>
      </c>
    </row>
    <row r="502" spans="1:8">
      <c r="A502" s="16">
        <v>22802</v>
      </c>
      <c r="B502" s="26">
        <v>999</v>
      </c>
      <c r="C502" s="22">
        <v>0.24</v>
      </c>
      <c r="D502" s="22">
        <v>0.06</v>
      </c>
      <c r="E502" s="22">
        <v>0.06</v>
      </c>
      <c r="F502" s="22">
        <v>0</v>
      </c>
      <c r="G502" s="22">
        <v>0</v>
      </c>
      <c r="H502" s="16">
        <v>2280201</v>
      </c>
    </row>
    <row r="503" spans="1:8">
      <c r="A503" s="16">
        <v>22803</v>
      </c>
      <c r="B503" s="26">
        <v>999</v>
      </c>
      <c r="C503" s="22">
        <v>0.32</v>
      </c>
      <c r="D503" s="22">
        <v>0.07</v>
      </c>
      <c r="E503" s="22">
        <v>0.07</v>
      </c>
      <c r="F503" s="22">
        <v>0</v>
      </c>
      <c r="G503" s="22">
        <v>0.02</v>
      </c>
      <c r="H503" s="16">
        <v>2280301</v>
      </c>
    </row>
    <row r="504" spans="1:8">
      <c r="A504" s="16">
        <v>22804</v>
      </c>
      <c r="B504" s="26">
        <v>999</v>
      </c>
      <c r="C504" s="22">
        <v>0.65</v>
      </c>
      <c r="D504" s="22">
        <v>0.07</v>
      </c>
      <c r="E504" s="22">
        <v>0.07</v>
      </c>
      <c r="F504" s="22">
        <v>0</v>
      </c>
      <c r="G504" s="22">
        <v>0.05</v>
      </c>
      <c r="H504" s="16">
        <v>2280401</v>
      </c>
    </row>
    <row r="505" spans="1:8">
      <c r="A505" s="16">
        <v>22805</v>
      </c>
      <c r="B505" s="26">
        <v>999</v>
      </c>
      <c r="C505" s="22">
        <v>0.85</v>
      </c>
      <c r="D505" s="22">
        <v>0.08</v>
      </c>
      <c r="E505" s="22">
        <v>0.08</v>
      </c>
      <c r="F505" s="22">
        <v>0</v>
      </c>
      <c r="G505" s="22">
        <v>0.07</v>
      </c>
      <c r="H505" s="16">
        <v>2280501</v>
      </c>
    </row>
    <row r="506" spans="1:8">
      <c r="A506" s="16">
        <v>22806</v>
      </c>
      <c r="B506" s="26">
        <v>999</v>
      </c>
      <c r="C506" s="22">
        <v>0.95</v>
      </c>
      <c r="D506" s="22">
        <v>0.08</v>
      </c>
      <c r="E506" s="22">
        <v>0.08</v>
      </c>
      <c r="F506" s="22">
        <v>0</v>
      </c>
      <c r="G506" s="22">
        <v>0.13</v>
      </c>
      <c r="H506" s="16">
        <v>2280601</v>
      </c>
    </row>
    <row r="507" spans="1:8">
      <c r="A507" s="16">
        <v>22807</v>
      </c>
      <c r="B507" s="26">
        <v>999</v>
      </c>
      <c r="C507" s="22">
        <v>-0.5</v>
      </c>
      <c r="D507" s="22">
        <v>-0.33</v>
      </c>
      <c r="E507" s="22">
        <v>-0.12</v>
      </c>
      <c r="F507" s="22">
        <v>0</v>
      </c>
      <c r="G507" s="22">
        <v>-0.31</v>
      </c>
      <c r="H507" s="16">
        <v>2280701</v>
      </c>
    </row>
    <row r="508" spans="1:8">
      <c r="A508" s="16">
        <v>22808</v>
      </c>
      <c r="B508" s="26">
        <v>999</v>
      </c>
      <c r="C508" s="22">
        <v>1.07</v>
      </c>
      <c r="D508" s="22">
        <v>0.1</v>
      </c>
      <c r="E508" s="22">
        <v>0.08</v>
      </c>
      <c r="F508" s="22">
        <v>0</v>
      </c>
      <c r="G508" s="22">
        <v>0.15</v>
      </c>
      <c r="H508" s="16">
        <v>2280801</v>
      </c>
    </row>
    <row r="509" spans="1:8">
      <c r="A509" s="16">
        <v>23001</v>
      </c>
      <c r="B509" s="26">
        <v>999</v>
      </c>
      <c r="C509" s="22">
        <v>0.3</v>
      </c>
      <c r="D509" s="22">
        <v>0</v>
      </c>
      <c r="E509" s="22">
        <v>0.5</v>
      </c>
      <c r="F509" s="22">
        <v>0</v>
      </c>
      <c r="G509" s="22">
        <v>0</v>
      </c>
      <c r="H509" s="16">
        <v>2300101</v>
      </c>
    </row>
    <row r="510" spans="1:8">
      <c r="A510" s="16">
        <v>23002</v>
      </c>
      <c r="B510" s="26">
        <v>999</v>
      </c>
      <c r="C510" s="22">
        <v>0.15</v>
      </c>
      <c r="D510" s="22">
        <v>0</v>
      </c>
      <c r="E510" s="22">
        <v>0.5</v>
      </c>
      <c r="F510" s="22">
        <v>0</v>
      </c>
      <c r="G510" s="22">
        <v>0</v>
      </c>
      <c r="H510" s="16">
        <v>2300201</v>
      </c>
    </row>
    <row r="511" spans="1:8">
      <c r="A511" s="16">
        <v>23003</v>
      </c>
      <c r="B511" s="26">
        <v>0</v>
      </c>
      <c r="C511" s="22">
        <v>1</v>
      </c>
      <c r="D511" s="22">
        <v>0</v>
      </c>
      <c r="E511" s="22">
        <v>0.5</v>
      </c>
      <c r="F511" s="22">
        <v>0</v>
      </c>
      <c r="G511" s="22">
        <v>-0.3</v>
      </c>
      <c r="H511" s="16">
        <v>2300301</v>
      </c>
    </row>
    <row r="512" spans="1:8">
      <c r="A512" s="16">
        <v>23003</v>
      </c>
      <c r="B512" s="26">
        <v>1</v>
      </c>
      <c r="C512" s="22">
        <v>-0.25</v>
      </c>
      <c r="D512" s="22">
        <v>0</v>
      </c>
      <c r="E512" s="22">
        <v>0.5</v>
      </c>
      <c r="F512" s="22">
        <v>0</v>
      </c>
      <c r="G512" s="22">
        <v>-0.3</v>
      </c>
      <c r="H512" s="16">
        <v>2300302</v>
      </c>
    </row>
    <row r="513" spans="1:8">
      <c r="A513" s="16">
        <v>23003</v>
      </c>
      <c r="B513" s="26">
        <v>2</v>
      </c>
      <c r="C513" s="22">
        <v>0</v>
      </c>
      <c r="D513" s="22">
        <v>0</v>
      </c>
      <c r="E513" s="22">
        <v>0.5</v>
      </c>
      <c r="F513" s="22">
        <v>0</v>
      </c>
      <c r="G513" s="22">
        <v>-0.3</v>
      </c>
      <c r="H513" s="16">
        <v>2300303</v>
      </c>
    </row>
    <row r="514" spans="1:8">
      <c r="A514" s="16">
        <v>23004</v>
      </c>
      <c r="B514" s="26">
        <v>999</v>
      </c>
      <c r="C514" s="22">
        <v>-0.3</v>
      </c>
      <c r="D514" s="22">
        <v>0</v>
      </c>
      <c r="E514" s="22">
        <v>-0.15</v>
      </c>
      <c r="F514" s="22">
        <v>0</v>
      </c>
      <c r="G514" s="22">
        <v>0</v>
      </c>
      <c r="H514" s="16">
        <v>2300401</v>
      </c>
    </row>
    <row r="515" spans="1:8">
      <c r="A515" s="16">
        <v>23005</v>
      </c>
      <c r="B515" s="26">
        <v>0</v>
      </c>
      <c r="C515" s="22">
        <v>0</v>
      </c>
      <c r="D515" s="22">
        <v>0</v>
      </c>
      <c r="E515" s="22">
        <v>-0.2</v>
      </c>
      <c r="F515" s="22">
        <v>0</v>
      </c>
      <c r="G515" s="22">
        <v>0</v>
      </c>
      <c r="H515" s="16">
        <v>2300501</v>
      </c>
    </row>
    <row r="516" spans="1:8">
      <c r="A516" s="16">
        <v>23005</v>
      </c>
      <c r="B516" s="26">
        <v>1</v>
      </c>
      <c r="C516" s="22">
        <v>0</v>
      </c>
      <c r="D516" s="22">
        <v>0</v>
      </c>
      <c r="E516" s="22">
        <v>0.25</v>
      </c>
      <c r="F516" s="22">
        <v>0</v>
      </c>
      <c r="G516" s="22">
        <v>0</v>
      </c>
      <c r="H516" s="16">
        <v>2300502</v>
      </c>
    </row>
    <row r="517" spans="1:8">
      <c r="A517" s="16">
        <v>23005</v>
      </c>
      <c r="B517" s="26">
        <v>2</v>
      </c>
      <c r="C517" s="22">
        <v>0</v>
      </c>
      <c r="D517" s="22">
        <v>0</v>
      </c>
      <c r="E517" s="22">
        <v>0.25</v>
      </c>
      <c r="F517" s="22">
        <v>0</v>
      </c>
      <c r="G517" s="22">
        <v>0</v>
      </c>
      <c r="H517" s="16">
        <v>2300503</v>
      </c>
    </row>
    <row r="518" spans="1:8">
      <c r="A518" s="16">
        <v>23006</v>
      </c>
      <c r="B518" s="26">
        <v>999</v>
      </c>
      <c r="C518" s="22">
        <v>-0.3</v>
      </c>
      <c r="D518" s="22">
        <v>0</v>
      </c>
      <c r="E518" s="22">
        <v>0.5</v>
      </c>
      <c r="F518" s="22">
        <v>0</v>
      </c>
      <c r="G518" s="22">
        <v>0</v>
      </c>
      <c r="H518" s="16">
        <v>2300601</v>
      </c>
    </row>
    <row r="519" spans="1:8">
      <c r="A519" s="16">
        <v>23101</v>
      </c>
      <c r="B519" s="26">
        <v>0</v>
      </c>
      <c r="C519" s="22">
        <v>0.75</v>
      </c>
      <c r="D519" s="22">
        <v>0</v>
      </c>
      <c r="E519" s="22">
        <v>0</v>
      </c>
      <c r="F519" s="22">
        <v>0</v>
      </c>
      <c r="G519" s="22">
        <v>0</v>
      </c>
      <c r="H519" s="16">
        <v>2310101</v>
      </c>
    </row>
    <row r="520" spans="1:8">
      <c r="A520" s="16">
        <v>23101</v>
      </c>
      <c r="B520" s="26">
        <v>1</v>
      </c>
      <c r="C520" s="22">
        <v>0.75</v>
      </c>
      <c r="D520" s="22">
        <v>0</v>
      </c>
      <c r="E520" s="22">
        <v>0</v>
      </c>
      <c r="F520" s="22">
        <v>0</v>
      </c>
      <c r="G520" s="22">
        <v>0</v>
      </c>
      <c r="H520" s="16">
        <v>2310102</v>
      </c>
    </row>
    <row r="521" spans="1:8">
      <c r="A521" s="16">
        <v>23101</v>
      </c>
      <c r="B521" s="26">
        <v>2</v>
      </c>
      <c r="C521" s="22">
        <v>0.75</v>
      </c>
      <c r="D521" s="22">
        <v>0</v>
      </c>
      <c r="E521" s="22">
        <v>0</v>
      </c>
      <c r="F521" s="22">
        <v>0</v>
      </c>
      <c r="G521" s="22">
        <v>0</v>
      </c>
      <c r="H521" s="16">
        <v>2310103</v>
      </c>
    </row>
    <row r="522" spans="1:8">
      <c r="A522" s="16">
        <v>23102</v>
      </c>
      <c r="B522" s="26">
        <v>0</v>
      </c>
      <c r="C522" s="22">
        <v>1</v>
      </c>
      <c r="D522" s="22">
        <v>0</v>
      </c>
      <c r="E522" s="22">
        <v>0</v>
      </c>
      <c r="F522" s="22">
        <v>0</v>
      </c>
      <c r="G522" s="22">
        <v>0</v>
      </c>
      <c r="H522" s="16">
        <v>2310201</v>
      </c>
    </row>
    <row r="523" spans="1:8">
      <c r="A523" s="16">
        <v>23102</v>
      </c>
      <c r="B523" s="26">
        <v>1</v>
      </c>
      <c r="C523" s="22">
        <v>1</v>
      </c>
      <c r="D523" s="22">
        <v>0</v>
      </c>
      <c r="E523" s="22">
        <v>0</v>
      </c>
      <c r="F523" s="22">
        <v>0</v>
      </c>
      <c r="G523" s="22">
        <v>0</v>
      </c>
      <c r="H523" s="16">
        <v>2310202</v>
      </c>
    </row>
    <row r="524" spans="1:8">
      <c r="A524" s="16">
        <v>23102</v>
      </c>
      <c r="B524" s="26">
        <v>2</v>
      </c>
      <c r="C524" s="22">
        <v>1</v>
      </c>
      <c r="D524" s="22">
        <v>0</v>
      </c>
      <c r="E524" s="22">
        <v>0</v>
      </c>
      <c r="F524" s="22">
        <v>0</v>
      </c>
      <c r="G524" s="22">
        <v>0</v>
      </c>
      <c r="H524" s="16">
        <v>2310203</v>
      </c>
    </row>
    <row r="525" spans="1:8">
      <c r="A525" s="16">
        <v>23103</v>
      </c>
      <c r="B525" s="26">
        <v>0</v>
      </c>
      <c r="C525" s="22">
        <v>1.5</v>
      </c>
      <c r="D525" s="22">
        <v>0</v>
      </c>
      <c r="E525" s="22">
        <v>0</v>
      </c>
      <c r="F525" s="22">
        <v>0</v>
      </c>
      <c r="G525" s="22">
        <v>0</v>
      </c>
      <c r="H525" s="16">
        <v>2310301</v>
      </c>
    </row>
    <row r="526" spans="1:8">
      <c r="A526" s="16">
        <v>23103</v>
      </c>
      <c r="B526" s="26">
        <v>1</v>
      </c>
      <c r="C526" s="22">
        <v>1.5</v>
      </c>
      <c r="D526" s="22">
        <v>0</v>
      </c>
      <c r="E526" s="22">
        <v>0</v>
      </c>
      <c r="F526" s="22">
        <v>0</v>
      </c>
      <c r="G526" s="22">
        <v>0</v>
      </c>
      <c r="H526" s="16">
        <v>2310302</v>
      </c>
    </row>
    <row r="527" spans="1:8">
      <c r="A527" s="16">
        <v>23103</v>
      </c>
      <c r="B527" s="26">
        <v>2</v>
      </c>
      <c r="C527" s="22">
        <v>1.5</v>
      </c>
      <c r="D527" s="22">
        <v>0</v>
      </c>
      <c r="E527" s="22">
        <v>0</v>
      </c>
      <c r="F527" s="22">
        <v>0</v>
      </c>
      <c r="G527" s="22">
        <v>0</v>
      </c>
      <c r="H527" s="16">
        <v>2310303</v>
      </c>
    </row>
    <row r="528" spans="1:8">
      <c r="A528" s="16">
        <v>23104</v>
      </c>
      <c r="B528" s="26">
        <v>0</v>
      </c>
      <c r="C528" s="22">
        <v>0.5</v>
      </c>
      <c r="D528" s="22">
        <v>0</v>
      </c>
      <c r="E528" s="22">
        <v>0</v>
      </c>
      <c r="F528" s="22">
        <v>0</v>
      </c>
      <c r="G528" s="22">
        <v>0</v>
      </c>
      <c r="H528" s="16">
        <v>2310401</v>
      </c>
    </row>
    <row r="529" spans="1:8">
      <c r="A529" s="16">
        <v>23104</v>
      </c>
      <c r="B529" s="26">
        <v>1</v>
      </c>
      <c r="C529" s="22">
        <v>0.75</v>
      </c>
      <c r="D529" s="22">
        <v>0</v>
      </c>
      <c r="E529" s="22">
        <v>0</v>
      </c>
      <c r="F529" s="22">
        <v>0</v>
      </c>
      <c r="G529" s="22">
        <v>0</v>
      </c>
      <c r="H529" s="16">
        <v>2310402</v>
      </c>
    </row>
    <row r="530" spans="1:8">
      <c r="A530" s="16">
        <v>23104</v>
      </c>
      <c r="B530" s="26">
        <v>2</v>
      </c>
      <c r="C530" s="22">
        <v>0.75</v>
      </c>
      <c r="D530" s="22">
        <v>0</v>
      </c>
      <c r="E530" s="22">
        <v>0</v>
      </c>
      <c r="F530" s="22">
        <v>0</v>
      </c>
      <c r="G530" s="22">
        <v>0</v>
      </c>
      <c r="H530" s="16">
        <v>2310403</v>
      </c>
    </row>
    <row r="531" spans="1:8">
      <c r="A531" s="16">
        <v>23105</v>
      </c>
      <c r="B531" s="26">
        <v>0</v>
      </c>
      <c r="C531" s="22">
        <v>0</v>
      </c>
      <c r="D531" s="22">
        <v>-0.75</v>
      </c>
      <c r="E531" s="22">
        <v>-0.5</v>
      </c>
      <c r="F531" s="22">
        <v>0</v>
      </c>
      <c r="G531" s="22">
        <v>0</v>
      </c>
      <c r="H531" s="16">
        <v>2310501</v>
      </c>
    </row>
    <row r="532" spans="1:8">
      <c r="A532" s="16">
        <v>23105</v>
      </c>
      <c r="B532" s="26">
        <v>1</v>
      </c>
      <c r="C532" s="22">
        <v>0</v>
      </c>
      <c r="D532" s="22">
        <v>-0.8</v>
      </c>
      <c r="E532" s="22">
        <v>-0.6</v>
      </c>
      <c r="F532" s="22">
        <v>0</v>
      </c>
      <c r="G532" s="22">
        <v>0</v>
      </c>
      <c r="H532" s="16">
        <v>2310502</v>
      </c>
    </row>
    <row r="533" spans="1:8">
      <c r="A533" s="16">
        <v>23105</v>
      </c>
      <c r="B533" s="26">
        <v>2</v>
      </c>
      <c r="C533" s="22">
        <v>0</v>
      </c>
      <c r="D533" s="22">
        <v>-0.8</v>
      </c>
      <c r="E533" s="22">
        <v>-0.6</v>
      </c>
      <c r="F533" s="22">
        <v>0</v>
      </c>
      <c r="G533" s="22">
        <v>0</v>
      </c>
      <c r="H533" s="16">
        <v>2310503</v>
      </c>
    </row>
    <row r="534" spans="1:8">
      <c r="A534" s="16">
        <v>23106</v>
      </c>
      <c r="B534" s="26">
        <v>0</v>
      </c>
      <c r="C534" s="22">
        <v>0.25</v>
      </c>
      <c r="D534" s="22">
        <v>-0.5</v>
      </c>
      <c r="E534" s="22">
        <v>-0.5</v>
      </c>
      <c r="F534" s="22">
        <v>0</v>
      </c>
      <c r="G534" s="22">
        <v>0</v>
      </c>
      <c r="H534" s="16">
        <v>2310601</v>
      </c>
    </row>
    <row r="535" spans="1:8">
      <c r="A535" s="16">
        <v>23106</v>
      </c>
      <c r="B535" s="26">
        <v>1</v>
      </c>
      <c r="C535" s="22">
        <v>0.25</v>
      </c>
      <c r="D535" s="22">
        <v>-0.6</v>
      </c>
      <c r="E535" s="22">
        <v>-0.6</v>
      </c>
      <c r="F535" s="22">
        <v>0</v>
      </c>
      <c r="G535" s="22">
        <v>0</v>
      </c>
      <c r="H535" s="16">
        <v>2310602</v>
      </c>
    </row>
    <row r="536" spans="1:8">
      <c r="A536" s="16">
        <v>23106</v>
      </c>
      <c r="B536" s="26">
        <v>2</v>
      </c>
      <c r="C536" s="22">
        <v>0.25</v>
      </c>
      <c r="D536" s="22">
        <v>-0.6</v>
      </c>
      <c r="E536" s="22">
        <v>-0.6</v>
      </c>
      <c r="F536" s="22">
        <v>0</v>
      </c>
      <c r="G536" s="22">
        <v>0</v>
      </c>
      <c r="H536" s="16">
        <v>2310603</v>
      </c>
    </row>
    <row r="537" spans="1:8">
      <c r="A537" s="16">
        <v>23107</v>
      </c>
      <c r="B537" s="26">
        <v>0</v>
      </c>
      <c r="C537" s="22">
        <v>0.5</v>
      </c>
      <c r="D537" s="22">
        <v>-0.3</v>
      </c>
      <c r="E537" s="22">
        <v>-0.5</v>
      </c>
      <c r="F537" s="22">
        <v>0</v>
      </c>
      <c r="G537" s="22">
        <v>0</v>
      </c>
      <c r="H537" s="16">
        <v>2310701</v>
      </c>
    </row>
    <row r="538" spans="1:8">
      <c r="A538" s="16">
        <v>23107</v>
      </c>
      <c r="B538" s="26">
        <v>1</v>
      </c>
      <c r="C538" s="22">
        <v>0.6</v>
      </c>
      <c r="D538" s="22">
        <v>-0.5</v>
      </c>
      <c r="E538" s="22">
        <v>-0.6</v>
      </c>
      <c r="F538" s="22">
        <v>0</v>
      </c>
      <c r="G538" s="22">
        <v>0</v>
      </c>
      <c r="H538" s="16">
        <v>2310702</v>
      </c>
    </row>
    <row r="539" spans="1:8">
      <c r="A539" s="16">
        <v>23107</v>
      </c>
      <c r="B539" s="26">
        <v>2</v>
      </c>
      <c r="C539" s="22">
        <v>0.6</v>
      </c>
      <c r="D539" s="22">
        <v>-0.5</v>
      </c>
      <c r="E539" s="22">
        <v>-0.6</v>
      </c>
      <c r="F539" s="22">
        <v>0</v>
      </c>
      <c r="G539" s="22">
        <v>0</v>
      </c>
      <c r="H539" s="16">
        <v>2310703</v>
      </c>
    </row>
    <row r="540" spans="1:8">
      <c r="A540" s="16">
        <v>23108</v>
      </c>
      <c r="B540" s="26">
        <v>0</v>
      </c>
      <c r="C540" s="22">
        <v>0.25</v>
      </c>
      <c r="D540" s="22">
        <v>-0.3</v>
      </c>
      <c r="E540" s="22">
        <v>-0.5</v>
      </c>
      <c r="F540" s="22">
        <v>0</v>
      </c>
      <c r="G540" s="22">
        <v>0</v>
      </c>
      <c r="H540" s="16">
        <v>2310801</v>
      </c>
    </row>
    <row r="541" spans="1:8">
      <c r="A541" s="16">
        <v>23108</v>
      </c>
      <c r="B541" s="26">
        <v>1</v>
      </c>
      <c r="C541" s="22">
        <v>0.6</v>
      </c>
      <c r="D541" s="22">
        <v>-0.5</v>
      </c>
      <c r="E541" s="22">
        <v>-0.6</v>
      </c>
      <c r="F541" s="22">
        <v>0</v>
      </c>
      <c r="G541" s="22">
        <v>0</v>
      </c>
      <c r="H541" s="16">
        <v>2310802</v>
      </c>
    </row>
    <row r="542" spans="1:8">
      <c r="A542" s="16">
        <v>23108</v>
      </c>
      <c r="B542" s="26">
        <v>2</v>
      </c>
      <c r="C542" s="22">
        <v>0.6</v>
      </c>
      <c r="D542" s="22">
        <v>-0.5</v>
      </c>
      <c r="E542" s="22">
        <v>-0.6</v>
      </c>
      <c r="F542" s="22">
        <v>0</v>
      </c>
      <c r="G542" s="22">
        <v>0</v>
      </c>
      <c r="H542" s="16">
        <v>2310803</v>
      </c>
    </row>
    <row r="543" spans="1:8">
      <c r="A543" s="16">
        <v>24101</v>
      </c>
      <c r="B543" s="26">
        <v>999</v>
      </c>
      <c r="C543" s="22">
        <v>0</v>
      </c>
      <c r="D543" s="22">
        <v>-0.5</v>
      </c>
      <c r="E543" s="22">
        <v>0</v>
      </c>
      <c r="F543" s="22">
        <v>0</v>
      </c>
      <c r="G543" s="22">
        <v>0</v>
      </c>
      <c r="H543" s="16">
        <v>2410101</v>
      </c>
    </row>
    <row r="544" spans="1:8">
      <c r="A544" s="16">
        <v>24102</v>
      </c>
      <c r="B544" s="26">
        <v>0</v>
      </c>
      <c r="C544" s="22">
        <v>-0.2</v>
      </c>
      <c r="D544" s="22">
        <v>0</v>
      </c>
      <c r="E544" s="22">
        <v>0</v>
      </c>
      <c r="F544" s="22">
        <v>0</v>
      </c>
      <c r="G544" s="22">
        <v>0</v>
      </c>
      <c r="H544" s="16">
        <v>2410201</v>
      </c>
    </row>
    <row r="545" spans="1:8">
      <c r="A545" s="16">
        <v>24102</v>
      </c>
      <c r="B545" s="26">
        <v>1</v>
      </c>
      <c r="C545" s="22">
        <v>-0.4</v>
      </c>
      <c r="D545" s="22">
        <v>0</v>
      </c>
      <c r="E545" s="22">
        <v>0</v>
      </c>
      <c r="F545" s="22">
        <v>0</v>
      </c>
      <c r="G545" s="22">
        <v>0</v>
      </c>
      <c r="H545" s="16">
        <v>2410202</v>
      </c>
    </row>
    <row r="546" spans="1:8">
      <c r="A546" s="16">
        <v>24102</v>
      </c>
      <c r="B546" s="26">
        <v>2</v>
      </c>
      <c r="C546" s="22">
        <v>-0.4</v>
      </c>
      <c r="D546" s="22">
        <v>0</v>
      </c>
      <c r="E546" s="22">
        <v>0</v>
      </c>
      <c r="F546" s="22">
        <v>0</v>
      </c>
      <c r="G546" s="22">
        <v>0</v>
      </c>
      <c r="H546" s="16">
        <v>2410203</v>
      </c>
    </row>
    <row r="547" spans="1:8">
      <c r="A547" s="16">
        <v>24201</v>
      </c>
      <c r="B547" s="26">
        <v>2</v>
      </c>
      <c r="C547" s="22">
        <v>0.5</v>
      </c>
      <c r="D547" s="22">
        <v>0</v>
      </c>
      <c r="E547" s="22">
        <v>0</v>
      </c>
      <c r="F547" s="22">
        <v>0</v>
      </c>
      <c r="G547" s="22">
        <v>0</v>
      </c>
      <c r="H547" s="16">
        <v>2420101</v>
      </c>
    </row>
    <row r="548" spans="1:8">
      <c r="A548" s="16">
        <v>24202</v>
      </c>
      <c r="B548" s="26">
        <v>999</v>
      </c>
      <c r="C548" s="22">
        <v>2</v>
      </c>
      <c r="D548" s="22">
        <v>0</v>
      </c>
      <c r="E548" s="22">
        <v>0</v>
      </c>
      <c r="F548" s="22">
        <v>0</v>
      </c>
      <c r="G548" s="22">
        <v>0</v>
      </c>
      <c r="H548" s="16">
        <v>2420201</v>
      </c>
    </row>
    <row r="549" spans="1:8">
      <c r="A549" s="16">
        <v>24203</v>
      </c>
      <c r="B549" s="26">
        <v>999</v>
      </c>
      <c r="C549" s="22">
        <v>1</v>
      </c>
      <c r="D549" s="22">
        <v>-0.5</v>
      </c>
      <c r="E549" s="22">
        <v>0</v>
      </c>
      <c r="F549" s="22">
        <v>0</v>
      </c>
      <c r="G549" s="22">
        <v>0</v>
      </c>
      <c r="H549" s="16">
        <v>2420301</v>
      </c>
    </row>
    <row r="550" spans="1:8">
      <c r="A550" s="16">
        <v>24204</v>
      </c>
      <c r="B550" s="26">
        <v>2</v>
      </c>
      <c r="C550" s="22">
        <v>0</v>
      </c>
      <c r="D550" s="22">
        <v>-0.5</v>
      </c>
      <c r="E550" s="22">
        <v>0</v>
      </c>
      <c r="F550" s="22">
        <v>0</v>
      </c>
      <c r="G550" s="22">
        <v>0</v>
      </c>
      <c r="H550" s="16">
        <v>2420401</v>
      </c>
    </row>
    <row r="551" spans="1:8">
      <c r="A551" s="16">
        <v>24205</v>
      </c>
      <c r="B551" s="26">
        <v>2</v>
      </c>
      <c r="C551" s="22">
        <v>2.5</v>
      </c>
      <c r="D551" s="22">
        <v>0</v>
      </c>
      <c r="E551" s="22">
        <v>0</v>
      </c>
      <c r="F551" s="22">
        <v>0</v>
      </c>
      <c r="G551" s="22">
        <v>0</v>
      </c>
      <c r="H551" s="16">
        <v>2420501</v>
      </c>
    </row>
    <row r="552" spans="1:8">
      <c r="A552" s="16">
        <v>20941</v>
      </c>
      <c r="B552" s="26">
        <v>2</v>
      </c>
      <c r="C552" s="22">
        <v>1.5</v>
      </c>
      <c r="D552" s="22">
        <v>0</v>
      </c>
      <c r="E552" s="22">
        <v>0</v>
      </c>
      <c r="F552" s="22">
        <v>0</v>
      </c>
      <c r="G552" s="22">
        <v>0</v>
      </c>
      <c r="H552" s="16">
        <v>2904101</v>
      </c>
    </row>
    <row r="553" spans="1:8">
      <c r="A553" s="16">
        <v>20941</v>
      </c>
      <c r="B553" s="26">
        <v>1</v>
      </c>
      <c r="C553" s="22">
        <v>1.1</v>
      </c>
      <c r="D553" s="22">
        <v>0</v>
      </c>
      <c r="E553" s="22">
        <v>0</v>
      </c>
      <c r="F553" s="22">
        <v>0</v>
      </c>
      <c r="G553" s="22">
        <v>0</v>
      </c>
      <c r="H553" s="16">
        <v>2904102</v>
      </c>
    </row>
    <row r="554" spans="1:8">
      <c r="A554" s="16">
        <v>20941</v>
      </c>
      <c r="B554" s="26">
        <v>0</v>
      </c>
      <c r="C554" s="22">
        <v>1.1</v>
      </c>
      <c r="D554" s="22">
        <v>0</v>
      </c>
      <c r="E554" s="22">
        <v>0</v>
      </c>
      <c r="F554" s="22">
        <v>0</v>
      </c>
      <c r="G554" s="22">
        <v>0</v>
      </c>
      <c r="H554" s="16">
        <v>2904103</v>
      </c>
    </row>
    <row r="555" spans="1:8">
      <c r="A555" s="16">
        <v>20945</v>
      </c>
      <c r="B555" s="26">
        <v>2</v>
      </c>
      <c r="C555" s="22">
        <v>2.2</v>
      </c>
      <c r="D555" s="22">
        <v>0</v>
      </c>
      <c r="E555" s="22">
        <v>0</v>
      </c>
      <c r="F555" s="22">
        <v>0</v>
      </c>
      <c r="G555" s="22">
        <v>0</v>
      </c>
      <c r="H555" s="16">
        <v>2904501</v>
      </c>
    </row>
    <row r="556" spans="1:8">
      <c r="A556" s="16">
        <v>20945</v>
      </c>
      <c r="B556" s="26">
        <v>1</v>
      </c>
      <c r="C556" s="22">
        <v>1.4</v>
      </c>
      <c r="D556" s="22">
        <v>0</v>
      </c>
      <c r="E556" s="22">
        <v>0</v>
      </c>
      <c r="F556" s="22">
        <v>0</v>
      </c>
      <c r="G556" s="22">
        <v>0</v>
      </c>
      <c r="H556" s="16">
        <v>2904502</v>
      </c>
    </row>
    <row r="557" spans="1:8">
      <c r="A557" s="16">
        <v>20945</v>
      </c>
      <c r="B557" s="26">
        <v>0</v>
      </c>
      <c r="C557" s="22">
        <v>1.4</v>
      </c>
      <c r="D557" s="22">
        <v>0</v>
      </c>
      <c r="E557" s="22">
        <v>0</v>
      </c>
      <c r="F557" s="22">
        <v>0</v>
      </c>
      <c r="G557" s="22">
        <v>0</v>
      </c>
      <c r="H557" s="16">
        <v>2904503</v>
      </c>
    </row>
    <row r="558" spans="1:8">
      <c r="A558" s="16">
        <v>29101</v>
      </c>
      <c r="B558" s="26">
        <v>0</v>
      </c>
      <c r="C558" s="22">
        <v>0.4</v>
      </c>
      <c r="D558" s="22">
        <v>0</v>
      </c>
      <c r="E558" s="22">
        <v>0</v>
      </c>
      <c r="F558" s="22">
        <v>0</v>
      </c>
      <c r="G558" s="22">
        <v>0</v>
      </c>
      <c r="H558" s="16">
        <v>2910101</v>
      </c>
    </row>
    <row r="559" spans="1:8">
      <c r="A559" s="16">
        <v>29101</v>
      </c>
      <c r="B559" s="26">
        <v>1</v>
      </c>
      <c r="C559" s="22">
        <v>0.2</v>
      </c>
      <c r="D559" s="22">
        <v>0</v>
      </c>
      <c r="E559" s="22">
        <v>0</v>
      </c>
      <c r="F559" s="22">
        <v>0</v>
      </c>
      <c r="G559" s="22">
        <v>0</v>
      </c>
      <c r="H559" s="16">
        <v>2910102</v>
      </c>
    </row>
    <row r="560" spans="1:8">
      <c r="A560" s="16">
        <v>29101</v>
      </c>
      <c r="B560" s="26">
        <v>2</v>
      </c>
      <c r="C560" s="22">
        <v>0</v>
      </c>
      <c r="D560" s="22">
        <v>0</v>
      </c>
      <c r="E560" s="22">
        <v>0</v>
      </c>
      <c r="F560" s="22">
        <v>0</v>
      </c>
      <c r="G560" s="22">
        <v>0</v>
      </c>
      <c r="H560" s="16">
        <v>2910103</v>
      </c>
    </row>
    <row r="561" spans="1:8">
      <c r="A561" s="16">
        <v>29301</v>
      </c>
      <c r="B561" s="26">
        <v>999</v>
      </c>
      <c r="C561" s="22">
        <v>-0.15</v>
      </c>
      <c r="D561" s="22">
        <v>0</v>
      </c>
      <c r="E561" s="22">
        <v>0.33</v>
      </c>
      <c r="F561" s="22">
        <v>0</v>
      </c>
      <c r="G561" s="22">
        <v>0.33</v>
      </c>
      <c r="H561" s="16">
        <v>2930101</v>
      </c>
    </row>
    <row r="562" spans="1:8">
      <c r="A562" s="16">
        <v>29302</v>
      </c>
      <c r="B562" s="26">
        <v>999</v>
      </c>
      <c r="C562" s="22">
        <v>0.07</v>
      </c>
      <c r="D562" s="22">
        <v>0</v>
      </c>
      <c r="E562" s="22">
        <v>0.67</v>
      </c>
      <c r="F562" s="22">
        <v>0</v>
      </c>
      <c r="G562" s="22">
        <v>0.33</v>
      </c>
      <c r="H562" s="16">
        <v>2930201</v>
      </c>
    </row>
    <row r="563" spans="1:8">
      <c r="A563" s="16">
        <v>29303</v>
      </c>
      <c r="B563" s="26">
        <v>999</v>
      </c>
      <c r="C563" s="22">
        <v>0.27</v>
      </c>
      <c r="D563" s="22">
        <v>0</v>
      </c>
      <c r="E563" s="22">
        <v>1</v>
      </c>
      <c r="F563" s="22">
        <v>0</v>
      </c>
      <c r="G563" s="22">
        <v>0.33</v>
      </c>
      <c r="H563" s="16">
        <v>2930301</v>
      </c>
    </row>
    <row r="564" spans="1:8">
      <c r="A564" s="16">
        <v>29304</v>
      </c>
      <c r="B564" s="26">
        <v>999</v>
      </c>
      <c r="C564" s="22">
        <v>0.38</v>
      </c>
      <c r="D564" s="22">
        <v>-0.1</v>
      </c>
      <c r="E564" s="22">
        <v>1</v>
      </c>
      <c r="F564" s="22">
        <v>0</v>
      </c>
      <c r="G564" s="22">
        <v>0.33</v>
      </c>
      <c r="H564" s="16">
        <v>2930401</v>
      </c>
    </row>
    <row r="565" spans="1:8">
      <c r="A565" s="16">
        <v>29305</v>
      </c>
      <c r="B565" s="26">
        <v>999</v>
      </c>
      <c r="C565" s="22">
        <v>0.48</v>
      </c>
      <c r="D565" s="22">
        <v>-0.5</v>
      </c>
      <c r="E565" s="22">
        <v>1</v>
      </c>
      <c r="F565" s="22">
        <v>0</v>
      </c>
      <c r="G565" s="22">
        <v>0.33</v>
      </c>
      <c r="H565" s="16">
        <v>2930501</v>
      </c>
    </row>
    <row r="566" spans="1:8">
      <c r="A566" s="16">
        <v>29306</v>
      </c>
      <c r="B566" s="26">
        <v>999</v>
      </c>
      <c r="C566" s="22">
        <v>0.3</v>
      </c>
      <c r="D566" s="22">
        <v>0</v>
      </c>
      <c r="E566" s="22">
        <v>1</v>
      </c>
      <c r="F566" s="22">
        <v>0</v>
      </c>
      <c r="G566" s="22">
        <v>0.33</v>
      </c>
      <c r="H566" s="16">
        <v>2930601</v>
      </c>
    </row>
    <row r="567" spans="1:8">
      <c r="A567" s="16">
        <v>29312</v>
      </c>
      <c r="B567" s="26">
        <v>999</v>
      </c>
      <c r="C567" s="22">
        <v>0.17</v>
      </c>
      <c r="D567" s="22">
        <v>0</v>
      </c>
      <c r="E567" s="22">
        <v>0.33</v>
      </c>
      <c r="F567" s="22">
        <v>0</v>
      </c>
      <c r="G567" s="22">
        <v>0.33</v>
      </c>
      <c r="H567" s="16">
        <v>2931201</v>
      </c>
    </row>
    <row r="568" spans="1:8">
      <c r="A568" s="16">
        <v>29313</v>
      </c>
      <c r="B568" s="26">
        <v>999</v>
      </c>
      <c r="C568" s="22">
        <v>0.37</v>
      </c>
      <c r="D568" s="22">
        <v>0</v>
      </c>
      <c r="E568" s="22">
        <v>0.67</v>
      </c>
      <c r="F568" s="22">
        <v>0</v>
      </c>
      <c r="G568" s="22">
        <v>0.33</v>
      </c>
      <c r="H568" s="16">
        <v>2931301</v>
      </c>
    </row>
    <row r="569" spans="1:8">
      <c r="A569" s="16">
        <v>29314</v>
      </c>
      <c r="B569" s="26">
        <v>999</v>
      </c>
      <c r="C569" s="22">
        <v>0.48</v>
      </c>
      <c r="D569" s="22">
        <v>0</v>
      </c>
      <c r="E569" s="22">
        <v>1</v>
      </c>
      <c r="F569" s="22">
        <v>0</v>
      </c>
      <c r="G569" s="22">
        <v>0.33</v>
      </c>
      <c r="H569" s="16">
        <v>2931401</v>
      </c>
    </row>
    <row r="570" spans="1:8">
      <c r="A570" s="16">
        <v>29315</v>
      </c>
      <c r="B570" s="26">
        <v>999</v>
      </c>
      <c r="C570" s="22">
        <v>0.58</v>
      </c>
      <c r="D570" s="22">
        <v>-0.2</v>
      </c>
      <c r="E570" s="22">
        <v>1</v>
      </c>
      <c r="F570" s="22">
        <v>0</v>
      </c>
      <c r="G570" s="22">
        <v>0.33</v>
      </c>
      <c r="H570" s="16">
        <v>2931501</v>
      </c>
    </row>
    <row r="571" spans="1:8">
      <c r="A571" s="16">
        <v>29316</v>
      </c>
      <c r="B571" s="26">
        <v>999</v>
      </c>
      <c r="C571" s="22">
        <v>0.4</v>
      </c>
      <c r="D571" s="22">
        <v>0</v>
      </c>
      <c r="E571" s="22">
        <v>1</v>
      </c>
      <c r="F571" s="22">
        <v>0</v>
      </c>
      <c r="G571" s="22">
        <v>0.33</v>
      </c>
      <c r="H571" s="16">
        <v>2931601</v>
      </c>
    </row>
    <row r="572" spans="1:8">
      <c r="A572" s="16">
        <v>29601</v>
      </c>
      <c r="B572" s="26">
        <v>0</v>
      </c>
      <c r="C572" s="22">
        <v>-0.5</v>
      </c>
      <c r="D572" s="22">
        <v>0</v>
      </c>
      <c r="E572" s="22">
        <v>0</v>
      </c>
      <c r="F572" s="22">
        <v>0</v>
      </c>
      <c r="G572" s="22">
        <v>0</v>
      </c>
      <c r="H572" s="16">
        <v>2960101</v>
      </c>
    </row>
    <row r="573" spans="1:8">
      <c r="A573" s="16">
        <v>29601</v>
      </c>
      <c r="B573" s="26">
        <v>1</v>
      </c>
      <c r="C573" s="22">
        <v>-0.5</v>
      </c>
      <c r="D573" s="22">
        <v>0</v>
      </c>
      <c r="E573" s="22">
        <v>0</v>
      </c>
      <c r="F573" s="22">
        <v>0</v>
      </c>
      <c r="G573" s="22">
        <v>0</v>
      </c>
      <c r="H573" s="16">
        <v>2960102</v>
      </c>
    </row>
    <row r="574" spans="1:8">
      <c r="A574" s="16">
        <v>29601</v>
      </c>
      <c r="B574" s="26">
        <v>2</v>
      </c>
      <c r="C574" s="22">
        <v>0</v>
      </c>
      <c r="D574" s="22">
        <v>0</v>
      </c>
      <c r="E574" s="22">
        <v>0</v>
      </c>
      <c r="F574" s="22">
        <v>0</v>
      </c>
      <c r="G574" s="22">
        <v>0</v>
      </c>
      <c r="H574" s="16">
        <v>2960103</v>
      </c>
    </row>
    <row r="575" spans="1:8">
      <c r="A575" s="16">
        <v>29602</v>
      </c>
      <c r="B575" s="26">
        <v>0</v>
      </c>
      <c r="C575" s="22">
        <v>-0.425</v>
      </c>
      <c r="D575" s="22">
        <v>0</v>
      </c>
      <c r="E575" s="22">
        <v>0</v>
      </c>
      <c r="F575" s="22">
        <v>0</v>
      </c>
      <c r="G575" s="22">
        <v>0</v>
      </c>
      <c r="H575" s="16">
        <v>2960201</v>
      </c>
    </row>
    <row r="576" spans="1:8">
      <c r="A576" s="16">
        <v>29602</v>
      </c>
      <c r="B576" s="26">
        <v>1</v>
      </c>
      <c r="C576" s="22">
        <v>-0.425</v>
      </c>
      <c r="D576" s="22">
        <v>0</v>
      </c>
      <c r="E576" s="22">
        <v>0</v>
      </c>
      <c r="F576" s="22">
        <v>0</v>
      </c>
      <c r="G576" s="22">
        <v>0</v>
      </c>
      <c r="H576" s="16">
        <v>2960202</v>
      </c>
    </row>
    <row r="577" spans="1:8">
      <c r="A577" s="16">
        <v>29602</v>
      </c>
      <c r="B577" s="26">
        <v>2</v>
      </c>
      <c r="C577" s="22">
        <v>0.15</v>
      </c>
      <c r="D577" s="22">
        <v>0</v>
      </c>
      <c r="E577" s="22">
        <v>0</v>
      </c>
      <c r="F577" s="22">
        <v>0</v>
      </c>
      <c r="G577" s="22">
        <v>0</v>
      </c>
      <c r="H577" s="16">
        <v>2960203</v>
      </c>
    </row>
    <row r="578" spans="1:8">
      <c r="A578" s="16">
        <v>29603</v>
      </c>
      <c r="B578" s="26">
        <v>0</v>
      </c>
      <c r="C578" s="22">
        <v>-0.35</v>
      </c>
      <c r="D578" s="22">
        <v>0</v>
      </c>
      <c r="E578" s="22">
        <v>0</v>
      </c>
      <c r="F578" s="22">
        <v>0</v>
      </c>
      <c r="G578" s="22">
        <v>0</v>
      </c>
      <c r="H578" s="16">
        <v>2960301</v>
      </c>
    </row>
    <row r="579" spans="1:8">
      <c r="A579" s="16">
        <v>29603</v>
      </c>
      <c r="B579" s="26">
        <v>1</v>
      </c>
      <c r="C579" s="22">
        <v>-0.35</v>
      </c>
      <c r="D579" s="22">
        <v>0</v>
      </c>
      <c r="E579" s="22">
        <v>0</v>
      </c>
      <c r="F579" s="22">
        <v>0</v>
      </c>
      <c r="G579" s="22">
        <v>0</v>
      </c>
      <c r="H579" s="16">
        <v>2960302</v>
      </c>
    </row>
    <row r="580" spans="1:8">
      <c r="A580" s="16">
        <v>29603</v>
      </c>
      <c r="B580" s="26">
        <v>2</v>
      </c>
      <c r="C580" s="22">
        <v>0.3</v>
      </c>
      <c r="D580" s="22">
        <v>-0.3</v>
      </c>
      <c r="E580" s="22">
        <v>0</v>
      </c>
      <c r="F580" s="22">
        <v>0</v>
      </c>
      <c r="G580" s="22">
        <v>0</v>
      </c>
      <c r="H580" s="16">
        <v>2960303</v>
      </c>
    </row>
    <row r="581" spans="1:8">
      <c r="A581" s="16">
        <v>29604</v>
      </c>
      <c r="B581" s="26">
        <v>0</v>
      </c>
      <c r="C581" s="22">
        <v>-0.2</v>
      </c>
      <c r="D581" s="22">
        <v>0</v>
      </c>
      <c r="E581" s="22">
        <v>0</v>
      </c>
      <c r="F581" s="22">
        <v>0</v>
      </c>
      <c r="G581" s="22">
        <v>0</v>
      </c>
      <c r="H581" s="16">
        <v>2960401</v>
      </c>
    </row>
    <row r="582" spans="1:8">
      <c r="A582" s="16">
        <v>29604</v>
      </c>
      <c r="B582" s="26">
        <v>1</v>
      </c>
      <c r="C582" s="22">
        <v>-0.2</v>
      </c>
      <c r="D582" s="22">
        <v>0</v>
      </c>
      <c r="E582" s="22">
        <v>0</v>
      </c>
      <c r="F582" s="22">
        <v>0</v>
      </c>
      <c r="G582" s="22">
        <v>0</v>
      </c>
      <c r="H582" s="16">
        <v>2960402</v>
      </c>
    </row>
    <row r="583" spans="1:8">
      <c r="A583" s="16">
        <v>29604</v>
      </c>
      <c r="B583" s="26">
        <v>2</v>
      </c>
      <c r="C583" s="22">
        <v>0.6</v>
      </c>
      <c r="D583" s="22">
        <v>-0.4</v>
      </c>
      <c r="E583" s="22">
        <v>0</v>
      </c>
      <c r="F583" s="22">
        <v>0</v>
      </c>
      <c r="G583" s="22">
        <v>0</v>
      </c>
      <c r="H583" s="16">
        <v>2960403</v>
      </c>
    </row>
    <row r="584" spans="1:8">
      <c r="A584" s="16">
        <v>29605</v>
      </c>
      <c r="B584" s="26">
        <v>0</v>
      </c>
      <c r="C584" s="22">
        <v>0.1</v>
      </c>
      <c r="D584" s="22">
        <v>-0.4</v>
      </c>
      <c r="E584" s="22">
        <v>0</v>
      </c>
      <c r="F584" s="22">
        <v>0.6666</v>
      </c>
      <c r="G584" s="22">
        <v>0</v>
      </c>
      <c r="H584" s="16">
        <v>2960501</v>
      </c>
    </row>
    <row r="585" spans="1:8">
      <c r="A585" s="16">
        <v>29605</v>
      </c>
      <c r="B585" s="26">
        <v>1</v>
      </c>
      <c r="C585" s="22">
        <v>0.1</v>
      </c>
      <c r="D585" s="22">
        <v>-0.4</v>
      </c>
      <c r="E585" s="22">
        <v>0</v>
      </c>
      <c r="F585" s="22">
        <v>0.6666</v>
      </c>
      <c r="G585" s="22">
        <v>0</v>
      </c>
      <c r="H585" s="16">
        <v>2960502</v>
      </c>
    </row>
    <row r="586" spans="1:8">
      <c r="A586" s="16">
        <v>29605</v>
      </c>
      <c r="B586" s="26">
        <v>2</v>
      </c>
      <c r="C586" s="22">
        <v>1.2</v>
      </c>
      <c r="D586" s="22">
        <v>-0.4</v>
      </c>
      <c r="E586" s="22">
        <v>0</v>
      </c>
      <c r="F586" s="22">
        <v>0.6666</v>
      </c>
      <c r="G586" s="22">
        <v>0</v>
      </c>
      <c r="H586" s="16">
        <v>2960503</v>
      </c>
    </row>
    <row r="587" spans="1:8">
      <c r="A587" s="16">
        <v>29606</v>
      </c>
      <c r="B587" s="26">
        <v>0</v>
      </c>
      <c r="C587" s="22">
        <v>-0.2</v>
      </c>
      <c r="D587" s="22">
        <v>0</v>
      </c>
      <c r="E587" s="22">
        <v>0</v>
      </c>
      <c r="F587" s="22">
        <v>0</v>
      </c>
      <c r="G587" s="22">
        <v>0</v>
      </c>
      <c r="H587" s="16">
        <v>2960601</v>
      </c>
    </row>
    <row r="588" spans="1:8">
      <c r="A588" s="16">
        <v>29606</v>
      </c>
      <c r="B588" s="26">
        <v>1</v>
      </c>
      <c r="C588" s="22">
        <v>-0.2</v>
      </c>
      <c r="D588" s="22">
        <v>0</v>
      </c>
      <c r="E588" s="22">
        <v>0</v>
      </c>
      <c r="F588" s="22">
        <v>0</v>
      </c>
      <c r="G588" s="22">
        <v>0</v>
      </c>
      <c r="H588" s="16">
        <v>2960602</v>
      </c>
    </row>
    <row r="589" spans="1:8">
      <c r="A589" s="16">
        <v>29606</v>
      </c>
      <c r="B589" s="26">
        <v>2</v>
      </c>
      <c r="C589" s="22">
        <v>0.6</v>
      </c>
      <c r="D589" s="22">
        <v>0</v>
      </c>
      <c r="E589" s="22">
        <v>0</v>
      </c>
      <c r="F589" s="22">
        <v>0</v>
      </c>
      <c r="G589" s="22">
        <v>0</v>
      </c>
      <c r="H589" s="16">
        <v>2960603</v>
      </c>
    </row>
    <row r="590" spans="1:8">
      <c r="A590" s="16">
        <v>29607</v>
      </c>
      <c r="B590" s="26">
        <v>0</v>
      </c>
      <c r="C590" s="22">
        <v>-0.05</v>
      </c>
      <c r="D590" s="22">
        <v>0.2</v>
      </c>
      <c r="E590" s="22">
        <v>0</v>
      </c>
      <c r="F590" s="22">
        <v>0</v>
      </c>
      <c r="G590" s="22">
        <v>0</v>
      </c>
      <c r="H590" s="16">
        <v>2960701</v>
      </c>
    </row>
    <row r="591" spans="1:8">
      <c r="A591" s="16">
        <v>29607</v>
      </c>
      <c r="B591" s="26">
        <v>1</v>
      </c>
      <c r="C591" s="22">
        <v>-0.05</v>
      </c>
      <c r="D591" s="22">
        <v>0.2</v>
      </c>
      <c r="E591" s="22">
        <v>0</v>
      </c>
      <c r="F591" s="22">
        <v>0</v>
      </c>
      <c r="G591" s="22">
        <v>0</v>
      </c>
      <c r="H591" s="16">
        <v>2960702</v>
      </c>
    </row>
    <row r="592" spans="1:8">
      <c r="A592" s="16">
        <v>29607</v>
      </c>
      <c r="B592" s="26">
        <v>2</v>
      </c>
      <c r="C592" s="22">
        <v>0.9</v>
      </c>
      <c r="D592" s="22">
        <v>0.2</v>
      </c>
      <c r="E592" s="22">
        <v>0</v>
      </c>
      <c r="F592" s="22">
        <v>0</v>
      </c>
      <c r="G592" s="22">
        <v>0</v>
      </c>
      <c r="H592" s="16">
        <v>2960703</v>
      </c>
    </row>
    <row r="593" spans="1:8">
      <c r="A593" s="16">
        <v>29608</v>
      </c>
      <c r="B593" s="26">
        <v>0</v>
      </c>
      <c r="C593" s="22">
        <v>0.1</v>
      </c>
      <c r="D593" s="22">
        <v>0.25</v>
      </c>
      <c r="E593" s="22">
        <v>0</v>
      </c>
      <c r="F593" s="22">
        <v>0</v>
      </c>
      <c r="G593" s="22">
        <v>0</v>
      </c>
      <c r="H593" s="16">
        <v>2960801</v>
      </c>
    </row>
    <row r="594" spans="1:8">
      <c r="A594" s="16">
        <v>29608</v>
      </c>
      <c r="B594" s="26">
        <v>1</v>
      </c>
      <c r="C594" s="22">
        <v>0.1</v>
      </c>
      <c r="D594" s="22">
        <v>0.25</v>
      </c>
      <c r="E594" s="22">
        <v>0</v>
      </c>
      <c r="F594" s="22">
        <v>0</v>
      </c>
      <c r="G594" s="22">
        <v>0</v>
      </c>
      <c r="H594" s="16">
        <v>2960802</v>
      </c>
    </row>
    <row r="595" spans="1:8">
      <c r="A595" s="16">
        <v>29608</v>
      </c>
      <c r="B595" s="26">
        <v>2</v>
      </c>
      <c r="C595" s="22">
        <v>1.2</v>
      </c>
      <c r="D595" s="22">
        <v>0.25</v>
      </c>
      <c r="E595" s="22">
        <v>0</v>
      </c>
      <c r="F595" s="22">
        <v>0</v>
      </c>
      <c r="G595" s="22">
        <v>0</v>
      </c>
      <c r="H595" s="16">
        <v>2960803</v>
      </c>
    </row>
    <row r="596" spans="1:8">
      <c r="A596" s="16">
        <v>29609</v>
      </c>
      <c r="B596" s="26">
        <v>0</v>
      </c>
      <c r="C596" s="22">
        <v>0.25</v>
      </c>
      <c r="D596" s="22">
        <v>0.3</v>
      </c>
      <c r="E596" s="22">
        <v>0</v>
      </c>
      <c r="F596" s="22">
        <v>0</v>
      </c>
      <c r="G596" s="22">
        <v>0</v>
      </c>
      <c r="H596" s="16">
        <v>2960901</v>
      </c>
    </row>
    <row r="597" spans="1:8">
      <c r="A597" s="16">
        <v>29609</v>
      </c>
      <c r="B597" s="26">
        <v>1</v>
      </c>
      <c r="C597" s="22">
        <v>0.25</v>
      </c>
      <c r="D597" s="22">
        <v>0.3</v>
      </c>
      <c r="E597" s="22">
        <v>0</v>
      </c>
      <c r="F597" s="22">
        <v>0</v>
      </c>
      <c r="G597" s="22">
        <v>0</v>
      </c>
      <c r="H597" s="16">
        <v>2960902</v>
      </c>
    </row>
    <row r="598" spans="1:8">
      <c r="A598" s="16">
        <v>29609</v>
      </c>
      <c r="B598" s="26">
        <v>2</v>
      </c>
      <c r="C598" s="22">
        <v>1.5</v>
      </c>
      <c r="D598" s="22">
        <v>0.3</v>
      </c>
      <c r="E598" s="22">
        <v>0</v>
      </c>
      <c r="F598" s="22">
        <v>0</v>
      </c>
      <c r="G598" s="22">
        <v>0</v>
      </c>
      <c r="H598" s="16">
        <v>2960903</v>
      </c>
    </row>
    <row r="599" spans="1:8">
      <c r="A599" s="16">
        <v>29610</v>
      </c>
      <c r="B599" s="26">
        <v>0</v>
      </c>
      <c r="C599" s="22">
        <v>0.55</v>
      </c>
      <c r="D599" s="22">
        <v>0.6</v>
      </c>
      <c r="E599" s="22">
        <v>0</v>
      </c>
      <c r="F599" s="22">
        <v>0.6666</v>
      </c>
      <c r="G599" s="22">
        <v>0</v>
      </c>
      <c r="H599" s="16">
        <v>2961001</v>
      </c>
    </row>
    <row r="600" spans="1:8">
      <c r="A600" s="16">
        <v>29610</v>
      </c>
      <c r="B600" s="26">
        <v>1</v>
      </c>
      <c r="C600" s="22">
        <v>0.55</v>
      </c>
      <c r="D600" s="22">
        <v>0.6</v>
      </c>
      <c r="E600" s="22">
        <v>0</v>
      </c>
      <c r="F600" s="22">
        <v>0.6666</v>
      </c>
      <c r="G600" s="22">
        <v>0</v>
      </c>
      <c r="H600" s="16">
        <v>2961002</v>
      </c>
    </row>
    <row r="601" spans="1:8">
      <c r="A601" s="16">
        <v>29610</v>
      </c>
      <c r="B601" s="26">
        <v>2</v>
      </c>
      <c r="C601" s="22">
        <v>2.1</v>
      </c>
      <c r="D601" s="22">
        <v>0.6</v>
      </c>
      <c r="E601" s="22">
        <v>0</v>
      </c>
      <c r="F601" s="22">
        <v>0.6666</v>
      </c>
      <c r="G601" s="22">
        <v>0</v>
      </c>
      <c r="H601" s="16">
        <v>2961003</v>
      </c>
    </row>
    <row r="602" spans="1:8">
      <c r="A602" s="16">
        <v>29611</v>
      </c>
      <c r="B602" s="26">
        <v>0</v>
      </c>
      <c r="C602" s="22">
        <v>0.1</v>
      </c>
      <c r="D602" s="22">
        <v>0.2</v>
      </c>
      <c r="E602" s="22">
        <v>0</v>
      </c>
      <c r="F602" s="22">
        <v>0.6666</v>
      </c>
      <c r="G602" s="22">
        <v>0</v>
      </c>
      <c r="H602" s="16">
        <v>2961101</v>
      </c>
    </row>
    <row r="603" spans="1:8">
      <c r="A603" s="16">
        <v>29611</v>
      </c>
      <c r="B603" s="26">
        <v>1</v>
      </c>
      <c r="C603" s="22">
        <v>0.1</v>
      </c>
      <c r="D603" s="22">
        <v>0.2</v>
      </c>
      <c r="E603" s="22">
        <v>0</v>
      </c>
      <c r="F603" s="22">
        <v>0.6666</v>
      </c>
      <c r="G603" s="22">
        <v>0</v>
      </c>
      <c r="H603" s="16">
        <v>2961102</v>
      </c>
    </row>
    <row r="604" spans="1:8">
      <c r="A604" s="16">
        <v>29611</v>
      </c>
      <c r="B604" s="26">
        <v>2</v>
      </c>
      <c r="C604" s="22">
        <v>1.2</v>
      </c>
      <c r="D604" s="22">
        <v>0.2</v>
      </c>
      <c r="E604" s="22">
        <v>0</v>
      </c>
      <c r="F604" s="22">
        <v>0.6666</v>
      </c>
      <c r="G604" s="22">
        <v>0</v>
      </c>
      <c r="H604" s="16">
        <v>2961103</v>
      </c>
    </row>
    <row r="605" spans="1:8">
      <c r="A605" s="16">
        <v>29612</v>
      </c>
      <c r="B605" s="26">
        <v>0</v>
      </c>
      <c r="C605" s="22">
        <v>0.55</v>
      </c>
      <c r="D605" s="22">
        <v>0.9</v>
      </c>
      <c r="E605" s="22">
        <v>0</v>
      </c>
      <c r="F605" s="22">
        <v>0.6666</v>
      </c>
      <c r="G605" s="22">
        <v>0</v>
      </c>
      <c r="H605" s="16">
        <v>2961201</v>
      </c>
    </row>
    <row r="606" spans="1:8">
      <c r="A606" s="16">
        <v>29612</v>
      </c>
      <c r="B606" s="26">
        <v>1</v>
      </c>
      <c r="C606" s="22">
        <v>0.55</v>
      </c>
      <c r="D606" s="22">
        <v>0.9</v>
      </c>
      <c r="E606" s="22">
        <v>0</v>
      </c>
      <c r="F606" s="22">
        <v>0.6666</v>
      </c>
      <c r="G606" s="22">
        <v>0</v>
      </c>
      <c r="H606" s="16">
        <v>2961202</v>
      </c>
    </row>
    <row r="607" spans="1:8">
      <c r="A607" s="16">
        <v>29612</v>
      </c>
      <c r="B607" s="26">
        <v>2</v>
      </c>
      <c r="C607" s="22">
        <v>2.1</v>
      </c>
      <c r="D607" s="22">
        <v>0.9</v>
      </c>
      <c r="E607" s="22">
        <v>0</v>
      </c>
      <c r="F607" s="22">
        <v>0.6666</v>
      </c>
      <c r="G607" s="22">
        <v>0</v>
      </c>
      <c r="H607" s="16">
        <v>2961203</v>
      </c>
    </row>
    <row r="608" spans="1:8">
      <c r="A608" s="16">
        <v>29901</v>
      </c>
      <c r="B608" s="26">
        <v>999</v>
      </c>
      <c r="C608" s="22">
        <v>1.4</v>
      </c>
      <c r="D608" s="22">
        <v>-0.35</v>
      </c>
      <c r="E608" s="22">
        <v>0</v>
      </c>
      <c r="F608" s="22">
        <v>0</v>
      </c>
      <c r="G608" s="22">
        <v>0.1</v>
      </c>
      <c r="H608" s="16">
        <v>2990101</v>
      </c>
    </row>
    <row r="609" spans="1:8">
      <c r="A609" s="16">
        <v>29902</v>
      </c>
      <c r="B609" s="26">
        <v>999</v>
      </c>
      <c r="C609" s="22">
        <v>1.05</v>
      </c>
      <c r="D609" s="22">
        <v>-0.35</v>
      </c>
      <c r="E609" s="22">
        <v>0</v>
      </c>
      <c r="F609" s="22">
        <v>0</v>
      </c>
      <c r="G609" s="22">
        <v>0.1</v>
      </c>
      <c r="H609" s="16">
        <v>2990201</v>
      </c>
    </row>
    <row r="610" spans="1:8">
      <c r="A610" s="16">
        <v>29903</v>
      </c>
      <c r="B610" s="26">
        <v>999</v>
      </c>
      <c r="C610" s="22">
        <v>0.95</v>
      </c>
      <c r="D610" s="22">
        <v>-0.35</v>
      </c>
      <c r="E610" s="22">
        <v>0</v>
      </c>
      <c r="F610" s="22">
        <v>0</v>
      </c>
      <c r="G610" s="22">
        <v>0.1</v>
      </c>
      <c r="H610" s="16">
        <v>2990301</v>
      </c>
    </row>
    <row r="611" spans="1:8">
      <c r="A611" s="16">
        <v>29904</v>
      </c>
      <c r="B611" s="26">
        <v>999</v>
      </c>
      <c r="C611" s="22">
        <v>0.15</v>
      </c>
      <c r="D611" s="22">
        <v>-0.35</v>
      </c>
      <c r="E611" s="22">
        <v>0</v>
      </c>
      <c r="F611" s="22">
        <v>0</v>
      </c>
      <c r="G611" s="22">
        <v>0.1</v>
      </c>
      <c r="H611" s="16">
        <v>2990401</v>
      </c>
    </row>
    <row r="612" spans="1:8">
      <c r="A612" s="16">
        <v>29905</v>
      </c>
      <c r="B612" s="26">
        <v>999</v>
      </c>
      <c r="C612" s="22">
        <v>1.2</v>
      </c>
      <c r="D612" s="22">
        <v>-0.35</v>
      </c>
      <c r="E612" s="22">
        <v>0</v>
      </c>
      <c r="F612" s="22">
        <v>0</v>
      </c>
      <c r="G612" s="22">
        <v>0.1</v>
      </c>
      <c r="H612" s="16">
        <v>2990501</v>
      </c>
    </row>
    <row r="613" spans="1:8">
      <c r="A613" s="16">
        <v>29906</v>
      </c>
      <c r="B613" s="26">
        <v>999</v>
      </c>
      <c r="C613" s="22">
        <v>2.5</v>
      </c>
      <c r="D613" s="22">
        <v>-0.35</v>
      </c>
      <c r="E613" s="22">
        <v>0</v>
      </c>
      <c r="F613" s="22">
        <v>0</v>
      </c>
      <c r="G613" s="22">
        <v>0.1</v>
      </c>
      <c r="H613" s="16">
        <v>2990601</v>
      </c>
    </row>
    <row r="614" spans="1:8">
      <c r="A614" s="16">
        <v>29907</v>
      </c>
      <c r="B614" s="26">
        <v>999</v>
      </c>
      <c r="C614" s="22">
        <v>0.7</v>
      </c>
      <c r="D614" s="22">
        <v>-0.35</v>
      </c>
      <c r="E614" s="22">
        <v>0</v>
      </c>
      <c r="F614" s="22">
        <v>0</v>
      </c>
      <c r="G614" s="22">
        <v>0.1</v>
      </c>
      <c r="H614" s="16">
        <v>2990701</v>
      </c>
    </row>
    <row r="615" spans="1:8">
      <c r="A615" s="16">
        <v>29908</v>
      </c>
      <c r="B615" s="26">
        <v>999</v>
      </c>
      <c r="C615" s="22">
        <v>1.2</v>
      </c>
      <c r="D615" s="22">
        <v>-0.35</v>
      </c>
      <c r="E615" s="22">
        <v>0</v>
      </c>
      <c r="F615" s="22">
        <v>0</v>
      </c>
      <c r="G615" s="22">
        <v>0.1</v>
      </c>
      <c r="H615" s="16">
        <v>2990801</v>
      </c>
    </row>
    <row r="616" spans="1:8">
      <c r="A616" s="16">
        <v>29909</v>
      </c>
      <c r="B616" s="26">
        <v>999</v>
      </c>
      <c r="C616" s="22">
        <v>0.4</v>
      </c>
      <c r="D616" s="22">
        <v>-0.35</v>
      </c>
      <c r="E616" s="22">
        <v>0</v>
      </c>
      <c r="F616" s="22">
        <v>0</v>
      </c>
      <c r="G616" s="22">
        <v>0.1</v>
      </c>
      <c r="H616" s="16">
        <v>2990901</v>
      </c>
    </row>
    <row r="617" spans="1:8">
      <c r="A617" s="16">
        <v>29910</v>
      </c>
      <c r="B617" s="26">
        <v>999</v>
      </c>
      <c r="C617" s="22">
        <v>0.85</v>
      </c>
      <c r="D617" s="22">
        <v>-0.35</v>
      </c>
      <c r="E617" s="22">
        <v>0</v>
      </c>
      <c r="F617" s="22">
        <v>0</v>
      </c>
      <c r="G617" s="22">
        <v>0.1</v>
      </c>
      <c r="H617" s="16">
        <v>2991001</v>
      </c>
    </row>
    <row r="618" spans="1:8">
      <c r="A618" s="16">
        <v>29911</v>
      </c>
      <c r="B618" s="26">
        <v>2</v>
      </c>
      <c r="C618" s="22">
        <v>0.9</v>
      </c>
      <c r="D618" s="22">
        <v>-0.35</v>
      </c>
      <c r="E618" s="22">
        <v>0</v>
      </c>
      <c r="F618" s="22">
        <v>0</v>
      </c>
      <c r="G618" s="22">
        <v>0.1</v>
      </c>
      <c r="H618" s="16">
        <v>2991101</v>
      </c>
    </row>
    <row r="619" spans="1:8">
      <c r="A619" s="16">
        <v>29911</v>
      </c>
      <c r="B619" s="26">
        <v>1</v>
      </c>
      <c r="C619" s="22">
        <v>-0.25</v>
      </c>
      <c r="D619" s="22">
        <v>-0.3</v>
      </c>
      <c r="E619" s="22">
        <v>0</v>
      </c>
      <c r="F619" s="22">
        <v>0</v>
      </c>
      <c r="G619" s="22">
        <v>0.1</v>
      </c>
      <c r="H619" s="16">
        <v>2991102</v>
      </c>
    </row>
    <row r="620" spans="1:8">
      <c r="A620" s="16">
        <v>29912</v>
      </c>
      <c r="B620" s="26">
        <v>999</v>
      </c>
      <c r="C620" s="22">
        <v>0.5</v>
      </c>
      <c r="D620" s="22">
        <v>-0.35</v>
      </c>
      <c r="E620" s="22">
        <v>0</v>
      </c>
      <c r="F620" s="22">
        <v>0</v>
      </c>
      <c r="G620" s="22">
        <v>0.1</v>
      </c>
      <c r="H620" s="16">
        <v>2991201</v>
      </c>
    </row>
    <row r="621" spans="1:8">
      <c r="A621" s="16">
        <v>29913</v>
      </c>
      <c r="B621" s="26">
        <v>999</v>
      </c>
      <c r="C621" s="22">
        <v>1.3</v>
      </c>
      <c r="D621" s="22">
        <v>-0.35</v>
      </c>
      <c r="E621" s="22">
        <v>0</v>
      </c>
      <c r="F621" s="22">
        <v>0</v>
      </c>
      <c r="G621" s="22">
        <v>0.1</v>
      </c>
      <c r="H621" s="16">
        <v>2991301</v>
      </c>
    </row>
    <row r="622" spans="1:8">
      <c r="A622" s="16">
        <v>30001</v>
      </c>
      <c r="B622" s="26">
        <v>999</v>
      </c>
      <c r="C622" s="22">
        <v>2</v>
      </c>
      <c r="D622" s="22">
        <v>0</v>
      </c>
      <c r="E622" s="22">
        <v>0</v>
      </c>
      <c r="F622" s="22">
        <v>0</v>
      </c>
      <c r="G622" s="22">
        <v>0</v>
      </c>
      <c r="H622" s="16">
        <v>3000101</v>
      </c>
    </row>
    <row r="623" spans="1:8">
      <c r="A623" s="16">
        <v>30002</v>
      </c>
      <c r="B623" s="26">
        <v>999</v>
      </c>
      <c r="C623" s="22">
        <v>1.2</v>
      </c>
      <c r="D623" s="22">
        <v>0</v>
      </c>
      <c r="E623" s="22">
        <v>0</v>
      </c>
      <c r="F623" s="22">
        <v>0</v>
      </c>
      <c r="G623" s="22">
        <v>0</v>
      </c>
      <c r="H623" s="16">
        <v>3000102</v>
      </c>
    </row>
    <row r="624" spans="1:8">
      <c r="A624" s="16">
        <v>30003</v>
      </c>
      <c r="B624" s="26">
        <v>999</v>
      </c>
      <c r="C624" s="22">
        <v>1.2</v>
      </c>
      <c r="D624" s="22">
        <v>0</v>
      </c>
      <c r="E624" s="22">
        <v>0</v>
      </c>
      <c r="F624" s="22">
        <v>0</v>
      </c>
      <c r="G624" s="22">
        <v>0</v>
      </c>
      <c r="H624" s="16">
        <v>3000103</v>
      </c>
    </row>
    <row r="625" spans="1:8">
      <c r="A625" s="16">
        <v>30004</v>
      </c>
      <c r="B625" s="26">
        <v>999</v>
      </c>
      <c r="C625" s="22">
        <v>0.8</v>
      </c>
      <c r="D625" s="22">
        <v>-0.25</v>
      </c>
      <c r="E625" s="22">
        <v>0</v>
      </c>
      <c r="F625" s="22">
        <v>0</v>
      </c>
      <c r="G625" s="22">
        <v>0</v>
      </c>
      <c r="H625" s="16">
        <v>3000104</v>
      </c>
    </row>
    <row r="626" spans="1:8">
      <c r="A626" s="16">
        <v>30005</v>
      </c>
      <c r="B626" s="26">
        <v>999</v>
      </c>
      <c r="C626" s="22">
        <v>1.4</v>
      </c>
      <c r="D626" s="22">
        <v>0</v>
      </c>
      <c r="E626" s="22">
        <v>0</v>
      </c>
      <c r="F626" s="22">
        <v>0</v>
      </c>
      <c r="G626" s="22">
        <v>0</v>
      </c>
      <c r="H626" s="16">
        <v>3000105</v>
      </c>
    </row>
    <row r="627" spans="1:8">
      <c r="A627" s="16">
        <v>30006</v>
      </c>
      <c r="B627" s="26">
        <v>999</v>
      </c>
      <c r="C627" s="22">
        <v>2.5</v>
      </c>
      <c r="D627" s="22">
        <v>0</v>
      </c>
      <c r="E627" s="22">
        <v>0</v>
      </c>
      <c r="F627" s="22">
        <v>0</v>
      </c>
      <c r="G627" s="22">
        <v>0</v>
      </c>
      <c r="H627" s="16">
        <v>3000106</v>
      </c>
    </row>
    <row r="628" spans="1:8">
      <c r="A628" s="16">
        <v>30007</v>
      </c>
      <c r="B628" s="26">
        <v>999</v>
      </c>
      <c r="C628" s="22">
        <v>1.6</v>
      </c>
      <c r="D628" s="22">
        <v>0</v>
      </c>
      <c r="E628" s="22">
        <v>0</v>
      </c>
      <c r="F628" s="22">
        <v>0</v>
      </c>
      <c r="G628" s="22">
        <v>0</v>
      </c>
      <c r="H628" s="16">
        <v>3000107</v>
      </c>
    </row>
    <row r="629" spans="1:8">
      <c r="A629" s="16">
        <v>30008</v>
      </c>
      <c r="B629" s="26">
        <v>999</v>
      </c>
      <c r="C629" s="22">
        <v>1.8</v>
      </c>
      <c r="D629" s="22">
        <v>0</v>
      </c>
      <c r="E629" s="22">
        <v>0</v>
      </c>
      <c r="F629" s="22">
        <v>0</v>
      </c>
      <c r="G629" s="22">
        <v>0</v>
      </c>
      <c r="H629" s="16">
        <v>3000108</v>
      </c>
    </row>
    <row r="630" spans="1:8">
      <c r="A630" s="16">
        <v>30009</v>
      </c>
      <c r="B630" s="26">
        <v>999</v>
      </c>
      <c r="C630" s="22">
        <v>1.1</v>
      </c>
      <c r="D630" s="22">
        <v>-0.25</v>
      </c>
      <c r="E630" s="22">
        <v>0</v>
      </c>
      <c r="F630" s="22">
        <v>0</v>
      </c>
      <c r="G630" s="22">
        <v>0</v>
      </c>
      <c r="H630" s="16">
        <v>3000109</v>
      </c>
    </row>
    <row r="631" spans="1:8">
      <c r="A631" s="16">
        <v>30010</v>
      </c>
      <c r="B631" s="26">
        <v>2</v>
      </c>
      <c r="C631" s="22">
        <v>2</v>
      </c>
      <c r="D631" s="22">
        <v>0</v>
      </c>
      <c r="E631" s="22">
        <v>0</v>
      </c>
      <c r="F631" s="22">
        <v>0</v>
      </c>
      <c r="G631" s="22">
        <v>0</v>
      </c>
      <c r="H631" s="16">
        <v>3000110</v>
      </c>
    </row>
    <row r="632" spans="1:8">
      <c r="A632" s="16">
        <v>30010</v>
      </c>
      <c r="B632" s="26">
        <v>1</v>
      </c>
      <c r="C632" s="22">
        <v>1.1</v>
      </c>
      <c r="D632" s="22">
        <v>0</v>
      </c>
      <c r="E632" s="22">
        <v>0</v>
      </c>
      <c r="F632" s="22">
        <v>0</v>
      </c>
      <c r="G632" s="22">
        <v>0</v>
      </c>
      <c r="H632" s="16">
        <v>3000111</v>
      </c>
    </row>
    <row r="633" spans="1:8">
      <c r="A633" s="16">
        <v>30010</v>
      </c>
      <c r="B633" s="26">
        <v>0</v>
      </c>
      <c r="C633" s="22">
        <v>1.1</v>
      </c>
      <c r="D633" s="22">
        <v>0</v>
      </c>
      <c r="E633" s="22">
        <v>0</v>
      </c>
      <c r="F633" s="22">
        <v>0</v>
      </c>
      <c r="G633" s="22">
        <v>0</v>
      </c>
      <c r="H633" s="16">
        <v>3000112</v>
      </c>
    </row>
    <row r="634" spans="1:8">
      <c r="A634" s="16">
        <v>30401</v>
      </c>
      <c r="B634" s="26">
        <v>0</v>
      </c>
      <c r="C634" s="22">
        <v>0.5</v>
      </c>
      <c r="D634" s="22">
        <v>0</v>
      </c>
      <c r="E634" s="22">
        <v>0</v>
      </c>
      <c r="F634" s="22">
        <v>0</v>
      </c>
      <c r="G634" s="22">
        <v>0</v>
      </c>
      <c r="H634" s="16">
        <v>3040101</v>
      </c>
    </row>
    <row r="635" spans="1:8">
      <c r="A635" s="16">
        <v>30401</v>
      </c>
      <c r="B635" s="26">
        <v>1</v>
      </c>
      <c r="C635" s="22">
        <v>1.5</v>
      </c>
      <c r="D635" s="22">
        <v>0</v>
      </c>
      <c r="E635" s="22">
        <v>0</v>
      </c>
      <c r="F635" s="22">
        <v>0</v>
      </c>
      <c r="G635" s="22">
        <v>0</v>
      </c>
      <c r="H635" s="16">
        <v>3040102</v>
      </c>
    </row>
    <row r="636" spans="1:8">
      <c r="A636" s="16">
        <v>30401</v>
      </c>
      <c r="B636" s="26">
        <v>2</v>
      </c>
      <c r="C636" s="22">
        <v>1.5</v>
      </c>
      <c r="D636" s="22">
        <v>0</v>
      </c>
      <c r="E636" s="22">
        <v>0</v>
      </c>
      <c r="F636" s="22">
        <v>0</v>
      </c>
      <c r="G636" s="22">
        <v>0</v>
      </c>
      <c r="H636" s="16">
        <v>3040103</v>
      </c>
    </row>
    <row r="637" spans="1:8">
      <c r="A637" s="16">
        <v>30402</v>
      </c>
      <c r="B637" s="26">
        <v>0</v>
      </c>
      <c r="C637" s="22">
        <v>0.5</v>
      </c>
      <c r="D637" s="22">
        <v>0</v>
      </c>
      <c r="E637" s="22">
        <v>0.5</v>
      </c>
      <c r="F637" s="22">
        <v>0</v>
      </c>
      <c r="G637" s="22">
        <v>0</v>
      </c>
      <c r="H637" s="16">
        <v>3040201</v>
      </c>
    </row>
    <row r="638" spans="1:8">
      <c r="A638" s="16">
        <v>30402</v>
      </c>
      <c r="B638" s="26">
        <v>1</v>
      </c>
      <c r="C638" s="22">
        <v>1.5</v>
      </c>
      <c r="D638" s="22">
        <v>0</v>
      </c>
      <c r="E638" s="22">
        <v>0.5</v>
      </c>
      <c r="F638" s="22">
        <v>0</v>
      </c>
      <c r="G638" s="22">
        <v>0</v>
      </c>
      <c r="H638" s="16">
        <v>3040202</v>
      </c>
    </row>
    <row r="639" spans="1:8">
      <c r="A639" s="16">
        <v>30402</v>
      </c>
      <c r="B639" s="26">
        <v>2</v>
      </c>
      <c r="C639" s="22">
        <v>4</v>
      </c>
      <c r="D639" s="22">
        <v>0</v>
      </c>
      <c r="E639" s="22">
        <v>0.5</v>
      </c>
      <c r="F639" s="22">
        <v>0</v>
      </c>
      <c r="G639" s="22">
        <v>0</v>
      </c>
      <c r="H639" s="16">
        <v>3040203</v>
      </c>
    </row>
    <row r="640" spans="1:8">
      <c r="A640" s="16">
        <v>99901</v>
      </c>
      <c r="B640" s="26">
        <v>999</v>
      </c>
      <c r="C640" s="22">
        <v>0.373</v>
      </c>
      <c r="D640" s="22">
        <v>0</v>
      </c>
      <c r="E640" s="22">
        <v>0</v>
      </c>
      <c r="F640" s="22">
        <v>0</v>
      </c>
      <c r="G640" s="22">
        <v>0</v>
      </c>
      <c r="H640" s="16">
        <v>9990101</v>
      </c>
    </row>
    <row r="641" spans="1:8">
      <c r="A641" s="16">
        <v>99902</v>
      </c>
      <c r="B641" s="26">
        <v>999</v>
      </c>
      <c r="C641" s="22">
        <v>0.4646</v>
      </c>
      <c r="D641" s="22">
        <v>0</v>
      </c>
      <c r="E641" s="22">
        <v>0</v>
      </c>
      <c r="F641" s="22">
        <v>0</v>
      </c>
      <c r="G641" s="22">
        <v>0</v>
      </c>
      <c r="H641" s="16">
        <v>9990201</v>
      </c>
    </row>
    <row r="642" spans="1:8">
      <c r="A642" s="16">
        <v>99903</v>
      </c>
      <c r="B642" s="26">
        <v>999</v>
      </c>
      <c r="C642" s="22">
        <v>1.1992</v>
      </c>
      <c r="D642" s="22">
        <v>0</v>
      </c>
      <c r="E642" s="22">
        <v>0</v>
      </c>
      <c r="F642" s="22">
        <v>0</v>
      </c>
      <c r="G642" s="22">
        <v>0</v>
      </c>
      <c r="H642" s="16">
        <v>9990301</v>
      </c>
    </row>
    <row r="643" spans="1:8">
      <c r="A643" s="16">
        <v>99904</v>
      </c>
      <c r="B643" s="26">
        <v>999</v>
      </c>
      <c r="C643" s="22">
        <v>1.2828</v>
      </c>
      <c r="D643" s="22">
        <v>0</v>
      </c>
      <c r="E643" s="22">
        <v>0</v>
      </c>
      <c r="F643" s="22">
        <v>0</v>
      </c>
      <c r="G643" s="22">
        <v>0</v>
      </c>
      <c r="H643" s="16">
        <v>9990401</v>
      </c>
    </row>
    <row r="644" spans="1:8">
      <c r="A644" s="16">
        <v>99905</v>
      </c>
      <c r="B644" s="26">
        <v>999</v>
      </c>
      <c r="C644" s="22">
        <v>2.3201</v>
      </c>
      <c r="D644" s="22">
        <v>0</v>
      </c>
      <c r="E644" s="22">
        <v>0</v>
      </c>
      <c r="F644" s="22">
        <v>0</v>
      </c>
      <c r="G644" s="22">
        <v>0</v>
      </c>
      <c r="H644" s="16">
        <v>9990501</v>
      </c>
    </row>
    <row r="645" spans="1:8">
      <c r="A645" s="16">
        <v>99906</v>
      </c>
      <c r="B645" s="26">
        <v>999</v>
      </c>
      <c r="C645" s="22">
        <v>2.7374</v>
      </c>
      <c r="D645" s="22">
        <v>0</v>
      </c>
      <c r="E645" s="22">
        <v>0</v>
      </c>
      <c r="F645" s="22">
        <v>0</v>
      </c>
      <c r="G645" s="22">
        <v>0</v>
      </c>
      <c r="H645" s="16">
        <v>9990601</v>
      </c>
    </row>
    <row r="646" spans="1:8">
      <c r="A646" s="16">
        <v>99907</v>
      </c>
      <c r="B646" s="26">
        <v>999</v>
      </c>
      <c r="C646" s="22">
        <v>2.7374</v>
      </c>
      <c r="D646" s="22">
        <v>0</v>
      </c>
      <c r="E646" s="22">
        <v>0</v>
      </c>
      <c r="F646" s="22">
        <v>0</v>
      </c>
      <c r="G646" s="22">
        <v>0</v>
      </c>
      <c r="H646" s="16">
        <v>9990701</v>
      </c>
    </row>
    <row r="647" spans="1:8">
      <c r="A647" s="16">
        <v>99908</v>
      </c>
      <c r="B647" s="26">
        <v>999</v>
      </c>
      <c r="C647" s="22">
        <v>3.0489</v>
      </c>
      <c r="D647" s="22">
        <v>0</v>
      </c>
      <c r="E647" s="22">
        <v>0</v>
      </c>
      <c r="F647" s="22">
        <v>0</v>
      </c>
      <c r="G647" s="22">
        <v>0</v>
      </c>
      <c r="H647" s="16">
        <v>9990801</v>
      </c>
    </row>
    <row r="648" spans="1:8">
      <c r="A648" s="16">
        <v>99909</v>
      </c>
      <c r="B648" s="26">
        <v>999</v>
      </c>
      <c r="C648" s="22">
        <v>3.0489</v>
      </c>
      <c r="D648" s="22">
        <v>0</v>
      </c>
      <c r="E648" s="22">
        <v>0</v>
      </c>
      <c r="F648" s="22">
        <v>0</v>
      </c>
      <c r="G648" s="22">
        <v>0</v>
      </c>
      <c r="H648" s="16">
        <v>9990901</v>
      </c>
    </row>
    <row r="649" spans="1:8">
      <c r="A649" s="16">
        <v>99910</v>
      </c>
      <c r="B649" s="26">
        <v>999</v>
      </c>
      <c r="C649" s="22">
        <v>1</v>
      </c>
      <c r="D649" s="22">
        <v>0</v>
      </c>
      <c r="E649" s="22">
        <v>0</v>
      </c>
      <c r="F649" s="22">
        <v>0</v>
      </c>
      <c r="G649" s="22">
        <v>0</v>
      </c>
      <c r="H649" s="16">
        <v>9991001</v>
      </c>
    </row>
    <row r="650" spans="1:8">
      <c r="A650" s="16">
        <v>205101</v>
      </c>
      <c r="B650" s="26">
        <v>999</v>
      </c>
      <c r="C650" s="22">
        <v>0</v>
      </c>
      <c r="D650" s="22">
        <v>0</v>
      </c>
      <c r="E650" s="22">
        <v>0</v>
      </c>
      <c r="F650" s="22">
        <v>0</v>
      </c>
      <c r="G650" s="22">
        <v>0</v>
      </c>
      <c r="H650" s="16">
        <v>20510101</v>
      </c>
    </row>
    <row r="651" spans="1:8">
      <c r="A651" s="16">
        <v>205102</v>
      </c>
      <c r="B651" s="26">
        <v>999</v>
      </c>
      <c r="C651" s="22">
        <v>0.3</v>
      </c>
      <c r="D651" s="22">
        <v>0.086</v>
      </c>
      <c r="E651" s="22">
        <v>0.03</v>
      </c>
      <c r="F651" s="22">
        <v>0</v>
      </c>
      <c r="G651" s="22">
        <v>0.06</v>
      </c>
      <c r="H651" s="16">
        <v>20510102</v>
      </c>
    </row>
    <row r="652" spans="1:8">
      <c r="A652" s="16">
        <v>205103</v>
      </c>
      <c r="B652" s="26">
        <v>999</v>
      </c>
      <c r="C652" s="22">
        <v>0.3</v>
      </c>
      <c r="D652" s="22">
        <v>0.086</v>
      </c>
      <c r="E652" s="22">
        <v>0.03</v>
      </c>
      <c r="F652" s="22">
        <v>0</v>
      </c>
      <c r="G652" s="22">
        <v>0.06</v>
      </c>
      <c r="H652" s="16">
        <v>20510103</v>
      </c>
    </row>
    <row r="653" spans="1:8">
      <c r="A653" s="16">
        <v>205104</v>
      </c>
      <c r="B653" s="26">
        <v>999</v>
      </c>
      <c r="C653" s="22">
        <v>1.78</v>
      </c>
      <c r="D653" s="22">
        <v>0.36</v>
      </c>
      <c r="E653" s="22">
        <v>0.08</v>
      </c>
      <c r="F653" s="22">
        <v>0</v>
      </c>
      <c r="G653" s="22">
        <v>0.16</v>
      </c>
      <c r="H653" s="16">
        <v>20510104</v>
      </c>
    </row>
    <row r="654" spans="1:8">
      <c r="A654" s="16">
        <v>205105</v>
      </c>
      <c r="B654" s="26">
        <v>999</v>
      </c>
      <c r="C654" s="22">
        <v>1.78</v>
      </c>
      <c r="D654" s="22">
        <v>0.36</v>
      </c>
      <c r="E654" s="22">
        <v>0.08</v>
      </c>
      <c r="F654" s="22">
        <v>0</v>
      </c>
      <c r="G654" s="22">
        <v>0.16</v>
      </c>
      <c r="H654" s="16">
        <v>20510105</v>
      </c>
    </row>
    <row r="655" spans="1:8">
      <c r="A655" s="16">
        <v>205106</v>
      </c>
      <c r="B655" s="26">
        <v>999</v>
      </c>
      <c r="C655" s="22">
        <v>5.2</v>
      </c>
      <c r="D655" s="22">
        <v>0.4</v>
      </c>
      <c r="E655" s="22">
        <v>0.13</v>
      </c>
      <c r="F655" s="22">
        <v>0</v>
      </c>
      <c r="G655" s="22">
        <v>0.26</v>
      </c>
      <c r="H655" s="16">
        <v>20510106</v>
      </c>
    </row>
    <row r="656" spans="1:8">
      <c r="A656" s="16">
        <v>205111</v>
      </c>
      <c r="B656" s="26">
        <v>999</v>
      </c>
      <c r="C656" s="22">
        <v>2.59</v>
      </c>
      <c r="D656" s="22">
        <v>0.345</v>
      </c>
      <c r="E656" s="22">
        <v>0.13</v>
      </c>
      <c r="F656" s="22">
        <v>0</v>
      </c>
      <c r="G656" s="22">
        <v>0.26</v>
      </c>
      <c r="H656" s="16">
        <v>20511101</v>
      </c>
    </row>
    <row r="657" spans="1:8">
      <c r="A657" s="16">
        <v>205121</v>
      </c>
      <c r="B657" s="26">
        <v>999</v>
      </c>
      <c r="C657" s="22">
        <v>0</v>
      </c>
      <c r="D657" s="22">
        <v>0</v>
      </c>
      <c r="E657" s="22">
        <v>0</v>
      </c>
      <c r="F657" s="22">
        <v>0</v>
      </c>
      <c r="G657" s="22">
        <v>0</v>
      </c>
      <c r="H657" s="16">
        <v>20512101</v>
      </c>
    </row>
    <row r="658" spans="1:8">
      <c r="A658" s="16">
        <v>205122</v>
      </c>
      <c r="B658" s="26">
        <v>999</v>
      </c>
      <c r="C658" s="22">
        <v>0.49</v>
      </c>
      <c r="D658" s="22">
        <v>0.2</v>
      </c>
      <c r="E658" s="22">
        <v>0.03</v>
      </c>
      <c r="F658" s="22">
        <v>0</v>
      </c>
      <c r="G658" s="22">
        <v>0.06</v>
      </c>
      <c r="H658" s="16">
        <v>20512102</v>
      </c>
    </row>
    <row r="659" spans="1:8">
      <c r="A659" s="16">
        <v>205123</v>
      </c>
      <c r="B659" s="26">
        <v>999</v>
      </c>
      <c r="C659" s="22">
        <v>0.49</v>
      </c>
      <c r="D659" s="22">
        <v>0.2</v>
      </c>
      <c r="E659" s="22">
        <v>0.03</v>
      </c>
      <c r="F659" s="22">
        <v>0</v>
      </c>
      <c r="G659" s="22">
        <v>0.06</v>
      </c>
      <c r="H659" s="16">
        <v>20512103</v>
      </c>
    </row>
    <row r="660" spans="1:8">
      <c r="A660" s="16">
        <v>205124</v>
      </c>
      <c r="B660" s="26">
        <v>999</v>
      </c>
      <c r="C660" s="22">
        <v>2.1</v>
      </c>
      <c r="D660" s="22">
        <v>0.36</v>
      </c>
      <c r="E660" s="22">
        <v>0.08</v>
      </c>
      <c r="F660" s="22">
        <v>0</v>
      </c>
      <c r="G660" s="22">
        <v>0.16</v>
      </c>
      <c r="H660" s="16">
        <v>20512104</v>
      </c>
    </row>
    <row r="661" spans="1:8">
      <c r="A661" s="16">
        <v>205125</v>
      </c>
      <c r="B661" s="26">
        <v>999</v>
      </c>
      <c r="C661" s="22">
        <v>2.1</v>
      </c>
      <c r="D661" s="22">
        <v>0.36</v>
      </c>
      <c r="E661" s="22">
        <v>0.08</v>
      </c>
      <c r="F661" s="22">
        <v>0</v>
      </c>
      <c r="G661" s="22">
        <v>0.16</v>
      </c>
      <c r="H661" s="16">
        <v>20512105</v>
      </c>
    </row>
    <row r="662" spans="1:8">
      <c r="A662" s="16">
        <v>205126</v>
      </c>
      <c r="B662" s="26">
        <v>999</v>
      </c>
      <c r="C662" s="22">
        <v>6</v>
      </c>
      <c r="D662" s="22">
        <v>0.5</v>
      </c>
      <c r="E662" s="22">
        <v>0.13</v>
      </c>
      <c r="F662" s="22">
        <v>0</v>
      </c>
      <c r="G662" s="22">
        <v>0.26</v>
      </c>
      <c r="H662" s="16">
        <v>20512106</v>
      </c>
    </row>
    <row r="663" spans="1:8">
      <c r="A663" s="16">
        <v>205131</v>
      </c>
      <c r="B663" s="26">
        <v>999</v>
      </c>
      <c r="C663" s="22">
        <v>0</v>
      </c>
      <c r="D663" s="22">
        <v>0</v>
      </c>
      <c r="E663" s="22">
        <v>0</v>
      </c>
      <c r="F663" s="22">
        <v>0</v>
      </c>
      <c r="G663" s="22">
        <v>0</v>
      </c>
      <c r="H663" s="16">
        <v>20513101</v>
      </c>
    </row>
    <row r="664" spans="1:8">
      <c r="A664" s="16">
        <v>205132</v>
      </c>
      <c r="B664" s="26">
        <v>999</v>
      </c>
      <c r="C664" s="22">
        <v>0.89</v>
      </c>
      <c r="D664" s="22">
        <v>0.08</v>
      </c>
      <c r="E664" s="22">
        <v>0.03</v>
      </c>
      <c r="F664" s="22">
        <v>0</v>
      </c>
      <c r="G664" s="22">
        <v>0.06</v>
      </c>
      <c r="H664" s="16">
        <v>20513102</v>
      </c>
    </row>
    <row r="665" spans="1:8">
      <c r="A665" s="16">
        <v>205133</v>
      </c>
      <c r="B665" s="26">
        <v>999</v>
      </c>
      <c r="C665" s="22">
        <v>0.89</v>
      </c>
      <c r="D665" s="22">
        <v>0.08</v>
      </c>
      <c r="E665" s="22">
        <v>0.03</v>
      </c>
      <c r="F665" s="22">
        <v>0</v>
      </c>
      <c r="G665" s="22">
        <v>0.06</v>
      </c>
      <c r="H665" s="16">
        <v>20513103</v>
      </c>
    </row>
    <row r="666" spans="1:8">
      <c r="A666" s="16">
        <v>205134</v>
      </c>
      <c r="B666" s="26">
        <v>999</v>
      </c>
      <c r="C666" s="22">
        <v>2.95</v>
      </c>
      <c r="D666" s="22">
        <v>0.24</v>
      </c>
      <c r="E666" s="22">
        <v>0.08</v>
      </c>
      <c r="F666" s="22">
        <v>0</v>
      </c>
      <c r="G666" s="22">
        <v>0.16</v>
      </c>
      <c r="H666" s="16">
        <v>20513104</v>
      </c>
    </row>
    <row r="667" spans="1:8">
      <c r="A667" s="16">
        <v>205135</v>
      </c>
      <c r="B667" s="26">
        <v>999</v>
      </c>
      <c r="C667" s="22">
        <v>2.95</v>
      </c>
      <c r="D667" s="22">
        <v>0.24</v>
      </c>
      <c r="E667" s="22">
        <v>0.08</v>
      </c>
      <c r="F667" s="22">
        <v>0</v>
      </c>
      <c r="G667" s="22">
        <v>0.16</v>
      </c>
      <c r="H667" s="16">
        <v>20513105</v>
      </c>
    </row>
    <row r="668" spans="1:8">
      <c r="A668" s="16">
        <v>205136</v>
      </c>
      <c r="B668" s="26">
        <v>999</v>
      </c>
      <c r="C668" s="22">
        <v>7.03</v>
      </c>
      <c r="D668" s="22">
        <v>0.39</v>
      </c>
      <c r="E668" s="22">
        <v>0.13</v>
      </c>
      <c r="F668" s="22">
        <v>0</v>
      </c>
      <c r="G668" s="22">
        <v>0.26</v>
      </c>
      <c r="H668" s="16">
        <v>20513106</v>
      </c>
    </row>
    <row r="669" spans="1:8">
      <c r="A669" s="16">
        <v>208011</v>
      </c>
      <c r="B669" s="26">
        <v>999</v>
      </c>
      <c r="C669" s="22">
        <v>0.13</v>
      </c>
      <c r="D669" s="22">
        <v>0</v>
      </c>
      <c r="E669" s="22">
        <v>0.06</v>
      </c>
      <c r="F669" s="22">
        <v>0</v>
      </c>
      <c r="G669" s="22">
        <v>0</v>
      </c>
      <c r="H669" s="16">
        <v>20801101</v>
      </c>
    </row>
    <row r="670" spans="1:8">
      <c r="A670" s="16">
        <v>208012</v>
      </c>
      <c r="B670" s="26">
        <v>999</v>
      </c>
      <c r="C670" s="22">
        <v>0.59</v>
      </c>
      <c r="D670" s="22">
        <v>0.09</v>
      </c>
      <c r="E670" s="22">
        <v>0.14</v>
      </c>
      <c r="F670" s="22">
        <v>0</v>
      </c>
      <c r="G670" s="22">
        <v>0.06</v>
      </c>
      <c r="H670" s="16">
        <v>20801102</v>
      </c>
    </row>
    <row r="671" spans="1:8">
      <c r="A671" s="16">
        <v>208013</v>
      </c>
      <c r="B671" s="26">
        <v>999</v>
      </c>
      <c r="C671" s="22">
        <v>0.59</v>
      </c>
      <c r="D671" s="22">
        <v>0.09</v>
      </c>
      <c r="E671" s="22">
        <v>0.14</v>
      </c>
      <c r="F671" s="22">
        <v>0</v>
      </c>
      <c r="G671" s="22">
        <v>0.06</v>
      </c>
      <c r="H671" s="16">
        <v>20801103</v>
      </c>
    </row>
    <row r="672" spans="1:8">
      <c r="A672" s="16">
        <v>208014</v>
      </c>
      <c r="B672" s="26">
        <v>999</v>
      </c>
      <c r="C672" s="22">
        <v>2.75</v>
      </c>
      <c r="D672" s="22">
        <v>0.36</v>
      </c>
      <c r="E672" s="22">
        <v>0.26</v>
      </c>
      <c r="F672" s="22">
        <v>0</v>
      </c>
      <c r="G672" s="22">
        <v>0.16</v>
      </c>
      <c r="H672" s="16">
        <v>20801104</v>
      </c>
    </row>
    <row r="673" spans="1:8">
      <c r="A673" s="16">
        <v>208015</v>
      </c>
      <c r="B673" s="26">
        <v>999</v>
      </c>
      <c r="C673" s="22">
        <v>2.75</v>
      </c>
      <c r="D673" s="22">
        <v>0.36</v>
      </c>
      <c r="E673" s="22">
        <v>0.26</v>
      </c>
      <c r="F673" s="22">
        <v>0</v>
      </c>
      <c r="G673" s="22">
        <v>0.16</v>
      </c>
      <c r="H673" s="16">
        <v>20801105</v>
      </c>
    </row>
    <row r="674" spans="1:8">
      <c r="A674" s="16">
        <v>208016</v>
      </c>
      <c r="B674" s="26">
        <v>999</v>
      </c>
      <c r="C674" s="22">
        <v>7.84</v>
      </c>
      <c r="D674" s="22">
        <v>0.4</v>
      </c>
      <c r="E674" s="22">
        <v>0.36</v>
      </c>
      <c r="F674" s="22">
        <v>0</v>
      </c>
      <c r="G674" s="22">
        <v>0.26</v>
      </c>
      <c r="H674" s="16">
        <v>20801106</v>
      </c>
    </row>
    <row r="675" spans="1:8">
      <c r="A675" s="16">
        <v>208021</v>
      </c>
      <c r="B675" s="26">
        <v>999</v>
      </c>
      <c r="C675" s="22">
        <v>0.13</v>
      </c>
      <c r="D675" s="22">
        <v>0</v>
      </c>
      <c r="E675" s="22">
        <v>0.06</v>
      </c>
      <c r="F675" s="22">
        <v>0</v>
      </c>
      <c r="G675" s="22">
        <v>0</v>
      </c>
      <c r="H675" s="16">
        <v>20802101</v>
      </c>
    </row>
    <row r="676" spans="1:8">
      <c r="A676" s="16">
        <v>208022</v>
      </c>
      <c r="B676" s="26">
        <v>999</v>
      </c>
      <c r="C676" s="22">
        <v>1.32</v>
      </c>
      <c r="D676" s="22">
        <v>0.08</v>
      </c>
      <c r="E676" s="22">
        <v>0.14</v>
      </c>
      <c r="F676" s="22">
        <v>0</v>
      </c>
      <c r="G676" s="22">
        <v>0.06</v>
      </c>
      <c r="H676" s="16">
        <v>20802102</v>
      </c>
    </row>
    <row r="677" spans="1:8">
      <c r="A677" s="16">
        <v>208023</v>
      </c>
      <c r="B677" s="26">
        <v>999</v>
      </c>
      <c r="C677" s="22">
        <v>1.32</v>
      </c>
      <c r="D677" s="22">
        <v>0.08</v>
      </c>
      <c r="E677" s="22">
        <v>0.14</v>
      </c>
      <c r="F677" s="22">
        <v>0</v>
      </c>
      <c r="G677" s="22">
        <v>0.06</v>
      </c>
      <c r="H677" s="16">
        <v>20802103</v>
      </c>
    </row>
    <row r="678" spans="1:8">
      <c r="A678" s="16">
        <v>208024</v>
      </c>
      <c r="B678" s="26">
        <v>999</v>
      </c>
      <c r="C678" s="22">
        <v>4.33</v>
      </c>
      <c r="D678" s="22">
        <v>0.24</v>
      </c>
      <c r="E678" s="22">
        <v>0.26</v>
      </c>
      <c r="F678" s="22">
        <v>0</v>
      </c>
      <c r="G678" s="22">
        <v>0.16</v>
      </c>
      <c r="H678" s="16">
        <v>20802104</v>
      </c>
    </row>
    <row r="679" spans="1:8">
      <c r="A679" s="16">
        <v>208025</v>
      </c>
      <c r="B679" s="26">
        <v>999</v>
      </c>
      <c r="C679" s="22">
        <v>4.33</v>
      </c>
      <c r="D679" s="22">
        <v>0.24</v>
      </c>
      <c r="E679" s="22">
        <v>0.26</v>
      </c>
      <c r="F679" s="22">
        <v>0</v>
      </c>
      <c r="G679" s="22">
        <v>0.16</v>
      </c>
      <c r="H679" s="16">
        <v>20802105</v>
      </c>
    </row>
    <row r="680" spans="1:8">
      <c r="A680" s="16">
        <v>208026</v>
      </c>
      <c r="B680" s="26">
        <v>999</v>
      </c>
      <c r="C680" s="22">
        <v>10.44</v>
      </c>
      <c r="D680" s="22">
        <v>0.35</v>
      </c>
      <c r="E680" s="22">
        <v>0.36</v>
      </c>
      <c r="F680" s="22">
        <v>0</v>
      </c>
      <c r="G680" s="22">
        <v>0.26</v>
      </c>
      <c r="H680" s="16">
        <v>20802106</v>
      </c>
    </row>
    <row r="681" spans="1:8">
      <c r="A681" s="16">
        <v>208031</v>
      </c>
      <c r="B681" s="26">
        <v>999</v>
      </c>
      <c r="C681" s="22">
        <v>0.13</v>
      </c>
      <c r="D681" s="22">
        <v>0</v>
      </c>
      <c r="E681" s="22">
        <v>0.06</v>
      </c>
      <c r="F681" s="22">
        <v>0</v>
      </c>
      <c r="G681" s="22">
        <v>0</v>
      </c>
      <c r="H681" s="16">
        <v>20803101</v>
      </c>
    </row>
    <row r="682" spans="1:8">
      <c r="A682" s="16">
        <v>208032</v>
      </c>
      <c r="B682" s="26">
        <v>999</v>
      </c>
      <c r="C682" s="22">
        <v>0.83</v>
      </c>
      <c r="D682" s="22">
        <v>0.2</v>
      </c>
      <c r="E682" s="22">
        <v>0.14</v>
      </c>
      <c r="F682" s="22">
        <v>0</v>
      </c>
      <c r="G682" s="22">
        <v>0.06</v>
      </c>
      <c r="H682" s="16">
        <v>20803102</v>
      </c>
    </row>
    <row r="683" spans="1:8">
      <c r="A683" s="16">
        <v>208033</v>
      </c>
      <c r="B683" s="26">
        <v>999</v>
      </c>
      <c r="C683" s="22">
        <v>0.83</v>
      </c>
      <c r="D683" s="22">
        <v>0.2</v>
      </c>
      <c r="E683" s="22">
        <v>0.14</v>
      </c>
      <c r="F683" s="22">
        <v>0</v>
      </c>
      <c r="G683" s="22">
        <v>0.06</v>
      </c>
      <c r="H683" s="16">
        <v>20803103</v>
      </c>
    </row>
    <row r="684" spans="1:8">
      <c r="A684" s="16">
        <v>208034</v>
      </c>
      <c r="B684" s="26">
        <v>999</v>
      </c>
      <c r="C684" s="22">
        <v>3.19</v>
      </c>
      <c r="D684" s="22">
        <v>0.36</v>
      </c>
      <c r="E684" s="22">
        <v>0.26</v>
      </c>
      <c r="F684" s="22">
        <v>0</v>
      </c>
      <c r="G684" s="22">
        <v>0.16</v>
      </c>
      <c r="H684" s="16">
        <v>20803104</v>
      </c>
    </row>
    <row r="685" spans="1:8">
      <c r="A685" s="16">
        <v>208035</v>
      </c>
      <c r="B685" s="26">
        <v>999</v>
      </c>
      <c r="C685" s="22">
        <v>3.19</v>
      </c>
      <c r="D685" s="22">
        <v>0.36</v>
      </c>
      <c r="E685" s="22">
        <v>0.26</v>
      </c>
      <c r="F685" s="22">
        <v>0</v>
      </c>
      <c r="G685" s="22">
        <v>0.16</v>
      </c>
      <c r="H685" s="16">
        <v>20803105</v>
      </c>
    </row>
    <row r="686" spans="1:8">
      <c r="A686" s="16">
        <v>208036</v>
      </c>
      <c r="B686" s="26">
        <v>999</v>
      </c>
      <c r="C686" s="22">
        <v>8.98</v>
      </c>
      <c r="D686" s="22">
        <v>0.5</v>
      </c>
      <c r="E686" s="22">
        <v>0.36</v>
      </c>
      <c r="F686" s="22">
        <v>0</v>
      </c>
      <c r="G686" s="22">
        <v>0.26</v>
      </c>
      <c r="H686" s="16">
        <v>20803106</v>
      </c>
    </row>
    <row r="687" spans="1:8">
      <c r="A687" s="16">
        <v>208041</v>
      </c>
      <c r="B687" s="26">
        <v>999</v>
      </c>
      <c r="C687" s="22">
        <v>0.13</v>
      </c>
      <c r="D687" s="22">
        <v>0</v>
      </c>
      <c r="E687" s="22">
        <v>0.06</v>
      </c>
      <c r="F687" s="22">
        <v>0</v>
      </c>
      <c r="G687" s="22">
        <v>0</v>
      </c>
      <c r="H687" s="16">
        <v>20804101</v>
      </c>
    </row>
    <row r="688" spans="1:8">
      <c r="A688" s="16">
        <v>208042</v>
      </c>
      <c r="B688" s="26">
        <v>999</v>
      </c>
      <c r="C688" s="22">
        <v>0.89</v>
      </c>
      <c r="D688" s="22">
        <v>0.4</v>
      </c>
      <c r="E688" s="22">
        <v>0.15</v>
      </c>
      <c r="F688" s="22">
        <v>0</v>
      </c>
      <c r="G688" s="22">
        <v>0.08</v>
      </c>
      <c r="H688" s="16">
        <v>20804102</v>
      </c>
    </row>
    <row r="689" spans="1:8">
      <c r="A689" s="16">
        <v>208043</v>
      </c>
      <c r="B689" s="26">
        <v>999</v>
      </c>
      <c r="C689" s="22">
        <v>0.89</v>
      </c>
      <c r="D689" s="22">
        <v>0.4</v>
      </c>
      <c r="E689" s="22">
        <v>0.15</v>
      </c>
      <c r="F689" s="22">
        <v>0</v>
      </c>
      <c r="G689" s="22">
        <v>0.08</v>
      </c>
      <c r="H689" s="16">
        <v>20804103</v>
      </c>
    </row>
    <row r="690" spans="1:8">
      <c r="A690" s="16">
        <v>208044</v>
      </c>
      <c r="B690" s="26">
        <v>999</v>
      </c>
      <c r="C690" s="22">
        <v>2.43</v>
      </c>
      <c r="D690" s="22">
        <v>0.59</v>
      </c>
      <c r="E690" s="22">
        <v>0.28</v>
      </c>
      <c r="F690" s="22">
        <v>0</v>
      </c>
      <c r="G690" s="22">
        <v>0.2</v>
      </c>
      <c r="H690" s="16">
        <v>20804104</v>
      </c>
    </row>
    <row r="691" spans="1:8">
      <c r="A691" s="16">
        <v>208045</v>
      </c>
      <c r="B691" s="26">
        <v>999</v>
      </c>
      <c r="C691" s="22">
        <v>2.43</v>
      </c>
      <c r="D691" s="22">
        <v>0.59</v>
      </c>
      <c r="E691" s="22">
        <v>0.28</v>
      </c>
      <c r="F691" s="22">
        <v>0</v>
      </c>
      <c r="G691" s="22">
        <v>0.2</v>
      </c>
      <c r="H691" s="16">
        <v>20804105</v>
      </c>
    </row>
    <row r="692" spans="1:8">
      <c r="A692" s="16">
        <v>208046</v>
      </c>
      <c r="B692" s="26">
        <v>999</v>
      </c>
      <c r="C692" s="22">
        <v>5.43</v>
      </c>
      <c r="D692" s="22">
        <v>0.79</v>
      </c>
      <c r="E692" s="22">
        <v>0.41</v>
      </c>
      <c r="F692" s="22">
        <v>0</v>
      </c>
      <c r="G692" s="22">
        <v>0.34</v>
      </c>
      <c r="H692" s="16">
        <v>20804106</v>
      </c>
    </row>
    <row r="693" spans="1:8">
      <c r="A693" s="16">
        <v>208053</v>
      </c>
      <c r="B693" s="26">
        <v>999</v>
      </c>
      <c r="C693" s="22">
        <v>4.12</v>
      </c>
      <c r="D693" s="22">
        <v>0.35</v>
      </c>
      <c r="E693" s="22">
        <v>0.36</v>
      </c>
      <c r="F693" s="22">
        <v>0</v>
      </c>
      <c r="G693" s="22">
        <v>0.26</v>
      </c>
      <c r="H693" s="16">
        <v>20805301</v>
      </c>
    </row>
    <row r="694" spans="1:8">
      <c r="A694" s="16">
        <v>208054</v>
      </c>
      <c r="B694" s="26">
        <v>999</v>
      </c>
      <c r="C694" s="22">
        <v>5.986</v>
      </c>
      <c r="D694" s="22">
        <v>0.5</v>
      </c>
      <c r="E694" s="22">
        <v>0.36</v>
      </c>
      <c r="F694" s="22">
        <v>0</v>
      </c>
      <c r="G694" s="22">
        <v>0.26</v>
      </c>
      <c r="H694" s="16">
        <v>20805302</v>
      </c>
    </row>
    <row r="695" spans="1:8">
      <c r="A695" s="16">
        <v>208061</v>
      </c>
      <c r="B695" s="26">
        <v>999</v>
      </c>
      <c r="C695" s="22">
        <v>0.13</v>
      </c>
      <c r="D695" s="22">
        <v>0</v>
      </c>
      <c r="E695" s="22">
        <v>0.06</v>
      </c>
      <c r="F695" s="22">
        <v>0</v>
      </c>
      <c r="G695" s="22">
        <v>0</v>
      </c>
      <c r="H695" s="16">
        <v>20806101</v>
      </c>
    </row>
    <row r="696" spans="1:8">
      <c r="A696" s="16">
        <v>208062</v>
      </c>
      <c r="B696" s="26">
        <v>999</v>
      </c>
      <c r="C696" s="22">
        <v>0.3</v>
      </c>
      <c r="D696" s="22">
        <v>0.1</v>
      </c>
      <c r="E696" s="22">
        <v>0.08</v>
      </c>
      <c r="F696" s="22">
        <v>0</v>
      </c>
      <c r="G696" s="22">
        <v>0.04</v>
      </c>
      <c r="H696" s="16">
        <v>20806102</v>
      </c>
    </row>
    <row r="697" spans="1:8">
      <c r="A697" s="16">
        <v>208063</v>
      </c>
      <c r="B697" s="26">
        <v>999</v>
      </c>
      <c r="C697" s="22">
        <v>0.3</v>
      </c>
      <c r="D697" s="22">
        <v>0.1</v>
      </c>
      <c r="E697" s="22">
        <v>0.08</v>
      </c>
      <c r="F697" s="22">
        <v>0</v>
      </c>
      <c r="G697" s="22">
        <v>0.04</v>
      </c>
      <c r="H697" s="16">
        <v>20806103</v>
      </c>
    </row>
    <row r="698" spans="1:8">
      <c r="A698" s="16">
        <v>208064</v>
      </c>
      <c r="B698" s="26">
        <v>999</v>
      </c>
      <c r="C698" s="22">
        <v>1.52</v>
      </c>
      <c r="D698" s="22">
        <v>0.25</v>
      </c>
      <c r="E698" s="22">
        <v>0.2</v>
      </c>
      <c r="F698" s="22">
        <v>0</v>
      </c>
      <c r="G698" s="22">
        <v>0.12</v>
      </c>
      <c r="H698" s="16">
        <v>20806104</v>
      </c>
    </row>
    <row r="699" spans="1:8">
      <c r="A699" s="16">
        <v>208065</v>
      </c>
      <c r="B699" s="26">
        <v>999</v>
      </c>
      <c r="C699" s="22">
        <v>1.52</v>
      </c>
      <c r="D699" s="22">
        <v>0.25</v>
      </c>
      <c r="E699" s="22">
        <v>0.2</v>
      </c>
      <c r="F699" s="22">
        <v>0</v>
      </c>
      <c r="G699" s="22">
        <v>0.12</v>
      </c>
      <c r="H699" s="16">
        <v>20806105</v>
      </c>
    </row>
    <row r="700" spans="1:8">
      <c r="A700" s="16">
        <v>208066</v>
      </c>
      <c r="B700" s="26">
        <v>999</v>
      </c>
      <c r="C700" s="22">
        <v>8.98</v>
      </c>
      <c r="D700" s="22">
        <v>0.5</v>
      </c>
      <c r="E700" s="22">
        <v>0.36</v>
      </c>
      <c r="F700" s="22">
        <v>0</v>
      </c>
      <c r="G700" s="22">
        <v>0.26</v>
      </c>
      <c r="H700" s="16">
        <v>20806106</v>
      </c>
    </row>
  </sheetData>
</worksheet>
</file>

<file path=xl/worksheets/sheet8.xml><?xml version="1.0" encoding="utf-8"?>
<worksheet xmlns="http://schemas.openxmlformats.org/spreadsheetml/2006/main">
  <sheetPr codeName="代理人技能描述">
    <tabColor/>
  </sheetPr>
  <dimension ref="C710"/>
  <sheetViews>
    <sheetView showGridLines="1" workbookViewId="0">
      <pane xSplit="1" ySplit="1" topLeftCell="B2" state="frozen"/>
    </sheetView>
  </sheetViews>
  <sheetFormatPr baseColWidth="13" defaultRowHeight="18" customHeight="1"/>
  <cols>
    <col min="1" max="1" width="16.4023" style="16" customWidth="1"/>
    <col min="2" max="2" width="36.7617" style="16" customWidth="1"/>
    <col min="3" max="3" width="109.922" style="28" customWidth="1"/>
    <col min="4" max="4" width="10.7109" customWidth="1"/>
  </cols>
  <sheetData>
    <row r="1" spans="1:3">
      <c r="A1" s="28" t="s">
        <v>45</v>
      </c>
      <c r="B1" s="28" t="s">
        <v>1997</v>
      </c>
      <c r="C1" s="28" t="s">
        <v>1998</v>
      </c>
    </row>
    <row r="2" spans="1:3">
      <c r="A2" s="28" t="s">
        <v>60</v>
      </c>
      <c r="B2" s="28" t="s">
        <v>61</v>
      </c>
      <c r="C2" s="28" t="s">
        <v>1999</v>
      </c>
    </row>
    <row r="3" spans="1:3">
      <c r="A3" s="28" t="s">
        <v>60</v>
      </c>
      <c r="B3" s="28" t="s">
        <v>66</v>
      </c>
      <c r="C3" s="28" t="s">
        <v>2000</v>
      </c>
    </row>
    <row r="4" spans="1:3">
      <c r="A4" s="28" t="s">
        <v>60</v>
      </c>
      <c r="B4" s="28" t="s">
        <v>67</v>
      </c>
      <c r="C4" s="28" t="s">
        <v>2001</v>
      </c>
    </row>
    <row r="5" spans="1:3">
      <c r="A5" s="28" t="s">
        <v>60</v>
      </c>
      <c r="B5" s="28" t="s">
        <v>68</v>
      </c>
      <c r="C5" s="28" t="s">
        <v>2002</v>
      </c>
    </row>
    <row r="6" spans="1:3">
      <c r="A6" s="28" t="s">
        <v>60</v>
      </c>
      <c r="B6" s="28" t="s">
        <v>2003</v>
      </c>
      <c r="C6" s="28" t="s">
        <v>2004</v>
      </c>
    </row>
    <row r="7" spans="1:3">
      <c r="A7" s="28" t="s">
        <v>60</v>
      </c>
      <c r="B7" s="28" t="s">
        <v>69</v>
      </c>
      <c r="C7" s="28" t="s">
        <v>2005</v>
      </c>
    </row>
    <row r="8" spans="1:3">
      <c r="A8" s="28" t="s">
        <v>60</v>
      </c>
      <c r="B8" s="28" t="s">
        <v>70</v>
      </c>
      <c r="C8" s="28" t="s">
        <v>2006</v>
      </c>
    </row>
    <row r="9" spans="1:3">
      <c r="A9" s="28" t="s">
        <v>60</v>
      </c>
      <c r="B9" s="28" t="s">
        <v>71</v>
      </c>
      <c r="C9" s="28" t="s">
        <v>2007</v>
      </c>
    </row>
    <row r="10" spans="1:3">
      <c r="A10" s="28" t="s">
        <v>60</v>
      </c>
      <c r="B10" s="28" t="s">
        <v>72</v>
      </c>
      <c r="C10" s="28" t="s">
        <v>2008</v>
      </c>
    </row>
    <row r="11" spans="1:3">
      <c r="A11" s="28" t="s">
        <v>60</v>
      </c>
      <c r="B11" s="28" t="s">
        <v>73</v>
      </c>
      <c r="C11" s="28" t="s">
        <v>2009</v>
      </c>
    </row>
    <row r="12" spans="1:3">
      <c r="A12" s="28" t="s">
        <v>60</v>
      </c>
      <c r="B12" s="28" t="s">
        <v>74</v>
      </c>
      <c r="C12" s="28" t="s">
        <v>2010</v>
      </c>
    </row>
    <row r="13" spans="1:3">
      <c r="A13" s="28" t="s">
        <v>60</v>
      </c>
      <c r="B13" s="28" t="s">
        <v>78</v>
      </c>
      <c r="C13" s="28" t="s">
        <v>2011</v>
      </c>
    </row>
    <row r="14" spans="1:3">
      <c r="A14" s="28" t="s">
        <v>79</v>
      </c>
      <c r="B14" s="28" t="s">
        <v>80</v>
      </c>
      <c r="C14" s="28" t="s">
        <v>2012</v>
      </c>
    </row>
    <row r="15" spans="1:3">
      <c r="A15" s="28" t="s">
        <v>79</v>
      </c>
      <c r="B15" s="28" t="s">
        <v>82</v>
      </c>
      <c r="C15" s="28" t="s">
        <v>2013</v>
      </c>
    </row>
    <row r="16" spans="1:3">
      <c r="A16" s="28" t="s">
        <v>79</v>
      </c>
      <c r="B16" s="28" t="s">
        <v>83</v>
      </c>
      <c r="C16" s="28" t="s">
        <v>2014</v>
      </c>
    </row>
    <row r="17" spans="1:3">
      <c r="A17" s="28" t="s">
        <v>79</v>
      </c>
      <c r="B17" s="28" t="s">
        <v>84</v>
      </c>
      <c r="C17" s="28" t="s">
        <v>2015</v>
      </c>
    </row>
    <row r="18" spans="1:3">
      <c r="A18" s="28" t="s">
        <v>79</v>
      </c>
      <c r="B18" s="28" t="s">
        <v>2016</v>
      </c>
      <c r="C18" s="28" t="s">
        <v>2004</v>
      </c>
    </row>
    <row r="19" spans="1:3">
      <c r="A19" s="28" t="s">
        <v>79</v>
      </c>
      <c r="B19" s="28" t="s">
        <v>85</v>
      </c>
      <c r="C19" s="28" t="s">
        <v>2017</v>
      </c>
    </row>
    <row r="20" spans="1:3">
      <c r="A20" s="28" t="s">
        <v>79</v>
      </c>
      <c r="B20" s="28" t="s">
        <v>86</v>
      </c>
      <c r="C20" s="28" t="s">
        <v>2018</v>
      </c>
    </row>
    <row r="21" spans="1:3">
      <c r="A21" s="28" t="s">
        <v>79</v>
      </c>
      <c r="B21" s="28" t="s">
        <v>87</v>
      </c>
      <c r="C21" s="28" t="s">
        <v>2019</v>
      </c>
    </row>
    <row r="22" spans="1:3">
      <c r="A22" s="28" t="s">
        <v>79</v>
      </c>
      <c r="B22" s="28" t="s">
        <v>88</v>
      </c>
      <c r="C22" s="28" t="s">
        <v>2020</v>
      </c>
    </row>
    <row r="23" spans="1:3">
      <c r="A23" s="28" t="s">
        <v>79</v>
      </c>
      <c r="B23" s="28" t="s">
        <v>89</v>
      </c>
      <c r="C23" s="28" t="s">
        <v>2021</v>
      </c>
    </row>
    <row r="24" spans="1:3">
      <c r="A24" s="28" t="s">
        <v>79</v>
      </c>
      <c r="B24" s="28" t="s">
        <v>90</v>
      </c>
      <c r="C24" s="28" t="s">
        <v>2010</v>
      </c>
    </row>
    <row r="25" spans="1:3">
      <c r="A25" s="28" t="s">
        <v>79</v>
      </c>
      <c r="B25" s="28" t="s">
        <v>91</v>
      </c>
      <c r="C25" s="28" t="s">
        <v>2022</v>
      </c>
    </row>
    <row r="26" spans="1:3">
      <c r="A26" s="28" t="s">
        <v>92</v>
      </c>
      <c r="B26" s="28" t="s">
        <v>93</v>
      </c>
      <c r="C26" s="28" t="s">
        <v>2023</v>
      </c>
    </row>
    <row r="27" spans="1:3">
      <c r="A27" s="28" t="s">
        <v>92</v>
      </c>
      <c r="B27" s="28" t="s">
        <v>94</v>
      </c>
      <c r="C27" s="28" t="s">
        <v>2024</v>
      </c>
    </row>
    <row r="28" spans="1:3">
      <c r="A28" s="28" t="s">
        <v>92</v>
      </c>
      <c r="B28" s="28" t="s">
        <v>95</v>
      </c>
      <c r="C28" s="28" t="s">
        <v>2025</v>
      </c>
    </row>
    <row r="29" spans="1:3">
      <c r="A29" s="28" t="s">
        <v>92</v>
      </c>
      <c r="B29" s="28" t="s">
        <v>98</v>
      </c>
      <c r="C29" s="28" t="s">
        <v>2026</v>
      </c>
    </row>
    <row r="30" spans="1:3">
      <c r="A30" s="28" t="s">
        <v>92</v>
      </c>
      <c r="B30" s="28" t="s">
        <v>2027</v>
      </c>
      <c r="C30" s="28" t="s">
        <v>2028</v>
      </c>
    </row>
    <row r="31" spans="1:3">
      <c r="A31" s="28" t="s">
        <v>92</v>
      </c>
      <c r="B31" s="28" t="s">
        <v>101</v>
      </c>
      <c r="C31" s="28" t="s">
        <v>2029</v>
      </c>
    </row>
    <row r="32" spans="1:3">
      <c r="A32" s="28" t="s">
        <v>92</v>
      </c>
      <c r="B32" s="28" t="s">
        <v>103</v>
      </c>
      <c r="C32" s="28" t="s">
        <v>2030</v>
      </c>
    </row>
    <row r="33" spans="1:3">
      <c r="A33" s="28" t="s">
        <v>92</v>
      </c>
      <c r="B33" s="28" t="s">
        <v>104</v>
      </c>
      <c r="C33" s="28" t="s">
        <v>2031</v>
      </c>
    </row>
    <row r="34" spans="1:3">
      <c r="A34" s="28" t="s">
        <v>92</v>
      </c>
      <c r="B34" s="28" t="s">
        <v>105</v>
      </c>
      <c r="C34" s="28" t="s">
        <v>2032</v>
      </c>
    </row>
    <row r="35" spans="1:3">
      <c r="A35" s="28" t="s">
        <v>92</v>
      </c>
      <c r="B35" s="28" t="s">
        <v>107</v>
      </c>
      <c r="C35" s="28" t="s">
        <v>2033</v>
      </c>
    </row>
    <row r="36" spans="1:3">
      <c r="A36" s="28" t="s">
        <v>92</v>
      </c>
      <c r="B36" s="28" t="s">
        <v>108</v>
      </c>
      <c r="C36" s="28" t="s">
        <v>2010</v>
      </c>
    </row>
    <row r="37" spans="1:3">
      <c r="A37" s="28" t="s">
        <v>92</v>
      </c>
      <c r="B37" s="28" t="s">
        <v>109</v>
      </c>
      <c r="C37" s="28" t="s">
        <v>2034</v>
      </c>
    </row>
    <row r="38" spans="1:3">
      <c r="A38" s="28" t="s">
        <v>110</v>
      </c>
      <c r="B38" s="28" t="s">
        <v>111</v>
      </c>
      <c r="C38" s="28" t="s">
        <v>2035</v>
      </c>
    </row>
    <row r="39" spans="1:3">
      <c r="A39" s="28" t="s">
        <v>110</v>
      </c>
      <c r="B39" s="28" t="s">
        <v>112</v>
      </c>
      <c r="C39" s="28" t="s">
        <v>2036</v>
      </c>
    </row>
    <row r="40" spans="1:3">
      <c r="A40" s="28" t="s">
        <v>110</v>
      </c>
      <c r="B40" s="28" t="s">
        <v>112</v>
      </c>
      <c r="C40" s="28" t="s">
        <v>2037</v>
      </c>
    </row>
    <row r="41" spans="1:3">
      <c r="A41" s="28" t="s">
        <v>110</v>
      </c>
      <c r="B41" s="28" t="s">
        <v>125</v>
      </c>
      <c r="C41" s="28" t="s">
        <v>2038</v>
      </c>
    </row>
    <row r="42" spans="1:3">
      <c r="A42" s="28" t="s">
        <v>110</v>
      </c>
      <c r="B42" s="28" t="s">
        <v>113</v>
      </c>
      <c r="C42" s="28" t="s">
        <v>2039</v>
      </c>
    </row>
    <row r="43" spans="1:3">
      <c r="A43" s="28" t="s">
        <v>110</v>
      </c>
      <c r="B43" s="28" t="s">
        <v>114</v>
      </c>
      <c r="C43" s="28" t="s">
        <v>2040</v>
      </c>
    </row>
    <row r="44" spans="1:3">
      <c r="A44" s="28" t="s">
        <v>110</v>
      </c>
      <c r="B44" s="28" t="s">
        <v>114</v>
      </c>
      <c r="C44" s="28" t="s">
        <v>2041</v>
      </c>
    </row>
    <row r="45" spans="1:3">
      <c r="A45" s="28" t="s">
        <v>110</v>
      </c>
      <c r="B45" s="28" t="s">
        <v>2042</v>
      </c>
      <c r="C45" s="28" t="s">
        <v>2004</v>
      </c>
    </row>
    <row r="46" spans="1:3">
      <c r="A46" s="28" t="s">
        <v>110</v>
      </c>
      <c r="B46" s="28" t="s">
        <v>115</v>
      </c>
      <c r="C46" s="28" t="s">
        <v>2017</v>
      </c>
    </row>
    <row r="47" spans="1:3">
      <c r="A47" s="28" t="s">
        <v>110</v>
      </c>
      <c r="B47" s="28" t="s">
        <v>116</v>
      </c>
      <c r="C47" s="28" t="s">
        <v>2043</v>
      </c>
    </row>
    <row r="48" spans="1:3">
      <c r="A48" s="28" t="s">
        <v>110</v>
      </c>
      <c r="B48" s="28" t="s">
        <v>117</v>
      </c>
      <c r="C48" s="28" t="s">
        <v>2044</v>
      </c>
    </row>
    <row r="49" spans="1:3">
      <c r="A49" s="28" t="s">
        <v>110</v>
      </c>
      <c r="B49" s="28" t="s">
        <v>118</v>
      </c>
      <c r="C49" s="28" t="s">
        <v>2045</v>
      </c>
    </row>
    <row r="50" spans="1:3">
      <c r="A50" s="28" t="s">
        <v>110</v>
      </c>
      <c r="B50" s="28" t="s">
        <v>118</v>
      </c>
      <c r="C50" s="28" t="s">
        <v>2046</v>
      </c>
    </row>
    <row r="51" spans="1:3">
      <c r="A51" s="28" t="s">
        <v>110</v>
      </c>
      <c r="B51" s="28" t="s">
        <v>119</v>
      </c>
      <c r="C51" s="28" t="s">
        <v>2047</v>
      </c>
    </row>
    <row r="52" spans="1:3">
      <c r="A52" s="28" t="s">
        <v>110</v>
      </c>
      <c r="B52" s="28" t="s">
        <v>119</v>
      </c>
      <c r="C52" s="28" t="s">
        <v>2048</v>
      </c>
    </row>
    <row r="53" spans="1:3">
      <c r="A53" s="28" t="s">
        <v>110</v>
      </c>
      <c r="B53" s="28" t="s">
        <v>120</v>
      </c>
      <c r="C53" s="28" t="s">
        <v>2049</v>
      </c>
    </row>
    <row r="54" spans="1:3">
      <c r="A54" s="28" t="s">
        <v>110</v>
      </c>
      <c r="B54" s="28" t="s">
        <v>121</v>
      </c>
      <c r="C54" s="28" t="s">
        <v>2010</v>
      </c>
    </row>
    <row r="55" spans="1:3">
      <c r="A55" s="28" t="s">
        <v>110</v>
      </c>
      <c r="B55" s="28" t="s">
        <v>122</v>
      </c>
      <c r="C55" s="28" t="s">
        <v>2050</v>
      </c>
    </row>
    <row r="56" spans="1:3">
      <c r="A56" s="28" t="s">
        <v>126</v>
      </c>
      <c r="B56" s="28" t="s">
        <v>127</v>
      </c>
      <c r="C56" s="28" t="s">
        <v>2051</v>
      </c>
    </row>
    <row r="57" spans="1:3">
      <c r="A57" s="28" t="s">
        <v>126</v>
      </c>
      <c r="B57" s="28" t="s">
        <v>129</v>
      </c>
      <c r="C57" s="28" t="s">
        <v>2052</v>
      </c>
    </row>
    <row r="58" spans="1:3">
      <c r="A58" s="28" t="s">
        <v>126</v>
      </c>
      <c r="B58" s="28" t="s">
        <v>147</v>
      </c>
      <c r="C58" s="28" t="s">
        <v>2053</v>
      </c>
    </row>
    <row r="59" spans="1:3">
      <c r="A59" s="28" t="s">
        <v>126</v>
      </c>
      <c r="B59" s="28" t="s">
        <v>134</v>
      </c>
      <c r="C59" s="28" t="s">
        <v>2054</v>
      </c>
    </row>
    <row r="60" spans="1:3">
      <c r="A60" s="28" t="s">
        <v>126</v>
      </c>
      <c r="B60" s="28" t="s">
        <v>135</v>
      </c>
      <c r="C60" s="28" t="s">
        <v>2055</v>
      </c>
    </row>
    <row r="61" spans="1:3">
      <c r="A61" s="28" t="s">
        <v>126</v>
      </c>
      <c r="B61" s="28" t="s">
        <v>136</v>
      </c>
      <c r="C61" s="28" t="s">
        <v>2056</v>
      </c>
    </row>
    <row r="62" spans="1:3">
      <c r="A62" s="28" t="s">
        <v>126</v>
      </c>
      <c r="B62" s="28" t="s">
        <v>137</v>
      </c>
      <c r="C62" s="28" t="s">
        <v>2057</v>
      </c>
    </row>
    <row r="63" spans="1:3">
      <c r="A63" s="28" t="s">
        <v>126</v>
      </c>
      <c r="B63" s="28" t="s">
        <v>2058</v>
      </c>
      <c r="C63" s="28" t="s">
        <v>2004</v>
      </c>
    </row>
    <row r="64" spans="1:3">
      <c r="A64" s="28" t="s">
        <v>126</v>
      </c>
      <c r="B64" s="28" t="s">
        <v>138</v>
      </c>
      <c r="C64" s="28" t="s">
        <v>2059</v>
      </c>
    </row>
    <row r="65" spans="1:3">
      <c r="A65" s="28" t="s">
        <v>126</v>
      </c>
      <c r="B65" s="28" t="s">
        <v>139</v>
      </c>
      <c r="C65" s="28" t="s">
        <v>2060</v>
      </c>
    </row>
    <row r="66" spans="1:3">
      <c r="A66" s="28" t="s">
        <v>126</v>
      </c>
      <c r="B66" s="28" t="s">
        <v>140</v>
      </c>
      <c r="C66" s="28" t="s">
        <v>2061</v>
      </c>
    </row>
    <row r="67" spans="1:3">
      <c r="A67" s="28" t="s">
        <v>126</v>
      </c>
      <c r="B67" s="28" t="s">
        <v>2062</v>
      </c>
      <c r="C67" s="28" t="s">
        <v>2063</v>
      </c>
    </row>
    <row r="68" spans="1:3">
      <c r="A68" s="28" t="s">
        <v>126</v>
      </c>
      <c r="B68" s="28" t="s">
        <v>141</v>
      </c>
      <c r="C68" s="28" t="s">
        <v>2064</v>
      </c>
    </row>
    <row r="69" spans="1:3">
      <c r="A69" s="28" t="s">
        <v>126</v>
      </c>
      <c r="B69" s="28" t="s">
        <v>142</v>
      </c>
      <c r="C69" s="28" t="s">
        <v>2065</v>
      </c>
    </row>
    <row r="70" spans="1:3">
      <c r="A70" s="28" t="s">
        <v>126</v>
      </c>
      <c r="B70" s="28" t="s">
        <v>143</v>
      </c>
      <c r="C70" s="28" t="s">
        <v>2010</v>
      </c>
    </row>
    <row r="71" spans="1:3">
      <c r="A71" s="28" t="s">
        <v>126</v>
      </c>
      <c r="B71" s="28" t="s">
        <v>144</v>
      </c>
      <c r="C71" s="28" t="s">
        <v>2066</v>
      </c>
    </row>
    <row r="72" spans="1:3">
      <c r="A72" s="28" t="s">
        <v>149</v>
      </c>
      <c r="B72" s="28" t="s">
        <v>150</v>
      </c>
      <c r="C72" s="28" t="s">
        <v>2067</v>
      </c>
    </row>
    <row r="73" spans="1:3">
      <c r="A73" s="28" t="s">
        <v>149</v>
      </c>
      <c r="B73" s="28" t="s">
        <v>151</v>
      </c>
      <c r="C73" s="28" t="s">
        <v>2068</v>
      </c>
    </row>
    <row r="74" spans="1:3">
      <c r="A74" s="28" t="s">
        <v>149</v>
      </c>
      <c r="B74" s="28" t="s">
        <v>155</v>
      </c>
      <c r="C74" s="28" t="s">
        <v>2069</v>
      </c>
    </row>
    <row r="75" spans="1:3">
      <c r="A75" s="28" t="s">
        <v>149</v>
      </c>
      <c r="B75" s="28" t="s">
        <v>2070</v>
      </c>
      <c r="C75" s="28" t="s">
        <v>2004</v>
      </c>
    </row>
    <row r="76" spans="1:3">
      <c r="A76" s="28" t="s">
        <v>149</v>
      </c>
      <c r="B76" s="28" t="s">
        <v>156</v>
      </c>
      <c r="C76" s="28" t="s">
        <v>2071</v>
      </c>
    </row>
    <row r="77" spans="1:3">
      <c r="A77" s="28" t="s">
        <v>149</v>
      </c>
      <c r="B77" s="28" t="s">
        <v>158</v>
      </c>
      <c r="C77" s="28" t="s">
        <v>2072</v>
      </c>
    </row>
    <row r="78" spans="1:3">
      <c r="A78" s="28" t="s">
        <v>149</v>
      </c>
      <c r="B78" s="28" t="s">
        <v>159</v>
      </c>
      <c r="C78" s="28" t="s">
        <v>2073</v>
      </c>
    </row>
    <row r="79" spans="1:3">
      <c r="A79" s="28" t="s">
        <v>149</v>
      </c>
      <c r="B79" s="28" t="s">
        <v>160</v>
      </c>
      <c r="C79" s="28" t="s">
        <v>2074</v>
      </c>
    </row>
    <row r="80" spans="1:3">
      <c r="A80" s="28" t="s">
        <v>149</v>
      </c>
      <c r="B80" s="28" t="s">
        <v>161</v>
      </c>
      <c r="C80" s="28" t="s">
        <v>2075</v>
      </c>
    </row>
    <row r="81" spans="1:3">
      <c r="A81" s="28" t="s">
        <v>149</v>
      </c>
      <c r="B81" s="28" t="s">
        <v>162</v>
      </c>
      <c r="C81" s="28" t="s">
        <v>2076</v>
      </c>
    </row>
    <row r="82" spans="1:3">
      <c r="A82" s="28" t="s">
        <v>149</v>
      </c>
      <c r="B82" s="28" t="s">
        <v>163</v>
      </c>
      <c r="C82" s="28" t="s">
        <v>2077</v>
      </c>
    </row>
    <row r="83" spans="1:3">
      <c r="A83" s="28" t="s">
        <v>164</v>
      </c>
      <c r="B83" s="28" t="s">
        <v>165</v>
      </c>
      <c r="C83" s="28" t="s">
        <v>2078</v>
      </c>
    </row>
    <row r="84" spans="1:3">
      <c r="A84" s="28" t="s">
        <v>164</v>
      </c>
      <c r="B84" s="28" t="s">
        <v>167</v>
      </c>
      <c r="C84" s="28" t="s">
        <v>2079</v>
      </c>
    </row>
    <row r="85" spans="1:3">
      <c r="A85" s="28" t="s">
        <v>164</v>
      </c>
      <c r="B85" s="28" t="s">
        <v>169</v>
      </c>
      <c r="C85" s="28" t="s">
        <v>2080</v>
      </c>
    </row>
    <row r="86" spans="1:3">
      <c r="A86" s="28" t="s">
        <v>164</v>
      </c>
      <c r="B86" s="28" t="s">
        <v>170</v>
      </c>
      <c r="C86" s="28" t="s">
        <v>2081</v>
      </c>
    </row>
    <row r="87" spans="1:3">
      <c r="A87" s="28" t="s">
        <v>164</v>
      </c>
      <c r="B87" s="28" t="s">
        <v>171</v>
      </c>
      <c r="C87" s="28" t="s">
        <v>2082</v>
      </c>
    </row>
    <row r="88" spans="1:3">
      <c r="A88" s="28" t="s">
        <v>164</v>
      </c>
      <c r="B88" s="28" t="s">
        <v>173</v>
      </c>
      <c r="C88" s="28" t="s">
        <v>2083</v>
      </c>
    </row>
    <row r="89" spans="1:3">
      <c r="A89" s="28" t="s">
        <v>164</v>
      </c>
      <c r="B89" s="28" t="s">
        <v>2084</v>
      </c>
      <c r="C89" s="28" t="s">
        <v>2085</v>
      </c>
    </row>
    <row r="90" spans="1:3">
      <c r="A90" s="28" t="s">
        <v>164</v>
      </c>
      <c r="B90" s="28" t="s">
        <v>2086</v>
      </c>
      <c r="C90" s="28" t="s">
        <v>2004</v>
      </c>
    </row>
    <row r="91" spans="1:3">
      <c r="A91" s="28" t="s">
        <v>164</v>
      </c>
      <c r="B91" s="28" t="s">
        <v>175</v>
      </c>
      <c r="C91" s="28" t="s">
        <v>2087</v>
      </c>
    </row>
    <row r="92" spans="1:3">
      <c r="A92" s="28" t="s">
        <v>164</v>
      </c>
      <c r="B92" s="28" t="s">
        <v>176</v>
      </c>
      <c r="C92" s="28" t="s">
        <v>2088</v>
      </c>
    </row>
    <row r="93" spans="1:3">
      <c r="A93" s="28" t="s">
        <v>164</v>
      </c>
      <c r="B93" s="28" t="s">
        <v>177</v>
      </c>
      <c r="C93" s="28" t="s">
        <v>2089</v>
      </c>
    </row>
    <row r="94" spans="1:3">
      <c r="A94" s="28" t="s">
        <v>164</v>
      </c>
      <c r="B94" s="28" t="s">
        <v>178</v>
      </c>
      <c r="C94" s="28" t="s">
        <v>2090</v>
      </c>
    </row>
    <row r="95" spans="1:3">
      <c r="A95" s="28" t="s">
        <v>164</v>
      </c>
      <c r="B95" s="28" t="s">
        <v>179</v>
      </c>
      <c r="C95" s="28" t="s">
        <v>2091</v>
      </c>
    </row>
    <row r="96" spans="1:3">
      <c r="A96" s="28" t="s">
        <v>164</v>
      </c>
      <c r="B96" s="28" t="s">
        <v>180</v>
      </c>
      <c r="C96" s="28" t="s">
        <v>2076</v>
      </c>
    </row>
    <row r="97" spans="1:3">
      <c r="A97" s="28" t="s">
        <v>164</v>
      </c>
      <c r="B97" s="28" t="s">
        <v>181</v>
      </c>
      <c r="C97" s="28" t="s">
        <v>2092</v>
      </c>
    </row>
    <row r="98" spans="1:3">
      <c r="A98" s="28" t="s">
        <v>182</v>
      </c>
      <c r="B98" s="28" t="s">
        <v>183</v>
      </c>
      <c r="C98" s="28" t="s">
        <v>2093</v>
      </c>
    </row>
    <row r="99" spans="1:3">
      <c r="A99" s="28" t="s">
        <v>182</v>
      </c>
      <c r="B99" s="28" t="s">
        <v>190</v>
      </c>
      <c r="C99" s="28" t="s">
        <v>2094</v>
      </c>
    </row>
    <row r="100" spans="1:3">
      <c r="A100" s="28" t="s">
        <v>182</v>
      </c>
      <c r="B100" s="28" t="s">
        <v>191</v>
      </c>
      <c r="C100" s="28" t="s">
        <v>2095</v>
      </c>
    </row>
    <row r="101" spans="1:3">
      <c r="A101" s="28" t="s">
        <v>182</v>
      </c>
      <c r="B101" s="28" t="s">
        <v>2096</v>
      </c>
      <c r="C101" s="28" t="s">
        <v>2004</v>
      </c>
    </row>
    <row r="102" spans="1:3">
      <c r="A102" s="28" t="s">
        <v>182</v>
      </c>
      <c r="B102" s="28" t="s">
        <v>192</v>
      </c>
      <c r="C102" s="28" t="s">
        <v>2097</v>
      </c>
    </row>
    <row r="103" spans="1:3">
      <c r="A103" s="28" t="s">
        <v>182</v>
      </c>
      <c r="B103" s="28" t="s">
        <v>195</v>
      </c>
      <c r="C103" s="28" t="s">
        <v>2098</v>
      </c>
    </row>
    <row r="104" spans="1:3">
      <c r="A104" s="28" t="s">
        <v>182</v>
      </c>
      <c r="B104" s="28" t="s">
        <v>196</v>
      </c>
      <c r="C104" s="28" t="s">
        <v>2099</v>
      </c>
    </row>
    <row r="105" spans="1:3">
      <c r="A105" s="28" t="s">
        <v>182</v>
      </c>
      <c r="B105" s="28" t="s">
        <v>197</v>
      </c>
      <c r="C105" s="28" t="s">
        <v>2100</v>
      </c>
    </row>
    <row r="106" spans="1:3">
      <c r="A106" s="28" t="s">
        <v>182</v>
      </c>
      <c r="B106" s="28" t="s">
        <v>198</v>
      </c>
      <c r="C106" s="28" t="s">
        <v>2101</v>
      </c>
    </row>
    <row r="107" spans="1:3">
      <c r="A107" s="28" t="s">
        <v>182</v>
      </c>
      <c r="B107" s="28" t="s">
        <v>2102</v>
      </c>
      <c r="C107" s="28" t="s">
        <v>2103</v>
      </c>
    </row>
    <row r="108" spans="1:3">
      <c r="A108" s="28" t="s">
        <v>182</v>
      </c>
      <c r="B108" s="28" t="s">
        <v>199</v>
      </c>
      <c r="C108" s="28" t="s">
        <v>2104</v>
      </c>
    </row>
    <row r="109" spans="1:3">
      <c r="A109" s="28" t="s">
        <v>200</v>
      </c>
      <c r="B109" s="28" t="s">
        <v>201</v>
      </c>
      <c r="C109" s="28" t="s">
        <v>2105</v>
      </c>
    </row>
    <row r="110" spans="1:3">
      <c r="A110" s="28" t="s">
        <v>200</v>
      </c>
      <c r="B110" s="28" t="s">
        <v>216</v>
      </c>
      <c r="C110" s="28" t="s">
        <v>2106</v>
      </c>
    </row>
    <row r="111" spans="1:3">
      <c r="A111" s="28" t="s">
        <v>200</v>
      </c>
      <c r="B111" s="28" t="s">
        <v>202</v>
      </c>
      <c r="C111" s="28" t="s">
        <v>2107</v>
      </c>
    </row>
    <row r="112" spans="1:3">
      <c r="A112" s="28" t="s">
        <v>200</v>
      </c>
      <c r="B112" s="28" t="s">
        <v>203</v>
      </c>
      <c r="C112" s="28" t="s">
        <v>2108</v>
      </c>
    </row>
    <row r="113" spans="1:3">
      <c r="A113" s="28" t="s">
        <v>200</v>
      </c>
      <c r="B113" s="28" t="s">
        <v>2109</v>
      </c>
      <c r="C113" s="28" t="s">
        <v>2110</v>
      </c>
    </row>
    <row r="114" spans="1:3">
      <c r="A114" s="28" t="s">
        <v>200</v>
      </c>
      <c r="B114" s="28" t="s">
        <v>208</v>
      </c>
      <c r="C114" s="28" t="s">
        <v>2111</v>
      </c>
    </row>
    <row r="115" spans="1:3">
      <c r="A115" s="28" t="s">
        <v>200</v>
      </c>
      <c r="B115" s="28" t="s">
        <v>209</v>
      </c>
      <c r="C115" s="28" t="s">
        <v>2112</v>
      </c>
    </row>
    <row r="116" spans="1:3">
      <c r="A116" s="28" t="s">
        <v>200</v>
      </c>
      <c r="B116" s="28" t="s">
        <v>210</v>
      </c>
      <c r="C116" s="28" t="s">
        <v>2113</v>
      </c>
    </row>
    <row r="117" spans="1:3">
      <c r="A117" s="28" t="s">
        <v>200</v>
      </c>
      <c r="B117" s="28" t="s">
        <v>212</v>
      </c>
      <c r="C117" s="28" t="s">
        <v>2114</v>
      </c>
    </row>
    <row r="118" spans="1:3">
      <c r="A118" s="28" t="s">
        <v>200</v>
      </c>
      <c r="B118" s="28" t="s">
        <v>213</v>
      </c>
      <c r="C118" s="28" t="s">
        <v>2115</v>
      </c>
    </row>
    <row r="119" spans="1:3">
      <c r="A119" s="28" t="s">
        <v>200</v>
      </c>
      <c r="B119" s="28" t="s">
        <v>214</v>
      </c>
      <c r="C119" s="28" t="s">
        <v>2010</v>
      </c>
    </row>
    <row r="120" spans="1:3">
      <c r="A120" s="28" t="s">
        <v>200</v>
      </c>
      <c r="B120" s="28" t="s">
        <v>215</v>
      </c>
      <c r="C120" s="28" t="s">
        <v>2116</v>
      </c>
    </row>
    <row r="121" spans="1:3">
      <c r="A121" s="28" t="s">
        <v>220</v>
      </c>
      <c r="B121" s="28" t="s">
        <v>221</v>
      </c>
      <c r="C121" s="28" t="s">
        <v>2117</v>
      </c>
    </row>
    <row r="122" spans="1:3">
      <c r="A122" s="28" t="s">
        <v>220</v>
      </c>
      <c r="B122" s="28" t="s">
        <v>225</v>
      </c>
      <c r="C122" s="28" t="s">
        <v>2118</v>
      </c>
    </row>
    <row r="123" spans="1:3">
      <c r="A123" s="28" t="s">
        <v>220</v>
      </c>
      <c r="B123" s="28" t="s">
        <v>229</v>
      </c>
      <c r="C123" s="28" t="s">
        <v>2119</v>
      </c>
    </row>
    <row r="124" spans="1:3">
      <c r="A124" s="28" t="s">
        <v>220</v>
      </c>
      <c r="B124" s="28" t="s">
        <v>2120</v>
      </c>
      <c r="C124" s="28" t="s">
        <v>2004</v>
      </c>
    </row>
    <row r="125" spans="1:3">
      <c r="A125" s="28" t="s">
        <v>220</v>
      </c>
      <c r="B125" s="28" t="s">
        <v>230</v>
      </c>
      <c r="C125" s="28" t="s">
        <v>2121</v>
      </c>
    </row>
    <row r="126" spans="1:3">
      <c r="A126" s="28" t="s">
        <v>220</v>
      </c>
      <c r="B126" s="28" t="s">
        <v>231</v>
      </c>
      <c r="C126" s="28" t="s">
        <v>2122</v>
      </c>
    </row>
    <row r="127" spans="1:3">
      <c r="A127" s="28" t="s">
        <v>220</v>
      </c>
      <c r="B127" s="28" t="s">
        <v>232</v>
      </c>
      <c r="C127" s="28" t="s">
        <v>2123</v>
      </c>
    </row>
    <row r="128" spans="1:3">
      <c r="A128" s="28" t="s">
        <v>220</v>
      </c>
      <c r="B128" s="28" t="s">
        <v>233</v>
      </c>
      <c r="C128" s="28" t="s">
        <v>2124</v>
      </c>
    </row>
    <row r="129" spans="1:3">
      <c r="A129" s="28" t="s">
        <v>220</v>
      </c>
      <c r="B129" s="28" t="s">
        <v>235</v>
      </c>
      <c r="C129" s="28" t="s">
        <v>2125</v>
      </c>
    </row>
    <row r="130" spans="1:3">
      <c r="A130" s="28" t="s">
        <v>220</v>
      </c>
      <c r="B130" s="28" t="s">
        <v>236</v>
      </c>
      <c r="C130" s="28" t="s">
        <v>2076</v>
      </c>
    </row>
    <row r="131" spans="1:3">
      <c r="A131" s="28" t="s">
        <v>220</v>
      </c>
      <c r="B131" s="28" t="s">
        <v>237</v>
      </c>
      <c r="C131" s="28" t="s">
        <v>2126</v>
      </c>
    </row>
    <row r="132" spans="1:3">
      <c r="A132" s="28" t="s">
        <v>238</v>
      </c>
      <c r="B132" s="28" t="s">
        <v>239</v>
      </c>
      <c r="C132" s="28" t="s">
        <v>2127</v>
      </c>
    </row>
    <row r="133" spans="1:3">
      <c r="A133" s="28" t="s">
        <v>238</v>
      </c>
      <c r="B133" s="28" t="s">
        <v>240</v>
      </c>
      <c r="C133" s="28" t="s">
        <v>2128</v>
      </c>
    </row>
    <row r="134" spans="1:3">
      <c r="A134" s="28" t="s">
        <v>238</v>
      </c>
      <c r="B134" s="28" t="s">
        <v>241</v>
      </c>
      <c r="C134" s="28" t="s">
        <v>2129</v>
      </c>
    </row>
    <row r="135" spans="1:3">
      <c r="A135" s="28" t="s">
        <v>238</v>
      </c>
      <c r="B135" s="28" t="s">
        <v>243</v>
      </c>
      <c r="C135" s="28" t="s">
        <v>2130</v>
      </c>
    </row>
    <row r="136" spans="1:3">
      <c r="A136" s="28" t="s">
        <v>238</v>
      </c>
      <c r="B136" s="28" t="s">
        <v>242</v>
      </c>
      <c r="C136" s="28" t="s">
        <v>2131</v>
      </c>
    </row>
    <row r="137" spans="1:3">
      <c r="A137" s="28" t="s">
        <v>238</v>
      </c>
      <c r="B137" s="28" t="s">
        <v>2132</v>
      </c>
      <c r="C137" s="28" t="s">
        <v>2004</v>
      </c>
    </row>
    <row r="138" spans="1:3">
      <c r="A138" s="28" t="s">
        <v>238</v>
      </c>
      <c r="B138" s="28" t="s">
        <v>244</v>
      </c>
      <c r="C138" s="28" t="s">
        <v>2133</v>
      </c>
    </row>
    <row r="139" spans="1:3">
      <c r="A139" s="28" t="s">
        <v>238</v>
      </c>
      <c r="B139" s="28" t="s">
        <v>245</v>
      </c>
      <c r="C139" s="28" t="s">
        <v>2134</v>
      </c>
    </row>
    <row r="140" spans="1:3">
      <c r="A140" s="28" t="s">
        <v>238</v>
      </c>
      <c r="B140" s="28" t="s">
        <v>246</v>
      </c>
      <c r="C140" s="28" t="s">
        <v>2135</v>
      </c>
    </row>
    <row r="141" spans="1:3">
      <c r="A141" s="28" t="s">
        <v>238</v>
      </c>
      <c r="B141" s="28" t="s">
        <v>247</v>
      </c>
      <c r="C141" s="28" t="s">
        <v>2136</v>
      </c>
    </row>
    <row r="142" spans="1:3">
      <c r="A142" s="28" t="s">
        <v>238</v>
      </c>
      <c r="B142" s="28" t="s">
        <v>248</v>
      </c>
      <c r="C142" s="28" t="s">
        <v>2137</v>
      </c>
    </row>
    <row r="143" spans="1:3">
      <c r="A143" s="28" t="s">
        <v>238</v>
      </c>
      <c r="B143" s="28" t="s">
        <v>249</v>
      </c>
      <c r="C143" s="28" t="s">
        <v>2138</v>
      </c>
    </row>
    <row r="144" spans="1:3">
      <c r="A144" s="28" t="s">
        <v>238</v>
      </c>
      <c r="B144" s="28" t="s">
        <v>250</v>
      </c>
      <c r="C144" s="28" t="s">
        <v>2139</v>
      </c>
    </row>
    <row r="145" spans="1:3">
      <c r="A145" s="28" t="s">
        <v>238</v>
      </c>
      <c r="B145" s="28" t="s">
        <v>2140</v>
      </c>
      <c r="C145" s="28" t="s">
        <v>2076</v>
      </c>
    </row>
    <row r="146" spans="1:3">
      <c r="A146" s="28" t="s">
        <v>238</v>
      </c>
      <c r="B146" s="28" t="s">
        <v>251</v>
      </c>
      <c r="C146" s="28" t="s">
        <v>2141</v>
      </c>
    </row>
    <row r="147" spans="1:3">
      <c r="A147" s="28" t="s">
        <v>252</v>
      </c>
      <c r="B147" s="28" t="s">
        <v>253</v>
      </c>
      <c r="C147" s="28" t="s">
        <v>2023</v>
      </c>
    </row>
    <row r="148" spans="1:3">
      <c r="A148" s="28" t="s">
        <v>252</v>
      </c>
      <c r="B148" s="28" t="s">
        <v>254</v>
      </c>
      <c r="C148" s="28" t="s">
        <v>2142</v>
      </c>
    </row>
    <row r="149" spans="1:3">
      <c r="A149" s="28" t="s">
        <v>252</v>
      </c>
      <c r="B149" s="28" t="s">
        <v>257</v>
      </c>
      <c r="C149" s="28" t="s">
        <v>2143</v>
      </c>
    </row>
    <row r="150" spans="1:3">
      <c r="A150" s="28" t="s">
        <v>252</v>
      </c>
      <c r="B150" s="28" t="s">
        <v>2144</v>
      </c>
      <c r="C150" s="28" t="s">
        <v>2004</v>
      </c>
    </row>
    <row r="151" spans="1:3">
      <c r="A151" s="28" t="s">
        <v>252</v>
      </c>
      <c r="B151" s="28" t="s">
        <v>260</v>
      </c>
      <c r="C151" s="28" t="s">
        <v>2121</v>
      </c>
    </row>
    <row r="152" spans="1:3">
      <c r="A152" s="28" t="s">
        <v>252</v>
      </c>
      <c r="B152" s="28" t="s">
        <v>261</v>
      </c>
      <c r="C152" s="28" t="s">
        <v>2145</v>
      </c>
    </row>
    <row r="153" spans="1:3">
      <c r="A153" s="28" t="s">
        <v>252</v>
      </c>
      <c r="B153" s="28" t="s">
        <v>262</v>
      </c>
      <c r="C153" s="28" t="s">
        <v>2146</v>
      </c>
    </row>
    <row r="154" spans="1:3">
      <c r="A154" s="28" t="s">
        <v>252</v>
      </c>
      <c r="B154" s="28" t="s">
        <v>263</v>
      </c>
      <c r="C154" s="28" t="s">
        <v>2147</v>
      </c>
    </row>
    <row r="155" spans="1:3">
      <c r="A155" s="28" t="s">
        <v>252</v>
      </c>
      <c r="B155" s="28" t="s">
        <v>264</v>
      </c>
      <c r="C155" s="28" t="s">
        <v>2148</v>
      </c>
    </row>
    <row r="156" spans="1:3">
      <c r="A156" s="28" t="s">
        <v>252</v>
      </c>
      <c r="B156" s="28" t="s">
        <v>265</v>
      </c>
      <c r="C156" s="28" t="s">
        <v>2076</v>
      </c>
    </row>
    <row r="157" spans="1:3">
      <c r="A157" s="28" t="s">
        <v>252</v>
      </c>
      <c r="B157" s="28" t="s">
        <v>266</v>
      </c>
      <c r="C157" s="28" t="s">
        <v>2149</v>
      </c>
    </row>
    <row r="158" spans="1:3">
      <c r="A158" s="28" t="s">
        <v>267</v>
      </c>
      <c r="B158" s="28" t="s">
        <v>268</v>
      </c>
      <c r="C158" s="28" t="s">
        <v>2150</v>
      </c>
    </row>
    <row r="159" spans="1:3">
      <c r="A159" s="28" t="s">
        <v>267</v>
      </c>
      <c r="B159" s="28" t="s">
        <v>269</v>
      </c>
      <c r="C159" s="28" t="s">
        <v>2151</v>
      </c>
    </row>
    <row r="160" spans="1:3">
      <c r="A160" s="28" t="s">
        <v>267</v>
      </c>
      <c r="B160" s="28" t="s">
        <v>270</v>
      </c>
      <c r="C160" s="28" t="s">
        <v>2152</v>
      </c>
    </row>
    <row r="161" spans="1:3">
      <c r="A161" s="28" t="s">
        <v>267</v>
      </c>
      <c r="B161" s="28" t="s">
        <v>272</v>
      </c>
      <c r="C161" s="28" t="s">
        <v>2153</v>
      </c>
    </row>
    <row r="162" spans="1:3">
      <c r="A162" s="28" t="s">
        <v>267</v>
      </c>
      <c r="B162" s="28" t="s">
        <v>275</v>
      </c>
      <c r="C162" s="28" t="s">
        <v>2154</v>
      </c>
    </row>
    <row r="163" spans="1:3">
      <c r="A163" s="28" t="s">
        <v>267</v>
      </c>
      <c r="B163" s="28" t="s">
        <v>2155</v>
      </c>
      <c r="C163" s="28" t="s">
        <v>2004</v>
      </c>
    </row>
    <row r="164" spans="1:3">
      <c r="A164" s="28" t="s">
        <v>267</v>
      </c>
      <c r="B164" s="28" t="s">
        <v>279</v>
      </c>
      <c r="C164" s="28" t="s">
        <v>2017</v>
      </c>
    </row>
    <row r="165" spans="1:3">
      <c r="A165" s="28" t="s">
        <v>267</v>
      </c>
      <c r="B165" s="28" t="s">
        <v>280</v>
      </c>
      <c r="C165" s="28" t="s">
        <v>2156</v>
      </c>
    </row>
    <row r="166" spans="1:3">
      <c r="A166" s="28" t="s">
        <v>267</v>
      </c>
      <c r="B166" s="28" t="s">
        <v>281</v>
      </c>
      <c r="C166" s="28" t="s">
        <v>2157</v>
      </c>
    </row>
    <row r="167" spans="1:3">
      <c r="A167" s="28" t="s">
        <v>267</v>
      </c>
      <c r="B167" s="28" t="s">
        <v>282</v>
      </c>
      <c r="C167" s="28" t="s">
        <v>2158</v>
      </c>
    </row>
    <row r="168" spans="1:3">
      <c r="A168" s="28" t="s">
        <v>267</v>
      </c>
      <c r="B168" s="28" t="s">
        <v>283</v>
      </c>
      <c r="C168" s="28" t="s">
        <v>2159</v>
      </c>
    </row>
    <row r="169" spans="1:3">
      <c r="A169" s="28" t="s">
        <v>267</v>
      </c>
      <c r="B169" s="28" t="s">
        <v>284</v>
      </c>
      <c r="C169" s="28" t="s">
        <v>2160</v>
      </c>
    </row>
    <row r="170" spans="1:3">
      <c r="A170" s="28" t="s">
        <v>267</v>
      </c>
      <c r="B170" s="28" t="s">
        <v>285</v>
      </c>
      <c r="C170" s="28" t="s">
        <v>2076</v>
      </c>
    </row>
    <row r="171" spans="1:3">
      <c r="A171" s="28" t="s">
        <v>267</v>
      </c>
      <c r="B171" s="28" t="s">
        <v>286</v>
      </c>
      <c r="C171" s="28" t="s">
        <v>2161</v>
      </c>
    </row>
    <row r="172" spans="1:3">
      <c r="A172" s="28" t="s">
        <v>287</v>
      </c>
      <c r="B172" s="28" t="s">
        <v>288</v>
      </c>
      <c r="C172" s="28" t="s">
        <v>2162</v>
      </c>
    </row>
    <row r="173" spans="1:3">
      <c r="A173" s="28" t="s">
        <v>287</v>
      </c>
      <c r="B173" s="28" t="s">
        <v>295</v>
      </c>
      <c r="C173" s="28" t="s">
        <v>2163</v>
      </c>
    </row>
    <row r="174" spans="1:3">
      <c r="A174" s="28" t="s">
        <v>287</v>
      </c>
      <c r="B174" s="28" t="s">
        <v>298</v>
      </c>
      <c r="C174" s="28" t="s">
        <v>2164</v>
      </c>
    </row>
    <row r="175" spans="1:3">
      <c r="A175" s="28" t="s">
        <v>287</v>
      </c>
      <c r="B175" s="28" t="s">
        <v>2165</v>
      </c>
      <c r="C175" s="28" t="s">
        <v>2004</v>
      </c>
    </row>
    <row r="176" spans="1:3">
      <c r="A176" s="28" t="s">
        <v>287</v>
      </c>
      <c r="B176" s="28" t="s">
        <v>299</v>
      </c>
      <c r="C176" s="28" t="s">
        <v>2166</v>
      </c>
    </row>
    <row r="177" spans="1:3">
      <c r="A177" s="28" t="s">
        <v>287</v>
      </c>
      <c r="B177" s="28" t="s">
        <v>300</v>
      </c>
      <c r="C177" s="28" t="s">
        <v>2060</v>
      </c>
    </row>
    <row r="178" spans="1:3">
      <c r="A178" s="28" t="s">
        <v>287</v>
      </c>
      <c r="B178" s="28" t="s">
        <v>301</v>
      </c>
      <c r="C178" s="28" t="s">
        <v>2167</v>
      </c>
    </row>
    <row r="179" spans="1:3">
      <c r="A179" s="28" t="s">
        <v>287</v>
      </c>
      <c r="B179" s="28" t="s">
        <v>302</v>
      </c>
      <c r="C179" s="28" t="s">
        <v>2168</v>
      </c>
    </row>
    <row r="180" spans="1:3">
      <c r="A180" s="28" t="s">
        <v>287</v>
      </c>
      <c r="B180" s="28" t="s">
        <v>303</v>
      </c>
      <c r="C180" s="28" t="s">
        <v>2065</v>
      </c>
    </row>
    <row r="181" spans="1:3">
      <c r="A181" s="28" t="s">
        <v>287</v>
      </c>
      <c r="B181" s="28" t="s">
        <v>304</v>
      </c>
      <c r="C181" s="28" t="s">
        <v>2010</v>
      </c>
    </row>
    <row r="182" spans="1:3">
      <c r="A182" s="28" t="s">
        <v>287</v>
      </c>
      <c r="B182" s="28" t="s">
        <v>304</v>
      </c>
      <c r="C182" s="28" t="s">
        <v>2076</v>
      </c>
    </row>
    <row r="183" spans="1:3">
      <c r="A183" s="28" t="s">
        <v>287</v>
      </c>
      <c r="B183" s="28" t="s">
        <v>305</v>
      </c>
      <c r="C183" s="28" t="s">
        <v>2169</v>
      </c>
    </row>
    <row r="184" spans="1:3">
      <c r="A184" s="28" t="s">
        <v>287</v>
      </c>
      <c r="B184" s="28" t="s">
        <v>306</v>
      </c>
      <c r="C184" s="28" t="s">
        <v>2170</v>
      </c>
    </row>
    <row r="185" spans="1:3">
      <c r="A185" s="28" t="s">
        <v>307</v>
      </c>
      <c r="B185" s="28" t="s">
        <v>308</v>
      </c>
      <c r="C185" s="28" t="s">
        <v>2171</v>
      </c>
    </row>
    <row r="186" spans="1:3">
      <c r="A186" s="28" t="s">
        <v>307</v>
      </c>
      <c r="B186" s="28" t="s">
        <v>321</v>
      </c>
      <c r="C186" s="28" t="s">
        <v>2172</v>
      </c>
    </row>
    <row r="187" spans="1:3">
      <c r="A187" s="28" t="s">
        <v>307</v>
      </c>
      <c r="B187" s="28" t="s">
        <v>325</v>
      </c>
      <c r="C187" s="28" t="s">
        <v>2173</v>
      </c>
    </row>
    <row r="188" spans="1:3">
      <c r="A188" s="28" t="s">
        <v>307</v>
      </c>
      <c r="B188" s="28" t="s">
        <v>309</v>
      </c>
      <c r="C188" s="28" t="s">
        <v>2174</v>
      </c>
    </row>
    <row r="189" spans="1:3">
      <c r="A189" s="28" t="s">
        <v>307</v>
      </c>
      <c r="B189" s="28" t="s">
        <v>312</v>
      </c>
      <c r="C189" s="28" t="s">
        <v>2175</v>
      </c>
    </row>
    <row r="190" spans="1:3">
      <c r="A190" s="28" t="s">
        <v>307</v>
      </c>
      <c r="B190" s="28" t="s">
        <v>2176</v>
      </c>
      <c r="C190" s="28" t="s">
        <v>2177</v>
      </c>
    </row>
    <row r="191" spans="1:3">
      <c r="A191" s="28" t="s">
        <v>307</v>
      </c>
      <c r="B191" s="28" t="s">
        <v>2178</v>
      </c>
      <c r="C191" s="28" t="s">
        <v>2004</v>
      </c>
    </row>
    <row r="192" spans="1:3">
      <c r="A192" s="28" t="s">
        <v>307</v>
      </c>
      <c r="B192" s="28" t="s">
        <v>313</v>
      </c>
      <c r="C192" s="28" t="s">
        <v>2179</v>
      </c>
    </row>
    <row r="193" spans="1:3">
      <c r="A193" s="28" t="s">
        <v>307</v>
      </c>
      <c r="B193" s="28" t="s">
        <v>314</v>
      </c>
      <c r="C193" s="28" t="s">
        <v>2180</v>
      </c>
    </row>
    <row r="194" spans="1:3">
      <c r="A194" s="28" t="s">
        <v>307</v>
      </c>
      <c r="B194" s="28" t="s">
        <v>315</v>
      </c>
      <c r="C194" s="28" t="s">
        <v>2181</v>
      </c>
    </row>
    <row r="195" spans="1:3">
      <c r="A195" s="28" t="s">
        <v>307</v>
      </c>
      <c r="B195" s="28" t="s">
        <v>317</v>
      </c>
      <c r="C195" s="28" t="s">
        <v>2182</v>
      </c>
    </row>
    <row r="196" spans="1:3">
      <c r="A196" s="28" t="s">
        <v>307</v>
      </c>
      <c r="B196" s="28" t="s">
        <v>318</v>
      </c>
      <c r="C196" s="28" t="s">
        <v>2148</v>
      </c>
    </row>
    <row r="197" spans="1:3">
      <c r="A197" s="28" t="s">
        <v>307</v>
      </c>
      <c r="B197" s="28" t="s">
        <v>319</v>
      </c>
      <c r="C197" s="28" t="s">
        <v>2010</v>
      </c>
    </row>
    <row r="198" spans="1:3">
      <c r="A198" s="28" t="s">
        <v>307</v>
      </c>
      <c r="B198" s="28" t="s">
        <v>320</v>
      </c>
      <c r="C198" s="28" t="s">
        <v>2183</v>
      </c>
    </row>
    <row r="199" spans="1:3">
      <c r="A199" s="28" t="s">
        <v>328</v>
      </c>
      <c r="B199" s="28" t="s">
        <v>329</v>
      </c>
      <c r="C199" s="28" t="s">
        <v>2184</v>
      </c>
    </row>
    <row r="200" spans="1:3">
      <c r="A200" s="28" t="s">
        <v>328</v>
      </c>
      <c r="B200" s="28" t="s">
        <v>338</v>
      </c>
      <c r="C200" s="28" t="s">
        <v>2185</v>
      </c>
    </row>
    <row r="201" spans="1:3">
      <c r="A201" s="28" t="s">
        <v>328</v>
      </c>
      <c r="B201" s="28" t="s">
        <v>339</v>
      </c>
      <c r="C201" s="28" t="s">
        <v>2186</v>
      </c>
    </row>
    <row r="202" spans="1:3">
      <c r="A202" s="28" t="s">
        <v>328</v>
      </c>
      <c r="B202" s="28" t="s">
        <v>2187</v>
      </c>
      <c r="C202" s="28" t="s">
        <v>2188</v>
      </c>
    </row>
    <row r="203" spans="1:3">
      <c r="A203" s="28" t="s">
        <v>328</v>
      </c>
      <c r="B203" s="28" t="s">
        <v>341</v>
      </c>
      <c r="C203" s="28" t="s">
        <v>2179</v>
      </c>
    </row>
    <row r="204" spans="1:3">
      <c r="A204" s="28" t="s">
        <v>328</v>
      </c>
      <c r="B204" s="28" t="s">
        <v>342</v>
      </c>
      <c r="C204" s="28" t="s">
        <v>2189</v>
      </c>
    </row>
    <row r="205" spans="1:3">
      <c r="A205" s="28" t="s">
        <v>328</v>
      </c>
      <c r="B205" s="28" t="s">
        <v>343</v>
      </c>
      <c r="C205" s="28" t="s">
        <v>2190</v>
      </c>
    </row>
    <row r="206" spans="1:3">
      <c r="A206" s="28" t="s">
        <v>328</v>
      </c>
      <c r="B206" s="28" t="s">
        <v>344</v>
      </c>
      <c r="C206" s="28" t="s">
        <v>2191</v>
      </c>
    </row>
    <row r="207" spans="1:3">
      <c r="A207" s="28" t="s">
        <v>328</v>
      </c>
      <c r="B207" s="28" t="s">
        <v>345</v>
      </c>
      <c r="C207" s="28" t="s">
        <v>2192</v>
      </c>
    </row>
    <row r="208" spans="1:3">
      <c r="A208" s="28" t="s">
        <v>328</v>
      </c>
      <c r="B208" s="28" t="s">
        <v>346</v>
      </c>
      <c r="C208" s="28" t="s">
        <v>2010</v>
      </c>
    </row>
    <row r="209" spans="1:3">
      <c r="A209" s="28" t="s">
        <v>328</v>
      </c>
      <c r="B209" s="28" t="s">
        <v>347</v>
      </c>
      <c r="C209" s="28" t="s">
        <v>2193</v>
      </c>
    </row>
    <row r="210" spans="1:3">
      <c r="A210" s="28" t="s">
        <v>352</v>
      </c>
      <c r="B210" s="28" t="s">
        <v>353</v>
      </c>
      <c r="C210" s="28" t="s">
        <v>2194</v>
      </c>
    </row>
    <row r="211" spans="1:3">
      <c r="A211" s="28" t="s">
        <v>352</v>
      </c>
      <c r="B211" s="28" t="s">
        <v>354</v>
      </c>
      <c r="C211" s="28" t="s">
        <v>2195</v>
      </c>
    </row>
    <row r="212" spans="1:3">
      <c r="A212" s="28" t="s">
        <v>352</v>
      </c>
      <c r="B212" s="28" t="s">
        <v>354</v>
      </c>
      <c r="C212" s="28" t="s">
        <v>2196</v>
      </c>
    </row>
    <row r="213" spans="1:3">
      <c r="A213" s="28" t="s">
        <v>352</v>
      </c>
      <c r="B213" s="28" t="s">
        <v>357</v>
      </c>
      <c r="C213" s="28" t="s">
        <v>2197</v>
      </c>
    </row>
    <row r="214" spans="1:3">
      <c r="A214" s="28" t="s">
        <v>352</v>
      </c>
      <c r="B214" s="28" t="s">
        <v>358</v>
      </c>
      <c r="C214" s="28" t="s">
        <v>2198</v>
      </c>
    </row>
    <row r="215" spans="1:3">
      <c r="A215" s="28" t="s">
        <v>352</v>
      </c>
      <c r="B215" s="28" t="s">
        <v>358</v>
      </c>
      <c r="C215" s="28" t="s">
        <v>2199</v>
      </c>
    </row>
    <row r="216" spans="1:3">
      <c r="A216" s="28" t="s">
        <v>352</v>
      </c>
      <c r="B216" s="28" t="s">
        <v>360</v>
      </c>
      <c r="C216" s="28" t="s">
        <v>2200</v>
      </c>
    </row>
    <row r="217" spans="1:3">
      <c r="A217" s="28" t="s">
        <v>352</v>
      </c>
      <c r="B217" s="28" t="s">
        <v>360</v>
      </c>
      <c r="C217" s="28" t="s">
        <v>2201</v>
      </c>
    </row>
    <row r="218" spans="1:3">
      <c r="A218" s="28" t="s">
        <v>352</v>
      </c>
      <c r="B218" s="28" t="s">
        <v>368</v>
      </c>
      <c r="C218" s="28" t="s">
        <v>2202</v>
      </c>
    </row>
    <row r="219" spans="1:3">
      <c r="A219" s="28" t="s">
        <v>352</v>
      </c>
      <c r="B219" s="28" t="s">
        <v>2203</v>
      </c>
      <c r="C219" s="28" t="s">
        <v>2004</v>
      </c>
    </row>
    <row r="220" spans="1:3">
      <c r="A220" s="28" t="s">
        <v>352</v>
      </c>
      <c r="B220" s="28" t="s">
        <v>361</v>
      </c>
      <c r="C220" s="28" t="s">
        <v>2204</v>
      </c>
    </row>
    <row r="221" spans="1:3">
      <c r="A221" s="28" t="s">
        <v>352</v>
      </c>
      <c r="B221" s="28" t="s">
        <v>362</v>
      </c>
      <c r="C221" s="28" t="s">
        <v>2205</v>
      </c>
    </row>
    <row r="222" spans="1:3">
      <c r="A222" s="28" t="s">
        <v>352</v>
      </c>
      <c r="B222" s="28" t="s">
        <v>363</v>
      </c>
      <c r="C222" s="28" t="s">
        <v>2206</v>
      </c>
    </row>
    <row r="223" spans="1:3">
      <c r="A223" s="28" t="s">
        <v>352</v>
      </c>
      <c r="B223" s="28" t="s">
        <v>364</v>
      </c>
      <c r="C223" s="28" t="s">
        <v>2207</v>
      </c>
    </row>
    <row r="224" spans="1:3">
      <c r="A224" s="28" t="s">
        <v>352</v>
      </c>
      <c r="B224" s="28" t="s">
        <v>365</v>
      </c>
      <c r="C224" s="28" t="s">
        <v>2208</v>
      </c>
    </row>
    <row r="225" spans="1:3">
      <c r="A225" s="28" t="s">
        <v>352</v>
      </c>
      <c r="B225" s="28" t="s">
        <v>365</v>
      </c>
      <c r="C225" s="28" t="s">
        <v>2209</v>
      </c>
    </row>
    <row r="226" spans="1:3">
      <c r="A226" s="28" t="s">
        <v>352</v>
      </c>
      <c r="B226" s="28" t="s">
        <v>366</v>
      </c>
      <c r="C226" s="28" t="s">
        <v>2010</v>
      </c>
    </row>
    <row r="227" spans="1:3">
      <c r="A227" s="28" t="s">
        <v>352</v>
      </c>
      <c r="B227" s="28" t="s">
        <v>367</v>
      </c>
      <c r="C227" s="28" t="s">
        <v>2210</v>
      </c>
    </row>
    <row r="228" spans="1:3">
      <c r="A228" s="28" t="s">
        <v>372</v>
      </c>
      <c r="B228" s="28" t="s">
        <v>373</v>
      </c>
      <c r="C228" s="28" t="s">
        <v>2211</v>
      </c>
    </row>
    <row r="229" spans="1:3">
      <c r="A229" s="28" t="s">
        <v>372</v>
      </c>
      <c r="B229" s="28" t="s">
        <v>373</v>
      </c>
      <c r="C229" s="28" t="s">
        <v>2212</v>
      </c>
    </row>
    <row r="230" spans="1:3">
      <c r="A230" s="28" t="s">
        <v>372</v>
      </c>
      <c r="B230" s="28" t="s">
        <v>375</v>
      </c>
      <c r="C230" s="28" t="s">
        <v>2213</v>
      </c>
    </row>
    <row r="231" spans="1:3">
      <c r="A231" s="28" t="s">
        <v>372</v>
      </c>
      <c r="B231" s="28" t="s">
        <v>375</v>
      </c>
      <c r="C231" s="28" t="s">
        <v>2214</v>
      </c>
    </row>
    <row r="232" spans="1:3">
      <c r="A232" s="28" t="s">
        <v>372</v>
      </c>
      <c r="B232" s="28" t="s">
        <v>376</v>
      </c>
      <c r="C232" s="28" t="s">
        <v>2215</v>
      </c>
    </row>
    <row r="233" spans="1:3">
      <c r="A233" s="28" t="s">
        <v>372</v>
      </c>
      <c r="B233" s="28" t="s">
        <v>376</v>
      </c>
      <c r="C233" s="28" t="s">
        <v>2216</v>
      </c>
    </row>
    <row r="234" spans="1:3">
      <c r="A234" s="28" t="s">
        <v>372</v>
      </c>
      <c r="B234" s="28" t="s">
        <v>2217</v>
      </c>
      <c r="C234" s="28" t="s">
        <v>2218</v>
      </c>
    </row>
    <row r="235" spans="1:3">
      <c r="A235" s="28" t="s">
        <v>372</v>
      </c>
      <c r="B235" s="28" t="s">
        <v>385</v>
      </c>
      <c r="C235" s="28" t="s">
        <v>2219</v>
      </c>
    </row>
    <row r="236" spans="1:3">
      <c r="A236" s="28" t="s">
        <v>372</v>
      </c>
      <c r="B236" s="28" t="s">
        <v>2220</v>
      </c>
      <c r="C236" s="28" t="s">
        <v>2004</v>
      </c>
    </row>
    <row r="237" spans="1:3">
      <c r="A237" s="28" t="s">
        <v>372</v>
      </c>
      <c r="B237" s="28" t="s">
        <v>378</v>
      </c>
      <c r="C237" s="28" t="s">
        <v>2221</v>
      </c>
    </row>
    <row r="238" spans="1:3">
      <c r="A238" s="28" t="s">
        <v>372</v>
      </c>
      <c r="B238" s="28" t="s">
        <v>379</v>
      </c>
      <c r="C238" s="28" t="s">
        <v>2222</v>
      </c>
    </row>
    <row r="239" spans="1:3">
      <c r="A239" s="28" t="s">
        <v>372</v>
      </c>
      <c r="B239" s="28" t="s">
        <v>379</v>
      </c>
      <c r="C239" s="28" t="s">
        <v>2223</v>
      </c>
    </row>
    <row r="240" spans="1:3">
      <c r="A240" s="28" t="s">
        <v>372</v>
      </c>
      <c r="B240" s="28" t="s">
        <v>380</v>
      </c>
      <c r="C240" s="28" t="s">
        <v>2224</v>
      </c>
    </row>
    <row r="241" spans="1:3">
      <c r="A241" s="28" t="s">
        <v>372</v>
      </c>
      <c r="B241" s="28" t="s">
        <v>381</v>
      </c>
      <c r="C241" s="28" t="s">
        <v>2225</v>
      </c>
    </row>
    <row r="242" spans="1:3">
      <c r="A242" s="28" t="s">
        <v>372</v>
      </c>
      <c r="B242" s="28" t="s">
        <v>381</v>
      </c>
      <c r="C242" s="28" t="s">
        <v>2226</v>
      </c>
    </row>
    <row r="243" spans="1:3">
      <c r="A243" s="28" t="s">
        <v>372</v>
      </c>
      <c r="B243" s="28" t="s">
        <v>382</v>
      </c>
      <c r="C243" s="28" t="s">
        <v>2227</v>
      </c>
    </row>
    <row r="244" spans="1:3">
      <c r="A244" s="28" t="s">
        <v>372</v>
      </c>
      <c r="B244" s="28" t="s">
        <v>2228</v>
      </c>
      <c r="C244" s="28" t="s">
        <v>2103</v>
      </c>
    </row>
    <row r="245" spans="1:3">
      <c r="A245" s="28" t="s">
        <v>372</v>
      </c>
      <c r="B245" s="28" t="s">
        <v>383</v>
      </c>
      <c r="C245" s="28" t="s">
        <v>2229</v>
      </c>
    </row>
    <row r="246" spans="1:3">
      <c r="A246" s="28" t="s">
        <v>388</v>
      </c>
      <c r="B246" s="28" t="s">
        <v>389</v>
      </c>
      <c r="C246" s="28" t="s">
        <v>2230</v>
      </c>
    </row>
    <row r="247" spans="1:3">
      <c r="A247" s="28" t="s">
        <v>388</v>
      </c>
      <c r="B247" s="28" t="s">
        <v>390</v>
      </c>
      <c r="C247" s="28" t="s">
        <v>2231</v>
      </c>
    </row>
    <row r="248" spans="1:3">
      <c r="A248" s="28" t="s">
        <v>388</v>
      </c>
      <c r="B248" s="28" t="s">
        <v>411</v>
      </c>
      <c r="C248" s="28" t="s">
        <v>2232</v>
      </c>
    </row>
    <row r="249" spans="1:3">
      <c r="A249" s="28" t="s">
        <v>388</v>
      </c>
      <c r="B249" s="28" t="s">
        <v>405</v>
      </c>
      <c r="C249" s="28" t="s">
        <v>2233</v>
      </c>
    </row>
    <row r="250" spans="1:3">
      <c r="A250" s="28" t="s">
        <v>388</v>
      </c>
      <c r="B250" s="28" t="s">
        <v>394</v>
      </c>
      <c r="C250" s="28" t="s">
        <v>2234</v>
      </c>
    </row>
    <row r="251" spans="1:3">
      <c r="A251" s="28" t="s">
        <v>388</v>
      </c>
      <c r="B251" s="28" t="s">
        <v>395</v>
      </c>
      <c r="C251" s="28" t="s">
        <v>2235</v>
      </c>
    </row>
    <row r="252" spans="1:3">
      <c r="A252" s="28" t="s">
        <v>388</v>
      </c>
      <c r="B252" s="28" t="s">
        <v>396</v>
      </c>
      <c r="C252" s="28" t="s">
        <v>2236</v>
      </c>
    </row>
    <row r="253" spans="1:3">
      <c r="A253" s="28" t="s">
        <v>388</v>
      </c>
      <c r="B253" s="28" t="s">
        <v>2237</v>
      </c>
      <c r="C253" s="28" t="s">
        <v>2238</v>
      </c>
    </row>
    <row r="254" spans="1:3">
      <c r="A254" s="28" t="s">
        <v>388</v>
      </c>
      <c r="B254" s="28" t="s">
        <v>2239</v>
      </c>
      <c r="C254" s="28" t="s">
        <v>2240</v>
      </c>
    </row>
    <row r="255" spans="1:3">
      <c r="A255" s="28" t="s">
        <v>388</v>
      </c>
      <c r="B255" s="28" t="s">
        <v>391</v>
      </c>
      <c r="C255" s="28" t="s">
        <v>2241</v>
      </c>
    </row>
    <row r="256" spans="1:3">
      <c r="A256" s="28" t="s">
        <v>388</v>
      </c>
      <c r="B256" s="28" t="s">
        <v>391</v>
      </c>
      <c r="C256" s="28" t="s">
        <v>2242</v>
      </c>
    </row>
    <row r="257" spans="1:3">
      <c r="A257" s="28" t="s">
        <v>388</v>
      </c>
      <c r="B257" s="28" t="s">
        <v>2243</v>
      </c>
      <c r="C257" s="28" t="s">
        <v>2244</v>
      </c>
    </row>
    <row r="258" spans="1:3">
      <c r="A258" s="28" t="s">
        <v>388</v>
      </c>
      <c r="B258" s="28" t="s">
        <v>397</v>
      </c>
      <c r="C258" s="28" t="s">
        <v>2245</v>
      </c>
    </row>
    <row r="259" spans="1:3">
      <c r="A259" s="28" t="s">
        <v>388</v>
      </c>
      <c r="B259" s="28" t="s">
        <v>398</v>
      </c>
      <c r="C259" s="28" t="s">
        <v>2246</v>
      </c>
    </row>
    <row r="260" spans="1:3">
      <c r="A260" s="28" t="s">
        <v>388</v>
      </c>
      <c r="B260" s="28" t="s">
        <v>399</v>
      </c>
      <c r="C260" s="28" t="s">
        <v>2247</v>
      </c>
    </row>
    <row r="261" spans="1:3">
      <c r="A261" s="28" t="s">
        <v>388</v>
      </c>
      <c r="B261" s="28" t="s">
        <v>400</v>
      </c>
      <c r="C261" s="28" t="s">
        <v>2248</v>
      </c>
    </row>
    <row r="262" spans="1:3">
      <c r="A262" s="28" t="s">
        <v>388</v>
      </c>
      <c r="B262" s="28" t="s">
        <v>401</v>
      </c>
      <c r="C262" s="28" t="s">
        <v>2249</v>
      </c>
    </row>
    <row r="263" spans="1:3">
      <c r="A263" s="28" t="s">
        <v>388</v>
      </c>
      <c r="B263" s="28" t="s">
        <v>402</v>
      </c>
      <c r="C263" s="28" t="s">
        <v>2250</v>
      </c>
    </row>
    <row r="264" spans="1:3">
      <c r="A264" s="28" t="s">
        <v>388</v>
      </c>
      <c r="B264" s="28" t="s">
        <v>403</v>
      </c>
      <c r="C264" s="28" t="s">
        <v>2010</v>
      </c>
    </row>
    <row r="265" spans="1:3">
      <c r="A265" s="28" t="s">
        <v>388</v>
      </c>
      <c r="B265" s="28" t="s">
        <v>404</v>
      </c>
      <c r="C265" s="28" t="s">
        <v>2251</v>
      </c>
    </row>
    <row r="266" spans="1:3">
      <c r="A266" s="28" t="s">
        <v>412</v>
      </c>
      <c r="B266" s="28" t="s">
        <v>413</v>
      </c>
      <c r="C266" s="28" t="s">
        <v>2252</v>
      </c>
    </row>
    <row r="267" spans="1:3">
      <c r="A267" s="28" t="s">
        <v>412</v>
      </c>
      <c r="B267" s="28" t="s">
        <v>414</v>
      </c>
      <c r="C267" s="28" t="s">
        <v>2253</v>
      </c>
    </row>
    <row r="268" spans="1:3">
      <c r="A268" s="28" t="s">
        <v>412</v>
      </c>
      <c r="B268" s="28" t="s">
        <v>415</v>
      </c>
      <c r="C268" s="28" t="s">
        <v>2254</v>
      </c>
    </row>
    <row r="269" spans="1:3">
      <c r="A269" s="28" t="s">
        <v>412</v>
      </c>
      <c r="B269" s="28" t="s">
        <v>416</v>
      </c>
      <c r="C269" s="28" t="s">
        <v>2255</v>
      </c>
    </row>
    <row r="270" spans="1:3">
      <c r="A270" s="28" t="s">
        <v>412</v>
      </c>
      <c r="B270" s="28" t="s">
        <v>417</v>
      </c>
      <c r="C270" s="28" t="s">
        <v>2256</v>
      </c>
    </row>
    <row r="271" spans="1:3">
      <c r="A271" s="28" t="s">
        <v>412</v>
      </c>
      <c r="B271" s="28" t="s">
        <v>418</v>
      </c>
      <c r="C271" s="28" t="s">
        <v>2257</v>
      </c>
    </row>
    <row r="272" spans="1:3">
      <c r="A272" s="28" t="s">
        <v>412</v>
      </c>
      <c r="B272" s="28" t="s">
        <v>427</v>
      </c>
      <c r="C272" s="28" t="s">
        <v>2258</v>
      </c>
    </row>
    <row r="273" spans="1:3">
      <c r="A273" s="28" t="s">
        <v>412</v>
      </c>
      <c r="B273" s="28" t="s">
        <v>2259</v>
      </c>
      <c r="C273" s="28" t="s">
        <v>2004</v>
      </c>
    </row>
    <row r="274" spans="1:3">
      <c r="A274" s="28" t="s">
        <v>412</v>
      </c>
      <c r="B274" s="28" t="s">
        <v>419</v>
      </c>
      <c r="C274" s="28" t="s">
        <v>2260</v>
      </c>
    </row>
    <row r="275" spans="1:3">
      <c r="A275" s="28" t="s">
        <v>412</v>
      </c>
      <c r="B275" s="28" t="s">
        <v>420</v>
      </c>
      <c r="C275" s="28" t="s">
        <v>2261</v>
      </c>
    </row>
    <row r="276" spans="1:3">
      <c r="A276" s="28" t="s">
        <v>412</v>
      </c>
      <c r="B276" s="28" t="s">
        <v>421</v>
      </c>
      <c r="C276" s="28" t="s">
        <v>2262</v>
      </c>
    </row>
    <row r="277" spans="1:3">
      <c r="A277" s="28" t="s">
        <v>412</v>
      </c>
      <c r="B277" s="28" t="s">
        <v>422</v>
      </c>
      <c r="C277" s="28" t="s">
        <v>2263</v>
      </c>
    </row>
    <row r="278" spans="1:3">
      <c r="A278" s="28" t="s">
        <v>412</v>
      </c>
      <c r="B278" s="28" t="s">
        <v>428</v>
      </c>
      <c r="C278" s="28" t="s">
        <v>2264</v>
      </c>
    </row>
    <row r="279" spans="1:3">
      <c r="A279" s="28" t="s">
        <v>412</v>
      </c>
      <c r="B279" s="28" t="s">
        <v>423</v>
      </c>
      <c r="C279" s="28" t="s">
        <v>2265</v>
      </c>
    </row>
    <row r="280" spans="1:3">
      <c r="A280" s="28" t="s">
        <v>412</v>
      </c>
      <c r="B280" s="28" t="s">
        <v>424</v>
      </c>
      <c r="C280" s="28" t="s">
        <v>2010</v>
      </c>
    </row>
    <row r="281" spans="1:3">
      <c r="A281" s="28" t="s">
        <v>412</v>
      </c>
      <c r="B281" s="28" t="s">
        <v>425</v>
      </c>
      <c r="C281" s="28" t="s">
        <v>2266</v>
      </c>
    </row>
    <row r="282" spans="1:3">
      <c r="A282" s="28" t="s">
        <v>412</v>
      </c>
      <c r="B282" s="28" t="s">
        <v>426</v>
      </c>
      <c r="C282" s="28" t="s">
        <v>2267</v>
      </c>
    </row>
    <row r="283" spans="1:3">
      <c r="A283" s="28" t="s">
        <v>412</v>
      </c>
      <c r="B283" s="28" t="s">
        <v>426</v>
      </c>
      <c r="C283" s="28" t="s">
        <v>2268</v>
      </c>
    </row>
    <row r="284" spans="1:3">
      <c r="A284" s="28" t="s">
        <v>431</v>
      </c>
      <c r="B284" s="28" t="s">
        <v>432</v>
      </c>
      <c r="C284" s="28" t="s">
        <v>2269</v>
      </c>
    </row>
    <row r="285" spans="1:3">
      <c r="A285" s="28" t="s">
        <v>431</v>
      </c>
      <c r="B285" s="28" t="s">
        <v>433</v>
      </c>
      <c r="C285" s="28" t="s">
        <v>2270</v>
      </c>
    </row>
    <row r="286" spans="1:3">
      <c r="A286" s="28" t="s">
        <v>431</v>
      </c>
      <c r="B286" s="28" t="s">
        <v>434</v>
      </c>
      <c r="C286" s="28" t="s">
        <v>2271</v>
      </c>
    </row>
    <row r="287" spans="1:3">
      <c r="A287" s="28" t="s">
        <v>431</v>
      </c>
      <c r="B287" s="28" t="s">
        <v>435</v>
      </c>
      <c r="C287" s="28" t="s">
        <v>2272</v>
      </c>
    </row>
    <row r="288" spans="1:3">
      <c r="A288" s="28" t="s">
        <v>431</v>
      </c>
      <c r="B288" s="28" t="s">
        <v>2273</v>
      </c>
      <c r="C288" s="28" t="s">
        <v>2004</v>
      </c>
    </row>
    <row r="289" spans="1:3">
      <c r="A289" s="28" t="s">
        <v>431</v>
      </c>
      <c r="B289" s="28" t="s">
        <v>436</v>
      </c>
      <c r="C289" s="28" t="s">
        <v>2274</v>
      </c>
    </row>
    <row r="290" spans="1:3">
      <c r="A290" s="28" t="s">
        <v>431</v>
      </c>
      <c r="B290" s="28" t="s">
        <v>437</v>
      </c>
      <c r="C290" s="28" t="s">
        <v>2275</v>
      </c>
    </row>
    <row r="291" spans="1:3">
      <c r="A291" s="28" t="s">
        <v>431</v>
      </c>
      <c r="B291" s="28" t="s">
        <v>438</v>
      </c>
      <c r="C291" s="28" t="s">
        <v>2276</v>
      </c>
    </row>
    <row r="292" spans="1:3">
      <c r="A292" s="28" t="s">
        <v>431</v>
      </c>
      <c r="B292" s="28" t="s">
        <v>439</v>
      </c>
      <c r="C292" s="28" t="s">
        <v>2277</v>
      </c>
    </row>
    <row r="293" spans="1:3">
      <c r="A293" s="28" t="s">
        <v>431</v>
      </c>
      <c r="B293" s="28" t="s">
        <v>440</v>
      </c>
      <c r="C293" s="28" t="s">
        <v>2278</v>
      </c>
    </row>
    <row r="294" spans="1:3">
      <c r="A294" s="28" t="s">
        <v>431</v>
      </c>
      <c r="B294" s="28" t="s">
        <v>2279</v>
      </c>
      <c r="C294" s="28" t="s">
        <v>2103</v>
      </c>
    </row>
    <row r="295" spans="1:3">
      <c r="A295" s="28" t="s">
        <v>431</v>
      </c>
      <c r="B295" s="28" t="s">
        <v>441</v>
      </c>
      <c r="C295" s="28" t="s">
        <v>2280</v>
      </c>
    </row>
    <row r="296" spans="1:3">
      <c r="A296" s="28" t="s">
        <v>442</v>
      </c>
      <c r="B296" s="28" t="s">
        <v>2281</v>
      </c>
      <c r="C296" s="28" t="s">
        <v>2282</v>
      </c>
    </row>
    <row r="297" spans="1:3">
      <c r="A297" s="28" t="s">
        <v>442</v>
      </c>
      <c r="B297" s="28" t="s">
        <v>445</v>
      </c>
      <c r="C297" s="28" t="s">
        <v>2283</v>
      </c>
    </row>
    <row r="298" spans="1:3">
      <c r="A298" s="28" t="s">
        <v>442</v>
      </c>
      <c r="B298" s="28" t="s">
        <v>453</v>
      </c>
      <c r="C298" s="28" t="s">
        <v>2284</v>
      </c>
    </row>
    <row r="299" spans="1:3">
      <c r="A299" s="28" t="s">
        <v>442</v>
      </c>
      <c r="B299" s="28" t="s">
        <v>2285</v>
      </c>
      <c r="C299" s="28" t="s">
        <v>2004</v>
      </c>
    </row>
    <row r="300" spans="1:3">
      <c r="A300" s="28" t="s">
        <v>442</v>
      </c>
      <c r="B300" s="28" t="s">
        <v>446</v>
      </c>
      <c r="C300" s="28" t="s">
        <v>2017</v>
      </c>
    </row>
    <row r="301" spans="1:3">
      <c r="A301" s="28" t="s">
        <v>442</v>
      </c>
      <c r="B301" s="28" t="s">
        <v>447</v>
      </c>
      <c r="C301" s="28" t="s">
        <v>2286</v>
      </c>
    </row>
    <row r="302" spans="1:3">
      <c r="A302" s="28" t="s">
        <v>442</v>
      </c>
      <c r="B302" s="28" t="s">
        <v>448</v>
      </c>
      <c r="C302" s="28" t="s">
        <v>2287</v>
      </c>
    </row>
    <row r="303" spans="1:3">
      <c r="A303" s="28" t="s">
        <v>442</v>
      </c>
      <c r="B303" s="28" t="s">
        <v>449</v>
      </c>
      <c r="C303" s="28" t="s">
        <v>2288</v>
      </c>
    </row>
    <row r="304" spans="1:3">
      <c r="A304" s="28" t="s">
        <v>442</v>
      </c>
      <c r="B304" s="28" t="s">
        <v>450</v>
      </c>
      <c r="C304" s="28" t="s">
        <v>2289</v>
      </c>
    </row>
    <row r="305" spans="1:3">
      <c r="A305" s="28" t="s">
        <v>442</v>
      </c>
      <c r="B305" s="28" t="s">
        <v>451</v>
      </c>
      <c r="C305" s="28" t="s">
        <v>2010</v>
      </c>
    </row>
    <row r="306" spans="1:3">
      <c r="A306" s="28" t="s">
        <v>442</v>
      </c>
      <c r="B306" s="28" t="s">
        <v>452</v>
      </c>
      <c r="C306" s="28" t="s">
        <v>2290</v>
      </c>
    </row>
    <row r="307" spans="1:3">
      <c r="A307" s="28" t="s">
        <v>456</v>
      </c>
      <c r="B307" s="28" t="s">
        <v>457</v>
      </c>
      <c r="C307" s="28" t="s">
        <v>2291</v>
      </c>
    </row>
    <row r="308" spans="1:3">
      <c r="A308" s="28" t="s">
        <v>456</v>
      </c>
      <c r="B308" s="28" t="s">
        <v>458</v>
      </c>
      <c r="C308" s="28" t="s">
        <v>2292</v>
      </c>
    </row>
    <row r="309" spans="1:3">
      <c r="A309" s="28" t="s">
        <v>456</v>
      </c>
      <c r="B309" s="28" t="s">
        <v>465</v>
      </c>
      <c r="C309" s="28" t="s">
        <v>2293</v>
      </c>
    </row>
    <row r="310" spans="1:3">
      <c r="A310" s="28" t="s">
        <v>456</v>
      </c>
      <c r="B310" s="28" t="s">
        <v>466</v>
      </c>
      <c r="C310" s="28" t="s">
        <v>2294</v>
      </c>
    </row>
    <row r="311" spans="1:3">
      <c r="A311" s="28" t="s">
        <v>456</v>
      </c>
      <c r="B311" s="28" t="s">
        <v>2295</v>
      </c>
      <c r="C311" s="28" t="s">
        <v>2004</v>
      </c>
    </row>
    <row r="312" spans="1:3">
      <c r="A312" s="28" t="s">
        <v>456</v>
      </c>
      <c r="B312" s="28" t="s">
        <v>467</v>
      </c>
      <c r="C312" s="28" t="s">
        <v>2296</v>
      </c>
    </row>
    <row r="313" spans="1:3">
      <c r="A313" s="28" t="s">
        <v>456</v>
      </c>
      <c r="B313" s="28" t="s">
        <v>468</v>
      </c>
      <c r="C313" s="28" t="s">
        <v>2297</v>
      </c>
    </row>
    <row r="314" spans="1:3">
      <c r="A314" s="28" t="s">
        <v>456</v>
      </c>
      <c r="B314" s="28" t="s">
        <v>471</v>
      </c>
      <c r="C314" s="28" t="s">
        <v>2298</v>
      </c>
    </row>
    <row r="315" spans="1:3">
      <c r="A315" s="28" t="s">
        <v>456</v>
      </c>
      <c r="B315" s="28" t="s">
        <v>472</v>
      </c>
      <c r="C315" s="28" t="s">
        <v>2299</v>
      </c>
    </row>
    <row r="316" spans="1:3">
      <c r="A316" s="28" t="s">
        <v>456</v>
      </c>
      <c r="B316" s="28" t="s">
        <v>473</v>
      </c>
      <c r="C316" s="28" t="s">
        <v>2300</v>
      </c>
    </row>
    <row r="317" spans="1:3">
      <c r="A317" s="28" t="s">
        <v>456</v>
      </c>
      <c r="B317" s="28" t="s">
        <v>474</v>
      </c>
      <c r="C317" s="28" t="s">
        <v>2301</v>
      </c>
    </row>
    <row r="318" spans="1:3">
      <c r="A318" s="28" t="s">
        <v>456</v>
      </c>
      <c r="B318" s="28" t="s">
        <v>2302</v>
      </c>
      <c r="C318" s="28" t="s">
        <v>2103</v>
      </c>
    </row>
    <row r="319" spans="1:3">
      <c r="A319" s="28" t="s">
        <v>456</v>
      </c>
      <c r="B319" s="28" t="s">
        <v>475</v>
      </c>
      <c r="C319" s="28" t="s">
        <v>2303</v>
      </c>
    </row>
    <row r="320" spans="1:3">
      <c r="A320" s="28" t="s">
        <v>476</v>
      </c>
      <c r="B320" s="28" t="s">
        <v>477</v>
      </c>
      <c r="C320" s="28" t="s">
        <v>2304</v>
      </c>
    </row>
    <row r="321" spans="1:3">
      <c r="A321" s="28" t="s">
        <v>476</v>
      </c>
      <c r="B321" s="28" t="s">
        <v>480</v>
      </c>
      <c r="C321" s="28" t="s">
        <v>2305</v>
      </c>
    </row>
    <row r="322" spans="1:3">
      <c r="A322" s="28" t="s">
        <v>476</v>
      </c>
      <c r="B322" s="28" t="s">
        <v>2306</v>
      </c>
      <c r="C322" s="28" t="s">
        <v>2307</v>
      </c>
    </row>
    <row r="323" spans="1:3">
      <c r="A323" s="28" t="s">
        <v>476</v>
      </c>
      <c r="B323" s="28" t="s">
        <v>481</v>
      </c>
      <c r="C323" s="28" t="s">
        <v>2308</v>
      </c>
    </row>
    <row r="324" spans="1:3">
      <c r="A324" s="28" t="s">
        <v>476</v>
      </c>
      <c r="B324" s="28" t="s">
        <v>483</v>
      </c>
      <c r="C324" s="28" t="s">
        <v>2309</v>
      </c>
    </row>
    <row r="325" spans="1:3">
      <c r="A325" s="28" t="s">
        <v>476</v>
      </c>
      <c r="B325" s="28" t="s">
        <v>484</v>
      </c>
      <c r="C325" s="28" t="s">
        <v>2310</v>
      </c>
    </row>
    <row r="326" spans="1:3">
      <c r="A326" s="28" t="s">
        <v>476</v>
      </c>
      <c r="B326" s="28" t="s">
        <v>2311</v>
      </c>
      <c r="C326" s="28" t="s">
        <v>2004</v>
      </c>
    </row>
    <row r="327" spans="1:3">
      <c r="A327" s="28" t="s">
        <v>476</v>
      </c>
      <c r="B327" s="28" t="s">
        <v>485</v>
      </c>
      <c r="C327" s="28" t="s">
        <v>2312</v>
      </c>
    </row>
    <row r="328" spans="1:3">
      <c r="A328" s="28" t="s">
        <v>476</v>
      </c>
      <c r="B328" s="28" t="s">
        <v>486</v>
      </c>
      <c r="C328" s="28" t="s">
        <v>2313</v>
      </c>
    </row>
    <row r="329" spans="1:3">
      <c r="A329" s="28" t="s">
        <v>476</v>
      </c>
      <c r="B329" s="28" t="s">
        <v>487</v>
      </c>
      <c r="C329" s="28" t="s">
        <v>2314</v>
      </c>
    </row>
    <row r="330" spans="1:3">
      <c r="A330" s="28" t="s">
        <v>476</v>
      </c>
      <c r="B330" s="28" t="s">
        <v>488</v>
      </c>
      <c r="C330" s="28" t="s">
        <v>2315</v>
      </c>
    </row>
    <row r="331" spans="1:3">
      <c r="A331" s="28" t="s">
        <v>476</v>
      </c>
      <c r="B331" s="28" t="s">
        <v>489</v>
      </c>
      <c r="C331" s="28" t="s">
        <v>2316</v>
      </c>
    </row>
    <row r="332" spans="1:3">
      <c r="A332" s="28" t="s">
        <v>476</v>
      </c>
      <c r="B332" s="28" t="s">
        <v>490</v>
      </c>
      <c r="C332" s="28" t="s">
        <v>2076</v>
      </c>
    </row>
    <row r="333" spans="1:3">
      <c r="A333" s="28" t="s">
        <v>476</v>
      </c>
      <c r="B333" s="28" t="s">
        <v>491</v>
      </c>
      <c r="C333" s="28" t="s">
        <v>2317</v>
      </c>
    </row>
    <row r="334" spans="1:3">
      <c r="A334" s="28" t="s">
        <v>492</v>
      </c>
      <c r="B334" s="28" t="s">
        <v>493</v>
      </c>
      <c r="C334" s="28" t="s">
        <v>2318</v>
      </c>
    </row>
    <row r="335" spans="1:3">
      <c r="A335" s="28" t="s">
        <v>492</v>
      </c>
      <c r="B335" s="28" t="s">
        <v>2319</v>
      </c>
      <c r="C335" s="28" t="s">
        <v>2320</v>
      </c>
    </row>
    <row r="336" spans="1:3">
      <c r="A336" s="28" t="s">
        <v>492</v>
      </c>
      <c r="B336" s="28" t="s">
        <v>500</v>
      </c>
      <c r="C336" s="28" t="s">
        <v>2321</v>
      </c>
    </row>
    <row r="337" spans="1:3">
      <c r="A337" s="28" t="s">
        <v>492</v>
      </c>
      <c r="B337" s="28" t="s">
        <v>504</v>
      </c>
      <c r="C337" s="28" t="s">
        <v>2322</v>
      </c>
    </row>
    <row r="338" spans="1:3">
      <c r="A338" s="28" t="s">
        <v>492</v>
      </c>
      <c r="B338" s="28" t="s">
        <v>506</v>
      </c>
      <c r="C338" s="28" t="s">
        <v>2323</v>
      </c>
    </row>
    <row r="339" spans="1:3">
      <c r="A339" s="28" t="s">
        <v>492</v>
      </c>
      <c r="B339" s="28" t="s">
        <v>2324</v>
      </c>
      <c r="C339" s="28" t="s">
        <v>2325</v>
      </c>
    </row>
    <row r="340" spans="1:3">
      <c r="A340" s="28" t="s">
        <v>492</v>
      </c>
      <c r="B340" s="28" t="s">
        <v>508</v>
      </c>
      <c r="C340" s="28" t="s">
        <v>2326</v>
      </c>
    </row>
    <row r="341" spans="1:3">
      <c r="A341" s="28" t="s">
        <v>492</v>
      </c>
      <c r="B341" s="28" t="s">
        <v>510</v>
      </c>
      <c r="C341" s="28" t="s">
        <v>2327</v>
      </c>
    </row>
    <row r="342" spans="1:3">
      <c r="A342" s="28" t="s">
        <v>492</v>
      </c>
      <c r="B342" s="28" t="s">
        <v>512</v>
      </c>
      <c r="C342" s="28" t="s">
        <v>2328</v>
      </c>
    </row>
    <row r="343" spans="1:3">
      <c r="A343" s="28" t="s">
        <v>492</v>
      </c>
      <c r="B343" s="28" t="s">
        <v>514</v>
      </c>
      <c r="C343" s="28" t="s">
        <v>2329</v>
      </c>
    </row>
    <row r="344" spans="1:3">
      <c r="A344" s="28" t="s">
        <v>492</v>
      </c>
      <c r="B344" s="28" t="s">
        <v>516</v>
      </c>
      <c r="C344" s="28" t="s">
        <v>2330</v>
      </c>
    </row>
    <row r="345" spans="1:3">
      <c r="A345" s="28" t="s">
        <v>492</v>
      </c>
      <c r="B345" s="28" t="s">
        <v>518</v>
      </c>
      <c r="C345" s="28" t="s">
        <v>2331</v>
      </c>
    </row>
    <row r="346" spans="1:3">
      <c r="A346" s="28" t="s">
        <v>492</v>
      </c>
      <c r="B346" s="28" t="s">
        <v>519</v>
      </c>
      <c r="C346" s="28" t="s">
        <v>2332</v>
      </c>
    </row>
    <row r="347" spans="1:3">
      <c r="A347" s="28" t="s">
        <v>492</v>
      </c>
      <c r="B347" s="28" t="s">
        <v>521</v>
      </c>
      <c r="C347" s="28" t="s">
        <v>2333</v>
      </c>
    </row>
    <row r="348" spans="1:3">
      <c r="A348" s="28" t="s">
        <v>492</v>
      </c>
      <c r="B348" s="28" t="s">
        <v>523</v>
      </c>
      <c r="C348" s="28" t="s">
        <v>2010</v>
      </c>
    </row>
    <row r="349" spans="1:3">
      <c r="A349" s="28" t="s">
        <v>492</v>
      </c>
      <c r="B349" s="28" t="s">
        <v>525</v>
      </c>
      <c r="C349" s="28" t="s">
        <v>2334</v>
      </c>
    </row>
    <row r="350" spans="1:3">
      <c r="A350" s="28" t="s">
        <v>527</v>
      </c>
      <c r="B350" s="28" t="s">
        <v>528</v>
      </c>
      <c r="C350" s="28" t="s">
        <v>2335</v>
      </c>
    </row>
    <row r="351" spans="1:3">
      <c r="A351" s="28" t="s">
        <v>527</v>
      </c>
      <c r="B351" s="28" t="s">
        <v>529</v>
      </c>
      <c r="C351" s="28" t="s">
        <v>2336</v>
      </c>
    </row>
    <row r="352" spans="1:3">
      <c r="A352" s="28" t="s">
        <v>527</v>
      </c>
      <c r="B352" s="28" t="s">
        <v>530</v>
      </c>
      <c r="C352" s="28" t="s">
        <v>2337</v>
      </c>
    </row>
    <row r="353" spans="1:3">
      <c r="A353" s="28" t="s">
        <v>527</v>
      </c>
      <c r="B353" s="28" t="s">
        <v>531</v>
      </c>
      <c r="C353" s="28" t="s">
        <v>2338</v>
      </c>
    </row>
    <row r="354" spans="1:3">
      <c r="A354" s="28" t="s">
        <v>527</v>
      </c>
      <c r="B354" s="28" t="s">
        <v>2339</v>
      </c>
      <c r="C354" s="28" t="s">
        <v>2004</v>
      </c>
    </row>
    <row r="355" spans="1:3">
      <c r="A355" s="28" t="s">
        <v>527</v>
      </c>
      <c r="B355" s="28" t="s">
        <v>533</v>
      </c>
      <c r="C355" s="28" t="s">
        <v>2340</v>
      </c>
    </row>
    <row r="356" spans="1:3">
      <c r="A356" s="28" t="s">
        <v>527</v>
      </c>
      <c r="B356" s="28" t="s">
        <v>534</v>
      </c>
      <c r="C356" s="28" t="s">
        <v>2341</v>
      </c>
    </row>
    <row r="357" spans="1:3">
      <c r="A357" s="28" t="s">
        <v>527</v>
      </c>
      <c r="B357" s="28" t="s">
        <v>535</v>
      </c>
      <c r="C357" s="28" t="s">
        <v>2342</v>
      </c>
    </row>
    <row r="358" spans="1:3">
      <c r="A358" s="28" t="s">
        <v>527</v>
      </c>
      <c r="B358" s="28" t="s">
        <v>536</v>
      </c>
      <c r="C358" s="28" t="s">
        <v>2343</v>
      </c>
    </row>
    <row r="359" spans="1:3">
      <c r="A359" s="28" t="s">
        <v>527</v>
      </c>
      <c r="B359" s="28" t="s">
        <v>537</v>
      </c>
      <c r="C359" s="28" t="s">
        <v>2344</v>
      </c>
    </row>
    <row r="360" spans="1:3">
      <c r="A360" s="28" t="s">
        <v>527</v>
      </c>
      <c r="B360" s="28" t="s">
        <v>538</v>
      </c>
      <c r="C360" s="28" t="s">
        <v>2345</v>
      </c>
    </row>
    <row r="361" spans="1:3">
      <c r="A361" s="28" t="s">
        <v>527</v>
      </c>
      <c r="B361" s="28" t="s">
        <v>539</v>
      </c>
      <c r="C361" s="28" t="s">
        <v>2346</v>
      </c>
    </row>
    <row r="362" spans="1:3">
      <c r="A362" s="28" t="s">
        <v>540</v>
      </c>
      <c r="B362" s="28" t="s">
        <v>541</v>
      </c>
      <c r="C362" s="28" t="s">
        <v>2347</v>
      </c>
    </row>
    <row r="363" spans="1:3">
      <c r="A363" s="28" t="s">
        <v>540</v>
      </c>
      <c r="B363" s="28" t="s">
        <v>542</v>
      </c>
      <c r="C363" s="28" t="s">
        <v>2348</v>
      </c>
    </row>
    <row r="364" spans="1:3">
      <c r="A364" s="28" t="s">
        <v>540</v>
      </c>
      <c r="B364" s="28" t="s">
        <v>543</v>
      </c>
      <c r="C364" s="28" t="s">
        <v>2349</v>
      </c>
    </row>
    <row r="365" spans="1:3">
      <c r="A365" s="28" t="s">
        <v>540</v>
      </c>
      <c r="B365" s="28" t="s">
        <v>546</v>
      </c>
      <c r="C365" s="28" t="s">
        <v>2350</v>
      </c>
    </row>
    <row r="366" spans="1:3">
      <c r="A366" s="28" t="s">
        <v>540</v>
      </c>
      <c r="B366" s="28" t="s">
        <v>545</v>
      </c>
      <c r="C366" s="28" t="s">
        <v>2351</v>
      </c>
    </row>
    <row r="367" spans="1:3">
      <c r="A367" s="28" t="s">
        <v>540</v>
      </c>
      <c r="B367" s="28" t="s">
        <v>2352</v>
      </c>
      <c r="C367" s="28" t="s">
        <v>2004</v>
      </c>
    </row>
    <row r="368" spans="1:3">
      <c r="A368" s="28" t="s">
        <v>540</v>
      </c>
      <c r="B368" s="28" t="s">
        <v>548</v>
      </c>
      <c r="C368" s="28" t="s">
        <v>2017</v>
      </c>
    </row>
    <row r="369" spans="1:3">
      <c r="A369" s="28" t="s">
        <v>540</v>
      </c>
      <c r="B369" s="28" t="s">
        <v>549</v>
      </c>
      <c r="C369" s="28" t="s">
        <v>2353</v>
      </c>
    </row>
    <row r="370" spans="1:3">
      <c r="A370" s="28" t="s">
        <v>540</v>
      </c>
      <c r="B370" s="28" t="s">
        <v>550</v>
      </c>
      <c r="C370" s="28" t="s">
        <v>2354</v>
      </c>
    </row>
    <row r="371" spans="1:3">
      <c r="A371" s="28" t="s">
        <v>540</v>
      </c>
      <c r="B371" s="28" t="s">
        <v>551</v>
      </c>
      <c r="C371" s="28" t="s">
        <v>2355</v>
      </c>
    </row>
    <row r="372" spans="1:3">
      <c r="A372" s="28" t="s">
        <v>540</v>
      </c>
      <c r="B372" s="28" t="s">
        <v>552</v>
      </c>
      <c r="C372" s="28" t="s">
        <v>2356</v>
      </c>
    </row>
    <row r="373" spans="1:3">
      <c r="A373" s="28" t="s">
        <v>540</v>
      </c>
      <c r="B373" s="28" t="s">
        <v>553</v>
      </c>
      <c r="C373" s="28" t="s">
        <v>2076</v>
      </c>
    </row>
    <row r="374" spans="1:3">
      <c r="A374" s="28" t="s">
        <v>540</v>
      </c>
      <c r="B374" s="28" t="s">
        <v>554</v>
      </c>
      <c r="C374" s="28" t="s">
        <v>2022</v>
      </c>
    </row>
    <row r="375" spans="1:3">
      <c r="A375" s="28" t="s">
        <v>555</v>
      </c>
      <c r="B375" s="28" t="s">
        <v>556</v>
      </c>
      <c r="C375" s="28" t="s">
        <v>2357</v>
      </c>
    </row>
    <row r="376" spans="1:3">
      <c r="A376" s="28" t="s">
        <v>555</v>
      </c>
      <c r="B376" s="28" t="s">
        <v>571</v>
      </c>
      <c r="C376" s="28" t="s">
        <v>2358</v>
      </c>
    </row>
    <row r="377" spans="1:3">
      <c r="A377" s="28" t="s">
        <v>555</v>
      </c>
      <c r="B377" s="28" t="s">
        <v>560</v>
      </c>
      <c r="C377" s="28" t="s">
        <v>2359</v>
      </c>
    </row>
    <row r="378" spans="1:3">
      <c r="A378" s="28" t="s">
        <v>555</v>
      </c>
      <c r="B378" s="28" t="s">
        <v>561</v>
      </c>
      <c r="C378" s="28" t="s">
        <v>2360</v>
      </c>
    </row>
    <row r="379" spans="1:3">
      <c r="A379" s="28" t="s">
        <v>555</v>
      </c>
      <c r="B379" s="28" t="s">
        <v>2361</v>
      </c>
      <c r="C379" s="28" t="s">
        <v>2004</v>
      </c>
    </row>
    <row r="380" spans="1:3">
      <c r="A380" s="28" t="s">
        <v>555</v>
      </c>
      <c r="B380" s="28" t="s">
        <v>562</v>
      </c>
      <c r="C380" s="28" t="s">
        <v>2362</v>
      </c>
    </row>
    <row r="381" spans="1:3">
      <c r="A381" s="28" t="s">
        <v>555</v>
      </c>
      <c r="B381" s="28" t="s">
        <v>563</v>
      </c>
      <c r="C381" s="28" t="s">
        <v>2363</v>
      </c>
    </row>
    <row r="382" spans="1:3">
      <c r="A382" s="28" t="s">
        <v>555</v>
      </c>
      <c r="B382" s="28" t="s">
        <v>566</v>
      </c>
      <c r="C382" s="28" t="s">
        <v>2364</v>
      </c>
    </row>
    <row r="383" spans="1:3">
      <c r="A383" s="28" t="s">
        <v>555</v>
      </c>
      <c r="B383" s="28" t="s">
        <v>567</v>
      </c>
      <c r="C383" s="28" t="s">
        <v>2365</v>
      </c>
    </row>
    <row r="384" spans="1:3">
      <c r="A384" s="28" t="s">
        <v>555</v>
      </c>
      <c r="B384" s="28" t="s">
        <v>568</v>
      </c>
      <c r="C384" s="28" t="s">
        <v>2366</v>
      </c>
    </row>
    <row r="385" spans="1:3">
      <c r="A385" s="28" t="s">
        <v>555</v>
      </c>
      <c r="B385" s="28" t="s">
        <v>569</v>
      </c>
      <c r="C385" s="28" t="s">
        <v>2010</v>
      </c>
    </row>
    <row r="386" spans="1:3">
      <c r="A386" s="28" t="s">
        <v>555</v>
      </c>
      <c r="B386" s="28" t="s">
        <v>570</v>
      </c>
      <c r="C386" s="28" t="s">
        <v>2367</v>
      </c>
    </row>
    <row r="387" spans="1:3">
      <c r="A387" s="28" t="s">
        <v>572</v>
      </c>
      <c r="B387" s="28" t="s">
        <v>573</v>
      </c>
      <c r="C387" s="28" t="s">
        <v>2368</v>
      </c>
    </row>
    <row r="388" spans="1:3">
      <c r="A388" s="28" t="s">
        <v>572</v>
      </c>
      <c r="B388" s="28" t="s">
        <v>575</v>
      </c>
      <c r="C388" s="28" t="s">
        <v>2369</v>
      </c>
    </row>
    <row r="389" spans="1:3">
      <c r="A389" s="28" t="s">
        <v>572</v>
      </c>
      <c r="B389" s="28" t="s">
        <v>576</v>
      </c>
      <c r="C389" s="28" t="s">
        <v>2370</v>
      </c>
    </row>
    <row r="390" spans="1:3">
      <c r="A390" s="28" t="s">
        <v>572</v>
      </c>
      <c r="B390" s="28" t="s">
        <v>577</v>
      </c>
      <c r="C390" s="28" t="s">
        <v>2371</v>
      </c>
    </row>
    <row r="391" spans="1:3">
      <c r="A391" s="28" t="s">
        <v>572</v>
      </c>
      <c r="B391" s="28" t="s">
        <v>578</v>
      </c>
      <c r="C391" s="28" t="s">
        <v>2372</v>
      </c>
    </row>
    <row r="392" spans="1:3">
      <c r="A392" s="28" t="s">
        <v>572</v>
      </c>
      <c r="B392" s="28" t="s">
        <v>579</v>
      </c>
      <c r="C392" s="28" t="s">
        <v>2373</v>
      </c>
    </row>
    <row r="393" spans="1:3">
      <c r="A393" s="28" t="s">
        <v>572</v>
      </c>
      <c r="B393" s="28" t="s">
        <v>589</v>
      </c>
      <c r="C393" s="28" t="s">
        <v>2374</v>
      </c>
    </row>
    <row r="394" spans="1:3">
      <c r="A394" s="28" t="s">
        <v>572</v>
      </c>
      <c r="B394" s="28" t="s">
        <v>2375</v>
      </c>
      <c r="C394" s="28" t="s">
        <v>2004</v>
      </c>
    </row>
    <row r="395" spans="1:3">
      <c r="A395" s="28" t="s">
        <v>572</v>
      </c>
      <c r="B395" s="28" t="s">
        <v>581</v>
      </c>
      <c r="C395" s="28" t="s">
        <v>2376</v>
      </c>
    </row>
    <row r="396" spans="1:3">
      <c r="A396" s="28" t="s">
        <v>572</v>
      </c>
      <c r="B396" s="28" t="s">
        <v>582</v>
      </c>
      <c r="C396" s="28" t="s">
        <v>2377</v>
      </c>
    </row>
    <row r="397" spans="1:3">
      <c r="A397" s="28" t="s">
        <v>572</v>
      </c>
      <c r="B397" s="28" t="s">
        <v>583</v>
      </c>
      <c r="C397" s="28" t="s">
        <v>2378</v>
      </c>
    </row>
    <row r="398" spans="1:3">
      <c r="A398" s="28" t="s">
        <v>572</v>
      </c>
      <c r="B398" s="28" t="s">
        <v>584</v>
      </c>
      <c r="C398" s="28" t="s">
        <v>2379</v>
      </c>
    </row>
    <row r="399" spans="1:3">
      <c r="A399" s="28" t="s">
        <v>572</v>
      </c>
      <c r="B399" s="28" t="s">
        <v>586</v>
      </c>
      <c r="C399" s="28" t="s">
        <v>2380</v>
      </c>
    </row>
    <row r="400" spans="1:3">
      <c r="A400" s="28" t="s">
        <v>572</v>
      </c>
      <c r="B400" s="28" t="s">
        <v>587</v>
      </c>
      <c r="C400" s="28" t="s">
        <v>2010</v>
      </c>
    </row>
    <row r="401" spans="1:3">
      <c r="A401" s="28" t="s">
        <v>572</v>
      </c>
      <c r="B401" s="28" t="s">
        <v>588</v>
      </c>
      <c r="C401" s="28" t="s">
        <v>2381</v>
      </c>
    </row>
    <row r="402" spans="1:3">
      <c r="A402" s="28" t="s">
        <v>590</v>
      </c>
      <c r="B402" s="28" t="s">
        <v>591</v>
      </c>
      <c r="C402" s="28" t="s">
        <v>2382</v>
      </c>
    </row>
    <row r="403" spans="1:3">
      <c r="A403" s="28" t="s">
        <v>590</v>
      </c>
      <c r="B403" s="28" t="s">
        <v>595</v>
      </c>
      <c r="C403" s="28" t="s">
        <v>2383</v>
      </c>
    </row>
    <row r="404" spans="1:3">
      <c r="A404" s="28" t="s">
        <v>590</v>
      </c>
      <c r="B404" s="28" t="s">
        <v>597</v>
      </c>
      <c r="C404" s="28" t="s">
        <v>2384</v>
      </c>
    </row>
    <row r="405" spans="1:3">
      <c r="A405" s="28" t="s">
        <v>590</v>
      </c>
      <c r="B405" s="28" t="s">
        <v>599</v>
      </c>
      <c r="C405" s="28" t="s">
        <v>2385</v>
      </c>
    </row>
    <row r="406" spans="1:3">
      <c r="A406" s="28" t="s">
        <v>590</v>
      </c>
      <c r="B406" s="28" t="s">
        <v>600</v>
      </c>
      <c r="C406" s="28" t="s">
        <v>2386</v>
      </c>
    </row>
    <row r="407" spans="1:3">
      <c r="A407" s="28" t="s">
        <v>590</v>
      </c>
      <c r="B407" s="28" t="s">
        <v>2387</v>
      </c>
      <c r="C407" s="28" t="s">
        <v>2388</v>
      </c>
    </row>
    <row r="408" spans="1:3">
      <c r="A408" s="28" t="s">
        <v>590</v>
      </c>
      <c r="B408" s="28" t="s">
        <v>603</v>
      </c>
      <c r="C408" s="28" t="s">
        <v>2389</v>
      </c>
    </row>
    <row r="409" spans="1:3">
      <c r="A409" s="28" t="s">
        <v>590</v>
      </c>
      <c r="B409" s="28" t="s">
        <v>2390</v>
      </c>
      <c r="C409" s="28" t="s">
        <v>2004</v>
      </c>
    </row>
    <row r="410" spans="1:3">
      <c r="A410" s="28" t="s">
        <v>590</v>
      </c>
      <c r="B410" s="28" t="s">
        <v>606</v>
      </c>
      <c r="C410" s="28" t="s">
        <v>2391</v>
      </c>
    </row>
    <row r="411" spans="1:3">
      <c r="A411" s="28" t="s">
        <v>590</v>
      </c>
      <c r="B411" s="28" t="s">
        <v>607</v>
      </c>
      <c r="C411" s="28" t="s">
        <v>2392</v>
      </c>
    </row>
    <row r="412" spans="1:3">
      <c r="A412" s="28" t="s">
        <v>590</v>
      </c>
      <c r="B412" s="28" t="s">
        <v>608</v>
      </c>
      <c r="C412" s="28" t="s">
        <v>2393</v>
      </c>
    </row>
    <row r="413" spans="1:3">
      <c r="A413" s="28" t="s">
        <v>590</v>
      </c>
      <c r="B413" s="28" t="s">
        <v>609</v>
      </c>
      <c r="C413" s="28" t="s">
        <v>2394</v>
      </c>
    </row>
    <row r="414" spans="1:3">
      <c r="A414" s="28" t="s">
        <v>590</v>
      </c>
      <c r="B414" s="28" t="s">
        <v>610</v>
      </c>
      <c r="C414" s="28" t="s">
        <v>2395</v>
      </c>
    </row>
    <row r="415" spans="1:3">
      <c r="A415" s="28" t="s">
        <v>590</v>
      </c>
      <c r="B415" s="28" t="s">
        <v>2396</v>
      </c>
      <c r="C415" s="28" t="s">
        <v>2103</v>
      </c>
    </row>
    <row r="416" spans="1:3">
      <c r="A416" s="28" t="s">
        <v>590</v>
      </c>
      <c r="B416" s="28" t="s">
        <v>611</v>
      </c>
      <c r="C416" s="28" t="s">
        <v>2397</v>
      </c>
    </row>
    <row r="417" spans="1:3">
      <c r="A417" s="28" t="s">
        <v>612</v>
      </c>
      <c r="B417" s="28" t="s">
        <v>613</v>
      </c>
      <c r="C417" s="28" t="s">
        <v>2398</v>
      </c>
    </row>
    <row r="418" spans="1:3">
      <c r="A418" s="28" t="s">
        <v>612</v>
      </c>
      <c r="B418" s="28" t="s">
        <v>2399</v>
      </c>
      <c r="C418" s="28" t="s">
        <v>2400</v>
      </c>
    </row>
    <row r="419" spans="1:3">
      <c r="A419" s="28" t="s">
        <v>612</v>
      </c>
      <c r="B419" s="28" t="s">
        <v>614</v>
      </c>
      <c r="C419" s="28" t="s">
        <v>2401</v>
      </c>
    </row>
    <row r="420" spans="1:3">
      <c r="A420" s="28" t="s">
        <v>612</v>
      </c>
      <c r="B420" s="28" t="s">
        <v>615</v>
      </c>
      <c r="C420" s="28" t="s">
        <v>2402</v>
      </c>
    </row>
    <row r="421" spans="1:3">
      <c r="A421" s="28" t="s">
        <v>612</v>
      </c>
      <c r="B421" s="28" t="s">
        <v>616</v>
      </c>
      <c r="C421" s="28" t="s">
        <v>2403</v>
      </c>
    </row>
    <row r="422" spans="1:3">
      <c r="A422" s="28" t="s">
        <v>612</v>
      </c>
      <c r="B422" s="28" t="s">
        <v>617</v>
      </c>
      <c r="C422" s="28" t="s">
        <v>2404</v>
      </c>
    </row>
    <row r="423" spans="1:3">
      <c r="A423" s="28" t="s">
        <v>612</v>
      </c>
      <c r="B423" s="28" t="s">
        <v>619</v>
      </c>
      <c r="C423" s="28" t="s">
        <v>2405</v>
      </c>
    </row>
    <row r="424" spans="1:3">
      <c r="A424" s="28" t="s">
        <v>612</v>
      </c>
      <c r="B424" s="28" t="s">
        <v>2406</v>
      </c>
      <c r="C424" s="28" t="s">
        <v>2004</v>
      </c>
    </row>
    <row r="425" spans="1:3">
      <c r="A425" s="28" t="s">
        <v>612</v>
      </c>
      <c r="B425" s="28" t="s">
        <v>620</v>
      </c>
      <c r="C425" s="28" t="s">
        <v>2407</v>
      </c>
    </row>
    <row r="426" spans="1:3">
      <c r="A426" s="28" t="s">
        <v>612</v>
      </c>
      <c r="B426" s="28" t="s">
        <v>621</v>
      </c>
      <c r="C426" s="28" t="s">
        <v>2408</v>
      </c>
    </row>
    <row r="427" spans="1:3">
      <c r="A427" s="28" t="s">
        <v>612</v>
      </c>
      <c r="B427" s="28" t="s">
        <v>622</v>
      </c>
      <c r="C427" s="28" t="s">
        <v>2409</v>
      </c>
    </row>
    <row r="428" spans="1:3">
      <c r="A428" s="28" t="s">
        <v>612</v>
      </c>
      <c r="B428" s="28" t="s">
        <v>623</v>
      </c>
      <c r="C428" s="28" t="s">
        <v>2410</v>
      </c>
    </row>
    <row r="429" spans="1:3">
      <c r="A429" s="28" t="s">
        <v>612</v>
      </c>
      <c r="B429" s="28" t="s">
        <v>2411</v>
      </c>
      <c r="C429" s="28" t="s">
        <v>2412</v>
      </c>
    </row>
    <row r="430" spans="1:3">
      <c r="A430" s="28" t="s">
        <v>612</v>
      </c>
      <c r="B430" s="28" t="s">
        <v>624</v>
      </c>
      <c r="C430" s="28" t="s">
        <v>2413</v>
      </c>
    </row>
    <row r="431" spans="1:3">
      <c r="A431" s="28" t="s">
        <v>612</v>
      </c>
      <c r="B431" s="28" t="s">
        <v>625</v>
      </c>
      <c r="C431" s="28" t="s">
        <v>2010</v>
      </c>
    </row>
    <row r="432" spans="1:3">
      <c r="A432" s="28" t="s">
        <v>612</v>
      </c>
      <c r="B432" s="28" t="s">
        <v>627</v>
      </c>
      <c r="C432" s="28" t="s">
        <v>2414</v>
      </c>
    </row>
    <row r="433" spans="1:3">
      <c r="A433" s="28" t="s">
        <v>628</v>
      </c>
      <c r="B433" s="28" t="s">
        <v>629</v>
      </c>
      <c r="C433" s="28" t="s">
        <v>2415</v>
      </c>
    </row>
    <row r="434" spans="1:3">
      <c r="A434" s="28" t="s">
        <v>628</v>
      </c>
      <c r="B434" s="28" t="s">
        <v>2416</v>
      </c>
      <c r="C434" s="28" t="s">
        <v>2417</v>
      </c>
    </row>
    <row r="435" spans="1:3">
      <c r="A435" s="28" t="s">
        <v>628</v>
      </c>
      <c r="B435" s="28" t="s">
        <v>2418</v>
      </c>
      <c r="C435" s="28" t="s">
        <v>2419</v>
      </c>
    </row>
    <row r="436" spans="1:3">
      <c r="A436" s="28" t="s">
        <v>628</v>
      </c>
      <c r="B436" s="28" t="s">
        <v>632</v>
      </c>
      <c r="C436" s="28" t="s">
        <v>2420</v>
      </c>
    </row>
    <row r="437" spans="1:3">
      <c r="A437" s="28" t="s">
        <v>628</v>
      </c>
      <c r="B437" s="28" t="s">
        <v>633</v>
      </c>
      <c r="C437" s="28" t="s">
        <v>2421</v>
      </c>
    </row>
    <row r="438" spans="1:3">
      <c r="A438" s="28" t="s">
        <v>628</v>
      </c>
      <c r="B438" s="28" t="s">
        <v>634</v>
      </c>
      <c r="C438" s="28" t="s">
        <v>2422</v>
      </c>
    </row>
    <row r="439" spans="1:3">
      <c r="A439" s="28" t="s">
        <v>628</v>
      </c>
      <c r="B439" s="28" t="s">
        <v>2423</v>
      </c>
      <c r="C439" s="28" t="s">
        <v>2004</v>
      </c>
    </row>
    <row r="440" spans="1:3">
      <c r="A440" s="28" t="s">
        <v>628</v>
      </c>
      <c r="B440" s="28" t="s">
        <v>635</v>
      </c>
      <c r="C440" s="28" t="s">
        <v>2424</v>
      </c>
    </row>
    <row r="441" spans="1:3">
      <c r="A441" s="28" t="s">
        <v>628</v>
      </c>
      <c r="B441" s="28" t="s">
        <v>636</v>
      </c>
      <c r="C441" s="28" t="s">
        <v>2425</v>
      </c>
    </row>
    <row r="442" spans="1:3">
      <c r="A442" s="28" t="s">
        <v>628</v>
      </c>
      <c r="B442" s="28" t="s">
        <v>2426</v>
      </c>
      <c r="C442" s="28" t="s">
        <v>2427</v>
      </c>
    </row>
    <row r="443" spans="1:3">
      <c r="A443" s="28" t="s">
        <v>628</v>
      </c>
      <c r="B443" s="28" t="s">
        <v>637</v>
      </c>
      <c r="C443" s="28" t="s">
        <v>2428</v>
      </c>
    </row>
    <row r="444" spans="1:3">
      <c r="A444" s="28" t="s">
        <v>628</v>
      </c>
      <c r="B444" s="28" t="s">
        <v>638</v>
      </c>
      <c r="C444" s="28" t="s">
        <v>2429</v>
      </c>
    </row>
    <row r="445" spans="1:3">
      <c r="A445" s="28" t="s">
        <v>628</v>
      </c>
      <c r="B445" s="28" t="s">
        <v>639</v>
      </c>
      <c r="C445" s="28" t="s">
        <v>2430</v>
      </c>
    </row>
    <row r="446" spans="1:3">
      <c r="A446" s="28" t="s">
        <v>628</v>
      </c>
      <c r="B446" s="28" t="s">
        <v>640</v>
      </c>
      <c r="C446" s="28" t="s">
        <v>2010</v>
      </c>
    </row>
    <row r="447" spans="1:3">
      <c r="A447" s="28" t="s">
        <v>628</v>
      </c>
      <c r="B447" s="28" t="s">
        <v>641</v>
      </c>
      <c r="C447" s="28" t="s">
        <v>2431</v>
      </c>
    </row>
    <row r="448" spans="1:3">
      <c r="A448" s="28" t="s">
        <v>644</v>
      </c>
      <c r="B448" s="28" t="s">
        <v>645</v>
      </c>
      <c r="C448" s="28" t="s">
        <v>2432</v>
      </c>
    </row>
    <row r="449" spans="1:3">
      <c r="A449" s="28" t="s">
        <v>644</v>
      </c>
      <c r="B449" s="28" t="s">
        <v>648</v>
      </c>
      <c r="C449" s="28" t="s">
        <v>2433</v>
      </c>
    </row>
    <row r="450" spans="1:3">
      <c r="A450" s="28" t="s">
        <v>644</v>
      </c>
      <c r="B450" s="28" t="s">
        <v>649</v>
      </c>
      <c r="C450" s="28" t="s">
        <v>2434</v>
      </c>
    </row>
    <row r="451" spans="1:3">
      <c r="A451" s="28" t="s">
        <v>644</v>
      </c>
      <c r="B451" s="28" t="s">
        <v>650</v>
      </c>
      <c r="C451" s="28" t="s">
        <v>2435</v>
      </c>
    </row>
    <row r="452" spans="1:3">
      <c r="A452" s="28" t="s">
        <v>644</v>
      </c>
      <c r="B452" s="28" t="s">
        <v>2436</v>
      </c>
      <c r="C452" s="28" t="s">
        <v>2004</v>
      </c>
    </row>
    <row r="453" spans="1:3">
      <c r="A453" s="28" t="s">
        <v>644</v>
      </c>
      <c r="B453" s="28" t="s">
        <v>651</v>
      </c>
      <c r="C453" s="28" t="s">
        <v>2437</v>
      </c>
    </row>
    <row r="454" spans="1:3">
      <c r="A454" s="28" t="s">
        <v>644</v>
      </c>
      <c r="B454" s="28" t="s">
        <v>652</v>
      </c>
      <c r="C454" s="28" t="s">
        <v>2438</v>
      </c>
    </row>
    <row r="455" spans="1:3">
      <c r="A455" s="28" t="s">
        <v>644</v>
      </c>
      <c r="B455" s="28" t="s">
        <v>653</v>
      </c>
      <c r="C455" s="28" t="s">
        <v>2439</v>
      </c>
    </row>
    <row r="456" spans="1:3">
      <c r="A456" s="28" t="s">
        <v>644</v>
      </c>
      <c r="B456" s="28" t="s">
        <v>654</v>
      </c>
      <c r="C456" s="28" t="s">
        <v>2440</v>
      </c>
    </row>
    <row r="457" spans="1:3">
      <c r="A457" s="28" t="s">
        <v>644</v>
      </c>
      <c r="B457" s="28" t="s">
        <v>655</v>
      </c>
      <c r="C457" s="28" t="s">
        <v>2441</v>
      </c>
    </row>
    <row r="458" spans="1:3">
      <c r="A458" s="28" t="s">
        <v>644</v>
      </c>
      <c r="B458" s="28" t="s">
        <v>656</v>
      </c>
      <c r="C458" s="28" t="s">
        <v>2442</v>
      </c>
    </row>
    <row r="459" spans="1:3">
      <c r="A459" s="28" t="s">
        <v>644</v>
      </c>
      <c r="B459" s="28" t="s">
        <v>657</v>
      </c>
      <c r="C459" s="28" t="s">
        <v>2076</v>
      </c>
    </row>
    <row r="460" spans="1:3">
      <c r="A460" s="28" t="s">
        <v>644</v>
      </c>
      <c r="B460" s="28" t="s">
        <v>658</v>
      </c>
      <c r="C460" s="28" t="s">
        <v>2443</v>
      </c>
    </row>
    <row r="461" spans="1:3">
      <c r="A461" s="28" t="s">
        <v>659</v>
      </c>
      <c r="B461" s="28" t="s">
        <v>660</v>
      </c>
      <c r="C461" s="28" t="s">
        <v>2444</v>
      </c>
    </row>
    <row r="462" spans="1:3">
      <c r="A462" s="28" t="s">
        <v>659</v>
      </c>
      <c r="B462" s="28" t="s">
        <v>661</v>
      </c>
      <c r="C462" s="28" t="s">
        <v>2445</v>
      </c>
    </row>
    <row r="463" spans="1:3">
      <c r="A463" s="28" t="s">
        <v>659</v>
      </c>
      <c r="B463" s="28" t="s">
        <v>662</v>
      </c>
      <c r="C463" s="28" t="s">
        <v>2446</v>
      </c>
    </row>
    <row r="464" spans="1:3">
      <c r="A464" s="28" t="s">
        <v>659</v>
      </c>
      <c r="B464" s="28" t="s">
        <v>663</v>
      </c>
      <c r="C464" s="28" t="s">
        <v>2447</v>
      </c>
    </row>
    <row r="465" spans="1:3">
      <c r="A465" s="28" t="s">
        <v>659</v>
      </c>
      <c r="B465" s="28" t="s">
        <v>664</v>
      </c>
      <c r="C465" s="28" t="s">
        <v>2448</v>
      </c>
    </row>
    <row r="466" spans="1:3">
      <c r="A466" s="28" t="s">
        <v>659</v>
      </c>
      <c r="B466" s="28" t="s">
        <v>2449</v>
      </c>
      <c r="C466" s="28" t="s">
        <v>2004</v>
      </c>
    </row>
    <row r="467" spans="1:3">
      <c r="A467" s="28" t="s">
        <v>659</v>
      </c>
      <c r="B467" s="28" t="s">
        <v>665</v>
      </c>
      <c r="C467" s="28" t="s">
        <v>2450</v>
      </c>
    </row>
    <row r="468" spans="1:3">
      <c r="A468" s="28" t="s">
        <v>659</v>
      </c>
      <c r="B468" s="28" t="s">
        <v>666</v>
      </c>
      <c r="C468" s="28" t="s">
        <v>2451</v>
      </c>
    </row>
    <row r="469" spans="1:3">
      <c r="A469" s="28" t="s">
        <v>659</v>
      </c>
      <c r="B469" s="28" t="s">
        <v>667</v>
      </c>
      <c r="C469" s="28" t="s">
        <v>2452</v>
      </c>
    </row>
    <row r="470" spans="1:3">
      <c r="A470" s="28" t="s">
        <v>659</v>
      </c>
      <c r="B470" s="28" t="s">
        <v>668</v>
      </c>
      <c r="C470" s="28" t="s">
        <v>2453</v>
      </c>
    </row>
    <row r="471" spans="1:3">
      <c r="A471" s="28" t="s">
        <v>659</v>
      </c>
      <c r="B471" s="28" t="s">
        <v>669</v>
      </c>
      <c r="C471" s="28" t="s">
        <v>2454</v>
      </c>
    </row>
    <row r="472" spans="1:3">
      <c r="A472" s="28" t="s">
        <v>659</v>
      </c>
      <c r="B472" s="28" t="s">
        <v>2455</v>
      </c>
      <c r="C472" s="28" t="s">
        <v>2103</v>
      </c>
    </row>
    <row r="473" spans="1:3">
      <c r="A473" s="28" t="s">
        <v>659</v>
      </c>
      <c r="B473" s="28" t="s">
        <v>670</v>
      </c>
      <c r="C473" s="28" t="s">
        <v>2456</v>
      </c>
    </row>
    <row r="474" spans="1:3">
      <c r="A474" s="28" t="s">
        <v>671</v>
      </c>
      <c r="B474" s="28" t="s">
        <v>672</v>
      </c>
      <c r="C474" s="28" t="s">
        <v>2457</v>
      </c>
    </row>
    <row r="475" spans="1:3">
      <c r="A475" s="28" t="s">
        <v>671</v>
      </c>
      <c r="B475" s="28" t="s">
        <v>674</v>
      </c>
      <c r="C475" s="28" t="s">
        <v>2458</v>
      </c>
    </row>
    <row r="476" spans="1:3">
      <c r="A476" s="28" t="s">
        <v>671</v>
      </c>
      <c r="B476" s="28" t="s">
        <v>677</v>
      </c>
      <c r="C476" s="28" t="s">
        <v>2459</v>
      </c>
    </row>
    <row r="477" spans="1:3">
      <c r="A477" s="28" t="s">
        <v>671</v>
      </c>
      <c r="B477" s="28" t="s">
        <v>688</v>
      </c>
      <c r="C477" s="28" t="s">
        <v>2460</v>
      </c>
    </row>
    <row r="478" spans="1:3">
      <c r="A478" s="28" t="s">
        <v>671</v>
      </c>
      <c r="B478" s="28" t="s">
        <v>679</v>
      </c>
      <c r="C478" s="28" t="s">
        <v>2461</v>
      </c>
    </row>
    <row r="479" spans="1:3">
      <c r="A479" s="28" t="s">
        <v>671</v>
      </c>
      <c r="B479" s="28" t="s">
        <v>680</v>
      </c>
      <c r="C479" s="28" t="s">
        <v>2462</v>
      </c>
    </row>
    <row r="480" spans="1:3">
      <c r="A480" s="28" t="s">
        <v>671</v>
      </c>
      <c r="B480" s="28" t="s">
        <v>2463</v>
      </c>
      <c r="C480" s="28" t="s">
        <v>2004</v>
      </c>
    </row>
    <row r="481" spans="1:3">
      <c r="A481" s="28" t="s">
        <v>671</v>
      </c>
      <c r="B481" s="28" t="s">
        <v>681</v>
      </c>
      <c r="C481" s="28" t="s">
        <v>2464</v>
      </c>
    </row>
    <row r="482" spans="1:3">
      <c r="A482" s="28" t="s">
        <v>671</v>
      </c>
      <c r="B482" s="28" t="s">
        <v>682</v>
      </c>
      <c r="C482" s="28" t="s">
        <v>2465</v>
      </c>
    </row>
    <row r="483" spans="1:3">
      <c r="A483" s="28" t="s">
        <v>671</v>
      </c>
      <c r="B483" s="28" t="s">
        <v>683</v>
      </c>
      <c r="C483" s="28" t="s">
        <v>2466</v>
      </c>
    </row>
    <row r="484" spans="1:3">
      <c r="A484" s="28" t="s">
        <v>671</v>
      </c>
      <c r="B484" s="28" t="s">
        <v>684</v>
      </c>
      <c r="C484" s="28" t="s">
        <v>2467</v>
      </c>
    </row>
    <row r="485" spans="1:3">
      <c r="A485" s="28" t="s">
        <v>671</v>
      </c>
      <c r="B485" s="28" t="s">
        <v>685</v>
      </c>
      <c r="C485" s="28" t="s">
        <v>2468</v>
      </c>
    </row>
    <row r="486" spans="1:3">
      <c r="A486" s="28" t="s">
        <v>671</v>
      </c>
      <c r="B486" s="28" t="s">
        <v>686</v>
      </c>
      <c r="C486" s="28" t="s">
        <v>2010</v>
      </c>
    </row>
    <row r="487" spans="1:3">
      <c r="A487" s="28" t="s">
        <v>671</v>
      </c>
      <c r="B487" s="28" t="s">
        <v>687</v>
      </c>
      <c r="C487" s="28" t="s">
        <v>2469</v>
      </c>
    </row>
    <row r="488" spans="1:3">
      <c r="A488" s="28" t="s">
        <v>692</v>
      </c>
      <c r="B488" s="28" t="s">
        <v>693</v>
      </c>
      <c r="C488" s="28" t="s">
        <v>2470</v>
      </c>
    </row>
    <row r="489" spans="1:3">
      <c r="A489" s="28" t="s">
        <v>692</v>
      </c>
      <c r="B489" s="28" t="s">
        <v>694</v>
      </c>
      <c r="C489" s="28" t="s">
        <v>2471</v>
      </c>
    </row>
    <row r="490" spans="1:3">
      <c r="A490" s="28" t="s">
        <v>692</v>
      </c>
      <c r="B490" s="28" t="s">
        <v>707</v>
      </c>
      <c r="C490" s="28" t="s">
        <v>2472</v>
      </c>
    </row>
    <row r="491" spans="1:3">
      <c r="A491" s="28" t="s">
        <v>692</v>
      </c>
      <c r="B491" s="28" t="s">
        <v>696</v>
      </c>
      <c r="C491" s="28" t="s">
        <v>2473</v>
      </c>
    </row>
    <row r="492" spans="1:3">
      <c r="A492" s="28" t="s">
        <v>692</v>
      </c>
      <c r="B492" s="28" t="s">
        <v>697</v>
      </c>
      <c r="C492" s="28" t="s">
        <v>2474</v>
      </c>
    </row>
    <row r="493" spans="1:3">
      <c r="A493" s="28" t="s">
        <v>692</v>
      </c>
      <c r="B493" s="28" t="s">
        <v>698</v>
      </c>
      <c r="C493" s="28" t="s">
        <v>2475</v>
      </c>
    </row>
    <row r="494" spans="1:3">
      <c r="A494" s="28" t="s">
        <v>692</v>
      </c>
      <c r="B494" s="28" t="s">
        <v>709</v>
      </c>
      <c r="C494" s="28" t="s">
        <v>2476</v>
      </c>
    </row>
    <row r="495" spans="1:3">
      <c r="A495" s="28" t="s">
        <v>692</v>
      </c>
      <c r="B495" s="28" t="s">
        <v>714</v>
      </c>
      <c r="C495" s="28" t="s">
        <v>2477</v>
      </c>
    </row>
    <row r="496" spans="1:3">
      <c r="A496" s="28" t="s">
        <v>692</v>
      </c>
      <c r="B496" s="28" t="s">
        <v>2478</v>
      </c>
      <c r="C496" s="28" t="s">
        <v>2004</v>
      </c>
    </row>
    <row r="497" spans="1:3">
      <c r="A497" s="28" t="s">
        <v>692</v>
      </c>
      <c r="B497" s="28" t="s">
        <v>699</v>
      </c>
      <c r="C497" s="28" t="s">
        <v>2479</v>
      </c>
    </row>
    <row r="498" spans="1:3">
      <c r="A498" s="28" t="s">
        <v>692</v>
      </c>
      <c r="B498" s="28" t="s">
        <v>2480</v>
      </c>
      <c r="C498" s="28" t="s">
        <v>2481</v>
      </c>
    </row>
    <row r="499" spans="1:3">
      <c r="A499" s="28" t="s">
        <v>692</v>
      </c>
      <c r="B499" s="28" t="s">
        <v>700</v>
      </c>
      <c r="C499" s="28" t="s">
        <v>2482</v>
      </c>
    </row>
    <row r="500" spans="1:3">
      <c r="A500" s="28" t="s">
        <v>692</v>
      </c>
      <c r="B500" s="28" t="s">
        <v>701</v>
      </c>
      <c r="C500" s="28" t="s">
        <v>2483</v>
      </c>
    </row>
    <row r="501" spans="1:3">
      <c r="A501" s="28" t="s">
        <v>692</v>
      </c>
      <c r="B501" s="28" t="s">
        <v>702</v>
      </c>
      <c r="C501" s="28" t="s">
        <v>2484</v>
      </c>
    </row>
    <row r="502" spans="1:3">
      <c r="A502" s="28" t="s">
        <v>692</v>
      </c>
      <c r="B502" s="28" t="s">
        <v>706</v>
      </c>
      <c r="C502" s="28" t="s">
        <v>2485</v>
      </c>
    </row>
    <row r="503" spans="1:3">
      <c r="A503" s="28" t="s">
        <v>692</v>
      </c>
      <c r="B503" s="28" t="s">
        <v>703</v>
      </c>
      <c r="C503" s="28" t="s">
        <v>2486</v>
      </c>
    </row>
    <row r="504" spans="1:3">
      <c r="A504" s="28" t="s">
        <v>692</v>
      </c>
      <c r="B504" s="28" t="s">
        <v>704</v>
      </c>
      <c r="C504" s="28" t="s">
        <v>2010</v>
      </c>
    </row>
    <row r="505" spans="1:3">
      <c r="A505" s="28" t="s">
        <v>692</v>
      </c>
      <c r="B505" s="28" t="s">
        <v>705</v>
      </c>
      <c r="C505" s="28" t="s">
        <v>2487</v>
      </c>
    </row>
    <row r="506" spans="1:3">
      <c r="A506" s="28" t="s">
        <v>716</v>
      </c>
      <c r="B506" s="28" t="s">
        <v>717</v>
      </c>
      <c r="C506" s="28" t="s">
        <v>2488</v>
      </c>
    </row>
    <row r="507" spans="1:3">
      <c r="A507" s="28" t="s">
        <v>716</v>
      </c>
      <c r="B507" s="28" t="s">
        <v>717</v>
      </c>
      <c r="C507" s="28" t="s">
        <v>2489</v>
      </c>
    </row>
    <row r="508" spans="1:3">
      <c r="A508" s="28" t="s">
        <v>716</v>
      </c>
      <c r="B508" s="28" t="s">
        <v>723</v>
      </c>
      <c r="C508" s="28" t="s">
        <v>2490</v>
      </c>
    </row>
    <row r="509" spans="1:3">
      <c r="A509" s="28" t="s">
        <v>716</v>
      </c>
      <c r="B509" s="28" t="s">
        <v>719</v>
      </c>
      <c r="C509" s="28" t="s">
        <v>2491</v>
      </c>
    </row>
    <row r="510" spans="1:3">
      <c r="A510" s="28" t="s">
        <v>716</v>
      </c>
      <c r="B510" s="28" t="s">
        <v>721</v>
      </c>
      <c r="C510" s="28" t="s">
        <v>2492</v>
      </c>
    </row>
    <row r="511" spans="1:3">
      <c r="A511" s="28" t="s">
        <v>716</v>
      </c>
      <c r="B511" s="28" t="s">
        <v>733</v>
      </c>
      <c r="C511" s="28" t="s">
        <v>2493</v>
      </c>
    </row>
    <row r="512" spans="1:3">
      <c r="A512" s="28" t="s">
        <v>716</v>
      </c>
      <c r="B512" s="28" t="s">
        <v>724</v>
      </c>
      <c r="C512" s="28" t="s">
        <v>2494</v>
      </c>
    </row>
    <row r="513" spans="1:3">
      <c r="A513" s="28" t="s">
        <v>716</v>
      </c>
      <c r="B513" s="28" t="s">
        <v>2495</v>
      </c>
      <c r="C513" s="28" t="s">
        <v>2004</v>
      </c>
    </row>
    <row r="514" spans="1:3">
      <c r="A514" s="28" t="s">
        <v>716</v>
      </c>
      <c r="B514" s="28" t="s">
        <v>725</v>
      </c>
      <c r="C514" s="28" t="s">
        <v>2496</v>
      </c>
    </row>
    <row r="515" spans="1:3">
      <c r="A515" s="28" t="s">
        <v>716</v>
      </c>
      <c r="B515" s="28" t="s">
        <v>726</v>
      </c>
      <c r="C515" s="28" t="s">
        <v>2497</v>
      </c>
    </row>
    <row r="516" spans="1:3">
      <c r="A516" s="28" t="s">
        <v>716</v>
      </c>
      <c r="B516" s="28" t="s">
        <v>726</v>
      </c>
      <c r="C516" s="28" t="s">
        <v>2498</v>
      </c>
    </row>
    <row r="517" spans="1:3">
      <c r="A517" s="28" t="s">
        <v>716</v>
      </c>
      <c r="B517" s="28" t="s">
        <v>727</v>
      </c>
      <c r="C517" s="28" t="s">
        <v>2499</v>
      </c>
    </row>
    <row r="518" spans="1:3">
      <c r="A518" s="28" t="s">
        <v>716</v>
      </c>
      <c r="B518" s="28" t="s">
        <v>728</v>
      </c>
      <c r="C518" s="28" t="s">
        <v>2500</v>
      </c>
    </row>
    <row r="519" spans="1:3">
      <c r="A519" s="28" t="s">
        <v>716</v>
      </c>
      <c r="B519" s="28" t="s">
        <v>729</v>
      </c>
      <c r="C519" s="28" t="s">
        <v>2501</v>
      </c>
    </row>
    <row r="520" spans="1:3">
      <c r="A520" s="28" t="s">
        <v>716</v>
      </c>
      <c r="B520" s="28" t="s">
        <v>730</v>
      </c>
      <c r="C520" s="28" t="s">
        <v>2010</v>
      </c>
    </row>
    <row r="521" spans="1:3">
      <c r="A521" s="28" t="s">
        <v>716</v>
      </c>
      <c r="B521" s="28" t="s">
        <v>731</v>
      </c>
      <c r="C521" s="28" t="s">
        <v>2502</v>
      </c>
    </row>
    <row r="522" spans="1:3">
      <c r="A522" s="28" t="s">
        <v>734</v>
      </c>
      <c r="B522" s="28" t="s">
        <v>735</v>
      </c>
      <c r="C522" s="28" t="s">
        <v>2503</v>
      </c>
    </row>
    <row r="523" spans="1:3">
      <c r="A523" s="28" t="s">
        <v>734</v>
      </c>
      <c r="B523" s="28" t="s">
        <v>736</v>
      </c>
      <c r="C523" s="28" t="s">
        <v>2504</v>
      </c>
    </row>
    <row r="524" spans="1:3">
      <c r="A524" s="28" t="s">
        <v>734</v>
      </c>
      <c r="B524" s="28" t="s">
        <v>737</v>
      </c>
      <c r="C524" s="28" t="s">
        <v>2505</v>
      </c>
    </row>
    <row r="525" spans="1:3">
      <c r="A525" s="28" t="s">
        <v>734</v>
      </c>
      <c r="B525" s="28" t="s">
        <v>738</v>
      </c>
      <c r="C525" s="28" t="s">
        <v>2506</v>
      </c>
    </row>
    <row r="526" spans="1:3">
      <c r="A526" s="28" t="s">
        <v>734</v>
      </c>
      <c r="B526" s="28" t="s">
        <v>2507</v>
      </c>
      <c r="C526" s="28" t="s">
        <v>2004</v>
      </c>
    </row>
    <row r="527" spans="1:3">
      <c r="A527" s="28" t="s">
        <v>734</v>
      </c>
      <c r="B527" s="28" t="s">
        <v>739</v>
      </c>
      <c r="C527" s="28" t="s">
        <v>2508</v>
      </c>
    </row>
    <row r="528" spans="1:3">
      <c r="A528" s="28" t="s">
        <v>734</v>
      </c>
      <c r="B528" s="28" t="s">
        <v>740</v>
      </c>
      <c r="C528" s="28" t="s">
        <v>2509</v>
      </c>
    </row>
    <row r="529" spans="1:3">
      <c r="A529" s="28" t="s">
        <v>734</v>
      </c>
      <c r="B529" s="28" t="s">
        <v>742</v>
      </c>
      <c r="C529" s="28" t="s">
        <v>2510</v>
      </c>
    </row>
    <row r="530" spans="1:3">
      <c r="A530" s="28" t="s">
        <v>734</v>
      </c>
      <c r="B530" s="28" t="s">
        <v>743</v>
      </c>
      <c r="C530" s="28" t="s">
        <v>2511</v>
      </c>
    </row>
    <row r="531" spans="1:3">
      <c r="A531" s="28" t="s">
        <v>734</v>
      </c>
      <c r="B531" s="28" t="s">
        <v>744</v>
      </c>
      <c r="C531" s="28" t="s">
        <v>2512</v>
      </c>
    </row>
    <row r="532" spans="1:3">
      <c r="A532" s="28" t="s">
        <v>734</v>
      </c>
      <c r="B532" s="28" t="s">
        <v>745</v>
      </c>
      <c r="C532" s="28" t="s">
        <v>2513</v>
      </c>
    </row>
    <row r="533" spans="1:3">
      <c r="A533" s="28" t="s">
        <v>734</v>
      </c>
      <c r="B533" s="28" t="s">
        <v>746</v>
      </c>
      <c r="C533" s="28" t="s">
        <v>2049</v>
      </c>
    </row>
    <row r="534" spans="1:3">
      <c r="A534" s="28" t="s">
        <v>734</v>
      </c>
      <c r="B534" s="28" t="s">
        <v>747</v>
      </c>
      <c r="C534" s="28" t="s">
        <v>2010</v>
      </c>
    </row>
    <row r="535" spans="1:3">
      <c r="A535" s="28" t="s">
        <v>734</v>
      </c>
      <c r="B535" s="28" t="s">
        <v>748</v>
      </c>
      <c r="C535" s="28" t="s">
        <v>2514</v>
      </c>
    </row>
    <row r="536" spans="1:3">
      <c r="A536" s="28" t="s">
        <v>749</v>
      </c>
      <c r="B536" s="28" t="s">
        <v>750</v>
      </c>
      <c r="C536" s="28" t="s">
        <v>2515</v>
      </c>
    </row>
    <row r="537" spans="1:3">
      <c r="A537" s="28" t="s">
        <v>749</v>
      </c>
      <c r="B537" s="28" t="s">
        <v>755</v>
      </c>
      <c r="C537" s="28" t="s">
        <v>2516</v>
      </c>
    </row>
    <row r="538" spans="1:3">
      <c r="A538" s="28" t="s">
        <v>749</v>
      </c>
      <c r="B538" s="28" t="s">
        <v>753</v>
      </c>
      <c r="C538" s="28" t="s">
        <v>2517</v>
      </c>
    </row>
    <row r="539" spans="1:3">
      <c r="A539" s="28" t="s">
        <v>749</v>
      </c>
      <c r="B539" s="28" t="s">
        <v>754</v>
      </c>
      <c r="C539" s="28" t="s">
        <v>2518</v>
      </c>
    </row>
    <row r="540" spans="1:3">
      <c r="A540" s="28" t="s">
        <v>749</v>
      </c>
      <c r="B540" s="28" t="s">
        <v>752</v>
      </c>
      <c r="C540" s="28" t="s">
        <v>2519</v>
      </c>
    </row>
    <row r="541" spans="1:3">
      <c r="A541" s="28" t="s">
        <v>749</v>
      </c>
      <c r="B541" s="28" t="s">
        <v>2520</v>
      </c>
      <c r="C541" s="28" t="s">
        <v>2004</v>
      </c>
    </row>
    <row r="542" spans="1:3">
      <c r="A542" s="28" t="s">
        <v>749</v>
      </c>
      <c r="B542" s="28" t="s">
        <v>756</v>
      </c>
      <c r="C542" s="28" t="s">
        <v>2017</v>
      </c>
    </row>
    <row r="543" spans="1:3">
      <c r="A543" s="28" t="s">
        <v>749</v>
      </c>
      <c r="B543" s="28" t="s">
        <v>757</v>
      </c>
      <c r="C543" s="28" t="s">
        <v>2521</v>
      </c>
    </row>
    <row r="544" spans="1:3">
      <c r="A544" s="28" t="s">
        <v>749</v>
      </c>
      <c r="B544" s="28" t="s">
        <v>758</v>
      </c>
      <c r="C544" s="28" t="s">
        <v>2522</v>
      </c>
    </row>
    <row r="545" spans="1:3">
      <c r="A545" s="28" t="s">
        <v>749</v>
      </c>
      <c r="B545" s="28" t="s">
        <v>759</v>
      </c>
      <c r="C545" s="28" t="s">
        <v>2523</v>
      </c>
    </row>
    <row r="546" spans="1:3">
      <c r="A546" s="28" t="s">
        <v>749</v>
      </c>
      <c r="B546" s="28" t="s">
        <v>760</v>
      </c>
      <c r="C546" s="28" t="s">
        <v>2524</v>
      </c>
    </row>
    <row r="547" spans="1:3">
      <c r="A547" s="28" t="s">
        <v>749</v>
      </c>
      <c r="B547" s="28" t="s">
        <v>761</v>
      </c>
      <c r="C547" s="28" t="s">
        <v>2010</v>
      </c>
    </row>
    <row r="548" spans="1:3">
      <c r="A548" s="28" t="s">
        <v>749</v>
      </c>
      <c r="B548" s="28" t="s">
        <v>762</v>
      </c>
      <c r="C548" s="28" t="s">
        <v>2022</v>
      </c>
    </row>
    <row r="549" spans="1:3">
      <c r="A549" s="28" t="s">
        <v>763</v>
      </c>
      <c r="B549" s="28" t="s">
        <v>764</v>
      </c>
      <c r="C549" s="28" t="s">
        <v>2525</v>
      </c>
    </row>
    <row r="550" spans="1:3">
      <c r="A550" s="28" t="s">
        <v>763</v>
      </c>
      <c r="B550" s="28" t="s">
        <v>776</v>
      </c>
      <c r="C550" s="28" t="s">
        <v>2526</v>
      </c>
    </row>
    <row r="551" spans="1:3">
      <c r="A551" s="28" t="s">
        <v>763</v>
      </c>
      <c r="B551" s="28" t="s">
        <v>775</v>
      </c>
      <c r="C551" s="28" t="s">
        <v>2527</v>
      </c>
    </row>
    <row r="552" spans="1:3">
      <c r="A552" s="28" t="s">
        <v>763</v>
      </c>
      <c r="B552" s="28" t="s">
        <v>778</v>
      </c>
      <c r="C552" s="28" t="s">
        <v>2528</v>
      </c>
    </row>
    <row r="553" spans="1:3">
      <c r="A553" s="28" t="s">
        <v>763</v>
      </c>
      <c r="B553" s="28" t="s">
        <v>779</v>
      </c>
      <c r="C553" s="28" t="s">
        <v>2529</v>
      </c>
    </row>
    <row r="554" spans="1:3">
      <c r="A554" s="28" t="s">
        <v>763</v>
      </c>
      <c r="B554" s="28" t="s">
        <v>780</v>
      </c>
      <c r="C554" s="28" t="s">
        <v>2530</v>
      </c>
    </row>
    <row r="555" spans="1:3">
      <c r="A555" s="28" t="s">
        <v>763</v>
      </c>
      <c r="B555" s="28" t="s">
        <v>765</v>
      </c>
      <c r="C555" s="28" t="s">
        <v>2531</v>
      </c>
    </row>
    <row r="556" spans="1:3">
      <c r="A556" s="28" t="s">
        <v>763</v>
      </c>
      <c r="B556" s="28" t="s">
        <v>766</v>
      </c>
      <c r="C556" s="28" t="s">
        <v>2532</v>
      </c>
    </row>
    <row r="557" spans="1:3">
      <c r="A557" s="28" t="s">
        <v>763</v>
      </c>
      <c r="B557" s="28" t="s">
        <v>767</v>
      </c>
      <c r="C557" s="28" t="s">
        <v>2533</v>
      </c>
    </row>
    <row r="558" spans="1:3">
      <c r="A558" s="28" t="s">
        <v>763</v>
      </c>
      <c r="B558" s="28" t="s">
        <v>2534</v>
      </c>
      <c r="C558" s="28" t="s">
        <v>2535</v>
      </c>
    </row>
    <row r="559" spans="1:3">
      <c r="A559" s="28" t="s">
        <v>763</v>
      </c>
      <c r="B559" s="28" t="s">
        <v>2536</v>
      </c>
      <c r="C559" s="28" t="s">
        <v>2004</v>
      </c>
    </row>
    <row r="560" spans="1:3">
      <c r="A560" s="28" t="s">
        <v>763</v>
      </c>
      <c r="B560" s="28" t="s">
        <v>768</v>
      </c>
      <c r="C560" s="28" t="s">
        <v>2179</v>
      </c>
    </row>
    <row r="561" spans="1:3">
      <c r="A561" s="28" t="s">
        <v>763</v>
      </c>
      <c r="B561" s="28" t="s">
        <v>769</v>
      </c>
      <c r="C561" s="28" t="s">
        <v>2537</v>
      </c>
    </row>
    <row r="562" spans="1:3">
      <c r="A562" s="28" t="s">
        <v>763</v>
      </c>
      <c r="B562" s="28" t="s">
        <v>770</v>
      </c>
      <c r="C562" s="28" t="s">
        <v>2538</v>
      </c>
    </row>
    <row r="563" spans="1:3">
      <c r="A563" s="28" t="s">
        <v>763</v>
      </c>
      <c r="B563" s="28" t="s">
        <v>771</v>
      </c>
      <c r="C563" s="28" t="s">
        <v>2539</v>
      </c>
    </row>
    <row r="564" spans="1:3">
      <c r="A564" s="28" t="s">
        <v>763</v>
      </c>
      <c r="B564" s="28" t="s">
        <v>772</v>
      </c>
      <c r="C564" s="28" t="s">
        <v>2540</v>
      </c>
    </row>
    <row r="565" spans="1:3">
      <c r="A565" s="28" t="s">
        <v>763</v>
      </c>
      <c r="B565" s="28" t="s">
        <v>2541</v>
      </c>
      <c r="C565" s="28" t="s">
        <v>2542</v>
      </c>
    </row>
    <row r="566" spans="1:3">
      <c r="A566" s="28" t="s">
        <v>763</v>
      </c>
      <c r="B566" s="28" t="s">
        <v>774</v>
      </c>
      <c r="C566" s="28" t="s">
        <v>2543</v>
      </c>
    </row>
    <row r="567" spans="1:3">
      <c r="A567" s="28" t="s">
        <v>763</v>
      </c>
      <c r="B567" s="28" t="s">
        <v>783</v>
      </c>
      <c r="C567" s="28" t="s">
        <v>2544</v>
      </c>
    </row>
    <row r="568" spans="1:3">
      <c r="A568" s="28" t="s">
        <v>784</v>
      </c>
      <c r="B568" s="28" t="s">
        <v>785</v>
      </c>
      <c r="C568" s="28" t="s">
        <v>2545</v>
      </c>
    </row>
    <row r="569" spans="1:3">
      <c r="A569" s="28" t="s">
        <v>784</v>
      </c>
      <c r="B569" s="28" t="s">
        <v>786</v>
      </c>
      <c r="C569" s="28" t="s">
        <v>2546</v>
      </c>
    </row>
    <row r="570" spans="1:3">
      <c r="A570" s="28" t="s">
        <v>784</v>
      </c>
      <c r="B570" s="28" t="s">
        <v>787</v>
      </c>
      <c r="C570" s="28" t="s">
        <v>2547</v>
      </c>
    </row>
    <row r="571" spans="1:3">
      <c r="A571" s="28" t="s">
        <v>784</v>
      </c>
      <c r="B571" s="28" t="s">
        <v>788</v>
      </c>
      <c r="C571" s="28" t="s">
        <v>2548</v>
      </c>
    </row>
    <row r="572" spans="1:3">
      <c r="A572" s="28" t="s">
        <v>784</v>
      </c>
      <c r="B572" s="28" t="s">
        <v>2549</v>
      </c>
      <c r="C572" s="28" t="s">
        <v>2004</v>
      </c>
    </row>
    <row r="573" spans="1:3">
      <c r="A573" s="28" t="s">
        <v>784</v>
      </c>
      <c r="B573" s="28" t="s">
        <v>789</v>
      </c>
      <c r="C573" s="28" t="s">
        <v>2550</v>
      </c>
    </row>
    <row r="574" spans="1:3">
      <c r="A574" s="28" t="s">
        <v>784</v>
      </c>
      <c r="B574" s="28" t="s">
        <v>2551</v>
      </c>
      <c r="C574" s="28" t="s">
        <v>2552</v>
      </c>
    </row>
    <row r="575" spans="1:3">
      <c r="A575" s="28" t="s">
        <v>784</v>
      </c>
      <c r="B575" s="28" t="s">
        <v>791</v>
      </c>
      <c r="C575" s="28" t="s">
        <v>2553</v>
      </c>
    </row>
    <row r="576" spans="1:3">
      <c r="A576" s="28" t="s">
        <v>784</v>
      </c>
      <c r="B576" s="28" t="s">
        <v>792</v>
      </c>
      <c r="C576" s="28" t="s">
        <v>2554</v>
      </c>
    </row>
    <row r="577" spans="1:3">
      <c r="A577" s="28" t="s">
        <v>784</v>
      </c>
      <c r="B577" s="28" t="s">
        <v>793</v>
      </c>
      <c r="C577" s="28" t="s">
        <v>2555</v>
      </c>
    </row>
    <row r="578" spans="1:3">
      <c r="A578" s="28" t="s">
        <v>784</v>
      </c>
      <c r="B578" s="28" t="s">
        <v>794</v>
      </c>
      <c r="C578" s="28" t="s">
        <v>2076</v>
      </c>
    </row>
    <row r="579" spans="1:3">
      <c r="A579" s="28" t="s">
        <v>784</v>
      </c>
      <c r="B579" s="28" t="s">
        <v>795</v>
      </c>
      <c r="C579" s="28" t="s">
        <v>2556</v>
      </c>
    </row>
    <row r="580" spans="1:3">
      <c r="A580" s="28" t="s">
        <v>796</v>
      </c>
      <c r="B580" s="28" t="s">
        <v>797</v>
      </c>
      <c r="C580" s="28" t="s">
        <v>2557</v>
      </c>
    </row>
    <row r="581" spans="1:3">
      <c r="A581" s="28" t="s">
        <v>796</v>
      </c>
      <c r="B581" s="28" t="s">
        <v>798</v>
      </c>
      <c r="C581" s="28" t="s">
        <v>2558</v>
      </c>
    </row>
    <row r="582" spans="1:3">
      <c r="A582" s="28" t="s">
        <v>796</v>
      </c>
      <c r="B582" s="28" t="s">
        <v>800</v>
      </c>
      <c r="C582" s="28" t="s">
        <v>2559</v>
      </c>
    </row>
    <row r="583" spans="1:3">
      <c r="A583" s="28" t="s">
        <v>796</v>
      </c>
      <c r="B583" s="28" t="s">
        <v>809</v>
      </c>
      <c r="C583" s="28" t="s">
        <v>2560</v>
      </c>
    </row>
    <row r="584" spans="1:3">
      <c r="A584" s="28" t="s">
        <v>796</v>
      </c>
      <c r="B584" s="28" t="s">
        <v>801</v>
      </c>
      <c r="C584" s="28" t="s">
        <v>2561</v>
      </c>
    </row>
    <row r="585" spans="1:3">
      <c r="A585" s="28" t="s">
        <v>796</v>
      </c>
      <c r="B585" s="28" t="s">
        <v>802</v>
      </c>
      <c r="C585" s="28" t="s">
        <v>2562</v>
      </c>
    </row>
    <row r="586" spans="1:3">
      <c r="A586" s="28" t="s">
        <v>796</v>
      </c>
      <c r="B586" s="28" t="s">
        <v>803</v>
      </c>
      <c r="C586" s="28" t="s">
        <v>2563</v>
      </c>
    </row>
    <row r="587" spans="1:3">
      <c r="A587" s="28" t="s">
        <v>796</v>
      </c>
      <c r="B587" s="28" t="s">
        <v>2564</v>
      </c>
      <c r="C587" s="28" t="s">
        <v>2565</v>
      </c>
    </row>
    <row r="588" spans="1:3">
      <c r="A588" s="28" t="s">
        <v>796</v>
      </c>
      <c r="B588" s="28" t="s">
        <v>806</v>
      </c>
      <c r="C588" s="28" t="s">
        <v>2566</v>
      </c>
    </row>
    <row r="589" spans="1:3">
      <c r="A589" s="28" t="s">
        <v>796</v>
      </c>
      <c r="B589" s="28" t="s">
        <v>808</v>
      </c>
      <c r="C589" s="28" t="s">
        <v>2567</v>
      </c>
    </row>
    <row r="590" spans="1:3">
      <c r="A590" s="28" t="s">
        <v>796</v>
      </c>
      <c r="B590" s="28" t="s">
        <v>814</v>
      </c>
      <c r="C590" s="28" t="s">
        <v>2568</v>
      </c>
    </row>
    <row r="591" spans="1:3">
      <c r="A591" s="28" t="s">
        <v>796</v>
      </c>
      <c r="B591" s="28" t="s">
        <v>810</v>
      </c>
      <c r="C591" s="28" t="s">
        <v>2569</v>
      </c>
    </row>
    <row r="592" spans="1:3">
      <c r="A592" s="28" t="s">
        <v>796</v>
      </c>
      <c r="B592" s="28" t="s">
        <v>812</v>
      </c>
      <c r="C592" s="28" t="s">
        <v>2570</v>
      </c>
    </row>
    <row r="593" spans="1:3">
      <c r="A593" s="28" t="s">
        <v>796</v>
      </c>
      <c r="B593" s="28" t="s">
        <v>2571</v>
      </c>
      <c r="C593" s="28" t="s">
        <v>2572</v>
      </c>
    </row>
    <row r="594" spans="1:3">
      <c r="A594" s="28" t="s">
        <v>796</v>
      </c>
      <c r="B594" s="28" t="s">
        <v>2573</v>
      </c>
      <c r="C594" s="28" t="s">
        <v>2574</v>
      </c>
    </row>
    <row r="595" spans="1:3">
      <c r="A595" s="28" t="s">
        <v>796</v>
      </c>
      <c r="B595" s="28" t="s">
        <v>813</v>
      </c>
      <c r="C595" s="28" t="s">
        <v>2017</v>
      </c>
    </row>
    <row r="596" spans="1:3">
      <c r="A596" s="28" t="s">
        <v>796</v>
      </c>
      <c r="B596" s="28" t="s">
        <v>815</v>
      </c>
      <c r="C596" s="28" t="s">
        <v>2575</v>
      </c>
    </row>
    <row r="597" spans="1:3">
      <c r="A597" s="28" t="s">
        <v>796</v>
      </c>
      <c r="B597" s="28" t="s">
        <v>816</v>
      </c>
      <c r="C597" s="28" t="s">
        <v>2019</v>
      </c>
    </row>
    <row r="598" spans="1:3">
      <c r="A598" s="28" t="s">
        <v>796</v>
      </c>
      <c r="B598" s="28" t="s">
        <v>817</v>
      </c>
      <c r="C598" s="28" t="s">
        <v>2576</v>
      </c>
    </row>
    <row r="599" spans="1:3">
      <c r="A599" s="28" t="s">
        <v>796</v>
      </c>
      <c r="B599" s="28" t="s">
        <v>818</v>
      </c>
      <c r="C599" s="28" t="s">
        <v>2577</v>
      </c>
    </row>
    <row r="600" spans="1:3">
      <c r="A600" s="28" t="s">
        <v>796</v>
      </c>
      <c r="B600" s="28" t="s">
        <v>819</v>
      </c>
      <c r="C600" s="28" t="s">
        <v>2578</v>
      </c>
    </row>
    <row r="601" spans="1:3">
      <c r="A601" s="28" t="s">
        <v>796</v>
      </c>
      <c r="B601" s="28" t="s">
        <v>820</v>
      </c>
      <c r="C601" s="28" t="s">
        <v>2579</v>
      </c>
    </row>
    <row r="602" spans="1:3">
      <c r="A602" s="28" t="s">
        <v>796</v>
      </c>
      <c r="B602" s="28" t="s">
        <v>821</v>
      </c>
      <c r="C602" s="28" t="s">
        <v>2580</v>
      </c>
    </row>
    <row r="603" spans="1:3">
      <c r="A603" s="28" t="s">
        <v>796</v>
      </c>
      <c r="B603" s="28" t="s">
        <v>823</v>
      </c>
      <c r="C603" s="28" t="s">
        <v>2581</v>
      </c>
    </row>
    <row r="604" spans="1:3">
      <c r="A604" s="28" t="s">
        <v>796</v>
      </c>
      <c r="B604" s="28" t="s">
        <v>822</v>
      </c>
      <c r="C604" s="28" t="s">
        <v>2010</v>
      </c>
    </row>
    <row r="605" spans="1:3">
      <c r="A605" s="28" t="s">
        <v>796</v>
      </c>
      <c r="B605" s="28" t="s">
        <v>825</v>
      </c>
      <c r="C605" s="28" t="s">
        <v>2582</v>
      </c>
    </row>
    <row r="606" spans="1:3">
      <c r="A606" s="28" t="s">
        <v>796</v>
      </c>
      <c r="B606" s="28" t="s">
        <v>824</v>
      </c>
      <c r="C606" s="28" t="s">
        <v>2583</v>
      </c>
    </row>
    <row r="607" spans="1:3">
      <c r="A607" s="28" t="s">
        <v>826</v>
      </c>
      <c r="B607" s="28" t="s">
        <v>827</v>
      </c>
      <c r="C607" s="28" t="s">
        <v>2584</v>
      </c>
    </row>
    <row r="608" spans="1:3">
      <c r="A608" s="28" t="s">
        <v>826</v>
      </c>
      <c r="B608" s="28" t="s">
        <v>838</v>
      </c>
      <c r="C608" s="28" t="s">
        <v>2585</v>
      </c>
    </row>
    <row r="609" spans="1:3">
      <c r="A609" s="28" t="s">
        <v>826</v>
      </c>
      <c r="B609" s="28" t="s">
        <v>839</v>
      </c>
      <c r="C609" s="28" t="s">
        <v>2586</v>
      </c>
    </row>
    <row r="610" spans="1:3">
      <c r="A610" s="28" t="s">
        <v>826</v>
      </c>
      <c r="B610" s="28" t="s">
        <v>2587</v>
      </c>
      <c r="C610" s="28" t="s">
        <v>2588</v>
      </c>
    </row>
    <row r="611" spans="1:3">
      <c r="A611" s="28" t="s">
        <v>826</v>
      </c>
      <c r="B611" s="28" t="s">
        <v>841</v>
      </c>
      <c r="C611" s="28" t="s">
        <v>2589</v>
      </c>
    </row>
    <row r="612" spans="1:3">
      <c r="A612" s="28" t="s">
        <v>826</v>
      </c>
      <c r="B612" s="28" t="s">
        <v>2590</v>
      </c>
      <c r="C612" s="28" t="s">
        <v>2004</v>
      </c>
    </row>
    <row r="613" spans="1:3">
      <c r="A613" s="28" t="s">
        <v>826</v>
      </c>
      <c r="B613" s="28" t="s">
        <v>842</v>
      </c>
      <c r="C613" s="28" t="s">
        <v>2591</v>
      </c>
    </row>
    <row r="614" spans="1:3">
      <c r="A614" s="28" t="s">
        <v>826</v>
      </c>
      <c r="B614" s="28" t="s">
        <v>843</v>
      </c>
      <c r="C614" s="28" t="s">
        <v>2592</v>
      </c>
    </row>
    <row r="615" spans="1:3">
      <c r="A615" s="28" t="s">
        <v>826</v>
      </c>
      <c r="B615" s="28" t="s">
        <v>844</v>
      </c>
      <c r="C615" s="28" t="s">
        <v>2593</v>
      </c>
    </row>
    <row r="616" spans="1:3">
      <c r="A616" s="28" t="s">
        <v>826</v>
      </c>
      <c r="B616" s="28" t="s">
        <v>845</v>
      </c>
      <c r="C616" s="28" t="s">
        <v>2594</v>
      </c>
    </row>
    <row r="617" spans="1:3">
      <c r="A617" s="28" t="s">
        <v>826</v>
      </c>
      <c r="B617" s="28" t="s">
        <v>846</v>
      </c>
      <c r="C617" s="28" t="s">
        <v>2595</v>
      </c>
    </row>
    <row r="618" spans="1:3">
      <c r="A618" s="28" t="s">
        <v>826</v>
      </c>
      <c r="B618" s="28" t="s">
        <v>847</v>
      </c>
      <c r="C618" s="28" t="s">
        <v>2596</v>
      </c>
    </row>
    <row r="619" spans="1:3">
      <c r="A619" s="28" t="s">
        <v>826</v>
      </c>
      <c r="B619" s="28" t="s">
        <v>848</v>
      </c>
      <c r="C619" s="28" t="s">
        <v>2597</v>
      </c>
    </row>
    <row r="620" spans="1:3">
      <c r="A620" s="28" t="s">
        <v>849</v>
      </c>
      <c r="B620" s="28" t="s">
        <v>850</v>
      </c>
      <c r="C620" s="28" t="s">
        <v>2598</v>
      </c>
    </row>
    <row r="621" spans="1:3">
      <c r="A621" s="28" t="s">
        <v>849</v>
      </c>
      <c r="B621" s="28" t="s">
        <v>853</v>
      </c>
      <c r="C621" s="28" t="s">
        <v>2599</v>
      </c>
    </row>
    <row r="622" spans="1:3">
      <c r="A622" s="28" t="s">
        <v>849</v>
      </c>
      <c r="B622" s="28" t="s">
        <v>854</v>
      </c>
      <c r="C622" s="28" t="s">
        <v>2600</v>
      </c>
    </row>
    <row r="623" spans="1:3">
      <c r="A623" s="28" t="s">
        <v>849</v>
      </c>
      <c r="B623" s="28" t="s">
        <v>2601</v>
      </c>
      <c r="C623" s="28" t="s">
        <v>2004</v>
      </c>
    </row>
    <row r="624" spans="1:3">
      <c r="A624" s="28" t="s">
        <v>849</v>
      </c>
      <c r="B624" s="28" t="s">
        <v>855</v>
      </c>
      <c r="C624" s="28" t="s">
        <v>2602</v>
      </c>
    </row>
    <row r="625" spans="1:3">
      <c r="A625" s="28" t="s">
        <v>849</v>
      </c>
      <c r="B625" s="28" t="s">
        <v>856</v>
      </c>
      <c r="C625" s="28" t="s">
        <v>2603</v>
      </c>
    </row>
    <row r="626" spans="1:3">
      <c r="A626" s="28" t="s">
        <v>849</v>
      </c>
      <c r="B626" s="28" t="s">
        <v>858</v>
      </c>
      <c r="C626" s="28" t="s">
        <v>2604</v>
      </c>
    </row>
    <row r="627" spans="1:3">
      <c r="A627" s="28" t="s">
        <v>849</v>
      </c>
      <c r="B627" s="28" t="s">
        <v>859</v>
      </c>
      <c r="C627" s="28" t="s">
        <v>2605</v>
      </c>
    </row>
    <row r="628" spans="1:3">
      <c r="A628" s="28" t="s">
        <v>849</v>
      </c>
      <c r="B628" s="28" t="s">
        <v>857</v>
      </c>
      <c r="C628" s="28" t="s">
        <v>2606</v>
      </c>
    </row>
    <row r="629" spans="1:3">
      <c r="A629" s="28" t="s">
        <v>849</v>
      </c>
      <c r="B629" s="28" t="s">
        <v>861</v>
      </c>
      <c r="C629" s="28" t="s">
        <v>2010</v>
      </c>
    </row>
    <row r="630" spans="1:3">
      <c r="A630" s="28" t="s">
        <v>849</v>
      </c>
      <c r="B630" s="28" t="s">
        <v>862</v>
      </c>
      <c r="C630" s="28" t="s">
        <v>2607</v>
      </c>
    </row>
    <row r="631" spans="1:3">
      <c r="A631" s="28" t="s">
        <v>864</v>
      </c>
      <c r="B631" s="28" t="s">
        <v>865</v>
      </c>
      <c r="C631" s="28" t="s">
        <v>2608</v>
      </c>
    </row>
    <row r="632" spans="1:3">
      <c r="A632" s="28" t="s">
        <v>864</v>
      </c>
      <c r="B632" s="28" t="s">
        <v>867</v>
      </c>
      <c r="C632" s="28" t="s">
        <v>2609</v>
      </c>
    </row>
    <row r="633" spans="1:3">
      <c r="A633" s="28" t="s">
        <v>864</v>
      </c>
      <c r="B633" s="28" t="s">
        <v>2610</v>
      </c>
      <c r="C633" s="28" t="s">
        <v>2611</v>
      </c>
    </row>
    <row r="634" spans="1:3">
      <c r="A634" s="28" t="s">
        <v>864</v>
      </c>
      <c r="B634" s="28" t="s">
        <v>866</v>
      </c>
      <c r="C634" s="28" t="s">
        <v>2612</v>
      </c>
    </row>
    <row r="635" spans="1:3">
      <c r="A635" s="28" t="s">
        <v>864</v>
      </c>
      <c r="B635" s="28" t="s">
        <v>870</v>
      </c>
      <c r="C635" s="28" t="s">
        <v>2613</v>
      </c>
    </row>
    <row r="636" spans="1:3">
      <c r="A636" s="28" t="s">
        <v>864</v>
      </c>
      <c r="B636" s="28" t="s">
        <v>878</v>
      </c>
      <c r="C636" s="28" t="s">
        <v>2614</v>
      </c>
    </row>
    <row r="637" spans="1:3">
      <c r="A637" s="28" t="s">
        <v>864</v>
      </c>
      <c r="B637" s="28" t="s">
        <v>2615</v>
      </c>
      <c r="C637" s="28" t="s">
        <v>2004</v>
      </c>
    </row>
    <row r="638" spans="1:3">
      <c r="A638" s="28" t="s">
        <v>864</v>
      </c>
      <c r="B638" s="28" t="s">
        <v>871</v>
      </c>
      <c r="C638" s="28" t="s">
        <v>2616</v>
      </c>
    </row>
    <row r="639" spans="1:3">
      <c r="A639" s="28" t="s">
        <v>864</v>
      </c>
      <c r="B639" s="28" t="s">
        <v>872</v>
      </c>
      <c r="C639" s="28" t="s">
        <v>2617</v>
      </c>
    </row>
    <row r="640" spans="1:3">
      <c r="A640" s="28" t="s">
        <v>864</v>
      </c>
      <c r="B640" s="28" t="s">
        <v>873</v>
      </c>
      <c r="C640" s="28" t="s">
        <v>2618</v>
      </c>
    </row>
    <row r="641" spans="1:3">
      <c r="A641" s="28" t="s">
        <v>864</v>
      </c>
      <c r="B641" s="28" t="s">
        <v>874</v>
      </c>
      <c r="C641" s="28" t="s">
        <v>2619</v>
      </c>
    </row>
    <row r="642" spans="1:3">
      <c r="A642" s="28" t="s">
        <v>864</v>
      </c>
      <c r="B642" s="28" t="s">
        <v>875</v>
      </c>
      <c r="C642" s="28" t="s">
        <v>2620</v>
      </c>
    </row>
    <row r="643" spans="1:3">
      <c r="A643" s="28" t="s">
        <v>864</v>
      </c>
      <c r="B643" s="28" t="s">
        <v>876</v>
      </c>
      <c r="C643" s="28" t="s">
        <v>2010</v>
      </c>
    </row>
    <row r="644" spans="1:3">
      <c r="A644" s="28" t="s">
        <v>864</v>
      </c>
      <c r="B644" s="28" t="s">
        <v>877</v>
      </c>
      <c r="C644" s="28" t="s">
        <v>2621</v>
      </c>
    </row>
    <row r="645" spans="1:3">
      <c r="A645" s="28" t="s">
        <v>879</v>
      </c>
      <c r="B645" s="28" t="s">
        <v>880</v>
      </c>
      <c r="C645" s="28" t="s">
        <v>2622</v>
      </c>
    </row>
    <row r="646" spans="1:3">
      <c r="A646" s="28" t="s">
        <v>879</v>
      </c>
      <c r="B646" s="28" t="s">
        <v>881</v>
      </c>
      <c r="C646" s="28" t="s">
        <v>2623</v>
      </c>
    </row>
    <row r="647" spans="1:3">
      <c r="A647" s="28" t="s">
        <v>879</v>
      </c>
      <c r="B647" s="28" t="s">
        <v>898</v>
      </c>
      <c r="C647" s="28" t="s">
        <v>2624</v>
      </c>
    </row>
    <row r="648" spans="1:3">
      <c r="A648" s="28" t="s">
        <v>879</v>
      </c>
      <c r="B648" s="28" t="s">
        <v>2625</v>
      </c>
      <c r="C648" s="28" t="s">
        <v>2626</v>
      </c>
    </row>
    <row r="649" spans="1:3">
      <c r="A649" s="28" t="s">
        <v>879</v>
      </c>
      <c r="B649" s="28" t="s">
        <v>882</v>
      </c>
      <c r="C649" s="28" t="s">
        <v>2627</v>
      </c>
    </row>
    <row r="650" spans="1:3">
      <c r="A650" s="28" t="s">
        <v>879</v>
      </c>
      <c r="B650" s="28" t="s">
        <v>883</v>
      </c>
      <c r="C650" s="28" t="s">
        <v>2628</v>
      </c>
    </row>
    <row r="651" spans="1:3">
      <c r="A651" s="28" t="s">
        <v>879</v>
      </c>
      <c r="B651" s="28" t="s">
        <v>884</v>
      </c>
      <c r="C651" s="28" t="s">
        <v>2629</v>
      </c>
    </row>
    <row r="652" spans="1:3">
      <c r="A652" s="28" t="s">
        <v>879</v>
      </c>
      <c r="B652" s="28" t="s">
        <v>886</v>
      </c>
      <c r="C652" s="28" t="s">
        <v>2630</v>
      </c>
    </row>
    <row r="653" spans="1:3">
      <c r="A653" s="28" t="s">
        <v>879</v>
      </c>
      <c r="B653" s="28" t="s">
        <v>885</v>
      </c>
      <c r="C653" s="28" t="s">
        <v>2631</v>
      </c>
    </row>
    <row r="654" spans="1:3">
      <c r="A654" s="28" t="s">
        <v>879</v>
      </c>
      <c r="B654" s="28" t="s">
        <v>888</v>
      </c>
      <c r="C654" s="28" t="s">
        <v>2632</v>
      </c>
    </row>
    <row r="655" spans="1:3">
      <c r="A655" s="28" t="s">
        <v>879</v>
      </c>
      <c r="B655" s="28" t="s">
        <v>887</v>
      </c>
      <c r="C655" s="28" t="s">
        <v>2633</v>
      </c>
    </row>
    <row r="656" spans="1:3">
      <c r="A656" s="28" t="s">
        <v>879</v>
      </c>
      <c r="B656" s="28" t="s">
        <v>890</v>
      </c>
      <c r="C656" s="28" t="s">
        <v>2634</v>
      </c>
    </row>
    <row r="657" spans="1:3">
      <c r="A657" s="28" t="s">
        <v>879</v>
      </c>
      <c r="B657" s="28" t="s">
        <v>889</v>
      </c>
      <c r="C657" s="28" t="s">
        <v>2635</v>
      </c>
    </row>
    <row r="658" spans="1:3">
      <c r="A658" s="28" t="s">
        <v>879</v>
      </c>
      <c r="B658" s="28" t="s">
        <v>2636</v>
      </c>
      <c r="C658" s="28" t="s">
        <v>2637</v>
      </c>
    </row>
    <row r="659" spans="1:3">
      <c r="A659" s="28" t="s">
        <v>879</v>
      </c>
      <c r="B659" s="28" t="s">
        <v>2638</v>
      </c>
      <c r="C659" s="28" t="s">
        <v>2004</v>
      </c>
    </row>
    <row r="660" spans="1:3">
      <c r="A660" s="28" t="s">
        <v>879</v>
      </c>
      <c r="B660" s="28" t="s">
        <v>2639</v>
      </c>
      <c r="C660" s="28" t="s">
        <v>2640</v>
      </c>
    </row>
    <row r="661" spans="1:3">
      <c r="A661" s="28" t="s">
        <v>879</v>
      </c>
      <c r="B661" s="28" t="s">
        <v>891</v>
      </c>
      <c r="C661" s="28" t="s">
        <v>2641</v>
      </c>
    </row>
    <row r="662" spans="1:3">
      <c r="A662" s="28" t="s">
        <v>879</v>
      </c>
      <c r="B662" s="28" t="s">
        <v>892</v>
      </c>
      <c r="C662" s="28" t="s">
        <v>2642</v>
      </c>
    </row>
    <row r="663" spans="1:3">
      <c r="A663" s="28" t="s">
        <v>879</v>
      </c>
      <c r="B663" s="28" t="s">
        <v>893</v>
      </c>
      <c r="C663" s="28" t="s">
        <v>2643</v>
      </c>
    </row>
    <row r="664" spans="1:3">
      <c r="A664" s="28" t="s">
        <v>879</v>
      </c>
      <c r="B664" s="28" t="s">
        <v>894</v>
      </c>
      <c r="C664" s="28" t="s">
        <v>2644</v>
      </c>
    </row>
    <row r="665" spans="1:3">
      <c r="A665" s="28" t="s">
        <v>879</v>
      </c>
      <c r="B665" s="28" t="s">
        <v>895</v>
      </c>
      <c r="C665" s="28" t="s">
        <v>2645</v>
      </c>
    </row>
    <row r="666" spans="1:3">
      <c r="A666" s="28" t="s">
        <v>879</v>
      </c>
      <c r="B666" s="28" t="s">
        <v>896</v>
      </c>
      <c r="C666" s="28" t="s">
        <v>2010</v>
      </c>
    </row>
    <row r="667" spans="1:3">
      <c r="A667" s="28" t="s">
        <v>879</v>
      </c>
      <c r="B667" s="28" t="s">
        <v>897</v>
      </c>
      <c r="C667" s="28" t="s">
        <v>2646</v>
      </c>
    </row>
    <row r="668" spans="1:3">
      <c r="A668" s="28" t="s">
        <v>879</v>
      </c>
      <c r="B668" s="28" t="s">
        <v>899</v>
      </c>
      <c r="C668" s="28" t="s">
        <v>2647</v>
      </c>
    </row>
    <row r="669" spans="1:3">
      <c r="A669" s="28" t="s">
        <v>900</v>
      </c>
      <c r="B669" s="28" t="s">
        <v>901</v>
      </c>
      <c r="C669" s="28" t="s">
        <v>2648</v>
      </c>
    </row>
    <row r="670" spans="1:3">
      <c r="A670" s="28" t="s">
        <v>900</v>
      </c>
      <c r="B670" s="28" t="s">
        <v>902</v>
      </c>
      <c r="C670" s="28" t="s">
        <v>2649</v>
      </c>
    </row>
    <row r="671" spans="1:3">
      <c r="A671" s="28" t="s">
        <v>900</v>
      </c>
      <c r="B671" s="28" t="s">
        <v>903</v>
      </c>
      <c r="C671" s="28" t="s">
        <v>2650</v>
      </c>
    </row>
    <row r="672" spans="1:3">
      <c r="A672" s="28" t="s">
        <v>900</v>
      </c>
      <c r="B672" s="28" t="s">
        <v>904</v>
      </c>
      <c r="C672" s="28" t="s">
        <v>2651</v>
      </c>
    </row>
    <row r="673" spans="1:3">
      <c r="A673" s="28" t="s">
        <v>900</v>
      </c>
      <c r="B673" s="28" t="s">
        <v>905</v>
      </c>
      <c r="C673" s="28" t="s">
        <v>2652</v>
      </c>
    </row>
    <row r="674" spans="1:3">
      <c r="A674" s="28" t="s">
        <v>900</v>
      </c>
      <c r="B674" s="28" t="s">
        <v>906</v>
      </c>
      <c r="C674" s="28" t="s">
        <v>2653</v>
      </c>
    </row>
    <row r="675" spans="1:3">
      <c r="A675" s="28" t="s">
        <v>900</v>
      </c>
      <c r="B675" s="28" t="s">
        <v>907</v>
      </c>
      <c r="C675" s="28" t="s">
        <v>2654</v>
      </c>
    </row>
    <row r="676" spans="1:3">
      <c r="A676" s="28" t="s">
        <v>900</v>
      </c>
      <c r="B676" s="28" t="s">
        <v>2655</v>
      </c>
      <c r="C676" s="28" t="s">
        <v>2004</v>
      </c>
    </row>
    <row r="677" spans="1:3">
      <c r="A677" s="28" t="s">
        <v>900</v>
      </c>
      <c r="B677" s="28" t="s">
        <v>908</v>
      </c>
      <c r="C677" s="28" t="s">
        <v>2362</v>
      </c>
    </row>
    <row r="678" spans="1:3">
      <c r="A678" s="28" t="s">
        <v>900</v>
      </c>
      <c r="B678" s="28" t="s">
        <v>909</v>
      </c>
      <c r="C678" s="28" t="s">
        <v>2656</v>
      </c>
    </row>
    <row r="679" spans="1:3">
      <c r="A679" s="28" t="s">
        <v>900</v>
      </c>
      <c r="B679" s="28" t="s">
        <v>910</v>
      </c>
      <c r="C679" s="28" t="s">
        <v>2657</v>
      </c>
    </row>
    <row r="680" spans="1:3">
      <c r="A680" s="28" t="s">
        <v>900</v>
      </c>
      <c r="B680" s="28" t="s">
        <v>911</v>
      </c>
      <c r="C680" s="28" t="s">
        <v>2658</v>
      </c>
    </row>
    <row r="681" spans="1:3">
      <c r="A681" s="28" t="s">
        <v>900</v>
      </c>
      <c r="B681" s="28" t="s">
        <v>912</v>
      </c>
      <c r="C681" s="28" t="s">
        <v>2659</v>
      </c>
    </row>
    <row r="682" spans="1:3">
      <c r="A682" s="28" t="s">
        <v>900</v>
      </c>
      <c r="B682" s="28" t="s">
        <v>913</v>
      </c>
      <c r="C682" s="28" t="s">
        <v>2076</v>
      </c>
    </row>
    <row r="683" spans="1:3">
      <c r="A683" s="28" t="s">
        <v>900</v>
      </c>
      <c r="B683" s="28" t="s">
        <v>914</v>
      </c>
      <c r="C683" s="28" t="s">
        <v>2660</v>
      </c>
    </row>
    <row r="684" spans="1:3">
      <c r="A684" s="28" t="s">
        <v>915</v>
      </c>
      <c r="B684" s="28" t="s">
        <v>916</v>
      </c>
      <c r="C684" s="28" t="s">
        <v>2661</v>
      </c>
    </row>
    <row r="685" spans="1:3">
      <c r="A685" s="28" t="s">
        <v>915</v>
      </c>
      <c r="B685" s="28" t="s">
        <v>917</v>
      </c>
      <c r="C685" s="28" t="s">
        <v>2662</v>
      </c>
    </row>
    <row r="686" spans="1:3">
      <c r="A686" s="28" t="s">
        <v>915</v>
      </c>
      <c r="B686" s="28" t="s">
        <v>918</v>
      </c>
      <c r="C686" s="28" t="s">
        <v>2663</v>
      </c>
    </row>
    <row r="687" spans="1:3">
      <c r="A687" s="28" t="s">
        <v>915</v>
      </c>
      <c r="B687" s="28" t="s">
        <v>919</v>
      </c>
      <c r="C687" s="28" t="s">
        <v>2664</v>
      </c>
    </row>
    <row r="688" spans="1:3">
      <c r="A688" s="28" t="s">
        <v>915</v>
      </c>
      <c r="B688" s="28" t="s">
        <v>923</v>
      </c>
      <c r="C688" s="28" t="s">
        <v>2665</v>
      </c>
    </row>
    <row r="689" spans="1:3">
      <c r="A689" s="28" t="s">
        <v>915</v>
      </c>
      <c r="B689" s="28" t="s">
        <v>2666</v>
      </c>
      <c r="C689" s="28" t="s">
        <v>2004</v>
      </c>
    </row>
    <row r="690" spans="1:3">
      <c r="A690" s="28" t="s">
        <v>915</v>
      </c>
      <c r="B690" s="28" t="s">
        <v>926</v>
      </c>
      <c r="C690" s="28" t="s">
        <v>2667</v>
      </c>
    </row>
    <row r="691" spans="1:3">
      <c r="A691" s="28" t="s">
        <v>915</v>
      </c>
      <c r="B691" s="28" t="s">
        <v>927</v>
      </c>
      <c r="C691" s="28" t="s">
        <v>2668</v>
      </c>
    </row>
    <row r="692" spans="1:3">
      <c r="A692" s="28" t="s">
        <v>915</v>
      </c>
      <c r="B692" s="28" t="s">
        <v>928</v>
      </c>
      <c r="C692" s="28" t="s">
        <v>2669</v>
      </c>
    </row>
    <row r="693" spans="1:3">
      <c r="A693" s="28" t="s">
        <v>915</v>
      </c>
      <c r="B693" s="28" t="s">
        <v>929</v>
      </c>
      <c r="C693" s="28" t="s">
        <v>2670</v>
      </c>
    </row>
    <row r="694" spans="1:3">
      <c r="A694" s="28" t="s">
        <v>915</v>
      </c>
      <c r="B694" s="28" t="s">
        <v>930</v>
      </c>
      <c r="C694" s="28" t="s">
        <v>2671</v>
      </c>
    </row>
    <row r="695" spans="1:3">
      <c r="A695" s="28" t="s">
        <v>915</v>
      </c>
      <c r="B695" s="28" t="s">
        <v>931</v>
      </c>
      <c r="C695" s="28" t="s">
        <v>2010</v>
      </c>
    </row>
    <row r="696" spans="1:3">
      <c r="A696" s="28" t="s">
        <v>915</v>
      </c>
      <c r="B696" s="28" t="s">
        <v>932</v>
      </c>
      <c r="C696" s="28" t="s">
        <v>2672</v>
      </c>
    </row>
    <row r="697" spans="1:3">
      <c r="A697" s="28" t="s">
        <v>933</v>
      </c>
      <c r="B697" s="28" t="s">
        <v>934</v>
      </c>
      <c r="C697" s="28" t="s">
        <v>2673</v>
      </c>
    </row>
    <row r="698" spans="1:3">
      <c r="A698" s="28" t="s">
        <v>933</v>
      </c>
      <c r="B698" s="28" t="s">
        <v>935</v>
      </c>
      <c r="C698" s="28" t="s">
        <v>2674</v>
      </c>
    </row>
    <row r="699" spans="1:3">
      <c r="A699" s="28" t="s">
        <v>933</v>
      </c>
      <c r="B699" s="28" t="s">
        <v>945</v>
      </c>
      <c r="C699" s="28" t="s">
        <v>2675</v>
      </c>
    </row>
    <row r="700" spans="1:3">
      <c r="A700" s="28" t="s">
        <v>933</v>
      </c>
      <c r="B700" s="28" t="s">
        <v>946</v>
      </c>
      <c r="C700" s="28" t="s">
        <v>2676</v>
      </c>
    </row>
    <row r="701" spans="1:3">
      <c r="A701" s="28" t="s">
        <v>933</v>
      </c>
      <c r="B701" s="28" t="s">
        <v>947</v>
      </c>
      <c r="C701" s="28" t="s">
        <v>2677</v>
      </c>
    </row>
    <row r="702" spans="1:3">
      <c r="A702" s="28" t="s">
        <v>933</v>
      </c>
      <c r="B702" s="28" t="s">
        <v>948</v>
      </c>
      <c r="C702" s="28" t="s">
        <v>2678</v>
      </c>
    </row>
    <row r="703" spans="1:3">
      <c r="A703" s="28" t="s">
        <v>933</v>
      </c>
      <c r="B703" s="28" t="s">
        <v>2679</v>
      </c>
      <c r="C703" s="28" t="s">
        <v>2680</v>
      </c>
    </row>
    <row r="704" spans="1:3">
      <c r="A704" s="28" t="s">
        <v>933</v>
      </c>
      <c r="B704" s="28" t="s">
        <v>949</v>
      </c>
      <c r="C704" s="28" t="s">
        <v>2681</v>
      </c>
    </row>
    <row r="705" spans="1:3">
      <c r="A705" s="28" t="s">
        <v>933</v>
      </c>
      <c r="B705" s="28" t="s">
        <v>950</v>
      </c>
      <c r="C705" s="28" t="s">
        <v>2682</v>
      </c>
    </row>
    <row r="706" spans="1:3">
      <c r="A706" s="28" t="s">
        <v>933</v>
      </c>
      <c r="B706" s="28" t="s">
        <v>951</v>
      </c>
      <c r="C706" s="28" t="s">
        <v>2683</v>
      </c>
    </row>
    <row r="707" spans="1:3">
      <c r="A707" s="28" t="s">
        <v>933</v>
      </c>
      <c r="B707" s="28" t="s">
        <v>952</v>
      </c>
      <c r="C707" s="28" t="s">
        <v>2684</v>
      </c>
    </row>
    <row r="708" spans="1:3">
      <c r="A708" s="28" t="s">
        <v>933</v>
      </c>
      <c r="B708" s="28" t="s">
        <v>953</v>
      </c>
      <c r="C708" s="28" t="s">
        <v>2685</v>
      </c>
    </row>
    <row r="709" spans="1:3">
      <c r="A709" s="28" t="s">
        <v>933</v>
      </c>
      <c r="B709" s="28" t="s">
        <v>954</v>
      </c>
      <c r="C709" s="28" t="s">
        <v>2010</v>
      </c>
    </row>
    <row r="710" spans="1:3">
      <c r="A710" s="16" t="s">
        <v>933</v>
      </c>
      <c r="B710" s="16" t="s">
        <v>955</v>
      </c>
      <c r="C710" s="28" t="s">
        <v>2686</v>
      </c>
    </row>
  </sheetData>
</worksheet>
</file>

<file path=xl/worksheets/sheet9.xml><?xml version="1.0" encoding="utf-8"?>
<worksheet xmlns="http://schemas.openxmlformats.org/spreadsheetml/2006/main">
  <sheetPr codeName="代理人核心技描述">
    <tabColor/>
  </sheetPr>
  <dimension ref="M50"/>
  <sheetViews>
    <sheetView showGridLines="1" workbookViewId="0">
      <pane xSplit="2" ySplit="1" topLeftCell="C2" state="frozen"/>
    </sheetView>
  </sheetViews>
  <sheetFormatPr baseColWidth="13" defaultRowHeight="18" customHeight="1"/>
  <cols>
    <col min="1" max="2" width="10.7109" customWidth="1"/>
    <col min="3" max="3" width="19.0117" customWidth="1"/>
    <col min="4" max="10" width="21.582" customWidth="1"/>
    <col min="11" max="11" width="19.0117" customWidth="1"/>
    <col min="12" max="12" width="32.3711" customWidth="1"/>
    <col min="13" max="14" width="10.7109" customWidth="1"/>
  </cols>
  <sheetData>
    <row r="1" spans="1:12">
      <c r="A1" s="28" t="s">
        <v>956</v>
      </c>
      <c r="B1" s="28" t="s">
        <v>45</v>
      </c>
      <c r="C1" s="28" t="s">
        <v>2687</v>
      </c>
      <c r="D1" s="28" t="s">
        <v>2688</v>
      </c>
      <c r="E1" s="28" t="s">
        <v>2689</v>
      </c>
      <c r="F1" s="28" t="s">
        <v>2690</v>
      </c>
      <c r="G1" s="28" t="s">
        <v>2691</v>
      </c>
      <c r="H1" s="28" t="s">
        <v>2692</v>
      </c>
      <c r="I1" s="28" t="s">
        <v>2693</v>
      </c>
      <c r="J1" s="28" t="s">
        <v>2694</v>
      </c>
      <c r="K1" s="28" t="s">
        <v>2695</v>
      </c>
      <c r="L1" s="28" t="s">
        <v>2696</v>
      </c>
    </row>
    <row r="2" spans="1:12">
      <c r="A2" s="28">
        <v>1011</v>
      </c>
      <c r="B2" s="28" t="s">
        <v>60</v>
      </c>
      <c r="C2" s="28" t="s">
        <v>2697</v>
      </c>
      <c r="D2" s="28" t="s">
        <v>2698</v>
      </c>
      <c r="E2" s="28" t="s">
        <v>2699</v>
      </c>
      <c r="F2" s="28" t="s">
        <v>2700</v>
      </c>
      <c r="G2" s="28" t="s">
        <v>2701</v>
      </c>
      <c r="H2" s="28" t="s">
        <v>2702</v>
      </c>
      <c r="I2" s="28" t="s">
        <v>2703</v>
      </c>
      <c r="J2" s="28" t="s">
        <v>2704</v>
      </c>
      <c r="K2" s="28" t="s">
        <v>2705</v>
      </c>
      <c r="L2" s="28" t="s">
        <v>2706</v>
      </c>
    </row>
    <row r="3" spans="1:12">
      <c r="A3" s="28">
        <v>1021</v>
      </c>
      <c r="B3" s="28" t="s">
        <v>79</v>
      </c>
      <c r="C3" s="28" t="s">
        <v>2707</v>
      </c>
      <c r="D3" s="28" t="s">
        <v>2708</v>
      </c>
      <c r="E3" s="28" t="s">
        <v>2709</v>
      </c>
      <c r="F3" s="28" t="s">
        <v>2710</v>
      </c>
      <c r="G3" s="28" t="s">
        <v>2711</v>
      </c>
      <c r="H3" s="28" t="s">
        <v>2712</v>
      </c>
      <c r="I3" s="28" t="s">
        <v>2713</v>
      </c>
      <c r="J3" s="28" t="s">
        <v>2714</v>
      </c>
      <c r="K3" s="28" t="s">
        <v>2715</v>
      </c>
      <c r="L3" s="28" t="s">
        <v>2716</v>
      </c>
    </row>
    <row r="4" spans="1:12">
      <c r="A4" s="28">
        <v>1031</v>
      </c>
      <c r="B4" s="28" t="s">
        <v>92</v>
      </c>
      <c r="C4" s="28" t="s">
        <v>2717</v>
      </c>
      <c r="D4" s="28" t="s">
        <v>2718</v>
      </c>
      <c r="E4" s="28" t="s">
        <v>2719</v>
      </c>
      <c r="F4" s="28" t="s">
        <v>2720</v>
      </c>
      <c r="G4" s="28" t="s">
        <v>2721</v>
      </c>
      <c r="H4" s="28" t="s">
        <v>2722</v>
      </c>
      <c r="I4" s="28" t="s">
        <v>2723</v>
      </c>
      <c r="J4" s="28" t="s">
        <v>2724</v>
      </c>
      <c r="K4" s="28" t="s">
        <v>2725</v>
      </c>
      <c r="L4" s="28" t="s">
        <v>2726</v>
      </c>
    </row>
    <row r="5" spans="1:12">
      <c r="A5" s="28">
        <v>1041</v>
      </c>
      <c r="B5" s="28" t="s">
        <v>110</v>
      </c>
      <c r="C5" s="28" t="s">
        <v>2727</v>
      </c>
      <c r="D5" s="28" t="s">
        <v>2728</v>
      </c>
      <c r="E5" s="28" t="s">
        <v>2729</v>
      </c>
      <c r="F5" s="28" t="s">
        <v>2730</v>
      </c>
      <c r="G5" s="28" t="s">
        <v>2731</v>
      </c>
      <c r="H5" s="28" t="s">
        <v>2732</v>
      </c>
      <c r="I5" s="28" t="s">
        <v>2733</v>
      </c>
      <c r="J5" s="28" t="s">
        <v>2734</v>
      </c>
      <c r="K5" s="28" t="s">
        <v>2735</v>
      </c>
      <c r="L5" s="28" t="s">
        <v>2736</v>
      </c>
    </row>
    <row r="6" spans="1:12">
      <c r="A6" s="28">
        <v>1051</v>
      </c>
      <c r="B6" s="28" t="s">
        <v>126</v>
      </c>
      <c r="C6" s="28" t="s">
        <v>2737</v>
      </c>
      <c r="D6" s="28" t="s">
        <v>2738</v>
      </c>
      <c r="E6" s="28" t="s">
        <v>2739</v>
      </c>
      <c r="F6" s="28" t="s">
        <v>2740</v>
      </c>
      <c r="G6" s="28" t="s">
        <v>2741</v>
      </c>
      <c r="H6" s="28" t="s">
        <v>2742</v>
      </c>
      <c r="I6" s="28" t="s">
        <v>2743</v>
      </c>
      <c r="J6" s="28" t="s">
        <v>2744</v>
      </c>
      <c r="K6" s="28" t="s">
        <v>2745</v>
      </c>
      <c r="L6" s="28" t="s">
        <v>2746</v>
      </c>
    </row>
    <row r="7" spans="1:12">
      <c r="A7" s="28">
        <v>1061</v>
      </c>
      <c r="B7" s="28" t="s">
        <v>149</v>
      </c>
      <c r="C7" s="28" t="s">
        <v>2747</v>
      </c>
      <c r="D7" s="28" t="s">
        <v>2748</v>
      </c>
      <c r="E7" s="28" t="s">
        <v>2749</v>
      </c>
      <c r="F7" s="28" t="s">
        <v>2750</v>
      </c>
      <c r="G7" s="28" t="s">
        <v>2751</v>
      </c>
      <c r="H7" s="28" t="s">
        <v>2752</v>
      </c>
      <c r="I7" s="28" t="s">
        <v>2753</v>
      </c>
      <c r="J7" s="28" t="s">
        <v>2754</v>
      </c>
      <c r="K7" s="28" t="s">
        <v>2755</v>
      </c>
      <c r="L7" s="28" t="s">
        <v>2756</v>
      </c>
    </row>
    <row r="8" spans="1:12">
      <c r="A8" s="28">
        <v>1071</v>
      </c>
      <c r="B8" s="28" t="s">
        <v>164</v>
      </c>
      <c r="C8" s="28" t="s">
        <v>2757</v>
      </c>
      <c r="D8" s="28" t="s">
        <v>2758</v>
      </c>
      <c r="E8" s="28" t="s">
        <v>2759</v>
      </c>
      <c r="F8" s="28" t="s">
        <v>2760</v>
      </c>
      <c r="G8" s="28" t="s">
        <v>2761</v>
      </c>
      <c r="H8" s="28" t="s">
        <v>2762</v>
      </c>
      <c r="I8" s="28" t="s">
        <v>2763</v>
      </c>
      <c r="J8" s="28" t="s">
        <v>2764</v>
      </c>
      <c r="K8" s="28" t="s">
        <v>2765</v>
      </c>
      <c r="L8" s="28" t="s">
        <v>2766</v>
      </c>
    </row>
    <row r="9" spans="1:12">
      <c r="A9" s="28">
        <v>1081</v>
      </c>
      <c r="B9" s="28" t="s">
        <v>182</v>
      </c>
      <c r="C9" s="28" t="s">
        <v>2767</v>
      </c>
      <c r="D9" s="28" t="s">
        <v>2768</v>
      </c>
      <c r="E9" s="28" t="s">
        <v>2769</v>
      </c>
      <c r="F9" s="28" t="s">
        <v>2770</v>
      </c>
      <c r="G9" s="28" t="s">
        <v>2771</v>
      </c>
      <c r="H9" s="28" t="s">
        <v>2772</v>
      </c>
      <c r="I9" s="28" t="s">
        <v>2773</v>
      </c>
      <c r="J9" s="28" t="s">
        <v>2774</v>
      </c>
      <c r="K9" s="28" t="s">
        <v>2775</v>
      </c>
      <c r="L9" s="28" t="s">
        <v>2776</v>
      </c>
    </row>
    <row r="10" spans="1:12">
      <c r="A10" s="28">
        <v>1091</v>
      </c>
      <c r="B10" s="28" t="s">
        <v>200</v>
      </c>
      <c r="C10" s="28" t="s">
        <v>2777</v>
      </c>
      <c r="D10" s="28" t="s">
        <v>2778</v>
      </c>
      <c r="E10" s="28" t="s">
        <v>2779</v>
      </c>
      <c r="F10" s="28" t="s">
        <v>2780</v>
      </c>
      <c r="G10" s="28" t="s">
        <v>2781</v>
      </c>
      <c r="H10" s="28" t="s">
        <v>2782</v>
      </c>
      <c r="I10" s="28" t="s">
        <v>2783</v>
      </c>
      <c r="J10" s="28" t="s">
        <v>2784</v>
      </c>
      <c r="K10" s="28" t="s">
        <v>2785</v>
      </c>
      <c r="L10" s="28" t="s">
        <v>2786</v>
      </c>
    </row>
    <row r="11" spans="1:12">
      <c r="A11" s="28">
        <v>1101</v>
      </c>
      <c r="B11" s="28" t="s">
        <v>220</v>
      </c>
      <c r="C11" s="28" t="s">
        <v>2787</v>
      </c>
      <c r="D11" s="28" t="s">
        <v>2788</v>
      </c>
      <c r="E11" s="28" t="s">
        <v>2789</v>
      </c>
      <c r="F11" s="28" t="s">
        <v>2790</v>
      </c>
      <c r="G11" s="28" t="s">
        <v>2791</v>
      </c>
      <c r="H11" s="28" t="s">
        <v>2792</v>
      </c>
      <c r="I11" s="28" t="s">
        <v>2793</v>
      </c>
      <c r="J11" s="28" t="s">
        <v>2794</v>
      </c>
      <c r="K11" s="28" t="s">
        <v>2795</v>
      </c>
      <c r="L11" s="28" t="s">
        <v>2796</v>
      </c>
    </row>
    <row r="12" spans="1:12">
      <c r="A12" s="28">
        <v>1111</v>
      </c>
      <c r="B12" s="28" t="s">
        <v>238</v>
      </c>
      <c r="C12" s="28" t="s">
        <v>2797</v>
      </c>
      <c r="D12" s="28" t="s">
        <v>2798</v>
      </c>
      <c r="E12" s="28" t="s">
        <v>2799</v>
      </c>
      <c r="F12" s="28" t="s">
        <v>2800</v>
      </c>
      <c r="G12" s="28" t="s">
        <v>2801</v>
      </c>
      <c r="H12" s="28" t="s">
        <v>2802</v>
      </c>
      <c r="I12" s="28" t="s">
        <v>2803</v>
      </c>
      <c r="J12" s="28" t="s">
        <v>2804</v>
      </c>
      <c r="K12" s="28" t="s">
        <v>2805</v>
      </c>
      <c r="L12" s="28" t="s">
        <v>2806</v>
      </c>
    </row>
    <row r="13" spans="1:12">
      <c r="A13" s="28">
        <v>1121</v>
      </c>
      <c r="B13" s="28" t="s">
        <v>252</v>
      </c>
      <c r="C13" s="28" t="s">
        <v>2807</v>
      </c>
      <c r="D13" s="28" t="s">
        <v>2808</v>
      </c>
      <c r="E13" s="28" t="s">
        <v>2809</v>
      </c>
      <c r="F13" s="28" t="s">
        <v>2810</v>
      </c>
      <c r="G13" s="28" t="s">
        <v>2811</v>
      </c>
      <c r="H13" s="28" t="s">
        <v>2812</v>
      </c>
      <c r="I13" s="28" t="s">
        <v>2813</v>
      </c>
      <c r="J13" s="28" t="s">
        <v>2814</v>
      </c>
      <c r="K13" s="28" t="s">
        <v>2815</v>
      </c>
      <c r="L13" s="28" t="s">
        <v>2816</v>
      </c>
    </row>
    <row r="14" spans="1:12">
      <c r="A14" s="28">
        <v>1131</v>
      </c>
      <c r="B14" s="28" t="s">
        <v>267</v>
      </c>
      <c r="C14" s="28" t="s">
        <v>2817</v>
      </c>
      <c r="D14" s="28" t="s">
        <v>2818</v>
      </c>
      <c r="E14" s="28" t="s">
        <v>2819</v>
      </c>
      <c r="F14" s="28" t="s">
        <v>2820</v>
      </c>
      <c r="G14" s="28" t="s">
        <v>2821</v>
      </c>
      <c r="H14" s="28" t="s">
        <v>2822</v>
      </c>
      <c r="I14" s="28" t="s">
        <v>2823</v>
      </c>
      <c r="J14" s="28" t="s">
        <v>2824</v>
      </c>
      <c r="K14" s="28" t="s">
        <v>2825</v>
      </c>
      <c r="L14" s="28" t="s">
        <v>2826</v>
      </c>
    </row>
    <row r="15" spans="1:12">
      <c r="A15" s="28">
        <v>1141</v>
      </c>
      <c r="B15" s="28" t="s">
        <v>287</v>
      </c>
      <c r="C15" s="28" t="s">
        <v>2827</v>
      </c>
      <c r="D15" s="28" t="s">
        <v>2828</v>
      </c>
      <c r="E15" s="28" t="s">
        <v>2829</v>
      </c>
      <c r="F15" s="28" t="s">
        <v>2830</v>
      </c>
      <c r="G15" s="28" t="s">
        <v>2831</v>
      </c>
      <c r="H15" s="28" t="s">
        <v>2832</v>
      </c>
      <c r="I15" s="28" t="s">
        <v>2833</v>
      </c>
      <c r="J15" s="28" t="s">
        <v>2834</v>
      </c>
      <c r="K15" s="28" t="s">
        <v>2835</v>
      </c>
      <c r="L15" s="28" t="s">
        <v>2836</v>
      </c>
    </row>
    <row r="16" spans="1:12">
      <c r="A16" s="28">
        <v>1151</v>
      </c>
      <c r="B16" s="28" t="s">
        <v>307</v>
      </c>
      <c r="C16" s="28" t="s">
        <v>2837</v>
      </c>
      <c r="D16" s="28" t="s">
        <v>2838</v>
      </c>
      <c r="E16" s="28" t="s">
        <v>2839</v>
      </c>
      <c r="F16" s="28" t="s">
        <v>2840</v>
      </c>
      <c r="G16" s="28" t="s">
        <v>2841</v>
      </c>
      <c r="H16" s="28" t="s">
        <v>2842</v>
      </c>
      <c r="I16" s="28" t="s">
        <v>2843</v>
      </c>
      <c r="J16" s="28" t="s">
        <v>2844</v>
      </c>
      <c r="K16" s="28" t="s">
        <v>2845</v>
      </c>
      <c r="L16" s="28" t="s">
        <v>2846</v>
      </c>
    </row>
    <row r="17" spans="1:12">
      <c r="A17" s="28">
        <v>1161</v>
      </c>
      <c r="B17" s="28" t="s">
        <v>328</v>
      </c>
      <c r="C17" s="28" t="s">
        <v>2847</v>
      </c>
      <c r="D17" s="28" t="s">
        <v>2848</v>
      </c>
      <c r="E17" s="28" t="s">
        <v>2849</v>
      </c>
      <c r="F17" s="28" t="s">
        <v>2850</v>
      </c>
      <c r="G17" s="28" t="s">
        <v>2851</v>
      </c>
      <c r="H17" s="28" t="s">
        <v>2852</v>
      </c>
      <c r="I17" s="28" t="s">
        <v>2853</v>
      </c>
      <c r="J17" s="28" t="s">
        <v>2854</v>
      </c>
      <c r="K17" s="28" t="s">
        <v>2855</v>
      </c>
      <c r="L17" s="28" t="s">
        <v>2856</v>
      </c>
    </row>
    <row r="18" spans="1:12">
      <c r="A18" s="28">
        <v>1171</v>
      </c>
      <c r="B18" s="28" t="s">
        <v>352</v>
      </c>
      <c r="C18" s="28" t="s">
        <v>369</v>
      </c>
      <c r="D18" s="28" t="s">
        <v>2857</v>
      </c>
      <c r="E18" s="28" t="s">
        <v>2858</v>
      </c>
      <c r="F18" s="28" t="s">
        <v>2859</v>
      </c>
      <c r="G18" s="28" t="s">
        <v>2860</v>
      </c>
      <c r="H18" s="28" t="s">
        <v>2861</v>
      </c>
      <c r="I18" s="28" t="s">
        <v>2862</v>
      </c>
      <c r="J18" s="28" t="s">
        <v>2863</v>
      </c>
      <c r="K18" s="28" t="s">
        <v>2864</v>
      </c>
      <c r="L18" s="28" t="s">
        <v>2865</v>
      </c>
    </row>
    <row r="19" spans="1:12">
      <c r="A19" s="28">
        <v>1181</v>
      </c>
      <c r="B19" s="28" t="s">
        <v>372</v>
      </c>
      <c r="C19" s="28" t="s">
        <v>2866</v>
      </c>
      <c r="D19" s="28" t="s">
        <v>2867</v>
      </c>
      <c r="E19" s="28" t="s">
        <v>2868</v>
      </c>
      <c r="F19" s="28" t="s">
        <v>2869</v>
      </c>
      <c r="G19" s="28" t="s">
        <v>2870</v>
      </c>
      <c r="H19" s="28" t="s">
        <v>2871</v>
      </c>
      <c r="I19" s="28" t="s">
        <v>2872</v>
      </c>
      <c r="J19" s="28" t="s">
        <v>2873</v>
      </c>
      <c r="K19" s="28" t="s">
        <v>2874</v>
      </c>
      <c r="L19" s="28" t="s">
        <v>2875</v>
      </c>
    </row>
    <row r="20" spans="1:12">
      <c r="A20" s="28">
        <v>1191</v>
      </c>
      <c r="B20" s="28" t="s">
        <v>388</v>
      </c>
      <c r="C20" s="28" t="s">
        <v>2876</v>
      </c>
      <c r="D20" s="28" t="s">
        <v>2877</v>
      </c>
      <c r="E20" s="28" t="s">
        <v>2878</v>
      </c>
      <c r="F20" s="28" t="s">
        <v>2879</v>
      </c>
      <c r="G20" s="28" t="s">
        <v>2880</v>
      </c>
      <c r="H20" s="28" t="s">
        <v>2881</v>
      </c>
      <c r="I20" s="28" t="s">
        <v>2882</v>
      </c>
      <c r="J20" s="28" t="s">
        <v>2883</v>
      </c>
      <c r="K20" s="28" t="s">
        <v>2884</v>
      </c>
      <c r="L20" s="28" t="s">
        <v>2885</v>
      </c>
    </row>
    <row r="21" spans="1:12">
      <c r="A21" s="28">
        <v>1201</v>
      </c>
      <c r="B21" s="28" t="s">
        <v>412</v>
      </c>
      <c r="C21" s="28" t="s">
        <v>2886</v>
      </c>
      <c r="D21" s="28" t="s">
        <v>2887</v>
      </c>
      <c r="E21" s="28" t="s">
        <v>2888</v>
      </c>
      <c r="F21" s="28" t="s">
        <v>2889</v>
      </c>
      <c r="G21" s="28" t="s">
        <v>2890</v>
      </c>
      <c r="H21" s="28" t="s">
        <v>2891</v>
      </c>
      <c r="I21" s="28" t="s">
        <v>2892</v>
      </c>
      <c r="J21" s="28" t="s">
        <v>2893</v>
      </c>
      <c r="K21" s="28" t="s">
        <v>2894</v>
      </c>
      <c r="L21" s="28" t="s">
        <v>2895</v>
      </c>
    </row>
    <row r="22" spans="1:12">
      <c r="A22" s="28">
        <v>1211</v>
      </c>
      <c r="B22" s="28" t="s">
        <v>431</v>
      </c>
      <c r="C22" s="28" t="s">
        <v>2896</v>
      </c>
      <c r="D22" s="28" t="s">
        <v>2897</v>
      </c>
      <c r="E22" s="28" t="s">
        <v>2898</v>
      </c>
      <c r="F22" s="28" t="s">
        <v>2899</v>
      </c>
      <c r="G22" s="28" t="s">
        <v>2900</v>
      </c>
      <c r="H22" s="28" t="s">
        <v>2901</v>
      </c>
      <c r="I22" s="28" t="s">
        <v>2902</v>
      </c>
      <c r="J22" s="28" t="s">
        <v>2903</v>
      </c>
      <c r="K22" s="28" t="s">
        <v>2904</v>
      </c>
      <c r="L22" s="28" t="s">
        <v>2905</v>
      </c>
    </row>
    <row r="23" spans="1:12">
      <c r="A23" s="28">
        <v>1221</v>
      </c>
      <c r="B23" s="28" t="s">
        <v>442</v>
      </c>
      <c r="C23" s="28" t="s">
        <v>2906</v>
      </c>
      <c r="D23" s="28" t="s">
        <v>2907</v>
      </c>
      <c r="E23" s="28" t="s">
        <v>2908</v>
      </c>
      <c r="F23" s="28" t="s">
        <v>2909</v>
      </c>
      <c r="G23" s="28" t="s">
        <v>2910</v>
      </c>
      <c r="H23" s="28" t="s">
        <v>2911</v>
      </c>
      <c r="I23" s="28" t="s">
        <v>2912</v>
      </c>
      <c r="J23" s="28" t="s">
        <v>2913</v>
      </c>
      <c r="K23" s="28" t="s">
        <v>2914</v>
      </c>
      <c r="L23" s="28" t="s">
        <v>2915</v>
      </c>
    </row>
    <row r="24" spans="1:12">
      <c r="A24" s="28">
        <v>1241</v>
      </c>
      <c r="B24" s="28" t="s">
        <v>456</v>
      </c>
      <c r="C24" s="28" t="s">
        <v>2916</v>
      </c>
      <c r="D24" s="28" t="s">
        <v>2917</v>
      </c>
      <c r="E24" s="28" t="s">
        <v>2918</v>
      </c>
      <c r="F24" s="28" t="s">
        <v>2919</v>
      </c>
      <c r="G24" s="28" t="s">
        <v>2920</v>
      </c>
      <c r="H24" s="28" t="s">
        <v>2921</v>
      </c>
      <c r="I24" s="28" t="s">
        <v>2922</v>
      </c>
      <c r="J24" s="28" t="s">
        <v>2923</v>
      </c>
      <c r="K24" s="28" t="s">
        <v>2924</v>
      </c>
      <c r="L24" s="28" t="s">
        <v>2925</v>
      </c>
    </row>
    <row r="25" spans="1:12">
      <c r="A25" s="28">
        <v>1251</v>
      </c>
      <c r="B25" s="28" t="s">
        <v>476</v>
      </c>
      <c r="C25" s="28" t="s">
        <v>2926</v>
      </c>
      <c r="D25" s="28" t="s">
        <v>2927</v>
      </c>
      <c r="E25" s="28" t="s">
        <v>2928</v>
      </c>
      <c r="F25" s="28" t="s">
        <v>2929</v>
      </c>
      <c r="G25" s="28" t="s">
        <v>2930</v>
      </c>
      <c r="H25" s="28" t="s">
        <v>2931</v>
      </c>
      <c r="I25" s="28" t="s">
        <v>2932</v>
      </c>
      <c r="J25" s="28" t="s">
        <v>2933</v>
      </c>
      <c r="K25" s="28" t="s">
        <v>2934</v>
      </c>
      <c r="L25" s="28" t="s">
        <v>2935</v>
      </c>
    </row>
    <row r="26" spans="1:12">
      <c r="A26" s="28">
        <v>1261</v>
      </c>
      <c r="B26" s="28" t="s">
        <v>492</v>
      </c>
      <c r="C26" s="28" t="s">
        <v>2936</v>
      </c>
      <c r="D26" s="28" t="s">
        <v>2937</v>
      </c>
      <c r="E26" s="28" t="s">
        <v>2938</v>
      </c>
      <c r="F26" s="28" t="s">
        <v>2939</v>
      </c>
      <c r="G26" s="28" t="s">
        <v>2940</v>
      </c>
      <c r="H26" s="28" t="s">
        <v>2941</v>
      </c>
      <c r="I26" s="28" t="s">
        <v>2942</v>
      </c>
      <c r="J26" s="28" t="s">
        <v>2943</v>
      </c>
      <c r="K26" s="28" t="s">
        <v>2944</v>
      </c>
      <c r="L26" s="28" t="s">
        <v>2945</v>
      </c>
    </row>
    <row r="27" spans="1:12">
      <c r="A27" s="28">
        <v>1271</v>
      </c>
      <c r="B27" s="28" t="s">
        <v>527</v>
      </c>
      <c r="C27" s="28" t="s">
        <v>2946</v>
      </c>
      <c r="D27" s="28" t="s">
        <v>2947</v>
      </c>
      <c r="E27" s="28" t="s">
        <v>2948</v>
      </c>
      <c r="F27" s="28" t="s">
        <v>2949</v>
      </c>
      <c r="G27" s="28" t="s">
        <v>2950</v>
      </c>
      <c r="H27" s="28" t="s">
        <v>2951</v>
      </c>
      <c r="I27" s="28" t="s">
        <v>2952</v>
      </c>
      <c r="J27" s="28" t="s">
        <v>2953</v>
      </c>
      <c r="K27" s="28" t="s">
        <v>2954</v>
      </c>
      <c r="L27" s="28" t="s">
        <v>2955</v>
      </c>
    </row>
    <row r="28" spans="1:12">
      <c r="A28" s="28">
        <v>1281</v>
      </c>
      <c r="B28" s="28" t="s">
        <v>540</v>
      </c>
      <c r="C28" s="28" t="s">
        <v>2956</v>
      </c>
      <c r="D28" s="28" t="s">
        <v>2957</v>
      </c>
      <c r="E28" s="28" t="s">
        <v>2958</v>
      </c>
      <c r="F28" s="28" t="s">
        <v>2959</v>
      </c>
      <c r="G28" s="28" t="s">
        <v>2960</v>
      </c>
      <c r="H28" s="28" t="s">
        <v>2961</v>
      </c>
      <c r="I28" s="28" t="s">
        <v>2962</v>
      </c>
      <c r="J28" s="28" t="s">
        <v>2963</v>
      </c>
      <c r="K28" s="28" t="s">
        <v>2964</v>
      </c>
      <c r="L28" s="28" t="s">
        <v>2965</v>
      </c>
    </row>
    <row r="29" spans="1:12">
      <c r="A29" s="28">
        <v>1291</v>
      </c>
      <c r="B29" s="28" t="s">
        <v>555</v>
      </c>
      <c r="C29" s="28" t="s">
        <v>2966</v>
      </c>
      <c r="D29" s="28" t="s">
        <v>2967</v>
      </c>
      <c r="E29" s="28" t="s">
        <v>2968</v>
      </c>
      <c r="F29" s="28" t="s">
        <v>2969</v>
      </c>
      <c r="G29" s="28" t="s">
        <v>2970</v>
      </c>
      <c r="H29" s="28" t="s">
        <v>2971</v>
      </c>
      <c r="I29" s="28" t="s">
        <v>2972</v>
      </c>
      <c r="J29" s="28" t="s">
        <v>2973</v>
      </c>
      <c r="K29" s="28" t="s">
        <v>2974</v>
      </c>
      <c r="L29" s="28" t="s">
        <v>2975</v>
      </c>
    </row>
    <row r="30" spans="1:12">
      <c r="A30" s="28">
        <v>1301</v>
      </c>
      <c r="B30" s="28" t="s">
        <v>572</v>
      </c>
      <c r="C30" s="28" t="s">
        <v>2976</v>
      </c>
      <c r="D30" s="28" t="s">
        <v>2977</v>
      </c>
      <c r="E30" s="28" t="s">
        <v>2978</v>
      </c>
      <c r="F30" s="28" t="s">
        <v>2979</v>
      </c>
      <c r="G30" s="28" t="s">
        <v>2980</v>
      </c>
      <c r="H30" s="28" t="s">
        <v>2981</v>
      </c>
      <c r="I30" s="28" t="s">
        <v>2982</v>
      </c>
      <c r="J30" s="28" t="s">
        <v>2983</v>
      </c>
      <c r="K30" s="28" t="s">
        <v>2984</v>
      </c>
      <c r="L30" s="28" t="s">
        <v>2985</v>
      </c>
    </row>
    <row r="31" spans="1:12">
      <c r="A31" s="28">
        <v>1311</v>
      </c>
      <c r="B31" s="28" t="s">
        <v>590</v>
      </c>
      <c r="C31" s="28" t="s">
        <v>2986</v>
      </c>
      <c r="D31" s="28" t="s">
        <v>2987</v>
      </c>
      <c r="E31" s="28" t="s">
        <v>2988</v>
      </c>
      <c r="F31" s="28" t="s">
        <v>2989</v>
      </c>
      <c r="G31" s="28" t="s">
        <v>2990</v>
      </c>
      <c r="H31" s="28" t="s">
        <v>2991</v>
      </c>
      <c r="I31" s="28" t="s">
        <v>2992</v>
      </c>
      <c r="J31" s="28" t="s">
        <v>2993</v>
      </c>
      <c r="K31" s="28" t="s">
        <v>2994</v>
      </c>
      <c r="L31" s="28" t="s">
        <v>2995</v>
      </c>
    </row>
    <row r="32" spans="1:12">
      <c r="A32" s="28">
        <v>1321</v>
      </c>
      <c r="B32" s="28" t="s">
        <v>612</v>
      </c>
      <c r="C32" s="28" t="s">
        <v>2996</v>
      </c>
      <c r="D32" s="28" t="s">
        <v>2997</v>
      </c>
      <c r="E32" s="28" t="s">
        <v>2998</v>
      </c>
      <c r="F32" s="28" t="s">
        <v>2999</v>
      </c>
      <c r="G32" s="28" t="s">
        <v>3000</v>
      </c>
      <c r="H32" s="28" t="s">
        <v>3001</v>
      </c>
      <c r="I32" s="28" t="s">
        <v>3002</v>
      </c>
      <c r="J32" s="28" t="s">
        <v>3003</v>
      </c>
      <c r="K32" s="28" t="s">
        <v>3004</v>
      </c>
      <c r="L32" s="28" t="s">
        <v>3005</v>
      </c>
    </row>
    <row r="33" spans="1:12">
      <c r="A33" s="28">
        <v>1331</v>
      </c>
      <c r="B33" s="28" t="s">
        <v>628</v>
      </c>
      <c r="C33" s="28" t="s">
        <v>642</v>
      </c>
      <c r="D33" s="28" t="s">
        <v>3006</v>
      </c>
      <c r="E33" s="28" t="s">
        <v>3007</v>
      </c>
      <c r="F33" s="28" t="s">
        <v>3008</v>
      </c>
      <c r="G33" s="28" t="s">
        <v>3009</v>
      </c>
      <c r="H33" s="28" t="s">
        <v>3010</v>
      </c>
      <c r="I33" s="28" t="s">
        <v>3011</v>
      </c>
      <c r="J33" s="28" t="s">
        <v>3012</v>
      </c>
      <c r="K33" s="28" t="s">
        <v>3013</v>
      </c>
      <c r="L33" s="28" t="s">
        <v>3014</v>
      </c>
    </row>
    <row r="34" spans="1:12">
      <c r="A34" s="28">
        <v>1341</v>
      </c>
      <c r="B34" s="28" t="s">
        <v>644</v>
      </c>
      <c r="C34" s="28" t="s">
        <v>3015</v>
      </c>
      <c r="D34" s="53" t="s">
        <v>3016</v>
      </c>
      <c r="E34" s="53" t="s">
        <v>3017</v>
      </c>
      <c r="F34" s="53" t="s">
        <v>3018</v>
      </c>
      <c r="G34" s="53" t="s">
        <v>3019</v>
      </c>
      <c r="H34" s="53" t="s">
        <v>3020</v>
      </c>
      <c r="I34" s="53" t="s">
        <v>3021</v>
      </c>
      <c r="J34" s="53" t="s">
        <v>3022</v>
      </c>
      <c r="K34" s="28" t="s">
        <v>3023</v>
      </c>
      <c r="L34" s="28" t="s">
        <v>3024</v>
      </c>
    </row>
    <row r="35" spans="1:12">
      <c r="A35" s="28">
        <v>1351</v>
      </c>
      <c r="B35" s="28" t="s">
        <v>659</v>
      </c>
      <c r="C35" s="28" t="s">
        <v>3025</v>
      </c>
      <c r="D35" s="28" t="s">
        <v>3026</v>
      </c>
      <c r="E35" s="28" t="s">
        <v>3027</v>
      </c>
      <c r="F35" s="28" t="s">
        <v>3028</v>
      </c>
      <c r="G35" s="28" t="s">
        <v>3029</v>
      </c>
      <c r="H35" s="28" t="s">
        <v>3030</v>
      </c>
      <c r="I35" s="28" t="s">
        <v>3031</v>
      </c>
      <c r="J35" s="28" t="s">
        <v>3032</v>
      </c>
      <c r="K35" s="28" t="s">
        <v>3033</v>
      </c>
      <c r="L35" s="28" t="s">
        <v>3034</v>
      </c>
    </row>
    <row r="36" spans="1:12">
      <c r="A36" s="28">
        <v>1361</v>
      </c>
      <c r="B36" s="28" t="s">
        <v>671</v>
      </c>
      <c r="C36" s="28" t="s">
        <v>3035</v>
      </c>
      <c r="D36" s="28" t="s">
        <v>3036</v>
      </c>
      <c r="E36" s="28" t="s">
        <v>3037</v>
      </c>
      <c r="F36" s="28" t="s">
        <v>3038</v>
      </c>
      <c r="G36" s="28" t="s">
        <v>3039</v>
      </c>
      <c r="H36" s="28" t="s">
        <v>3040</v>
      </c>
      <c r="I36" s="28" t="s">
        <v>3041</v>
      </c>
      <c r="J36" s="28" t="s">
        <v>3042</v>
      </c>
      <c r="K36" s="28" t="s">
        <v>3043</v>
      </c>
      <c r="L36" s="28" t="s">
        <v>3044</v>
      </c>
    </row>
    <row r="37" spans="1:12">
      <c r="A37" s="28">
        <v>1371</v>
      </c>
      <c r="B37" s="28" t="s">
        <v>692</v>
      </c>
      <c r="C37" s="28" t="s">
        <v>3045</v>
      </c>
      <c r="D37" s="53" t="s">
        <v>3046</v>
      </c>
      <c r="E37" s="53" t="s">
        <v>3047</v>
      </c>
      <c r="F37" s="53" t="s">
        <v>3048</v>
      </c>
      <c r="G37" s="53" t="s">
        <v>3049</v>
      </c>
      <c r="H37" s="53" t="s">
        <v>3050</v>
      </c>
      <c r="I37" s="53" t="s">
        <v>3051</v>
      </c>
      <c r="J37" s="53" t="s">
        <v>3052</v>
      </c>
      <c r="K37" s="28" t="s">
        <v>3053</v>
      </c>
      <c r="L37" s="28" t="s">
        <v>3054</v>
      </c>
    </row>
    <row r="38" spans="1:12">
      <c r="A38" s="28">
        <v>1381</v>
      </c>
      <c r="B38" s="28" t="s">
        <v>716</v>
      </c>
      <c r="C38" s="28" t="s">
        <v>3055</v>
      </c>
      <c r="D38" s="28" t="s">
        <v>3056</v>
      </c>
      <c r="E38" s="28" t="s">
        <v>3057</v>
      </c>
      <c r="F38" s="28" t="s">
        <v>3058</v>
      </c>
      <c r="G38" s="28" t="s">
        <v>3059</v>
      </c>
      <c r="H38" s="28" t="s">
        <v>3060</v>
      </c>
      <c r="I38" s="28" t="s">
        <v>3061</v>
      </c>
      <c r="J38" s="28" t="s">
        <v>3062</v>
      </c>
      <c r="K38" s="28" t="s">
        <v>3063</v>
      </c>
      <c r="L38" s="28" t="s">
        <v>3064</v>
      </c>
    </row>
    <row r="39" spans="1:12">
      <c r="A39" s="28">
        <v>1391</v>
      </c>
      <c r="B39" s="28" t="s">
        <v>734</v>
      </c>
      <c r="C39" s="28" t="s">
        <v>3065</v>
      </c>
      <c r="D39" s="53" t="s">
        <v>3066</v>
      </c>
      <c r="E39" s="53" t="s">
        <v>3067</v>
      </c>
      <c r="F39" s="53" t="s">
        <v>3068</v>
      </c>
      <c r="G39" s="53" t="s">
        <v>3069</v>
      </c>
      <c r="H39" s="53" t="s">
        <v>3070</v>
      </c>
      <c r="I39" s="53" t="s">
        <v>3071</v>
      </c>
      <c r="J39" s="53" t="s">
        <v>3072</v>
      </c>
      <c r="K39" s="28" t="s">
        <v>3073</v>
      </c>
      <c r="L39" s="28" t="s">
        <v>3074</v>
      </c>
    </row>
    <row r="40" spans="1:12">
      <c r="A40" s="28">
        <v>1401</v>
      </c>
      <c r="B40" s="28" t="s">
        <v>749</v>
      </c>
      <c r="C40" s="28" t="s">
        <v>3075</v>
      </c>
      <c r="D40" s="28" t="s">
        <v>3076</v>
      </c>
      <c r="E40" s="28" t="s">
        <v>3077</v>
      </c>
      <c r="F40" s="28" t="s">
        <v>3078</v>
      </c>
      <c r="G40" s="28" t="s">
        <v>3079</v>
      </c>
      <c r="H40" s="28" t="s">
        <v>3080</v>
      </c>
      <c r="I40" s="28" t="s">
        <v>3081</v>
      </c>
      <c r="J40" s="28" t="s">
        <v>3082</v>
      </c>
      <c r="K40" s="28" t="s">
        <v>3083</v>
      </c>
      <c r="L40" s="28" t="s">
        <v>3084</v>
      </c>
    </row>
    <row r="41" spans="1:12">
      <c r="A41" s="28">
        <v>1411</v>
      </c>
      <c r="B41" s="28" t="s">
        <v>763</v>
      </c>
      <c r="C41" s="28" t="s">
        <v>3085</v>
      </c>
      <c r="D41" s="28" t="s">
        <v>3086</v>
      </c>
      <c r="E41" s="28" t="s">
        <v>3087</v>
      </c>
      <c r="F41" s="28" t="s">
        <v>3088</v>
      </c>
      <c r="G41" s="28" t="s">
        <v>3089</v>
      </c>
      <c r="H41" s="28" t="s">
        <v>3090</v>
      </c>
      <c r="I41" s="28" t="s">
        <v>3091</v>
      </c>
      <c r="J41" s="28" t="s">
        <v>3092</v>
      </c>
      <c r="K41" s="28" t="s">
        <v>3093</v>
      </c>
      <c r="L41" s="28" t="s">
        <v>3094</v>
      </c>
    </row>
    <row r="42" spans="1:12">
      <c r="A42" s="28">
        <v>1421</v>
      </c>
      <c r="B42" s="28" t="s">
        <v>784</v>
      </c>
      <c r="C42" s="28" t="s">
        <v>3095</v>
      </c>
      <c r="D42" s="28" t="s">
        <v>3096</v>
      </c>
      <c r="E42" s="28" t="s">
        <v>3097</v>
      </c>
      <c r="F42" s="28" t="s">
        <v>3098</v>
      </c>
      <c r="G42" s="28" t="s">
        <v>3099</v>
      </c>
      <c r="H42" s="28" t="s">
        <v>3100</v>
      </c>
      <c r="I42" s="28" t="s">
        <v>3101</v>
      </c>
      <c r="J42" s="28" t="s">
        <v>3102</v>
      </c>
      <c r="K42" s="28" t="s">
        <v>3103</v>
      </c>
      <c r="L42" s="28" t="s">
        <v>3104</v>
      </c>
    </row>
    <row r="43" spans="1:12">
      <c r="A43" s="28">
        <v>1431</v>
      </c>
      <c r="B43" s="28" t="s">
        <v>796</v>
      </c>
      <c r="C43" s="28" t="s">
        <v>3105</v>
      </c>
      <c r="D43" s="28" t="s">
        <v>3106</v>
      </c>
      <c r="E43" s="53" t="s">
        <v>3107</v>
      </c>
      <c r="F43" s="53" t="s">
        <v>3108</v>
      </c>
      <c r="G43" s="53" t="s">
        <v>3109</v>
      </c>
      <c r="H43" s="53" t="s">
        <v>3110</v>
      </c>
      <c r="I43" s="53" t="s">
        <v>3111</v>
      </c>
      <c r="J43" s="53" t="s">
        <v>3112</v>
      </c>
      <c r="K43" s="28" t="s">
        <v>3113</v>
      </c>
      <c r="L43" s="28" t="s">
        <v>3114</v>
      </c>
    </row>
    <row r="44" spans="1:12">
      <c r="A44" s="28">
        <v>1441</v>
      </c>
      <c r="B44" s="28" t="s">
        <v>826</v>
      </c>
      <c r="C44" s="28" t="s">
        <v>3115</v>
      </c>
      <c r="D44" s="28" t="s">
        <v>3116</v>
      </c>
      <c r="E44" s="28" t="s">
        <v>3117</v>
      </c>
      <c r="F44" s="28" t="s">
        <v>3118</v>
      </c>
      <c r="G44" s="28" t="s">
        <v>3119</v>
      </c>
      <c r="H44" s="28" t="s">
        <v>3120</v>
      </c>
      <c r="I44" s="28" t="s">
        <v>3121</v>
      </c>
      <c r="J44" s="28" t="s">
        <v>3122</v>
      </c>
      <c r="K44" s="28" t="s">
        <v>3123</v>
      </c>
      <c r="L44" s="28" t="s">
        <v>3124</v>
      </c>
    </row>
    <row r="45" spans="1:12">
      <c r="A45" s="28">
        <v>1451</v>
      </c>
      <c r="B45" s="28" t="s">
        <v>849</v>
      </c>
      <c r="C45" s="28" t="s">
        <v>3125</v>
      </c>
      <c r="D45" s="28" t="s">
        <v>3126</v>
      </c>
      <c r="E45" s="28" t="s">
        <v>3127</v>
      </c>
      <c r="F45" s="28" t="s">
        <v>3128</v>
      </c>
      <c r="G45" s="28" t="s">
        <v>3129</v>
      </c>
      <c r="H45" s="28" t="s">
        <v>3130</v>
      </c>
      <c r="I45" s="28" t="s">
        <v>3131</v>
      </c>
      <c r="J45" s="28" t="s">
        <v>3132</v>
      </c>
      <c r="K45" s="28" t="s">
        <v>3133</v>
      </c>
      <c r="L45" s="28" t="s">
        <v>3134</v>
      </c>
    </row>
    <row r="46" spans="1:12">
      <c r="A46" s="28">
        <v>1461</v>
      </c>
      <c r="B46" s="28" t="s">
        <v>864</v>
      </c>
      <c r="C46" s="28" t="s">
        <v>3135</v>
      </c>
      <c r="D46" s="28" t="s">
        <v>3136</v>
      </c>
      <c r="E46" s="28" t="s">
        <v>3137</v>
      </c>
      <c r="F46" s="28" t="s">
        <v>3138</v>
      </c>
      <c r="G46" s="28" t="s">
        <v>3139</v>
      </c>
      <c r="H46" s="28" t="s">
        <v>3140</v>
      </c>
      <c r="I46" s="28" t="s">
        <v>3141</v>
      </c>
      <c r="J46" s="28" t="s">
        <v>3142</v>
      </c>
      <c r="K46" s="28" t="s">
        <v>3143</v>
      </c>
      <c r="L46" s="28" t="s">
        <v>3144</v>
      </c>
    </row>
    <row r="47" spans="1:12">
      <c r="A47" s="28">
        <v>1471</v>
      </c>
      <c r="B47" s="28" t="s">
        <v>879</v>
      </c>
      <c r="C47" s="28" t="s">
        <v>3145</v>
      </c>
      <c r="D47" s="53" t="s">
        <v>3146</v>
      </c>
      <c r="E47" s="53" t="s">
        <v>3147</v>
      </c>
      <c r="F47" s="53" t="s">
        <v>3148</v>
      </c>
      <c r="G47" s="53" t="s">
        <v>3149</v>
      </c>
      <c r="H47" s="53" t="s">
        <v>3150</v>
      </c>
      <c r="I47" s="53" t="s">
        <v>3151</v>
      </c>
      <c r="J47" s="53" t="s">
        <v>3152</v>
      </c>
      <c r="K47" s="28" t="s">
        <v>3153</v>
      </c>
      <c r="L47" s="28" t="s">
        <v>3154</v>
      </c>
    </row>
    <row r="48" spans="1:12" ht="1270.5" customHeight="1">
      <c r="A48" s="28">
        <v>1481</v>
      </c>
      <c r="B48" s="28" t="s">
        <v>900</v>
      </c>
      <c r="C48" s="28" t="s">
        <v>3155</v>
      </c>
      <c r="D48" s="53" t="s">
        <v>3156</v>
      </c>
      <c r="E48" s="53" t="s">
        <v>3157</v>
      </c>
      <c r="F48" s="53" t="s">
        <v>3158</v>
      </c>
      <c r="G48" s="53" t="s">
        <v>3159</v>
      </c>
      <c r="H48" s="53" t="s">
        <v>3160</v>
      </c>
      <c r="I48" s="53" t="s">
        <v>3161</v>
      </c>
      <c r="J48" s="53" t="s">
        <v>3162</v>
      </c>
      <c r="K48" s="28" t="s">
        <v>3163</v>
      </c>
      <c r="L48" s="28" t="s">
        <v>3164</v>
      </c>
    </row>
    <row r="49" spans="1:13" s="28" customFormat="1">
      <c r="A49" s="28">
        <v>1491</v>
      </c>
      <c r="B49" s="28" t="s">
        <v>915</v>
      </c>
      <c r="C49" s="28" t="s">
        <v>3165</v>
      </c>
      <c r="D49" s="53" t="s">
        <v>3166</v>
      </c>
      <c r="E49" s="53" t="s">
        <v>3167</v>
      </c>
      <c r="F49" s="53" t="s">
        <v>3168</v>
      </c>
      <c r="G49" s="53" t="s">
        <v>3169</v>
      </c>
      <c r="H49" s="53" t="s">
        <v>3170</v>
      </c>
      <c r="I49" s="53" t="s">
        <v>3171</v>
      </c>
      <c r="J49" s="53" t="s">
        <v>3172</v>
      </c>
      <c r="K49" s="28" t="s">
        <v>3173</v>
      </c>
      <c r="L49" s="28" t="s">
        <v>3174</v>
      </c>
      <c r="M49" s="28" t="s"/>
    </row>
    <row r="50" spans="1:13" s="28" customFormat="1">
      <c r="A50" s="28">
        <v>1501</v>
      </c>
      <c r="B50" s="28" t="s">
        <v>933</v>
      </c>
      <c r="C50" s="28" t="s">
        <v>3175</v>
      </c>
      <c r="D50" s="28" t="s">
        <v>3176</v>
      </c>
      <c r="E50" s="28" t="s">
        <v>3177</v>
      </c>
      <c r="F50" s="28" t="s">
        <v>3178</v>
      </c>
      <c r="G50" s="28" t="s">
        <v>3179</v>
      </c>
      <c r="H50" s="28" t="s">
        <v>3180</v>
      </c>
      <c r="I50" s="28" t="s">
        <v>3181</v>
      </c>
      <c r="J50" s="28" t="s">
        <v>3182</v>
      </c>
      <c r="K50" s="28" t="s">
        <v>3183</v>
      </c>
      <c r="L50" s="28" t="s">
        <v>3184</v>
      </c>
      <c r="M50" s="28" t="s"/>
    </row>
  </sheetData>
</worksheet>
</file>

<file path=xl/worksheets/sheet10.xml><?xml version="1.0" encoding="utf-8"?>
<worksheet xmlns="http://schemas.openxmlformats.org/spreadsheetml/2006/main">
  <sheetPr codeName="代理人强化">
    <tabColor/>
  </sheetPr>
  <dimension ref="G199"/>
  <sheetViews>
    <sheetView showGridLines="1" workbookViewId="0">
      <pane xSplit="1" ySplit="1" topLeftCell="B2" state="frozen"/>
    </sheetView>
  </sheetViews>
  <sheetFormatPr baseColWidth="13" defaultRowHeight="18" customHeight="1"/>
  <cols>
    <col min="1" max="1" width="11.8242" style="28" customWidth="1"/>
    <col min="2" max="2" width="9.85156" style="28" customWidth="1"/>
    <col min="3" max="3" width="14.0625" style="28" customWidth="1"/>
    <col min="4" max="4" width="29.6719" style="28" customWidth="1"/>
    <col min="5" max="5" width="59.3516" style="28" customWidth="1"/>
    <col min="6" max="6" width="29.6719" style="28" customWidth="1"/>
    <col min="7" max="7" width="59.3516" style="28" customWidth="1"/>
    <col min="8" max="8" width="14.0625" style="28" customWidth="1"/>
    <col min="9" max="26" width="13.6719" style="28"/>
  </cols>
  <sheetData>
    <row r="1" spans="1:8">
      <c r="A1" s="28" t="s">
        <v>3185</v>
      </c>
      <c r="B1" s="28" t="s">
        <v>3186</v>
      </c>
      <c r="C1" s="28" t="s">
        <v>3187</v>
      </c>
      <c r="D1" s="28" t="s">
        <v>3188</v>
      </c>
      <c r="E1" s="28" t="s">
        <v>3189</v>
      </c>
      <c r="F1" s="28" t="s">
        <v>3190</v>
      </c>
      <c r="G1" s="28" t="s">
        <v>3191</v>
      </c>
      <c r="H1" s="28" t="s">
        <v>3192</v>
      </c>
    </row>
    <row r="2" spans="1:8">
      <c r="A2" s="28">
        <v>1041</v>
      </c>
      <c r="B2" s="28">
        <v>10410001</v>
      </c>
      <c r="C2" s="28" t="s">
        <v>110</v>
      </c>
      <c r="D2" s="28" t="s">
        <v>3193</v>
      </c>
      <c r="E2" s="28" t="s">
        <v>3194</v>
      </c>
      <c r="F2" s="28" t="s">
        <v>112</v>
      </c>
      <c r="G2" s="28" t="s">
        <v>2036</v>
      </c>
      <c r="H2" s="28">
        <v>0</v>
      </c>
    </row>
    <row r="3" spans="1:8">
      <c r="A3" s="28">
        <v>1041</v>
      </c>
      <c r="B3" s="28">
        <v>10410002</v>
      </c>
      <c r="C3" s="28" t="s">
        <v>110</v>
      </c>
      <c r="D3" s="28" t="s">
        <v>114</v>
      </c>
      <c r="E3" s="28" t="s">
        <v>2041</v>
      </c>
      <c r="F3" s="28" t="s">
        <v>114</v>
      </c>
      <c r="G3" s="28" t="s">
        <v>2040</v>
      </c>
      <c r="H3" s="28">
        <v>0</v>
      </c>
    </row>
    <row r="4" spans="1:8">
      <c r="A4" s="28">
        <v>1041</v>
      </c>
      <c r="B4" s="28">
        <v>10410003</v>
      </c>
      <c r="C4" s="28" t="s">
        <v>110</v>
      </c>
      <c r="D4" s="28" t="s">
        <v>3195</v>
      </c>
      <c r="E4" s="28" t="s">
        <v>3196</v>
      </c>
      <c r="F4" s="28" t="s">
        <v>3195</v>
      </c>
      <c r="G4" s="28" t="s">
        <v>3197</v>
      </c>
      <c r="H4" s="28">
        <v>0</v>
      </c>
    </row>
    <row r="5" spans="1:8">
      <c r="A5" s="28">
        <v>1041</v>
      </c>
      <c r="B5" s="28">
        <v>10410101</v>
      </c>
      <c r="C5" s="28" t="s">
        <v>110</v>
      </c>
      <c r="D5" s="28" t="s">
        <v>3198</v>
      </c>
      <c r="E5" s="28" t="s">
        <v>3199</v>
      </c>
      <c r="F5" s="28" t="s">
        <v>3200</v>
      </c>
      <c r="G5" s="28" t="s">
        <v>3201</v>
      </c>
      <c r="H5" s="28">
        <v>0</v>
      </c>
    </row>
    <row r="6" spans="1:8">
      <c r="A6" s="28">
        <v>1041</v>
      </c>
      <c r="B6" s="28">
        <v>10410201</v>
      </c>
      <c r="C6" s="28" t="s">
        <v>110</v>
      </c>
      <c r="D6" s="28" t="s">
        <v>3198</v>
      </c>
      <c r="E6" s="28" t="s">
        <v>3202</v>
      </c>
      <c r="F6" s="28" t="s">
        <v>3198</v>
      </c>
      <c r="G6" s="28" t="s">
        <v>3199</v>
      </c>
      <c r="H6" s="28">
        <v>0</v>
      </c>
    </row>
    <row r="7" spans="1:8">
      <c r="A7" s="28">
        <v>1041</v>
      </c>
      <c r="B7" s="28">
        <v>10410301</v>
      </c>
      <c r="C7" s="28" t="s">
        <v>110</v>
      </c>
      <c r="D7" s="28" t="s">
        <v>3198</v>
      </c>
      <c r="E7" s="28" t="s">
        <v>3203</v>
      </c>
      <c r="F7" s="28" t="s">
        <v>3198</v>
      </c>
      <c r="G7" s="28" t="s">
        <v>3202</v>
      </c>
      <c r="H7" s="28">
        <v>0</v>
      </c>
    </row>
    <row r="8" spans="1:8">
      <c r="A8" s="28">
        <v>1041</v>
      </c>
      <c r="B8" s="28">
        <v>10410401</v>
      </c>
      <c r="C8" s="28" t="s">
        <v>110</v>
      </c>
      <c r="D8" s="28" t="s">
        <v>3198</v>
      </c>
      <c r="E8" s="28" t="s">
        <v>3204</v>
      </c>
      <c r="F8" s="28" t="s">
        <v>3198</v>
      </c>
      <c r="G8" s="28" t="s">
        <v>3203</v>
      </c>
      <c r="H8" s="28">
        <v>0</v>
      </c>
    </row>
    <row r="9" spans="1:8">
      <c r="A9" s="28">
        <v>1041</v>
      </c>
      <c r="B9" s="28">
        <v>10410501</v>
      </c>
      <c r="C9" s="28" t="s">
        <v>110</v>
      </c>
      <c r="D9" s="28" t="s">
        <v>3198</v>
      </c>
      <c r="E9" s="28" t="s">
        <v>3205</v>
      </c>
      <c r="F9" s="28" t="s">
        <v>3198</v>
      </c>
      <c r="G9" s="28" t="s">
        <v>3204</v>
      </c>
      <c r="H9" s="28">
        <v>0</v>
      </c>
    </row>
    <row r="10" spans="1:8">
      <c r="A10" s="28">
        <v>1141</v>
      </c>
      <c r="B10" s="28">
        <v>11410001</v>
      </c>
      <c r="C10" s="28" t="s">
        <v>287</v>
      </c>
      <c r="D10" s="28" t="s">
        <v>3206</v>
      </c>
      <c r="E10" s="28" t="s">
        <v>3207</v>
      </c>
      <c r="F10" s="28" t="s">
        <v>304</v>
      </c>
      <c r="G10" s="28" t="s">
        <v>2010</v>
      </c>
      <c r="H10" s="28">
        <v>0</v>
      </c>
    </row>
    <row r="11" spans="1:8">
      <c r="A11" s="28">
        <v>1141</v>
      </c>
      <c r="B11" s="28">
        <v>11410002</v>
      </c>
      <c r="C11" s="28" t="s">
        <v>287</v>
      </c>
      <c r="D11" s="28" t="s">
        <v>3208</v>
      </c>
      <c r="E11" s="53" t="s">
        <v>3209</v>
      </c>
      <c r="F11" s="28" t="s">
        <v>3208</v>
      </c>
      <c r="G11" s="28" t="s">
        <v>3210</v>
      </c>
      <c r="H11" s="28">
        <v>1</v>
      </c>
    </row>
    <row r="12" spans="1:8">
      <c r="A12" s="28">
        <v>1141</v>
      </c>
      <c r="B12" s="28">
        <v>11410002</v>
      </c>
      <c r="C12" s="28" t="s">
        <v>287</v>
      </c>
      <c r="D12" s="28" t="s">
        <v>3208</v>
      </c>
      <c r="E12" s="53" t="s">
        <v>3211</v>
      </c>
      <c r="F12" s="28" t="s">
        <v>3208</v>
      </c>
      <c r="G12" s="28" t="s">
        <v>3212</v>
      </c>
      <c r="H12" s="28">
        <v>2</v>
      </c>
    </row>
    <row r="13" spans="1:8">
      <c r="A13" s="28">
        <v>1141</v>
      </c>
      <c r="B13" s="28">
        <v>11410002</v>
      </c>
      <c r="C13" s="28" t="s">
        <v>287</v>
      </c>
      <c r="D13" s="28" t="s">
        <v>3208</v>
      </c>
      <c r="E13" s="53" t="s">
        <v>3213</v>
      </c>
      <c r="F13" s="28" t="s">
        <v>3208</v>
      </c>
      <c r="G13" s="28" t="s">
        <v>3214</v>
      </c>
      <c r="H13" s="28">
        <v>3</v>
      </c>
    </row>
    <row r="14" spans="1:8">
      <c r="A14" s="28">
        <v>1141</v>
      </c>
      <c r="B14" s="28">
        <v>11410002</v>
      </c>
      <c r="C14" s="28" t="s">
        <v>287</v>
      </c>
      <c r="D14" s="28" t="s">
        <v>3208</v>
      </c>
      <c r="E14" s="53" t="s">
        <v>3215</v>
      </c>
      <c r="F14" s="28" t="s">
        <v>3208</v>
      </c>
      <c r="G14" s="28" t="s">
        <v>3216</v>
      </c>
      <c r="H14" s="28">
        <v>4</v>
      </c>
    </row>
    <row r="15" spans="1:8">
      <c r="A15" s="28">
        <v>1141</v>
      </c>
      <c r="B15" s="28">
        <v>11410002</v>
      </c>
      <c r="C15" s="28" t="s">
        <v>287</v>
      </c>
      <c r="D15" s="28" t="s">
        <v>3208</v>
      </c>
      <c r="E15" s="53" t="s">
        <v>3217</v>
      </c>
      <c r="F15" s="28" t="s">
        <v>3208</v>
      </c>
      <c r="G15" s="28" t="s">
        <v>3218</v>
      </c>
      <c r="H15" s="28">
        <v>5</v>
      </c>
    </row>
    <row r="16" spans="1:8">
      <c r="A16" s="28">
        <v>1141</v>
      </c>
      <c r="B16" s="28">
        <v>11410002</v>
      </c>
      <c r="C16" s="28" t="s">
        <v>287</v>
      </c>
      <c r="D16" s="28" t="s">
        <v>3208</v>
      </c>
      <c r="E16" s="53" t="s">
        <v>3219</v>
      </c>
      <c r="F16" s="28" t="s">
        <v>3208</v>
      </c>
      <c r="G16" s="28" t="s">
        <v>3220</v>
      </c>
      <c r="H16" s="28">
        <v>6</v>
      </c>
    </row>
    <row r="17" spans="1:8">
      <c r="A17" s="28">
        <v>1141</v>
      </c>
      <c r="B17" s="28">
        <v>11410002</v>
      </c>
      <c r="C17" s="28" t="s">
        <v>287</v>
      </c>
      <c r="D17" s="28" t="s">
        <v>3208</v>
      </c>
      <c r="E17" s="53" t="s">
        <v>3221</v>
      </c>
      <c r="F17" s="28" t="s">
        <v>3208</v>
      </c>
      <c r="G17" s="28" t="s">
        <v>3222</v>
      </c>
      <c r="H17" s="28">
        <v>7</v>
      </c>
    </row>
    <row r="18" spans="1:8">
      <c r="A18" s="28">
        <v>1141</v>
      </c>
      <c r="B18" s="28">
        <v>11410101</v>
      </c>
      <c r="C18" s="28" t="s">
        <v>287</v>
      </c>
      <c r="D18" s="28" t="s">
        <v>3223</v>
      </c>
      <c r="E18" s="53" t="s">
        <v>3224</v>
      </c>
      <c r="F18" s="28" t="s">
        <v>3200</v>
      </c>
      <c r="G18" s="28" t="s">
        <v>3201</v>
      </c>
      <c r="H18" s="28">
        <v>0</v>
      </c>
    </row>
    <row r="19" spans="1:8">
      <c r="A19" s="28">
        <v>1141</v>
      </c>
      <c r="B19" s="28">
        <v>11410201</v>
      </c>
      <c r="C19" s="28" t="s">
        <v>287</v>
      </c>
      <c r="D19" s="28" t="s">
        <v>3223</v>
      </c>
      <c r="E19" s="53" t="s">
        <v>3225</v>
      </c>
      <c r="F19" s="28" t="s">
        <v>3223</v>
      </c>
      <c r="G19" s="53" t="s">
        <v>3224</v>
      </c>
      <c r="H19" s="28">
        <v>0</v>
      </c>
    </row>
    <row r="20" spans="1:8">
      <c r="A20" s="28">
        <v>1141</v>
      </c>
      <c r="B20" s="28">
        <v>11410301</v>
      </c>
      <c r="C20" s="28" t="s">
        <v>287</v>
      </c>
      <c r="D20" s="28" t="s">
        <v>3223</v>
      </c>
      <c r="E20" s="53" t="s">
        <v>3226</v>
      </c>
      <c r="F20" s="28" t="s">
        <v>3223</v>
      </c>
      <c r="G20" s="53" t="s">
        <v>3225</v>
      </c>
      <c r="H20" s="28">
        <v>0</v>
      </c>
    </row>
    <row r="21" spans="1:8">
      <c r="A21" s="28">
        <v>1141</v>
      </c>
      <c r="B21" s="28">
        <v>11410401</v>
      </c>
      <c r="C21" s="28" t="s">
        <v>287</v>
      </c>
      <c r="D21" s="28" t="s">
        <v>3223</v>
      </c>
      <c r="E21" s="53" t="s">
        <v>3227</v>
      </c>
      <c r="F21" s="28" t="s">
        <v>3223</v>
      </c>
      <c r="G21" s="53" t="s">
        <v>3226</v>
      </c>
      <c r="H21" s="28">
        <v>0</v>
      </c>
    </row>
    <row r="22" spans="1:8">
      <c r="A22" s="28">
        <v>1141</v>
      </c>
      <c r="B22" s="28">
        <v>11410501</v>
      </c>
      <c r="C22" s="28" t="s">
        <v>287</v>
      </c>
      <c r="D22" s="28" t="s">
        <v>3223</v>
      </c>
      <c r="E22" s="53" t="s">
        <v>3228</v>
      </c>
      <c r="F22" s="28" t="s">
        <v>3223</v>
      </c>
      <c r="G22" s="53" t="s">
        <v>3227</v>
      </c>
      <c r="H22" s="28">
        <v>0</v>
      </c>
    </row>
    <row r="23" spans="1:8">
      <c r="A23" s="28">
        <v>1171</v>
      </c>
      <c r="B23" s="28">
        <v>11710001</v>
      </c>
      <c r="C23" s="28" t="s">
        <v>352</v>
      </c>
      <c r="D23" s="28" t="s">
        <v>354</v>
      </c>
      <c r="E23" s="53" t="s">
        <v>2196</v>
      </c>
      <c r="F23" s="28" t="s">
        <v>354</v>
      </c>
      <c r="G23" s="53" t="s">
        <v>2195</v>
      </c>
      <c r="H23" s="28">
        <v>0</v>
      </c>
    </row>
    <row r="24" spans="1:8">
      <c r="A24" s="28">
        <v>1171</v>
      </c>
      <c r="B24" s="28">
        <v>11710002</v>
      </c>
      <c r="C24" s="28" t="s">
        <v>352</v>
      </c>
      <c r="D24" s="28" t="s">
        <v>365</v>
      </c>
      <c r="E24" s="28" t="s">
        <v>2209</v>
      </c>
      <c r="F24" s="28" t="s">
        <v>365</v>
      </c>
      <c r="G24" s="28" t="s">
        <v>2208</v>
      </c>
      <c r="H24" s="28">
        <v>0</v>
      </c>
    </row>
    <row r="25" spans="1:8">
      <c r="A25" s="28">
        <v>1171</v>
      </c>
      <c r="B25" s="28">
        <v>11710003</v>
      </c>
      <c r="C25" s="28" t="s">
        <v>352</v>
      </c>
      <c r="D25" s="28" t="s">
        <v>3229</v>
      </c>
      <c r="E25" s="28" t="s">
        <v>3230</v>
      </c>
      <c r="F25" s="28" t="s">
        <v>3231</v>
      </c>
      <c r="G25" s="28" t="s">
        <v>3232</v>
      </c>
      <c r="H25" s="28">
        <v>0</v>
      </c>
    </row>
    <row r="26" spans="1:8">
      <c r="A26" s="28">
        <v>1171</v>
      </c>
      <c r="B26" s="28">
        <v>11710101</v>
      </c>
      <c r="C26" s="28" t="s">
        <v>352</v>
      </c>
      <c r="D26" s="28" t="s">
        <v>3233</v>
      </c>
      <c r="E26" s="28" t="s">
        <v>3234</v>
      </c>
      <c r="F26" s="28" t="s">
        <v>3200</v>
      </c>
      <c r="G26" s="28" t="s">
        <v>3201</v>
      </c>
      <c r="H26" s="28">
        <v>0</v>
      </c>
    </row>
    <row r="27" spans="1:8">
      <c r="A27" s="28">
        <v>1171</v>
      </c>
      <c r="B27" s="28">
        <v>11710201</v>
      </c>
      <c r="C27" s="28" t="s">
        <v>352</v>
      </c>
      <c r="D27" s="28" t="s">
        <v>3233</v>
      </c>
      <c r="E27" s="28" t="s">
        <v>3235</v>
      </c>
      <c r="F27" s="28" t="s">
        <v>3233</v>
      </c>
      <c r="G27" s="28" t="s">
        <v>3234</v>
      </c>
      <c r="H27" s="28">
        <v>0</v>
      </c>
    </row>
    <row r="28" spans="1:8">
      <c r="A28" s="28">
        <v>1171</v>
      </c>
      <c r="B28" s="28">
        <v>11710301</v>
      </c>
      <c r="C28" s="28" t="s">
        <v>352</v>
      </c>
      <c r="D28" s="28" t="s">
        <v>3233</v>
      </c>
      <c r="E28" s="28" t="s">
        <v>3236</v>
      </c>
      <c r="F28" s="28" t="s">
        <v>3233</v>
      </c>
      <c r="G28" s="28" t="s">
        <v>3235</v>
      </c>
      <c r="H28" s="28">
        <v>0</v>
      </c>
    </row>
    <row r="29" spans="1:8">
      <c r="A29" s="28">
        <v>1171</v>
      </c>
      <c r="B29" s="28">
        <v>11710401</v>
      </c>
      <c r="C29" s="28" t="s">
        <v>352</v>
      </c>
      <c r="D29" s="28" t="s">
        <v>3233</v>
      </c>
      <c r="E29" s="28" t="s">
        <v>3237</v>
      </c>
      <c r="F29" s="28" t="s">
        <v>3233</v>
      </c>
      <c r="G29" s="28" t="s">
        <v>3236</v>
      </c>
      <c r="H29" s="28">
        <v>0</v>
      </c>
    </row>
    <row r="30" spans="1:8">
      <c r="A30" s="28">
        <v>1171</v>
      </c>
      <c r="B30" s="28">
        <v>11710501</v>
      </c>
      <c r="C30" s="28" t="s">
        <v>352</v>
      </c>
      <c r="D30" s="28" t="s">
        <v>3233</v>
      </c>
      <c r="E30" s="28" t="s">
        <v>3238</v>
      </c>
      <c r="F30" s="28" t="s">
        <v>3233</v>
      </c>
      <c r="G30" s="28" t="s">
        <v>3237</v>
      </c>
      <c r="H30" s="28">
        <v>0</v>
      </c>
    </row>
    <row r="31" spans="1:8">
      <c r="A31" s="28">
        <v>1181</v>
      </c>
      <c r="B31" s="28">
        <v>11810001</v>
      </c>
      <c r="C31" s="28" t="s">
        <v>372</v>
      </c>
      <c r="D31" s="28" t="s">
        <v>373</v>
      </c>
      <c r="E31" s="28" t="s">
        <v>2212</v>
      </c>
      <c r="F31" s="28" t="s">
        <v>373</v>
      </c>
      <c r="G31" s="28" t="s">
        <v>2211</v>
      </c>
      <c r="H31" s="28">
        <v>0</v>
      </c>
    </row>
    <row r="32" spans="1:8">
      <c r="A32" s="28">
        <v>1181</v>
      </c>
      <c r="B32" s="28">
        <v>11810002</v>
      </c>
      <c r="C32" s="28" t="s">
        <v>372</v>
      </c>
      <c r="D32" s="28" t="s">
        <v>379</v>
      </c>
      <c r="E32" s="28" t="s">
        <v>2223</v>
      </c>
      <c r="F32" s="28" t="s">
        <v>379</v>
      </c>
      <c r="G32" s="28" t="s">
        <v>2222</v>
      </c>
      <c r="H32" s="28">
        <v>0</v>
      </c>
    </row>
    <row r="33" spans="1:8">
      <c r="A33" s="28">
        <v>1181</v>
      </c>
      <c r="B33" s="28">
        <v>11810003</v>
      </c>
      <c r="C33" s="28" t="s">
        <v>372</v>
      </c>
      <c r="D33" s="28" t="s">
        <v>3239</v>
      </c>
      <c r="E33" s="28" t="s">
        <v>3240</v>
      </c>
      <c r="F33" s="28" t="s">
        <v>3241</v>
      </c>
      <c r="G33" s="28" t="s">
        <v>3242</v>
      </c>
      <c r="H33" s="28">
        <v>0</v>
      </c>
    </row>
    <row r="34" spans="1:8">
      <c r="A34" s="28">
        <v>1181</v>
      </c>
      <c r="B34" s="28">
        <v>11810004</v>
      </c>
      <c r="C34" s="28" t="s">
        <v>372</v>
      </c>
      <c r="D34" s="28" t="s">
        <v>381</v>
      </c>
      <c r="E34" s="28" t="s">
        <v>2226</v>
      </c>
      <c r="F34" s="28" t="s">
        <v>381</v>
      </c>
      <c r="G34" s="28" t="s">
        <v>2225</v>
      </c>
      <c r="H34" s="28">
        <v>0</v>
      </c>
    </row>
    <row r="35" spans="1:8">
      <c r="A35" s="28">
        <v>1181</v>
      </c>
      <c r="B35" s="28">
        <v>11810005</v>
      </c>
      <c r="C35" s="28" t="s">
        <v>372</v>
      </c>
      <c r="D35" s="28" t="s">
        <v>2874</v>
      </c>
      <c r="E35" s="28" t="s">
        <v>3243</v>
      </c>
      <c r="F35" s="28" t="s">
        <v>2874</v>
      </c>
      <c r="G35" s="28" t="s">
        <v>2875</v>
      </c>
      <c r="H35" s="28">
        <v>0</v>
      </c>
    </row>
    <row r="36" spans="1:8">
      <c r="A36" s="28">
        <v>1181</v>
      </c>
      <c r="B36" s="28">
        <v>11810101</v>
      </c>
      <c r="C36" s="28" t="s">
        <v>372</v>
      </c>
      <c r="D36" s="28" t="s">
        <v>3244</v>
      </c>
      <c r="E36" s="28" t="s">
        <v>3245</v>
      </c>
      <c r="F36" s="28" t="s">
        <v>3200</v>
      </c>
      <c r="G36" s="28" t="s">
        <v>3201</v>
      </c>
      <c r="H36" s="28">
        <v>0</v>
      </c>
    </row>
    <row r="37" spans="1:8">
      <c r="A37" s="28">
        <v>1181</v>
      </c>
      <c r="B37" s="28">
        <v>11810201</v>
      </c>
      <c r="C37" s="28" t="s">
        <v>372</v>
      </c>
      <c r="D37" s="28" t="s">
        <v>3244</v>
      </c>
      <c r="E37" s="28" t="s">
        <v>3246</v>
      </c>
      <c r="F37" s="28" t="s">
        <v>3244</v>
      </c>
      <c r="G37" s="28" t="s">
        <v>3245</v>
      </c>
      <c r="H37" s="28">
        <v>0</v>
      </c>
    </row>
    <row r="38" spans="1:8">
      <c r="A38" s="28">
        <v>1181</v>
      </c>
      <c r="B38" s="28">
        <v>11810301</v>
      </c>
      <c r="C38" s="28" t="s">
        <v>372</v>
      </c>
      <c r="D38" s="28" t="s">
        <v>3244</v>
      </c>
      <c r="E38" s="28" t="s">
        <v>3247</v>
      </c>
      <c r="F38" s="28" t="s">
        <v>3244</v>
      </c>
      <c r="G38" s="28" t="s">
        <v>3246</v>
      </c>
      <c r="H38" s="28">
        <v>0</v>
      </c>
    </row>
    <row r="39" spans="1:8">
      <c r="A39" s="28">
        <v>1181</v>
      </c>
      <c r="B39" s="28">
        <v>11810401</v>
      </c>
      <c r="C39" s="28" t="s">
        <v>372</v>
      </c>
      <c r="D39" s="28" t="s">
        <v>3244</v>
      </c>
      <c r="E39" s="28" t="s">
        <v>3248</v>
      </c>
      <c r="F39" s="28" t="s">
        <v>3244</v>
      </c>
      <c r="G39" s="28" t="s">
        <v>3247</v>
      </c>
      <c r="H39" s="28">
        <v>0</v>
      </c>
    </row>
    <row r="40" spans="1:8">
      <c r="A40" s="28">
        <v>1181</v>
      </c>
      <c r="B40" s="28">
        <v>11810501</v>
      </c>
      <c r="C40" s="28" t="s">
        <v>372</v>
      </c>
      <c r="D40" s="28" t="s">
        <v>3244</v>
      </c>
      <c r="E40" s="28" t="s">
        <v>3249</v>
      </c>
      <c r="F40" s="28" t="s">
        <v>3244</v>
      </c>
      <c r="G40" s="28" t="s">
        <v>3248</v>
      </c>
      <c r="H40" s="28">
        <v>0</v>
      </c>
    </row>
    <row r="41" spans="1:8">
      <c r="A41" s="28">
        <v>1191</v>
      </c>
      <c r="B41" s="28">
        <v>11910001</v>
      </c>
      <c r="C41" s="28" t="s">
        <v>388</v>
      </c>
      <c r="D41" s="28" t="s">
        <v>3250</v>
      </c>
      <c r="E41" s="28" t="s">
        <v>3251</v>
      </c>
      <c r="F41" s="28" t="s">
        <v>3200</v>
      </c>
      <c r="G41" s="28" t="s">
        <v>3201</v>
      </c>
      <c r="H41" s="28">
        <v>0</v>
      </c>
    </row>
    <row r="42" spans="1:8">
      <c r="A42" s="28">
        <v>1191</v>
      </c>
      <c r="B42" s="28">
        <v>11910002</v>
      </c>
      <c r="C42" s="28" t="s">
        <v>388</v>
      </c>
      <c r="D42" s="28" t="s">
        <v>391</v>
      </c>
      <c r="E42" s="28" t="s">
        <v>2242</v>
      </c>
      <c r="F42" s="28" t="s">
        <v>391</v>
      </c>
      <c r="G42" s="28" t="s">
        <v>2241</v>
      </c>
      <c r="H42" s="28">
        <v>0</v>
      </c>
    </row>
    <row r="43" spans="1:8">
      <c r="A43" s="28">
        <v>1191</v>
      </c>
      <c r="B43" s="28">
        <v>11910003</v>
      </c>
      <c r="C43" s="28" t="s">
        <v>388</v>
      </c>
      <c r="D43" s="28" t="s">
        <v>3252</v>
      </c>
      <c r="E43" s="28" t="s">
        <v>3253</v>
      </c>
      <c r="F43" s="28" t="s">
        <v>3252</v>
      </c>
      <c r="G43" s="28" t="s">
        <v>3254</v>
      </c>
      <c r="H43" s="28">
        <v>1</v>
      </c>
    </row>
    <row r="44" spans="1:8">
      <c r="A44" s="28">
        <v>1191</v>
      </c>
      <c r="B44" s="28">
        <v>11910003</v>
      </c>
      <c r="C44" s="28" t="s">
        <v>388</v>
      </c>
      <c r="D44" s="28" t="s">
        <v>3252</v>
      </c>
      <c r="E44" s="28" t="s">
        <v>3255</v>
      </c>
      <c r="F44" s="28" t="s">
        <v>3252</v>
      </c>
      <c r="G44" s="28" t="s">
        <v>3256</v>
      </c>
      <c r="H44" s="28">
        <v>2</v>
      </c>
    </row>
    <row r="45" spans="1:8">
      <c r="A45" s="28">
        <v>1191</v>
      </c>
      <c r="B45" s="28">
        <v>11910003</v>
      </c>
      <c r="C45" s="28" t="s">
        <v>388</v>
      </c>
      <c r="D45" s="28" t="s">
        <v>3252</v>
      </c>
      <c r="E45" s="28" t="s">
        <v>3257</v>
      </c>
      <c r="F45" s="28" t="s">
        <v>3252</v>
      </c>
      <c r="G45" s="28" t="s">
        <v>3258</v>
      </c>
      <c r="H45" s="28">
        <v>3</v>
      </c>
    </row>
    <row r="46" spans="1:8">
      <c r="A46" s="28">
        <v>1191</v>
      </c>
      <c r="B46" s="28">
        <v>11910003</v>
      </c>
      <c r="C46" s="28" t="s">
        <v>388</v>
      </c>
      <c r="D46" s="28" t="s">
        <v>3252</v>
      </c>
      <c r="E46" s="28" t="s">
        <v>3259</v>
      </c>
      <c r="F46" s="28" t="s">
        <v>3252</v>
      </c>
      <c r="G46" s="28" t="s">
        <v>3260</v>
      </c>
      <c r="H46" s="28">
        <v>4</v>
      </c>
    </row>
    <row r="47" spans="1:8">
      <c r="A47" s="28">
        <v>1191</v>
      </c>
      <c r="B47" s="28">
        <v>11910003</v>
      </c>
      <c r="C47" s="28" t="s">
        <v>388</v>
      </c>
      <c r="D47" s="28" t="s">
        <v>3252</v>
      </c>
      <c r="E47" s="28" t="s">
        <v>3261</v>
      </c>
      <c r="F47" s="28" t="s">
        <v>3252</v>
      </c>
      <c r="G47" s="28" t="s">
        <v>3262</v>
      </c>
      <c r="H47" s="28">
        <v>5</v>
      </c>
    </row>
    <row r="48" spans="1:8">
      <c r="A48" s="28">
        <v>1191</v>
      </c>
      <c r="B48" s="28">
        <v>11910003</v>
      </c>
      <c r="C48" s="28" t="s">
        <v>388</v>
      </c>
      <c r="D48" s="28" t="s">
        <v>3252</v>
      </c>
      <c r="E48" s="28" t="s">
        <v>3263</v>
      </c>
      <c r="F48" s="28" t="s">
        <v>3252</v>
      </c>
      <c r="G48" s="28" t="s">
        <v>3264</v>
      </c>
      <c r="H48" s="28">
        <v>6</v>
      </c>
    </row>
    <row r="49" spans="1:8">
      <c r="A49" s="28">
        <v>1191</v>
      </c>
      <c r="B49" s="28">
        <v>11910003</v>
      </c>
      <c r="C49" s="28" t="s">
        <v>388</v>
      </c>
      <c r="D49" s="28" t="s">
        <v>3252</v>
      </c>
      <c r="E49" s="28" t="s">
        <v>3265</v>
      </c>
      <c r="F49" s="28" t="s">
        <v>3252</v>
      </c>
      <c r="G49" s="28" t="s">
        <v>3266</v>
      </c>
      <c r="H49" s="28">
        <v>7</v>
      </c>
    </row>
    <row r="50" spans="1:8">
      <c r="A50" s="28">
        <v>1191</v>
      </c>
      <c r="B50" s="28">
        <v>11910101</v>
      </c>
      <c r="C50" s="28" t="s">
        <v>388</v>
      </c>
      <c r="D50" s="28" t="s">
        <v>3267</v>
      </c>
      <c r="E50" s="28" t="s">
        <v>3268</v>
      </c>
      <c r="F50" s="28" t="s">
        <v>3200</v>
      </c>
      <c r="G50" s="28" t="s">
        <v>3201</v>
      </c>
      <c r="H50" s="28">
        <v>0</v>
      </c>
    </row>
    <row r="51" spans="1:8">
      <c r="A51" s="28">
        <v>1191</v>
      </c>
      <c r="B51" s="28">
        <v>11910201</v>
      </c>
      <c r="C51" s="28" t="s">
        <v>388</v>
      </c>
      <c r="D51" s="28" t="s">
        <v>3267</v>
      </c>
      <c r="E51" s="28" t="s">
        <v>3269</v>
      </c>
      <c r="F51" s="28" t="s">
        <v>3267</v>
      </c>
      <c r="G51" s="28" t="s">
        <v>3268</v>
      </c>
      <c r="H51" s="28">
        <v>0</v>
      </c>
    </row>
    <row r="52" spans="1:8">
      <c r="A52" s="28">
        <v>1191</v>
      </c>
      <c r="B52" s="28">
        <v>11910301</v>
      </c>
      <c r="C52" s="28" t="s">
        <v>388</v>
      </c>
      <c r="D52" s="28" t="s">
        <v>3267</v>
      </c>
      <c r="E52" s="28" t="s">
        <v>3270</v>
      </c>
      <c r="F52" s="28" t="s">
        <v>3267</v>
      </c>
      <c r="G52" s="28" t="s">
        <v>3269</v>
      </c>
      <c r="H52" s="28">
        <v>0</v>
      </c>
    </row>
    <row r="53" spans="1:8">
      <c r="A53" s="28">
        <v>1191</v>
      </c>
      <c r="B53" s="28">
        <v>11910401</v>
      </c>
      <c r="C53" s="28" t="s">
        <v>388</v>
      </c>
      <c r="D53" s="28" t="s">
        <v>3267</v>
      </c>
      <c r="E53" s="28" t="s">
        <v>3271</v>
      </c>
      <c r="F53" s="28" t="s">
        <v>3267</v>
      </c>
      <c r="G53" s="28" t="s">
        <v>3270</v>
      </c>
      <c r="H53" s="28">
        <v>0</v>
      </c>
    </row>
    <row r="54" spans="1:8">
      <c r="A54" s="28">
        <v>1191</v>
      </c>
      <c r="B54" s="28">
        <v>11910501</v>
      </c>
      <c r="C54" s="28" t="s">
        <v>388</v>
      </c>
      <c r="D54" s="28" t="s">
        <v>3267</v>
      </c>
      <c r="E54" s="28" t="s">
        <v>3272</v>
      </c>
      <c r="F54" s="28" t="s">
        <v>3267</v>
      </c>
      <c r="G54" s="28" t="s">
        <v>3271</v>
      </c>
      <c r="H54" s="28">
        <v>0</v>
      </c>
    </row>
    <row r="55" spans="1:8">
      <c r="A55" s="28">
        <v>1201</v>
      </c>
      <c r="B55" s="28">
        <v>12010001</v>
      </c>
      <c r="C55" s="28" t="s">
        <v>412</v>
      </c>
      <c r="D55" s="28" t="s">
        <v>426</v>
      </c>
      <c r="E55" s="28" t="s">
        <v>2268</v>
      </c>
      <c r="F55" s="28" t="s">
        <v>426</v>
      </c>
      <c r="G55" s="28" t="s">
        <v>2267</v>
      </c>
      <c r="H55" s="28">
        <v>0</v>
      </c>
    </row>
    <row r="56" spans="1:8">
      <c r="A56" s="28">
        <v>1201</v>
      </c>
      <c r="B56" s="28">
        <v>12010002</v>
      </c>
      <c r="C56" s="28" t="s">
        <v>412</v>
      </c>
      <c r="D56" s="28" t="s">
        <v>427</v>
      </c>
      <c r="E56" s="28" t="s">
        <v>2258</v>
      </c>
      <c r="F56" s="28" t="s">
        <v>3200</v>
      </c>
      <c r="G56" s="28" t="s">
        <v>3201</v>
      </c>
      <c r="H56" s="28">
        <v>0</v>
      </c>
    </row>
    <row r="57" spans="1:8">
      <c r="A57" s="28">
        <v>1201</v>
      </c>
      <c r="B57" s="28">
        <v>12010003</v>
      </c>
      <c r="C57" s="28" t="s">
        <v>412</v>
      </c>
      <c r="D57" s="28" t="s">
        <v>428</v>
      </c>
      <c r="E57" s="28" t="s">
        <v>2264</v>
      </c>
      <c r="F57" s="28" t="s">
        <v>3200</v>
      </c>
      <c r="G57" s="28" t="s">
        <v>3201</v>
      </c>
      <c r="H57" s="28">
        <v>0</v>
      </c>
    </row>
    <row r="58" spans="1:8">
      <c r="A58" s="28">
        <v>1201</v>
      </c>
      <c r="B58" s="28">
        <v>12010004</v>
      </c>
      <c r="C58" s="28" t="s">
        <v>412</v>
      </c>
      <c r="D58" s="28" t="s">
        <v>2886</v>
      </c>
      <c r="E58" s="28" t="s">
        <v>3273</v>
      </c>
      <c r="F58" s="28" t="s">
        <v>2886</v>
      </c>
      <c r="G58" s="28" t="s">
        <v>2887</v>
      </c>
      <c r="H58" s="28">
        <v>1</v>
      </c>
    </row>
    <row r="59" spans="1:8">
      <c r="A59" s="28">
        <v>1201</v>
      </c>
      <c r="B59" s="28">
        <v>12010004</v>
      </c>
      <c r="C59" s="28" t="s">
        <v>412</v>
      </c>
      <c r="D59" s="28" t="s">
        <v>2886</v>
      </c>
      <c r="E59" s="28" t="s">
        <v>3274</v>
      </c>
      <c r="F59" s="28" t="s">
        <v>2886</v>
      </c>
      <c r="G59" s="28" t="s">
        <v>2888</v>
      </c>
      <c r="H59" s="28">
        <v>2</v>
      </c>
    </row>
    <row r="60" spans="1:8">
      <c r="A60" s="28">
        <v>1201</v>
      </c>
      <c r="B60" s="28">
        <v>12010004</v>
      </c>
      <c r="C60" s="28" t="s">
        <v>412</v>
      </c>
      <c r="D60" s="28" t="s">
        <v>2886</v>
      </c>
      <c r="E60" s="28" t="s">
        <v>3275</v>
      </c>
      <c r="F60" s="28" t="s">
        <v>2886</v>
      </c>
      <c r="G60" s="28" t="s">
        <v>2889</v>
      </c>
      <c r="H60" s="28">
        <v>3</v>
      </c>
    </row>
    <row r="61" spans="1:8">
      <c r="A61" s="28">
        <v>1201</v>
      </c>
      <c r="B61" s="28">
        <v>12010004</v>
      </c>
      <c r="C61" s="28" t="s">
        <v>412</v>
      </c>
      <c r="D61" s="28" t="s">
        <v>2886</v>
      </c>
      <c r="E61" s="28" t="s">
        <v>3276</v>
      </c>
      <c r="F61" s="28" t="s">
        <v>2886</v>
      </c>
      <c r="G61" s="28" t="s">
        <v>2890</v>
      </c>
      <c r="H61" s="28">
        <v>4</v>
      </c>
    </row>
    <row r="62" spans="1:8">
      <c r="A62" s="28">
        <v>1201</v>
      </c>
      <c r="B62" s="28">
        <v>12010004</v>
      </c>
      <c r="C62" s="28" t="s">
        <v>412</v>
      </c>
      <c r="D62" s="28" t="s">
        <v>2886</v>
      </c>
      <c r="E62" s="28" t="s">
        <v>3277</v>
      </c>
      <c r="F62" s="28" t="s">
        <v>2886</v>
      </c>
      <c r="G62" s="28" t="s">
        <v>2891</v>
      </c>
      <c r="H62" s="28">
        <v>5</v>
      </c>
    </row>
    <row r="63" spans="1:8">
      <c r="A63" s="28">
        <v>1201</v>
      </c>
      <c r="B63" s="28">
        <v>12010004</v>
      </c>
      <c r="C63" s="28" t="s">
        <v>412</v>
      </c>
      <c r="D63" s="28" t="s">
        <v>2886</v>
      </c>
      <c r="E63" s="28" t="s">
        <v>3278</v>
      </c>
      <c r="F63" s="28" t="s">
        <v>2886</v>
      </c>
      <c r="G63" s="28" t="s">
        <v>2892</v>
      </c>
      <c r="H63" s="28">
        <v>6</v>
      </c>
    </row>
    <row r="64" spans="1:8">
      <c r="A64" s="28">
        <v>1201</v>
      </c>
      <c r="B64" s="28">
        <v>12010004</v>
      </c>
      <c r="C64" s="28" t="s">
        <v>412</v>
      </c>
      <c r="D64" s="28" t="s">
        <v>2886</v>
      </c>
      <c r="E64" s="28" t="s">
        <v>3279</v>
      </c>
      <c r="F64" s="28" t="s">
        <v>2886</v>
      </c>
      <c r="G64" s="28" t="s">
        <v>2893</v>
      </c>
      <c r="H64" s="28">
        <v>7</v>
      </c>
    </row>
    <row r="65" spans="1:8">
      <c r="A65" s="28">
        <v>1201</v>
      </c>
      <c r="B65" s="28">
        <v>12010101</v>
      </c>
      <c r="C65" s="28" t="s">
        <v>412</v>
      </c>
      <c r="D65" s="28" t="s">
        <v>3280</v>
      </c>
      <c r="E65" s="28" t="s">
        <v>3281</v>
      </c>
      <c r="F65" s="28" t="s">
        <v>3200</v>
      </c>
      <c r="G65" s="28" t="s">
        <v>3201</v>
      </c>
      <c r="H65" s="28">
        <v>0</v>
      </c>
    </row>
    <row r="66" spans="1:8">
      <c r="A66" s="28">
        <v>1201</v>
      </c>
      <c r="B66" s="28">
        <v>12010201</v>
      </c>
      <c r="C66" s="28" t="s">
        <v>412</v>
      </c>
      <c r="D66" s="28" t="s">
        <v>3280</v>
      </c>
      <c r="E66" s="28" t="s">
        <v>3282</v>
      </c>
      <c r="F66" s="28" t="s">
        <v>3280</v>
      </c>
      <c r="G66" s="28" t="s">
        <v>3281</v>
      </c>
      <c r="H66" s="28">
        <v>0</v>
      </c>
    </row>
    <row r="67" spans="1:8">
      <c r="A67" s="28">
        <v>1201</v>
      </c>
      <c r="B67" s="28">
        <v>12010301</v>
      </c>
      <c r="C67" s="28" t="s">
        <v>412</v>
      </c>
      <c r="D67" s="28" t="s">
        <v>3280</v>
      </c>
      <c r="E67" s="28" t="s">
        <v>3283</v>
      </c>
      <c r="F67" s="28" t="s">
        <v>3280</v>
      </c>
      <c r="G67" s="28" t="s">
        <v>3282</v>
      </c>
      <c r="H67" s="28">
        <v>0</v>
      </c>
    </row>
    <row r="68" spans="1:8">
      <c r="A68" s="28">
        <v>1201</v>
      </c>
      <c r="B68" s="28">
        <v>12010401</v>
      </c>
      <c r="C68" s="28" t="s">
        <v>412</v>
      </c>
      <c r="D68" s="28" t="s">
        <v>3280</v>
      </c>
      <c r="E68" s="28" t="s">
        <v>3284</v>
      </c>
      <c r="F68" s="28" t="s">
        <v>3280</v>
      </c>
      <c r="G68" s="28" t="s">
        <v>3283</v>
      </c>
      <c r="H68" s="28">
        <v>0</v>
      </c>
    </row>
    <row r="69" spans="1:8">
      <c r="A69" s="28">
        <v>1201</v>
      </c>
      <c r="B69" s="28">
        <v>12010501</v>
      </c>
      <c r="C69" s="28" t="s">
        <v>412</v>
      </c>
      <c r="D69" s="28" t="s">
        <v>3280</v>
      </c>
      <c r="E69" s="28" t="s">
        <v>3285</v>
      </c>
      <c r="F69" s="28" t="s">
        <v>3280</v>
      </c>
      <c r="G69" s="28" t="s">
        <v>3284</v>
      </c>
      <c r="H69" s="28">
        <v>0</v>
      </c>
    </row>
    <row r="70" spans="1:8">
      <c r="A70" s="28">
        <v>1381</v>
      </c>
      <c r="B70" s="28">
        <v>13810001</v>
      </c>
      <c r="C70" s="28" t="s">
        <v>716</v>
      </c>
      <c r="D70" s="28" t="s">
        <v>717</v>
      </c>
      <c r="E70" s="28" t="s">
        <v>2489</v>
      </c>
      <c r="F70" s="28" t="s">
        <v>717</v>
      </c>
      <c r="G70" s="28" t="s">
        <v>2488</v>
      </c>
      <c r="H70" s="28">
        <v>0</v>
      </c>
    </row>
    <row r="71" spans="1:8">
      <c r="A71" s="28">
        <v>1381</v>
      </c>
      <c r="B71" s="28">
        <v>13810002</v>
      </c>
      <c r="C71" s="28" t="s">
        <v>716</v>
      </c>
      <c r="D71" s="28" t="s">
        <v>726</v>
      </c>
      <c r="E71" s="28" t="s">
        <v>2498</v>
      </c>
      <c r="F71" s="28" t="s">
        <v>726</v>
      </c>
      <c r="G71" s="28" t="s">
        <v>2497</v>
      </c>
      <c r="H71" s="28">
        <v>0</v>
      </c>
    </row>
    <row r="72" spans="1:8">
      <c r="A72" s="28">
        <v>1381</v>
      </c>
      <c r="B72" s="28">
        <v>13810003</v>
      </c>
      <c r="C72" s="28" t="s">
        <v>716</v>
      </c>
      <c r="D72" s="28" t="s">
        <v>733</v>
      </c>
      <c r="E72" s="28" t="s">
        <v>2493</v>
      </c>
      <c r="F72" s="28" t="s">
        <v>3200</v>
      </c>
      <c r="G72" s="28" t="s">
        <v>3201</v>
      </c>
      <c r="H72" s="28">
        <v>0</v>
      </c>
    </row>
    <row r="73" spans="1:8">
      <c r="A73" s="28">
        <v>1381</v>
      </c>
      <c r="B73" s="28">
        <v>13810004</v>
      </c>
      <c r="C73" s="28" t="s">
        <v>716</v>
      </c>
      <c r="D73" s="28" t="s">
        <v>3286</v>
      </c>
      <c r="E73" s="28" t="s">
        <v>3287</v>
      </c>
      <c r="F73" s="28" t="s">
        <v>3286</v>
      </c>
      <c r="G73" s="28" t="s">
        <v>3288</v>
      </c>
      <c r="H73" s="28">
        <v>1</v>
      </c>
    </row>
    <row r="74" spans="1:8">
      <c r="A74" s="28">
        <v>1381</v>
      </c>
      <c r="B74" s="28">
        <v>13810004</v>
      </c>
      <c r="C74" s="28" t="s">
        <v>716</v>
      </c>
      <c r="D74" s="28" t="s">
        <v>3286</v>
      </c>
      <c r="E74" s="28" t="s">
        <v>3289</v>
      </c>
      <c r="F74" s="28" t="s">
        <v>3286</v>
      </c>
      <c r="G74" s="28" t="s">
        <v>3290</v>
      </c>
      <c r="H74" s="28">
        <v>2</v>
      </c>
    </row>
    <row r="75" spans="1:8">
      <c r="A75" s="28">
        <v>1381</v>
      </c>
      <c r="B75" s="28">
        <v>13810004</v>
      </c>
      <c r="C75" s="28" t="s">
        <v>716</v>
      </c>
      <c r="D75" s="28" t="s">
        <v>3286</v>
      </c>
      <c r="E75" s="28" t="s">
        <v>3291</v>
      </c>
      <c r="F75" s="28" t="s">
        <v>3286</v>
      </c>
      <c r="G75" s="28" t="s">
        <v>3292</v>
      </c>
      <c r="H75" s="28">
        <v>3</v>
      </c>
    </row>
    <row r="76" spans="1:8">
      <c r="A76" s="28">
        <v>1381</v>
      </c>
      <c r="B76" s="28">
        <v>13810004</v>
      </c>
      <c r="C76" s="28" t="s">
        <v>716</v>
      </c>
      <c r="D76" s="28" t="s">
        <v>3286</v>
      </c>
      <c r="E76" s="28" t="s">
        <v>3293</v>
      </c>
      <c r="F76" s="28" t="s">
        <v>3286</v>
      </c>
      <c r="G76" s="28" t="s">
        <v>3294</v>
      </c>
      <c r="H76" s="28">
        <v>4</v>
      </c>
    </row>
    <row r="77" spans="1:8">
      <c r="A77" s="28">
        <v>1381</v>
      </c>
      <c r="B77" s="28">
        <v>13810004</v>
      </c>
      <c r="C77" s="28" t="s">
        <v>716</v>
      </c>
      <c r="D77" s="28" t="s">
        <v>3286</v>
      </c>
      <c r="E77" s="28" t="s">
        <v>3295</v>
      </c>
      <c r="F77" s="28" t="s">
        <v>3286</v>
      </c>
      <c r="G77" s="28" t="s">
        <v>3296</v>
      </c>
      <c r="H77" s="28">
        <v>5</v>
      </c>
    </row>
    <row r="78" spans="1:8">
      <c r="A78" s="28">
        <v>1381</v>
      </c>
      <c r="B78" s="28">
        <v>13810004</v>
      </c>
      <c r="C78" s="28" t="s">
        <v>716</v>
      </c>
      <c r="D78" s="28" t="s">
        <v>3286</v>
      </c>
      <c r="E78" s="28" t="s">
        <v>3297</v>
      </c>
      <c r="F78" s="28" t="s">
        <v>3286</v>
      </c>
      <c r="G78" s="28" t="s">
        <v>3298</v>
      </c>
      <c r="H78" s="28">
        <v>6</v>
      </c>
    </row>
    <row r="79" spans="1:8">
      <c r="A79" s="28">
        <v>1381</v>
      </c>
      <c r="B79" s="28">
        <v>13810004</v>
      </c>
      <c r="C79" s="28" t="s">
        <v>716</v>
      </c>
      <c r="D79" s="28" t="s">
        <v>3286</v>
      </c>
      <c r="E79" s="28" t="s">
        <v>3299</v>
      </c>
      <c r="F79" s="28" t="s">
        <v>3286</v>
      </c>
      <c r="G79" s="28" t="s">
        <v>3300</v>
      </c>
      <c r="H79" s="28">
        <v>7</v>
      </c>
    </row>
    <row r="80" spans="1:8">
      <c r="A80" s="28">
        <v>1381</v>
      </c>
      <c r="B80" s="28">
        <v>13810101</v>
      </c>
      <c r="C80" s="28" t="s">
        <v>716</v>
      </c>
      <c r="D80" s="28" t="s">
        <v>3301</v>
      </c>
      <c r="E80" s="28" t="s">
        <v>3302</v>
      </c>
      <c r="F80" s="28" t="s">
        <v>3200</v>
      </c>
      <c r="G80" s="28" t="s">
        <v>3201</v>
      </c>
      <c r="H80" s="28">
        <v>0</v>
      </c>
    </row>
    <row r="81" spans="1:8">
      <c r="A81" s="28">
        <v>1381</v>
      </c>
      <c r="B81" s="28">
        <v>13810201</v>
      </c>
      <c r="C81" s="28" t="s">
        <v>716</v>
      </c>
      <c r="D81" s="28" t="s">
        <v>3301</v>
      </c>
      <c r="E81" s="28" t="s">
        <v>3303</v>
      </c>
      <c r="F81" s="28" t="s">
        <v>3301</v>
      </c>
      <c r="G81" s="28" t="s">
        <v>3302</v>
      </c>
      <c r="H81" s="28">
        <v>0</v>
      </c>
    </row>
    <row r="82" spans="1:8">
      <c r="A82" s="28">
        <v>1381</v>
      </c>
      <c r="B82" s="28">
        <v>13810301</v>
      </c>
      <c r="C82" s="28" t="s">
        <v>716</v>
      </c>
      <c r="D82" s="28" t="s">
        <v>3301</v>
      </c>
      <c r="E82" s="28" t="s">
        <v>3304</v>
      </c>
      <c r="F82" s="28" t="s">
        <v>3301</v>
      </c>
      <c r="G82" s="28" t="s">
        <v>3303</v>
      </c>
      <c r="H82" s="28">
        <v>0</v>
      </c>
    </row>
    <row r="83" spans="1:8">
      <c r="A83" s="28">
        <v>1381</v>
      </c>
      <c r="B83" s="28">
        <v>13810401</v>
      </c>
      <c r="C83" s="28" t="s">
        <v>716</v>
      </c>
      <c r="D83" s="28" t="s">
        <v>3301</v>
      </c>
      <c r="E83" s="28" t="s">
        <v>3305</v>
      </c>
      <c r="F83" s="28" t="s">
        <v>3301</v>
      </c>
      <c r="G83" s="28" t="s">
        <v>3304</v>
      </c>
      <c r="H83" s="28">
        <v>0</v>
      </c>
    </row>
    <row r="84" spans="1:8">
      <c r="A84" s="28">
        <v>1381</v>
      </c>
      <c r="B84" s="28">
        <v>13810501</v>
      </c>
      <c r="C84" s="28" t="s">
        <v>716</v>
      </c>
      <c r="D84" s="28" t="s">
        <v>3301</v>
      </c>
      <c r="E84" s="28" t="s">
        <v>3306</v>
      </c>
      <c r="F84" s="28" t="s">
        <v>3301</v>
      </c>
      <c r="G84" s="28" t="s">
        <v>3305</v>
      </c>
      <c r="H84" s="28">
        <v>0</v>
      </c>
    </row>
    <row r="85" spans="6:7">
      <c r="F85" s="28" t="s"/>
      <c r="G85" s="28" t="s"/>
    </row>
    <row r="86" spans="6:7">
      <c r="F86" s="28" t="s"/>
      <c r="G86" s="28" t="s"/>
    </row>
    <row r="87" spans="6:7">
      <c r="F87" s="28" t="s"/>
      <c r="G87" s="28" t="s"/>
    </row>
    <row r="88" spans="6:7">
      <c r="F88" s="28" t="s"/>
      <c r="G88" s="28" t="s"/>
    </row>
    <row r="89" spans="6:7">
      <c r="F89" s="28" t="s"/>
      <c r="G89" s="28" t="s"/>
    </row>
    <row r="90" spans="6:7">
      <c r="F90" s="28" t="s"/>
      <c r="G90" s="28" t="s"/>
    </row>
    <row r="91" spans="6:7">
      <c r="F91" s="28" t="s"/>
      <c r="G91" s="28" t="s"/>
    </row>
    <row r="92" spans="6:7">
      <c r="F92" s="28" t="s"/>
      <c r="G92" s="28" t="s"/>
    </row>
    <row r="93" spans="6:7">
      <c r="F93" s="28" t="s"/>
      <c r="G93" s="28" t="s"/>
    </row>
    <row r="94" spans="6:7">
      <c r="F94" s="28" t="s"/>
      <c r="G94" s="28" t="s"/>
    </row>
    <row r="95" spans="6:7">
      <c r="F95" s="28" t="s"/>
      <c r="G95" s="28" t="s"/>
    </row>
    <row r="96" spans="6:7">
      <c r="F96" s="28" t="s"/>
      <c r="G96" s="28" t="s"/>
    </row>
    <row r="97" spans="6:7">
      <c r="F97" s="28" t="s"/>
      <c r="G97" s="28" t="s"/>
    </row>
    <row r="98" spans="6:7">
      <c r="F98" s="28" t="s"/>
      <c r="G98" s="28" t="s"/>
    </row>
    <row r="99" spans="6:7">
      <c r="F99" s="28" t="s"/>
      <c r="G99" s="28" t="s"/>
    </row>
    <row r="100" spans="6:7">
      <c r="F100" s="28" t="s"/>
      <c r="G100" s="28" t="s"/>
    </row>
    <row r="101" spans="6:7">
      <c r="F101" s="28" t="s"/>
      <c r="G101" s="28" t="s"/>
    </row>
    <row r="102" spans="6:7">
      <c r="F102" s="28" t="s"/>
      <c r="G102" s="28" t="s"/>
    </row>
    <row r="103" spans="6:7">
      <c r="F103" s="28" t="s"/>
      <c r="G103" s="28" t="s"/>
    </row>
    <row r="104" spans="6:7">
      <c r="F104" s="28" t="s"/>
      <c r="G104" s="28" t="s"/>
    </row>
    <row r="105" spans="6:7">
      <c r="F105" s="28" t="s"/>
      <c r="G105" s="28" t="s"/>
    </row>
    <row r="106" spans="6:7">
      <c r="F106" s="28" t="s"/>
      <c r="G106" s="28" t="s"/>
    </row>
    <row r="107" spans="6:7">
      <c r="F107" s="28" t="s"/>
      <c r="G107" s="28" t="s"/>
    </row>
    <row r="108" spans="6:7">
      <c r="F108" s="28" t="s"/>
      <c r="G108" s="28" t="s"/>
    </row>
    <row r="109" spans="6:7">
      <c r="F109" s="28" t="s"/>
      <c r="G109" s="28" t="s"/>
    </row>
    <row r="110" spans="6:7">
      <c r="F110" s="28" t="s"/>
      <c r="G110" s="28" t="s"/>
    </row>
    <row r="111" spans="6:7">
      <c r="F111" s="28" t="s"/>
      <c r="G111" s="28" t="s"/>
    </row>
    <row r="112" spans="6:7">
      <c r="F112" s="28" t="s"/>
      <c r="G112" s="28" t="s"/>
    </row>
    <row r="113" spans="6:7">
      <c r="F113" s="28" t="s"/>
      <c r="G113" s="28" t="s"/>
    </row>
    <row r="114" spans="6:7">
      <c r="F114" s="28" t="s"/>
      <c r="G114" s="28" t="s"/>
    </row>
    <row r="115" spans="6:7">
      <c r="F115" s="28" t="s"/>
      <c r="G115" s="28" t="s"/>
    </row>
    <row r="116" spans="6:7">
      <c r="F116" s="28" t="s"/>
      <c r="G116" s="28" t="s"/>
    </row>
    <row r="117" spans="6:7">
      <c r="F117" s="28" t="s"/>
      <c r="G117" s="28" t="s"/>
    </row>
    <row r="118" spans="6:7">
      <c r="F118" s="28" t="s"/>
      <c r="G118" s="28" t="s"/>
    </row>
    <row r="119" spans="6:7">
      <c r="F119" s="28" t="s"/>
      <c r="G119" s="28" t="s"/>
    </row>
    <row r="120" spans="6:7">
      <c r="F120" s="28" t="s"/>
      <c r="G120" s="28" t="s"/>
    </row>
    <row r="121" spans="6:7">
      <c r="F121" s="28" t="s"/>
      <c r="G121" s="28" t="s"/>
    </row>
    <row r="122" spans="6:7">
      <c r="F122" s="28" t="s"/>
      <c r="G122" s="28" t="s"/>
    </row>
    <row r="123" spans="6:7">
      <c r="F123" s="28" t="s"/>
      <c r="G123" s="28" t="s"/>
    </row>
    <row r="124" spans="6:7">
      <c r="F124" s="28" t="s"/>
      <c r="G124" s="28" t="s"/>
    </row>
    <row r="125" spans="6:7">
      <c r="F125" s="28" t="s"/>
      <c r="G125" s="28" t="s"/>
    </row>
    <row r="126" spans="6:7">
      <c r="F126" s="28" t="s"/>
      <c r="G126" s="28" t="s"/>
    </row>
    <row r="127" spans="6:7">
      <c r="F127" s="28" t="s"/>
      <c r="G127" s="28" t="s"/>
    </row>
    <row r="128" spans="6:7">
      <c r="F128" s="28" t="s"/>
      <c r="G128" s="28" t="s"/>
    </row>
    <row r="129" spans="6:7">
      <c r="F129" s="28" t="s"/>
      <c r="G129" s="28" t="s"/>
    </row>
    <row r="130" spans="6:7">
      <c r="F130" s="28" t="s"/>
      <c r="G130" s="28" t="s"/>
    </row>
    <row r="131" spans="6:7">
      <c r="F131" s="28" t="s"/>
      <c r="G131" s="28" t="s"/>
    </row>
    <row r="132" spans="6:7">
      <c r="F132" s="28" t="s"/>
      <c r="G132" s="28" t="s"/>
    </row>
    <row r="133" spans="6:7">
      <c r="F133" s="28" t="s"/>
      <c r="G133" s="28" t="s"/>
    </row>
    <row r="134" spans="6:7">
      <c r="F134" s="28" t="s"/>
      <c r="G134" s="28" t="s"/>
    </row>
    <row r="135" spans="6:7">
      <c r="F135" s="28" t="s"/>
      <c r="G135" s="28" t="s"/>
    </row>
    <row r="136" spans="6:7">
      <c r="F136" s="28" t="s"/>
      <c r="G136" s="28" t="s"/>
    </row>
    <row r="137" spans="6:7">
      <c r="F137" s="28" t="s"/>
      <c r="G137" s="28" t="s"/>
    </row>
    <row r="138" spans="6:7">
      <c r="F138" s="28" t="s"/>
      <c r="G138" s="28" t="s"/>
    </row>
    <row r="139" spans="6:7">
      <c r="F139" s="28" t="s"/>
      <c r="G139" s="28" t="s"/>
    </row>
    <row r="140" spans="6:7">
      <c r="F140" s="28" t="s"/>
      <c r="G140" s="28" t="s"/>
    </row>
    <row r="141" spans="6:7">
      <c r="F141" s="28" t="s"/>
      <c r="G141" s="28" t="s"/>
    </row>
    <row r="142" spans="6:7">
      <c r="F142" s="28" t="s"/>
      <c r="G142" s="28" t="s"/>
    </row>
    <row r="143" spans="6:7">
      <c r="F143" s="28" t="s"/>
      <c r="G143" s="28" t="s"/>
    </row>
    <row r="144" spans="6:7">
      <c r="F144" s="28" t="s"/>
      <c r="G144" s="28" t="s"/>
    </row>
    <row r="145" spans="6:7">
      <c r="F145" s="28" t="s"/>
      <c r="G145" s="28" t="s"/>
    </row>
    <row r="146" spans="6:7">
      <c r="F146" s="28" t="s"/>
      <c r="G146" s="28" t="s"/>
    </row>
    <row r="147" spans="6:7">
      <c r="F147" s="28" t="s"/>
      <c r="G147" s="28" t="s"/>
    </row>
    <row r="148" spans="6:7">
      <c r="F148" s="28" t="s"/>
      <c r="G148" s="28" t="s"/>
    </row>
    <row r="149" spans="6:7">
      <c r="F149" s="28" t="s"/>
      <c r="G149" s="28" t="s"/>
    </row>
    <row r="150" spans="6:7">
      <c r="F150" s="28" t="s"/>
      <c r="G150" s="28" t="s"/>
    </row>
    <row r="151" spans="6:7">
      <c r="F151" s="28" t="s"/>
      <c r="G151" s="28" t="s"/>
    </row>
    <row r="152" spans="6:7">
      <c r="F152" s="28" t="s"/>
      <c r="G152" s="28" t="s"/>
    </row>
    <row r="153" spans="6:7">
      <c r="F153" s="28" t="s"/>
      <c r="G153" s="28" t="s"/>
    </row>
    <row r="154" spans="6:7">
      <c r="F154" s="28" t="s"/>
      <c r="G154" s="28" t="s"/>
    </row>
    <row r="155" spans="6:7">
      <c r="F155" s="28" t="s"/>
      <c r="G155" s="28" t="s"/>
    </row>
    <row r="156" spans="6:7">
      <c r="F156" s="28" t="s"/>
      <c r="G156" s="28" t="s"/>
    </row>
    <row r="157" spans="6:7">
      <c r="F157" s="28" t="s"/>
      <c r="G157" s="28" t="s"/>
    </row>
    <row r="158" spans="6:7">
      <c r="F158" s="28" t="s"/>
      <c r="G158" s="28" t="s"/>
    </row>
    <row r="159" spans="6:7">
      <c r="F159" s="28" t="s"/>
      <c r="G159" s="28" t="s"/>
    </row>
    <row r="160" spans="6:7">
      <c r="F160" s="28" t="s"/>
      <c r="G160" s="28" t="s"/>
    </row>
    <row r="161" spans="6:7">
      <c r="F161" s="28" t="s"/>
      <c r="G161" s="28" t="s"/>
    </row>
    <row r="162" spans="6:7">
      <c r="F162" s="28" t="s"/>
      <c r="G162" s="28" t="s"/>
    </row>
    <row r="163" spans="6:7">
      <c r="F163" s="28" t="s"/>
      <c r="G163" s="28" t="s"/>
    </row>
    <row r="164" spans="6:7">
      <c r="F164" s="28" t="s"/>
      <c r="G164" s="28" t="s"/>
    </row>
    <row r="165" spans="6:7">
      <c r="F165" s="28" t="s"/>
      <c r="G165" s="28" t="s"/>
    </row>
    <row r="166" spans="6:7">
      <c r="F166" s="28" t="s"/>
      <c r="G166" s="28" t="s"/>
    </row>
    <row r="167" spans="6:7">
      <c r="F167" s="28" t="s"/>
      <c r="G167" s="28" t="s"/>
    </row>
    <row r="168" spans="6:7">
      <c r="F168" s="28" t="s"/>
      <c r="G168" s="28" t="s"/>
    </row>
    <row r="169" spans="6:7">
      <c r="F169" s="28" t="s"/>
      <c r="G169" s="28" t="s"/>
    </row>
    <row r="170" spans="6:7">
      <c r="F170" s="28" t="s"/>
      <c r="G170" s="28" t="s"/>
    </row>
    <row r="171" spans="6:7">
      <c r="F171" s="28" t="s"/>
      <c r="G171" s="28" t="s"/>
    </row>
    <row r="172" spans="6:7">
      <c r="F172" s="28" t="s"/>
      <c r="G172" s="28" t="s"/>
    </row>
    <row r="173" spans="6:7">
      <c r="F173" s="28" t="s"/>
      <c r="G173" s="28" t="s"/>
    </row>
    <row r="174" spans="6:7">
      <c r="F174" s="28" t="s"/>
      <c r="G174" s="28" t="s"/>
    </row>
    <row r="175" spans="6:7">
      <c r="F175" s="28" t="s"/>
      <c r="G175" s="28" t="s"/>
    </row>
    <row r="176" spans="6:7">
      <c r="F176" s="28" t="s"/>
      <c r="G176" s="28" t="s"/>
    </row>
    <row r="177" spans="6:7">
      <c r="F177" s="28" t="s"/>
      <c r="G177" s="28" t="s"/>
    </row>
    <row r="178" spans="6:7">
      <c r="F178" s="28" t="s"/>
      <c r="G178" s="28" t="s"/>
    </row>
    <row r="179" spans="6:7">
      <c r="F179" s="28" t="s"/>
      <c r="G179" s="28" t="s"/>
    </row>
    <row r="180" spans="6:7">
      <c r="F180" s="28" t="s"/>
      <c r="G180" s="28" t="s"/>
    </row>
    <row r="181" spans="6:7">
      <c r="F181" s="28" t="s"/>
      <c r="G181" s="28" t="s"/>
    </row>
    <row r="182" spans="6:7">
      <c r="F182" s="28" t="s"/>
      <c r="G182" s="28" t="s"/>
    </row>
    <row r="183" spans="6:7">
      <c r="F183" s="28" t="s"/>
      <c r="G183" s="28" t="s"/>
    </row>
    <row r="184" spans="6:7">
      <c r="F184" s="28" t="s"/>
      <c r="G184" s="28" t="s"/>
    </row>
    <row r="185" spans="6:7">
      <c r="F185" s="28" t="s"/>
      <c r="G185" s="28" t="s"/>
    </row>
    <row r="186" spans="6:7">
      <c r="F186" s="28" t="s"/>
      <c r="G186" s="28" t="s"/>
    </row>
    <row r="187" spans="6:7">
      <c r="F187" s="28" t="s"/>
      <c r="G187" s="28" t="s"/>
    </row>
    <row r="188" spans="6:7">
      <c r="F188" s="28" t="s"/>
      <c r="G188" s="28" t="s"/>
    </row>
    <row r="189" spans="6:7">
      <c r="F189" s="28" t="s"/>
      <c r="G189" s="28" t="s"/>
    </row>
    <row r="190" spans="6:7">
      <c r="F190" s="28" t="s"/>
      <c r="G190" s="28" t="s"/>
    </row>
    <row r="191" spans="6:7">
      <c r="F191" s="28" t="s"/>
      <c r="G191" s="28" t="s"/>
    </row>
    <row r="192" spans="6:7">
      <c r="F192" s="28" t="s"/>
      <c r="G192" s="28" t="s"/>
    </row>
    <row r="193" spans="6:7">
      <c r="F193" s="28" t="s"/>
      <c r="G193" s="28" t="s"/>
    </row>
    <row r="194" spans="6:7">
      <c r="F194" s="28" t="s"/>
      <c r="G194" s="28" t="s"/>
    </row>
    <row r="195" spans="6:7">
      <c r="F195" s="28" t="s"/>
      <c r="G195" s="28" t="s"/>
    </row>
    <row r="196" spans="6:7">
      <c r="F196" s="28" t="s"/>
      <c r="G196" s="28" t="s"/>
    </row>
    <row r="197" spans="6:7">
      <c r="F197" s="28" t="s"/>
      <c r="G197" s="28" t="s"/>
    </row>
    <row r="198" spans="6:7">
      <c r="F198" s="28" t="s"/>
      <c r="G198" s="28" t="s"/>
    </row>
    <row r="199" spans="6:7">
      <c r="F199" s="28" t="s"/>
      <c r="G199" s="28" t="s"/>
    </row>
  </sheetData>
</worksheet>
</file>

<file path=xl/worksheets/sheet11.xml><?xml version="1.0" encoding="utf-8"?>
<worksheet xmlns="http://schemas.openxmlformats.org/spreadsheetml/2006/main">
  <sheetPr codeName="代理人觉醒">
    <tabColor/>
  </sheetPr>
  <dimension ref="F43"/>
  <sheetViews>
    <sheetView showGridLines="1" workbookViewId="0">
      <pane xSplit="1" ySplit="1" topLeftCell="B2" state="frozen"/>
    </sheetView>
  </sheetViews>
  <sheetFormatPr baseColWidth="13" defaultRowHeight="18" customHeight="1"/>
  <cols>
    <col min="1" max="1" width="11.8242" style="28" customWidth="1"/>
    <col min="2" max="2" width="9.85156" style="28" customWidth="1"/>
    <col min="3" max="3" width="14.0625" style="28" customWidth="1"/>
    <col min="4" max="4" width="20.4414" style="28" customWidth="1"/>
    <col min="5" max="5" width="106.023" style="28" customWidth="1"/>
    <col min="6" max="6" width="21.7109" style="28" customWidth="1"/>
    <col min="7" max="26" width="13.6719" style="28"/>
  </cols>
  <sheetData>
    <row r="1" spans="1:6">
      <c r="A1" s="28" t="s">
        <v>3185</v>
      </c>
      <c r="B1" s="28" t="s">
        <v>3307</v>
      </c>
      <c r="C1" s="28" t="s">
        <v>3187</v>
      </c>
      <c r="D1" s="28" t="s">
        <v>3308</v>
      </c>
      <c r="E1" s="28" t="s">
        <v>3309</v>
      </c>
      <c r="F1" s="28" t="s">
        <v>3310</v>
      </c>
    </row>
    <row r="2" spans="1:6">
      <c r="A2" s="28">
        <v>1041</v>
      </c>
      <c r="B2" s="28">
        <v>104100</v>
      </c>
      <c r="C2" s="28" t="s">
        <v>110</v>
      </c>
      <c r="D2" s="28" t="s"/>
      <c r="E2" s="28" t="s"/>
      <c r="F2" s="28" t="s">
        <v>3311</v>
      </c>
    </row>
    <row r="3" spans="1:6">
      <c r="A3" s="28">
        <v>1041</v>
      </c>
      <c r="B3" s="28">
        <v>104101</v>
      </c>
      <c r="C3" s="28" t="s">
        <v>110</v>
      </c>
      <c r="D3" s="28" t="s">
        <v>3198</v>
      </c>
      <c r="E3" s="28" t="s">
        <v>3199</v>
      </c>
      <c r="F3" s="28" t="s">
        <v>3312</v>
      </c>
    </row>
    <row r="4" spans="1:6">
      <c r="A4" s="28">
        <v>1041</v>
      </c>
      <c r="B4" s="28">
        <v>104102</v>
      </c>
      <c r="C4" s="28" t="s">
        <v>110</v>
      </c>
      <c r="D4" s="28" t="s">
        <v>3198</v>
      </c>
      <c r="E4" s="28" t="s">
        <v>3202</v>
      </c>
      <c r="F4" s="28" t="s">
        <v>3313</v>
      </c>
    </row>
    <row r="5" spans="1:6">
      <c r="A5" s="28">
        <v>1041</v>
      </c>
      <c r="B5" s="28">
        <v>104103</v>
      </c>
      <c r="C5" s="28" t="s">
        <v>110</v>
      </c>
      <c r="D5" s="28" t="s">
        <v>3198</v>
      </c>
      <c r="E5" s="28" t="s">
        <v>3203</v>
      </c>
      <c r="F5" s="28" t="s">
        <v>3314</v>
      </c>
    </row>
    <row r="6" spans="1:6">
      <c r="A6" s="28">
        <v>1041</v>
      </c>
      <c r="B6" s="28">
        <v>104104</v>
      </c>
      <c r="C6" s="28" t="s">
        <v>110</v>
      </c>
      <c r="D6" s="28" t="s">
        <v>3198</v>
      </c>
      <c r="E6" s="28" t="s">
        <v>3204</v>
      </c>
      <c r="F6" s="28" t="s">
        <v>3315</v>
      </c>
    </row>
    <row r="7" spans="1:6">
      <c r="A7" s="28">
        <v>1041</v>
      </c>
      <c r="B7" s="28">
        <v>104105</v>
      </c>
      <c r="C7" s="28" t="s">
        <v>110</v>
      </c>
      <c r="D7" s="28" t="s">
        <v>3198</v>
      </c>
      <c r="E7" s="28" t="s">
        <v>3205</v>
      </c>
      <c r="F7" s="28" t="s">
        <v>3316</v>
      </c>
    </row>
    <row r="8" spans="1:6">
      <c r="A8" s="28">
        <v>1141</v>
      </c>
      <c r="B8" s="28">
        <v>114100</v>
      </c>
      <c r="C8" s="28" t="s">
        <v>287</v>
      </c>
      <c r="D8" s="28" t="s"/>
      <c r="E8" s="28" t="s"/>
      <c r="F8" s="28" t="s">
        <v>3317</v>
      </c>
    </row>
    <row r="9" spans="1:6">
      <c r="A9" s="28">
        <v>1141</v>
      </c>
      <c r="B9" s="28">
        <v>114101</v>
      </c>
      <c r="C9" s="28" t="s">
        <v>287</v>
      </c>
      <c r="D9" s="28" t="s">
        <v>3223</v>
      </c>
      <c r="E9" s="53" t="s">
        <v>3224</v>
      </c>
      <c r="F9" s="28" t="s">
        <v>3318</v>
      </c>
    </row>
    <row r="10" spans="1:6">
      <c r="A10" s="28">
        <v>1141</v>
      </c>
      <c r="B10" s="28">
        <v>114102</v>
      </c>
      <c r="C10" s="28" t="s">
        <v>287</v>
      </c>
      <c r="D10" s="28" t="s">
        <v>3223</v>
      </c>
      <c r="E10" s="53" t="s">
        <v>3225</v>
      </c>
      <c r="F10" s="28" t="s">
        <v>3319</v>
      </c>
    </row>
    <row r="11" spans="1:6">
      <c r="A11" s="28">
        <v>1141</v>
      </c>
      <c r="B11" s="28">
        <v>114103</v>
      </c>
      <c r="C11" s="28" t="s">
        <v>287</v>
      </c>
      <c r="D11" s="28" t="s">
        <v>3223</v>
      </c>
      <c r="E11" s="53" t="s">
        <v>3226</v>
      </c>
      <c r="F11" s="28" t="s">
        <v>3320</v>
      </c>
    </row>
    <row r="12" spans="1:6">
      <c r="A12" s="28">
        <v>1141</v>
      </c>
      <c r="B12" s="28">
        <v>114104</v>
      </c>
      <c r="C12" s="28" t="s">
        <v>287</v>
      </c>
      <c r="D12" s="28" t="s">
        <v>3223</v>
      </c>
      <c r="E12" s="53" t="s">
        <v>3227</v>
      </c>
      <c r="F12" s="28" t="s">
        <v>3321</v>
      </c>
    </row>
    <row r="13" spans="1:6">
      <c r="A13" s="28">
        <v>1141</v>
      </c>
      <c r="B13" s="28">
        <v>114105</v>
      </c>
      <c r="C13" s="28" t="s">
        <v>287</v>
      </c>
      <c r="D13" s="28" t="s">
        <v>3223</v>
      </c>
      <c r="E13" s="53" t="s">
        <v>3228</v>
      </c>
      <c r="F13" s="28" t="s">
        <v>3322</v>
      </c>
    </row>
    <row r="14" spans="1:6">
      <c r="A14" s="28">
        <v>1171</v>
      </c>
      <c r="B14" s="28">
        <v>117100</v>
      </c>
      <c r="C14" s="28" t="s">
        <v>352</v>
      </c>
      <c r="D14" s="28" t="s"/>
      <c r="E14" s="28" t="s"/>
      <c r="F14" s="28" t="s">
        <v>3323</v>
      </c>
    </row>
    <row r="15" spans="1:6">
      <c r="A15" s="28">
        <v>1171</v>
      </c>
      <c r="B15" s="28">
        <v>117101</v>
      </c>
      <c r="C15" s="28" t="s">
        <v>352</v>
      </c>
      <c r="D15" s="28" t="s">
        <v>3233</v>
      </c>
      <c r="E15" s="28" t="s">
        <v>3234</v>
      </c>
      <c r="F15" s="28" t="s">
        <v>3324</v>
      </c>
    </row>
    <row r="16" spans="1:6">
      <c r="A16" s="28">
        <v>1171</v>
      </c>
      <c r="B16" s="28">
        <v>117102</v>
      </c>
      <c r="C16" s="28" t="s">
        <v>352</v>
      </c>
      <c r="D16" s="28" t="s">
        <v>3233</v>
      </c>
      <c r="E16" s="28" t="s">
        <v>3235</v>
      </c>
      <c r="F16" s="28" t="s">
        <v>3325</v>
      </c>
    </row>
    <row r="17" spans="1:6">
      <c r="A17" s="28">
        <v>1171</v>
      </c>
      <c r="B17" s="28">
        <v>117103</v>
      </c>
      <c r="C17" s="28" t="s">
        <v>352</v>
      </c>
      <c r="D17" s="28" t="s">
        <v>3233</v>
      </c>
      <c r="E17" s="28" t="s">
        <v>3236</v>
      </c>
      <c r="F17" s="28" t="s">
        <v>3326</v>
      </c>
    </row>
    <row r="18" spans="1:6">
      <c r="A18" s="28">
        <v>1171</v>
      </c>
      <c r="B18" s="28">
        <v>117104</v>
      </c>
      <c r="C18" s="28" t="s">
        <v>352</v>
      </c>
      <c r="D18" s="28" t="s">
        <v>3233</v>
      </c>
      <c r="E18" s="28" t="s">
        <v>3237</v>
      </c>
      <c r="F18" s="28" t="s">
        <v>3327</v>
      </c>
    </row>
    <row r="19" spans="1:6">
      <c r="A19" s="28">
        <v>1171</v>
      </c>
      <c r="B19" s="28">
        <v>117105</v>
      </c>
      <c r="C19" s="28" t="s">
        <v>352</v>
      </c>
      <c r="D19" s="28" t="s">
        <v>3233</v>
      </c>
      <c r="E19" s="28" t="s">
        <v>3238</v>
      </c>
      <c r="F19" s="28" t="s">
        <v>3328</v>
      </c>
    </row>
    <row r="20" spans="1:6">
      <c r="A20" s="28">
        <v>1181</v>
      </c>
      <c r="B20" s="28">
        <v>118100</v>
      </c>
      <c r="C20" s="28" t="s">
        <v>372</v>
      </c>
      <c r="D20" s="28" t="s"/>
      <c r="E20" s="28" t="s"/>
      <c r="F20" s="28" t="s">
        <v>3329</v>
      </c>
    </row>
    <row r="21" spans="1:6">
      <c r="A21" s="28">
        <v>1181</v>
      </c>
      <c r="B21" s="28">
        <v>118101</v>
      </c>
      <c r="C21" s="28" t="s">
        <v>372</v>
      </c>
      <c r="D21" s="28" t="s">
        <v>3244</v>
      </c>
      <c r="E21" s="28" t="s">
        <v>3245</v>
      </c>
      <c r="F21" s="28" t="s">
        <v>3330</v>
      </c>
    </row>
    <row r="22" spans="1:6">
      <c r="A22" s="28">
        <v>1181</v>
      </c>
      <c r="B22" s="28">
        <v>118102</v>
      </c>
      <c r="C22" s="28" t="s">
        <v>372</v>
      </c>
      <c r="D22" s="28" t="s">
        <v>3244</v>
      </c>
      <c r="E22" s="28" t="s">
        <v>3246</v>
      </c>
      <c r="F22" s="28" t="s">
        <v>3331</v>
      </c>
    </row>
    <row r="23" spans="1:6">
      <c r="A23" s="28">
        <v>1181</v>
      </c>
      <c r="B23" s="28">
        <v>118103</v>
      </c>
      <c r="C23" s="28" t="s">
        <v>372</v>
      </c>
      <c r="D23" s="28" t="s">
        <v>3244</v>
      </c>
      <c r="E23" s="28" t="s">
        <v>3247</v>
      </c>
      <c r="F23" s="28" t="s">
        <v>3332</v>
      </c>
    </row>
    <row r="24" spans="1:6">
      <c r="A24" s="28">
        <v>1181</v>
      </c>
      <c r="B24" s="28">
        <v>118104</v>
      </c>
      <c r="C24" s="28" t="s">
        <v>372</v>
      </c>
      <c r="D24" s="28" t="s">
        <v>3244</v>
      </c>
      <c r="E24" s="28" t="s">
        <v>3248</v>
      </c>
      <c r="F24" s="28" t="s">
        <v>3333</v>
      </c>
    </row>
    <row r="25" spans="1:6">
      <c r="A25" s="28">
        <v>1181</v>
      </c>
      <c r="B25" s="28">
        <v>118105</v>
      </c>
      <c r="C25" s="28" t="s">
        <v>372</v>
      </c>
      <c r="D25" s="28" t="s">
        <v>3244</v>
      </c>
      <c r="E25" s="28" t="s">
        <v>3249</v>
      </c>
      <c r="F25" s="28" t="s">
        <v>3334</v>
      </c>
    </row>
    <row r="26" spans="1:6">
      <c r="A26" s="28">
        <v>1191</v>
      </c>
      <c r="B26" s="28">
        <v>119100</v>
      </c>
      <c r="C26" s="28" t="s">
        <v>388</v>
      </c>
      <c r="D26" s="28" t="s"/>
      <c r="E26" s="28" t="s"/>
      <c r="F26" s="28" t="s">
        <v>3335</v>
      </c>
    </row>
    <row r="27" spans="1:6">
      <c r="A27" s="28">
        <v>1191</v>
      </c>
      <c r="B27" s="28">
        <v>119101</v>
      </c>
      <c r="C27" s="28" t="s">
        <v>388</v>
      </c>
      <c r="D27" s="28" t="s">
        <v>3267</v>
      </c>
      <c r="E27" s="28" t="s">
        <v>3268</v>
      </c>
      <c r="F27" s="28" t="s">
        <v>3336</v>
      </c>
    </row>
    <row r="28" spans="1:6">
      <c r="A28" s="28">
        <v>1191</v>
      </c>
      <c r="B28" s="28">
        <v>119102</v>
      </c>
      <c r="C28" s="28" t="s">
        <v>388</v>
      </c>
      <c r="D28" s="28" t="s">
        <v>3267</v>
      </c>
      <c r="E28" s="28" t="s">
        <v>3269</v>
      </c>
      <c r="F28" s="28" t="s">
        <v>3337</v>
      </c>
    </row>
    <row r="29" spans="1:6">
      <c r="A29" s="28">
        <v>1191</v>
      </c>
      <c r="B29" s="28">
        <v>119103</v>
      </c>
      <c r="C29" s="28" t="s">
        <v>388</v>
      </c>
      <c r="D29" s="28" t="s">
        <v>3267</v>
      </c>
      <c r="E29" s="28" t="s">
        <v>3270</v>
      </c>
      <c r="F29" s="28" t="s">
        <v>3338</v>
      </c>
    </row>
    <row r="30" spans="1:6">
      <c r="A30" s="28">
        <v>1191</v>
      </c>
      <c r="B30" s="28">
        <v>119104</v>
      </c>
      <c r="C30" s="28" t="s">
        <v>388</v>
      </c>
      <c r="D30" s="28" t="s">
        <v>3267</v>
      </c>
      <c r="E30" s="28" t="s">
        <v>3271</v>
      </c>
      <c r="F30" s="28" t="s">
        <v>3339</v>
      </c>
    </row>
    <row r="31" spans="1:6">
      <c r="A31" s="28">
        <v>1191</v>
      </c>
      <c r="B31" s="28">
        <v>119105</v>
      </c>
      <c r="C31" s="28" t="s">
        <v>388</v>
      </c>
      <c r="D31" s="28" t="s">
        <v>3267</v>
      </c>
      <c r="E31" s="28" t="s">
        <v>3272</v>
      </c>
      <c r="F31" s="28" t="s">
        <v>3340</v>
      </c>
    </row>
    <row r="32" spans="1:6">
      <c r="A32" s="28">
        <v>1201</v>
      </c>
      <c r="B32" s="28">
        <v>120100</v>
      </c>
      <c r="C32" s="28" t="s">
        <v>412</v>
      </c>
      <c r="D32" s="28" t="s"/>
      <c r="E32" s="28" t="s"/>
      <c r="F32" s="28" t="s">
        <v>3341</v>
      </c>
    </row>
    <row r="33" spans="1:6">
      <c r="A33" s="28">
        <v>1201</v>
      </c>
      <c r="B33" s="28">
        <v>120101</v>
      </c>
      <c r="C33" s="28" t="s">
        <v>412</v>
      </c>
      <c r="D33" s="28" t="s">
        <v>3280</v>
      </c>
      <c r="E33" s="28" t="s">
        <v>3281</v>
      </c>
      <c r="F33" s="28" t="s">
        <v>3342</v>
      </c>
    </row>
    <row r="34" spans="1:6">
      <c r="A34" s="28">
        <v>1201</v>
      </c>
      <c r="B34" s="28">
        <v>120102</v>
      </c>
      <c r="C34" s="28" t="s">
        <v>412</v>
      </c>
      <c r="D34" s="28" t="s">
        <v>3280</v>
      </c>
      <c r="E34" s="28" t="s">
        <v>3282</v>
      </c>
      <c r="F34" s="28" t="s">
        <v>3343</v>
      </c>
    </row>
    <row r="35" spans="1:6">
      <c r="A35" s="28">
        <v>1201</v>
      </c>
      <c r="B35" s="28">
        <v>120103</v>
      </c>
      <c r="C35" s="28" t="s">
        <v>412</v>
      </c>
      <c r="D35" s="28" t="s">
        <v>3280</v>
      </c>
      <c r="E35" s="28" t="s">
        <v>3283</v>
      </c>
      <c r="F35" s="28" t="s">
        <v>3344</v>
      </c>
    </row>
    <row r="36" spans="1:6">
      <c r="A36" s="28">
        <v>1201</v>
      </c>
      <c r="B36" s="28">
        <v>120104</v>
      </c>
      <c r="C36" s="28" t="s">
        <v>412</v>
      </c>
      <c r="D36" s="28" t="s">
        <v>3280</v>
      </c>
      <c r="E36" s="28" t="s">
        <v>3284</v>
      </c>
      <c r="F36" s="28" t="s">
        <v>3345</v>
      </c>
    </row>
    <row r="37" spans="1:6">
      <c r="A37" s="28">
        <v>1201</v>
      </c>
      <c r="B37" s="28">
        <v>120105</v>
      </c>
      <c r="C37" s="28" t="s">
        <v>412</v>
      </c>
      <c r="D37" s="28" t="s">
        <v>3280</v>
      </c>
      <c r="E37" s="28" t="s">
        <v>3285</v>
      </c>
      <c r="F37" s="28" t="s">
        <v>3346</v>
      </c>
    </row>
    <row r="38" spans="1:6">
      <c r="A38" s="28">
        <v>1381</v>
      </c>
      <c r="B38" s="28">
        <v>138100</v>
      </c>
      <c r="C38" s="28" t="s">
        <v>716</v>
      </c>
      <c r="D38" s="28" t="s"/>
      <c r="E38" s="28" t="s"/>
      <c r="F38" s="28" t="s">
        <v>3347</v>
      </c>
    </row>
    <row r="39" spans="1:6">
      <c r="A39" s="28">
        <v>1381</v>
      </c>
      <c r="B39" s="28">
        <v>138101</v>
      </c>
      <c r="C39" s="28" t="s">
        <v>716</v>
      </c>
      <c r="D39" s="28" t="s">
        <v>3301</v>
      </c>
      <c r="E39" s="28" t="s">
        <v>3302</v>
      </c>
      <c r="F39" s="28" t="s">
        <v>3348</v>
      </c>
    </row>
    <row r="40" spans="1:6">
      <c r="A40" s="28">
        <v>1381</v>
      </c>
      <c r="B40" s="28">
        <v>138102</v>
      </c>
      <c r="C40" s="28" t="s">
        <v>716</v>
      </c>
      <c r="D40" s="28" t="s">
        <v>3301</v>
      </c>
      <c r="E40" s="28" t="s">
        <v>3303</v>
      </c>
      <c r="F40" s="28" t="s">
        <v>3349</v>
      </c>
    </row>
    <row r="41" spans="1:6">
      <c r="A41" s="28">
        <v>1381</v>
      </c>
      <c r="B41" s="28">
        <v>138103</v>
      </c>
      <c r="C41" s="28" t="s">
        <v>716</v>
      </c>
      <c r="D41" s="28" t="s">
        <v>3301</v>
      </c>
      <c r="E41" s="28" t="s">
        <v>3304</v>
      </c>
      <c r="F41" s="28" t="s">
        <v>3350</v>
      </c>
    </row>
    <row r="42" spans="1:6">
      <c r="A42" s="28">
        <v>1381</v>
      </c>
      <c r="B42" s="28">
        <v>138104</v>
      </c>
      <c r="C42" s="28" t="s">
        <v>716</v>
      </c>
      <c r="D42" s="28" t="s">
        <v>3301</v>
      </c>
      <c r="E42" s="28" t="s">
        <v>3305</v>
      </c>
      <c r="F42" s="28" t="s">
        <v>3351</v>
      </c>
    </row>
    <row r="43" spans="1:6">
      <c r="A43" s="28">
        <v>1381</v>
      </c>
      <c r="B43" s="28">
        <v>138105</v>
      </c>
      <c r="C43" s="28" t="s">
        <v>716</v>
      </c>
      <c r="D43" s="28" t="s">
        <v>3301</v>
      </c>
      <c r="E43" s="28" t="s">
        <v>3306</v>
      </c>
      <c r="F43" s="28" t="s">
        <v>3352</v>
      </c>
    </row>
  </sheetData>
</worksheet>
</file>

<file path=xl/worksheets/sheet12.xml><?xml version="1.0" encoding="utf-8"?>
<worksheet xmlns="http://schemas.openxmlformats.org/spreadsheetml/2006/main">
  <sheetPr codeName="代理人影画描述">
    <tabColor/>
  </sheetPr>
  <dimension ref="E295"/>
  <sheetViews>
    <sheetView showGridLines="1" workbookViewId="0">
      <pane xSplit="1" ySplit="1" topLeftCell="B2" state="frozen"/>
    </sheetView>
  </sheetViews>
  <sheetFormatPr baseColWidth="13" defaultRowHeight="18" customHeight="1"/>
  <cols>
    <col min="1" max="1" width="12.5312" customWidth="1"/>
    <col min="2" max="2" width="10.7109" customWidth="1"/>
    <col min="3" max="3" width="22.9609" customWidth="1"/>
    <col min="4" max="5" width="64.7422" style="88" customWidth="1"/>
  </cols>
  <sheetData>
    <row r="1" spans="1:5">
      <c r="A1" s="53" t="s">
        <v>45</v>
      </c>
      <c r="B1" s="28" t="s">
        <v>3353</v>
      </c>
      <c r="C1" s="28" t="s">
        <v>3354</v>
      </c>
      <c r="D1" s="28" t="s">
        <v>3355</v>
      </c>
      <c r="E1" s="28" t="s">
        <v>3356</v>
      </c>
    </row>
    <row r="2" spans="1:5">
      <c r="A2" s="28" t="s">
        <v>60</v>
      </c>
      <c r="B2" s="28">
        <v>1</v>
      </c>
      <c r="C2" s="28" t="s">
        <v>3357</v>
      </c>
      <c r="D2" s="28" t="s">
        <v>3358</v>
      </c>
      <c r="E2" s="28" t="s">
        <v>3359</v>
      </c>
    </row>
    <row r="3" spans="1:5">
      <c r="A3" s="28" t="s">
        <v>60</v>
      </c>
      <c r="B3" s="28">
        <v>2</v>
      </c>
      <c r="C3" s="28" t="s">
        <v>3360</v>
      </c>
      <c r="D3" s="28" t="s">
        <v>3361</v>
      </c>
      <c r="E3" s="28" t="s">
        <v>3362</v>
      </c>
    </row>
    <row r="4" spans="1:5">
      <c r="A4" s="28" t="s">
        <v>60</v>
      </c>
      <c r="B4" s="28">
        <v>3</v>
      </c>
      <c r="C4" s="28" t="s">
        <v>3363</v>
      </c>
      <c r="D4" s="28" t="s">
        <v>3364</v>
      </c>
      <c r="E4" s="28" t="s">
        <v>3365</v>
      </c>
    </row>
    <row r="5" spans="1:5">
      <c r="A5" s="28" t="s">
        <v>60</v>
      </c>
      <c r="B5" s="28">
        <v>4</v>
      </c>
      <c r="C5" s="28" t="s">
        <v>3366</v>
      </c>
      <c r="D5" s="28" t="s">
        <v>3367</v>
      </c>
      <c r="E5" s="28" t="s">
        <v>3368</v>
      </c>
    </row>
    <row r="6" spans="1:5">
      <c r="A6" s="28" t="s">
        <v>60</v>
      </c>
      <c r="B6" s="28">
        <v>5</v>
      </c>
      <c r="C6" s="28" t="s">
        <v>3369</v>
      </c>
      <c r="D6" s="28" t="s">
        <v>3364</v>
      </c>
      <c r="E6" s="28" t="s">
        <v>3370</v>
      </c>
    </row>
    <row r="7" spans="1:5">
      <c r="A7" s="28" t="s">
        <v>60</v>
      </c>
      <c r="B7" s="28">
        <v>6</v>
      </c>
      <c r="C7" s="28" t="s">
        <v>3371</v>
      </c>
      <c r="D7" s="28" t="s">
        <v>3372</v>
      </c>
      <c r="E7" s="28" t="s">
        <v>3373</v>
      </c>
    </row>
    <row r="8" spans="1:5">
      <c r="A8" s="28" t="s">
        <v>79</v>
      </c>
      <c r="B8" s="28">
        <v>1</v>
      </c>
      <c r="C8" s="28" t="s">
        <v>3374</v>
      </c>
      <c r="D8" s="28" t="s">
        <v>3375</v>
      </c>
      <c r="E8" s="28" t="s">
        <v>3376</v>
      </c>
    </row>
    <row r="9" spans="1:5">
      <c r="A9" s="28" t="s">
        <v>79</v>
      </c>
      <c r="B9" s="28">
        <v>2</v>
      </c>
      <c r="C9" s="28" t="s">
        <v>3377</v>
      </c>
      <c r="D9" s="28" t="s">
        <v>3378</v>
      </c>
      <c r="E9" s="28" t="s">
        <v>3379</v>
      </c>
    </row>
    <row r="10" spans="1:5">
      <c r="A10" s="28" t="s">
        <v>79</v>
      </c>
      <c r="B10" s="28">
        <v>3</v>
      </c>
      <c r="C10" s="28" t="s">
        <v>3380</v>
      </c>
      <c r="D10" s="28" t="s">
        <v>3364</v>
      </c>
      <c r="E10" s="28" t="s">
        <v>3381</v>
      </c>
    </row>
    <row r="11" spans="1:5">
      <c r="A11" s="28" t="s">
        <v>79</v>
      </c>
      <c r="B11" s="28">
        <v>4</v>
      </c>
      <c r="C11" s="28" t="s">
        <v>3382</v>
      </c>
      <c r="D11" s="28" t="s">
        <v>3383</v>
      </c>
      <c r="E11" s="28" t="s">
        <v>3384</v>
      </c>
    </row>
    <row r="12" spans="1:5">
      <c r="A12" s="28" t="s">
        <v>79</v>
      </c>
      <c r="B12" s="28">
        <v>5</v>
      </c>
      <c r="C12" s="28" t="s">
        <v>3385</v>
      </c>
      <c r="D12" s="28" t="s">
        <v>3364</v>
      </c>
      <c r="E12" s="28" t="s">
        <v>3386</v>
      </c>
    </row>
    <row r="13" spans="1:5">
      <c r="A13" s="28" t="s">
        <v>79</v>
      </c>
      <c r="B13" s="28">
        <v>6</v>
      </c>
      <c r="C13" s="28" t="s">
        <v>3387</v>
      </c>
      <c r="D13" s="28" t="s">
        <v>3388</v>
      </c>
      <c r="E13" s="28" t="s">
        <v>3389</v>
      </c>
    </row>
    <row r="14" spans="1:5">
      <c r="A14" s="28" t="s">
        <v>92</v>
      </c>
      <c r="B14" s="28">
        <v>1</v>
      </c>
      <c r="C14" s="28" t="s">
        <v>3390</v>
      </c>
      <c r="D14" s="28" t="s">
        <v>3391</v>
      </c>
      <c r="E14" s="28" t="s">
        <v>3392</v>
      </c>
    </row>
    <row r="15" spans="1:5">
      <c r="A15" s="28" t="s">
        <v>92</v>
      </c>
      <c r="B15" s="28">
        <v>2</v>
      </c>
      <c r="C15" s="28" t="s">
        <v>3393</v>
      </c>
      <c r="D15" s="28" t="s">
        <v>3394</v>
      </c>
      <c r="E15" s="28" t="s">
        <v>3395</v>
      </c>
    </row>
    <row r="16" spans="1:5">
      <c r="A16" s="28" t="s">
        <v>92</v>
      </c>
      <c r="B16" s="28">
        <v>3</v>
      </c>
      <c r="C16" s="28" t="s">
        <v>3396</v>
      </c>
      <c r="D16" s="28" t="s">
        <v>3364</v>
      </c>
      <c r="E16" s="28" t="s">
        <v>3397</v>
      </c>
    </row>
    <row r="17" spans="1:5">
      <c r="A17" s="28" t="s">
        <v>92</v>
      </c>
      <c r="B17" s="28">
        <v>4</v>
      </c>
      <c r="C17" s="28" t="s">
        <v>3398</v>
      </c>
      <c r="D17" s="28" t="s">
        <v>3399</v>
      </c>
      <c r="E17" s="28" t="s">
        <v>3400</v>
      </c>
    </row>
    <row r="18" spans="1:5">
      <c r="A18" s="28" t="s">
        <v>92</v>
      </c>
      <c r="B18" s="28">
        <v>5</v>
      </c>
      <c r="C18" s="28" t="s">
        <v>3401</v>
      </c>
      <c r="D18" s="28" t="s">
        <v>3364</v>
      </c>
      <c r="E18" s="28" t="s">
        <v>3402</v>
      </c>
    </row>
    <row r="19" spans="1:5">
      <c r="A19" s="28" t="s">
        <v>92</v>
      </c>
      <c r="B19" s="28">
        <v>6</v>
      </c>
      <c r="C19" s="28" t="s">
        <v>3403</v>
      </c>
      <c r="D19" s="28" t="s">
        <v>3404</v>
      </c>
      <c r="E19" s="28" t="s">
        <v>3405</v>
      </c>
    </row>
    <row r="20" spans="1:5">
      <c r="A20" s="28" t="s">
        <v>110</v>
      </c>
      <c r="B20" s="28">
        <v>1</v>
      </c>
      <c r="C20" s="28" t="s">
        <v>3406</v>
      </c>
      <c r="D20" s="28" t="s">
        <v>3407</v>
      </c>
      <c r="E20" s="28" t="s">
        <v>3408</v>
      </c>
    </row>
    <row r="21" spans="1:5">
      <c r="A21" s="28" t="s">
        <v>110</v>
      </c>
      <c r="B21" s="28">
        <v>2</v>
      </c>
      <c r="C21" s="28" t="s">
        <v>3409</v>
      </c>
      <c r="D21" s="28" t="s">
        <v>3410</v>
      </c>
      <c r="E21" s="28" t="s">
        <v>3411</v>
      </c>
    </row>
    <row r="22" spans="1:5">
      <c r="A22" s="28" t="s">
        <v>110</v>
      </c>
      <c r="B22" s="28">
        <v>3</v>
      </c>
      <c r="C22" s="28" t="s">
        <v>3412</v>
      </c>
      <c r="D22" s="28" t="s">
        <v>3364</v>
      </c>
      <c r="E22" s="28" t="s">
        <v>3413</v>
      </c>
    </row>
    <row r="23" spans="1:5">
      <c r="A23" s="28" t="s">
        <v>110</v>
      </c>
      <c r="B23" s="28">
        <v>4</v>
      </c>
      <c r="C23" s="28" t="s">
        <v>3414</v>
      </c>
      <c r="D23" s="28" t="s">
        <v>3415</v>
      </c>
      <c r="E23" s="28" t="s">
        <v>3416</v>
      </c>
    </row>
    <row r="24" spans="1:5">
      <c r="A24" s="28" t="s">
        <v>110</v>
      </c>
      <c r="B24" s="28">
        <v>5</v>
      </c>
      <c r="C24" s="28" t="s">
        <v>3417</v>
      </c>
      <c r="D24" s="28" t="s">
        <v>3364</v>
      </c>
      <c r="E24" s="28" t="s">
        <v>3418</v>
      </c>
    </row>
    <row r="25" spans="1:5">
      <c r="A25" s="28" t="s">
        <v>110</v>
      </c>
      <c r="B25" s="28">
        <v>6</v>
      </c>
      <c r="C25" s="28" t="s">
        <v>3419</v>
      </c>
      <c r="D25" s="28" t="s">
        <v>3420</v>
      </c>
      <c r="E25" s="28" t="s">
        <v>3421</v>
      </c>
    </row>
    <row r="26" spans="1:5">
      <c r="A26" s="28" t="s">
        <v>126</v>
      </c>
      <c r="B26" s="28">
        <v>1</v>
      </c>
      <c r="C26" s="28" t="s">
        <v>3422</v>
      </c>
      <c r="D26" s="28" t="s">
        <v>3423</v>
      </c>
      <c r="E26" s="28" t="s">
        <v>3424</v>
      </c>
    </row>
    <row r="27" spans="1:5">
      <c r="A27" s="28" t="s">
        <v>126</v>
      </c>
      <c r="B27" s="28">
        <v>2</v>
      </c>
      <c r="C27" s="28" t="s">
        <v>3425</v>
      </c>
      <c r="D27" s="28" t="s">
        <v>3426</v>
      </c>
      <c r="E27" s="28" t="s">
        <v>3427</v>
      </c>
    </row>
    <row r="28" spans="1:5">
      <c r="A28" s="28" t="s">
        <v>126</v>
      </c>
      <c r="B28" s="28">
        <v>3</v>
      </c>
      <c r="C28" s="28" t="s">
        <v>3428</v>
      </c>
      <c r="D28" s="28" t="s">
        <v>3364</v>
      </c>
      <c r="E28" s="28" t="s">
        <v>3429</v>
      </c>
    </row>
    <row r="29" spans="1:5">
      <c r="A29" s="28" t="s">
        <v>126</v>
      </c>
      <c r="B29" s="28">
        <v>4</v>
      </c>
      <c r="C29" s="28" t="s">
        <v>3430</v>
      </c>
      <c r="D29" s="28" t="s">
        <v>3431</v>
      </c>
      <c r="E29" s="28" t="s">
        <v>3432</v>
      </c>
    </row>
    <row r="30" spans="1:5">
      <c r="A30" s="28" t="s">
        <v>126</v>
      </c>
      <c r="B30" s="28">
        <v>5</v>
      </c>
      <c r="C30" s="28" t="s">
        <v>3433</v>
      </c>
      <c r="D30" s="28" t="s">
        <v>3364</v>
      </c>
      <c r="E30" s="28" t="s">
        <v>3434</v>
      </c>
    </row>
    <row r="31" spans="1:5">
      <c r="A31" s="28" t="s">
        <v>126</v>
      </c>
      <c r="B31" s="28">
        <v>6</v>
      </c>
      <c r="C31" s="28" t="s">
        <v>3435</v>
      </c>
      <c r="D31" s="28" t="s">
        <v>3436</v>
      </c>
      <c r="E31" s="28" t="s">
        <v>3437</v>
      </c>
    </row>
    <row r="32" spans="1:5">
      <c r="A32" s="28" t="s">
        <v>149</v>
      </c>
      <c r="B32" s="28">
        <v>1</v>
      </c>
      <c r="C32" s="28" t="s">
        <v>3438</v>
      </c>
      <c r="D32" s="28" t="s">
        <v>3439</v>
      </c>
      <c r="E32" s="28" t="s">
        <v>3440</v>
      </c>
    </row>
    <row r="33" spans="1:5">
      <c r="A33" s="28" t="s">
        <v>149</v>
      </c>
      <c r="B33" s="28">
        <v>2</v>
      </c>
      <c r="C33" s="28" t="s">
        <v>3441</v>
      </c>
      <c r="D33" s="28" t="s">
        <v>3442</v>
      </c>
      <c r="E33" s="28" t="s">
        <v>3443</v>
      </c>
    </row>
    <row r="34" spans="1:5">
      <c r="A34" s="28" t="s">
        <v>149</v>
      </c>
      <c r="B34" s="28">
        <v>3</v>
      </c>
      <c r="C34" s="28" t="s">
        <v>3444</v>
      </c>
      <c r="D34" s="28" t="s">
        <v>3364</v>
      </c>
      <c r="E34" s="28" t="s">
        <v>3445</v>
      </c>
    </row>
    <row r="35" spans="1:5">
      <c r="A35" s="28" t="s">
        <v>149</v>
      </c>
      <c r="B35" s="28">
        <v>4</v>
      </c>
      <c r="C35" s="28" t="s">
        <v>3446</v>
      </c>
      <c r="D35" s="28" t="s">
        <v>3447</v>
      </c>
      <c r="E35" s="28" t="s">
        <v>3448</v>
      </c>
    </row>
    <row r="36" spans="1:5">
      <c r="A36" s="28" t="s">
        <v>149</v>
      </c>
      <c r="B36" s="28">
        <v>5</v>
      </c>
      <c r="C36" s="28" t="s">
        <v>3449</v>
      </c>
      <c r="D36" s="28" t="s">
        <v>3364</v>
      </c>
      <c r="E36" s="28" t="s">
        <v>3450</v>
      </c>
    </row>
    <row r="37" spans="1:5">
      <c r="A37" s="28" t="s">
        <v>149</v>
      </c>
      <c r="B37" s="28">
        <v>6</v>
      </c>
      <c r="C37" s="28" t="s">
        <v>3451</v>
      </c>
      <c r="D37" s="28" t="s">
        <v>3452</v>
      </c>
      <c r="E37" s="28" t="s">
        <v>3453</v>
      </c>
    </row>
    <row r="38" spans="1:5">
      <c r="A38" s="28" t="s">
        <v>164</v>
      </c>
      <c r="B38" s="28">
        <v>1</v>
      </c>
      <c r="C38" s="28" t="s">
        <v>3454</v>
      </c>
      <c r="D38" s="28" t="s">
        <v>3455</v>
      </c>
      <c r="E38" s="28" t="s">
        <v>3456</v>
      </c>
    </row>
    <row r="39" spans="1:5">
      <c r="A39" s="28" t="s">
        <v>164</v>
      </c>
      <c r="B39" s="28">
        <v>2</v>
      </c>
      <c r="C39" s="28" t="s">
        <v>3457</v>
      </c>
      <c r="D39" s="28" t="s">
        <v>3458</v>
      </c>
      <c r="E39" s="28" t="s">
        <v>3459</v>
      </c>
    </row>
    <row r="40" spans="1:5">
      <c r="A40" s="28" t="s">
        <v>164</v>
      </c>
      <c r="B40" s="28">
        <v>3</v>
      </c>
      <c r="C40" s="28" t="s">
        <v>3460</v>
      </c>
      <c r="D40" s="28" t="s">
        <v>3364</v>
      </c>
      <c r="E40" s="28" t="s">
        <v>3461</v>
      </c>
    </row>
    <row r="41" spans="1:5">
      <c r="A41" s="28" t="s">
        <v>164</v>
      </c>
      <c r="B41" s="28">
        <v>4</v>
      </c>
      <c r="C41" s="28" t="s">
        <v>3462</v>
      </c>
      <c r="D41" s="28" t="s">
        <v>3463</v>
      </c>
      <c r="E41" s="28" t="s">
        <v>3464</v>
      </c>
    </row>
    <row r="42" spans="1:5">
      <c r="A42" s="28" t="s">
        <v>164</v>
      </c>
      <c r="B42" s="28">
        <v>5</v>
      </c>
      <c r="C42" s="28" t="s">
        <v>3465</v>
      </c>
      <c r="D42" s="28" t="s">
        <v>3364</v>
      </c>
      <c r="E42" s="28" t="s">
        <v>3466</v>
      </c>
    </row>
    <row r="43" spans="1:5">
      <c r="A43" s="28" t="s">
        <v>164</v>
      </c>
      <c r="B43" s="28">
        <v>6</v>
      </c>
      <c r="C43" s="28" t="s">
        <v>3467</v>
      </c>
      <c r="D43" s="28" t="s">
        <v>3468</v>
      </c>
      <c r="E43" s="28" t="s">
        <v>3469</v>
      </c>
    </row>
    <row r="44" spans="1:5">
      <c r="A44" s="28" t="s">
        <v>182</v>
      </c>
      <c r="B44" s="28">
        <v>1</v>
      </c>
      <c r="C44" s="28" t="s">
        <v>3470</v>
      </c>
      <c r="D44" s="28" t="s">
        <v>3471</v>
      </c>
      <c r="E44" s="28" t="s">
        <v>3472</v>
      </c>
    </row>
    <row r="45" spans="1:5">
      <c r="A45" s="28" t="s">
        <v>182</v>
      </c>
      <c r="B45" s="28">
        <v>2</v>
      </c>
      <c r="C45" s="28" t="s">
        <v>3473</v>
      </c>
      <c r="D45" s="28" t="s">
        <v>3474</v>
      </c>
      <c r="E45" s="28" t="s">
        <v>3475</v>
      </c>
    </row>
    <row r="46" spans="1:5">
      <c r="A46" s="28" t="s">
        <v>182</v>
      </c>
      <c r="B46" s="28">
        <v>3</v>
      </c>
      <c r="C46" s="28" t="s">
        <v>3476</v>
      </c>
      <c r="D46" s="28" t="s">
        <v>3364</v>
      </c>
      <c r="E46" s="28" t="s">
        <v>3477</v>
      </c>
    </row>
    <row r="47" spans="1:5">
      <c r="A47" s="28" t="s">
        <v>182</v>
      </c>
      <c r="B47" s="28">
        <v>4</v>
      </c>
      <c r="C47" s="28" t="s">
        <v>3478</v>
      </c>
      <c r="D47" s="28" t="s">
        <v>3479</v>
      </c>
      <c r="E47" s="28" t="s">
        <v>3480</v>
      </c>
    </row>
    <row r="48" spans="1:5">
      <c r="A48" s="28" t="s">
        <v>182</v>
      </c>
      <c r="B48" s="28">
        <v>5</v>
      </c>
      <c r="C48" s="28" t="s">
        <v>3481</v>
      </c>
      <c r="D48" s="28" t="s">
        <v>3364</v>
      </c>
      <c r="E48" s="28" t="s">
        <v>3482</v>
      </c>
    </row>
    <row r="49" spans="1:5">
      <c r="A49" s="28" t="s">
        <v>182</v>
      </c>
      <c r="B49" s="28">
        <v>6</v>
      </c>
      <c r="C49" s="28" t="s">
        <v>3483</v>
      </c>
      <c r="D49" s="28" t="s">
        <v>3484</v>
      </c>
      <c r="E49" s="28" t="s">
        <v>3485</v>
      </c>
    </row>
    <row r="50" spans="1:5">
      <c r="A50" s="28" t="s">
        <v>200</v>
      </c>
      <c r="B50" s="28">
        <v>1</v>
      </c>
      <c r="C50" s="28" t="s">
        <v>3486</v>
      </c>
      <c r="D50" s="28" t="s">
        <v>3487</v>
      </c>
      <c r="E50" s="28" t="s">
        <v>3488</v>
      </c>
    </row>
    <row r="51" spans="1:5">
      <c r="A51" s="28" t="s">
        <v>200</v>
      </c>
      <c r="B51" s="28">
        <v>2</v>
      </c>
      <c r="C51" s="28" t="s">
        <v>3489</v>
      </c>
      <c r="D51" s="28" t="s">
        <v>3490</v>
      </c>
      <c r="E51" s="28" t="s">
        <v>3491</v>
      </c>
    </row>
    <row r="52" spans="1:5">
      <c r="A52" s="28" t="s">
        <v>200</v>
      </c>
      <c r="B52" s="28">
        <v>3</v>
      </c>
      <c r="C52" s="28" t="s">
        <v>3492</v>
      </c>
      <c r="D52" s="28" t="s">
        <v>3364</v>
      </c>
      <c r="E52" s="28" t="s">
        <v>3493</v>
      </c>
    </row>
    <row r="53" spans="1:5">
      <c r="A53" s="28" t="s">
        <v>200</v>
      </c>
      <c r="B53" s="28">
        <v>4</v>
      </c>
      <c r="C53" s="28" t="s">
        <v>3494</v>
      </c>
      <c r="D53" s="28" t="s">
        <v>3495</v>
      </c>
      <c r="E53" s="28" t="s">
        <v>3496</v>
      </c>
    </row>
    <row r="54" spans="1:5">
      <c r="A54" s="28" t="s">
        <v>200</v>
      </c>
      <c r="B54" s="28">
        <v>5</v>
      </c>
      <c r="C54" s="28" t="s">
        <v>3497</v>
      </c>
      <c r="D54" s="28" t="s">
        <v>3364</v>
      </c>
      <c r="E54" s="28" t="s">
        <v>3498</v>
      </c>
    </row>
    <row r="55" spans="1:5">
      <c r="A55" s="28" t="s">
        <v>200</v>
      </c>
      <c r="B55" s="28">
        <v>6</v>
      </c>
      <c r="C55" s="28" t="s">
        <v>3499</v>
      </c>
      <c r="D55" s="28" t="s">
        <v>3500</v>
      </c>
      <c r="E55" s="28" t="s">
        <v>3501</v>
      </c>
    </row>
    <row r="56" spans="1:5">
      <c r="A56" s="28" t="s">
        <v>220</v>
      </c>
      <c r="B56" s="28">
        <v>1</v>
      </c>
      <c r="C56" s="28" t="s">
        <v>3502</v>
      </c>
      <c r="D56" s="28" t="s">
        <v>3503</v>
      </c>
      <c r="E56" s="28" t="s">
        <v>3504</v>
      </c>
    </row>
    <row r="57" spans="1:5">
      <c r="A57" s="28" t="s">
        <v>220</v>
      </c>
      <c r="B57" s="28">
        <v>2</v>
      </c>
      <c r="C57" s="28" t="s">
        <v>3505</v>
      </c>
      <c r="D57" s="28" t="s">
        <v>3506</v>
      </c>
      <c r="E57" s="28" t="s">
        <v>3507</v>
      </c>
    </row>
    <row r="58" spans="1:5">
      <c r="A58" s="28" t="s">
        <v>220</v>
      </c>
      <c r="B58" s="28">
        <v>3</v>
      </c>
      <c r="C58" s="28" t="s">
        <v>3508</v>
      </c>
      <c r="D58" s="28" t="s">
        <v>3364</v>
      </c>
      <c r="E58" s="28" t="s">
        <v>3509</v>
      </c>
    </row>
    <row r="59" spans="1:5">
      <c r="A59" s="28" t="s">
        <v>220</v>
      </c>
      <c r="B59" s="28">
        <v>4</v>
      </c>
      <c r="C59" s="28" t="s">
        <v>3510</v>
      </c>
      <c r="D59" s="28" t="s">
        <v>3511</v>
      </c>
      <c r="E59" s="28" t="s">
        <v>3512</v>
      </c>
    </row>
    <row r="60" spans="1:5">
      <c r="A60" s="28" t="s">
        <v>220</v>
      </c>
      <c r="B60" s="28">
        <v>5</v>
      </c>
      <c r="C60" s="28" t="s">
        <v>3513</v>
      </c>
      <c r="D60" s="28" t="s">
        <v>3364</v>
      </c>
      <c r="E60" s="28" t="s">
        <v>3514</v>
      </c>
    </row>
    <row r="61" spans="1:5">
      <c r="A61" s="28" t="s">
        <v>220</v>
      </c>
      <c r="B61" s="28">
        <v>6</v>
      </c>
      <c r="C61" s="28" t="s">
        <v>3515</v>
      </c>
      <c r="D61" s="28" t="s">
        <v>3516</v>
      </c>
      <c r="E61" s="28" t="s">
        <v>3517</v>
      </c>
    </row>
    <row r="62" spans="1:5">
      <c r="A62" s="28" t="s">
        <v>238</v>
      </c>
      <c r="B62" s="28">
        <v>1</v>
      </c>
      <c r="C62" s="28" t="s">
        <v>3518</v>
      </c>
      <c r="D62" s="28" t="s">
        <v>3519</v>
      </c>
      <c r="E62" s="28" t="s">
        <v>3520</v>
      </c>
    </row>
    <row r="63" spans="1:5">
      <c r="A63" s="28" t="s">
        <v>238</v>
      </c>
      <c r="B63" s="28">
        <v>2</v>
      </c>
      <c r="C63" s="28" t="s">
        <v>3521</v>
      </c>
      <c r="D63" s="28" t="s">
        <v>3522</v>
      </c>
      <c r="E63" s="28" t="s">
        <v>3523</v>
      </c>
    </row>
    <row r="64" spans="1:5">
      <c r="A64" s="28" t="s">
        <v>238</v>
      </c>
      <c r="B64" s="28">
        <v>3</v>
      </c>
      <c r="C64" s="28" t="s">
        <v>3524</v>
      </c>
      <c r="D64" s="28" t="s">
        <v>3364</v>
      </c>
      <c r="E64" s="28" t="s">
        <v>3525</v>
      </c>
    </row>
    <row r="65" spans="1:5">
      <c r="A65" s="28" t="s">
        <v>238</v>
      </c>
      <c r="B65" s="28">
        <v>4</v>
      </c>
      <c r="C65" s="28" t="s">
        <v>3526</v>
      </c>
      <c r="D65" s="28" t="s">
        <v>3527</v>
      </c>
      <c r="E65" s="28" t="s">
        <v>3528</v>
      </c>
    </row>
    <row r="66" spans="1:5">
      <c r="A66" s="28" t="s">
        <v>238</v>
      </c>
      <c r="B66" s="28">
        <v>5</v>
      </c>
      <c r="C66" s="28" t="s">
        <v>3529</v>
      </c>
      <c r="D66" s="28" t="s">
        <v>3364</v>
      </c>
      <c r="E66" s="28" t="s">
        <v>3530</v>
      </c>
    </row>
    <row r="67" spans="1:5">
      <c r="A67" s="28" t="s">
        <v>238</v>
      </c>
      <c r="B67" s="28">
        <v>6</v>
      </c>
      <c r="C67" s="28" t="s">
        <v>3531</v>
      </c>
      <c r="D67" s="28" t="s">
        <v>3532</v>
      </c>
      <c r="E67" s="28" t="s">
        <v>3533</v>
      </c>
    </row>
    <row r="68" spans="1:5">
      <c r="A68" s="28" t="s">
        <v>252</v>
      </c>
      <c r="B68" s="28">
        <v>1</v>
      </c>
      <c r="C68" s="28" t="s">
        <v>3534</v>
      </c>
      <c r="D68" s="28" t="s">
        <v>3535</v>
      </c>
      <c r="E68" s="28" t="s">
        <v>3536</v>
      </c>
    </row>
    <row r="69" spans="1:5">
      <c r="A69" s="28" t="s">
        <v>252</v>
      </c>
      <c r="B69" s="28">
        <v>2</v>
      </c>
      <c r="C69" s="28" t="s">
        <v>3537</v>
      </c>
      <c r="D69" s="28" t="s">
        <v>3538</v>
      </c>
      <c r="E69" s="28" t="s">
        <v>3539</v>
      </c>
    </row>
    <row r="70" spans="1:5">
      <c r="A70" s="28" t="s">
        <v>252</v>
      </c>
      <c r="B70" s="28">
        <v>3</v>
      </c>
      <c r="C70" s="28" t="s">
        <v>3540</v>
      </c>
      <c r="D70" s="28" t="s">
        <v>3364</v>
      </c>
      <c r="E70" s="28" t="s">
        <v>3541</v>
      </c>
    </row>
    <row r="71" spans="1:5">
      <c r="A71" s="28" t="s">
        <v>252</v>
      </c>
      <c r="B71" s="28">
        <v>4</v>
      </c>
      <c r="C71" s="28" t="s">
        <v>3542</v>
      </c>
      <c r="D71" s="28" t="s">
        <v>3543</v>
      </c>
      <c r="E71" s="28" t="s">
        <v>3544</v>
      </c>
    </row>
    <row r="72" spans="1:5">
      <c r="A72" s="28" t="s">
        <v>252</v>
      </c>
      <c r="B72" s="28">
        <v>5</v>
      </c>
      <c r="C72" s="28" t="s">
        <v>3545</v>
      </c>
      <c r="D72" s="28" t="s">
        <v>3364</v>
      </c>
      <c r="E72" s="28" t="s">
        <v>3546</v>
      </c>
    </row>
    <row r="73" spans="1:5">
      <c r="A73" s="28" t="s">
        <v>252</v>
      </c>
      <c r="B73" s="28">
        <v>6</v>
      </c>
      <c r="C73" s="28" t="s">
        <v>3547</v>
      </c>
      <c r="D73" s="28" t="s">
        <v>3548</v>
      </c>
      <c r="E73" s="28" t="s">
        <v>3549</v>
      </c>
    </row>
    <row r="74" spans="1:5">
      <c r="A74" s="28" t="s">
        <v>267</v>
      </c>
      <c r="B74" s="28">
        <v>1</v>
      </c>
      <c r="C74" s="28" t="s">
        <v>3550</v>
      </c>
      <c r="D74" s="28" t="s">
        <v>3551</v>
      </c>
      <c r="E74" s="28" t="s">
        <v>3552</v>
      </c>
    </row>
    <row r="75" spans="1:5">
      <c r="A75" s="28" t="s">
        <v>267</v>
      </c>
      <c r="B75" s="28">
        <v>2</v>
      </c>
      <c r="C75" s="28" t="s">
        <v>3553</v>
      </c>
      <c r="D75" s="28" t="s">
        <v>3554</v>
      </c>
      <c r="E75" s="28" t="s">
        <v>3555</v>
      </c>
    </row>
    <row r="76" spans="1:5">
      <c r="A76" s="28" t="s">
        <v>267</v>
      </c>
      <c r="B76" s="28">
        <v>3</v>
      </c>
      <c r="C76" s="28" t="s">
        <v>3556</v>
      </c>
      <c r="D76" s="28" t="s">
        <v>3364</v>
      </c>
      <c r="E76" s="28" t="s">
        <v>3557</v>
      </c>
    </row>
    <row r="77" spans="1:5">
      <c r="A77" s="28" t="s">
        <v>267</v>
      </c>
      <c r="B77" s="28">
        <v>4</v>
      </c>
      <c r="C77" s="28" t="s">
        <v>3558</v>
      </c>
      <c r="D77" s="28" t="s">
        <v>3559</v>
      </c>
      <c r="E77" s="28" t="s">
        <v>3560</v>
      </c>
    </row>
    <row r="78" spans="1:5">
      <c r="A78" s="28" t="s">
        <v>267</v>
      </c>
      <c r="B78" s="28">
        <v>5</v>
      </c>
      <c r="C78" s="28" t="s">
        <v>3561</v>
      </c>
      <c r="D78" s="28" t="s">
        <v>3364</v>
      </c>
      <c r="E78" s="28" t="s">
        <v>3562</v>
      </c>
    </row>
    <row r="79" spans="1:5">
      <c r="A79" s="28" t="s">
        <v>267</v>
      </c>
      <c r="B79" s="28">
        <v>6</v>
      </c>
      <c r="C79" s="28" t="s">
        <v>3563</v>
      </c>
      <c r="D79" s="28" t="s">
        <v>3564</v>
      </c>
      <c r="E79" s="28" t="s">
        <v>3565</v>
      </c>
    </row>
    <row r="80" spans="1:5">
      <c r="A80" s="28" t="s">
        <v>287</v>
      </c>
      <c r="B80" s="28">
        <v>1</v>
      </c>
      <c r="C80" s="28" t="s">
        <v>3566</v>
      </c>
      <c r="D80" s="28" t="s">
        <v>3567</v>
      </c>
      <c r="E80" s="28" t="s">
        <v>3568</v>
      </c>
    </row>
    <row r="81" spans="1:5">
      <c r="A81" s="28" t="s">
        <v>287</v>
      </c>
      <c r="B81" s="28">
        <v>2</v>
      </c>
      <c r="C81" s="28" t="s">
        <v>3569</v>
      </c>
      <c r="D81" s="28" t="s">
        <v>3570</v>
      </c>
      <c r="E81" s="28" t="s">
        <v>3571</v>
      </c>
    </row>
    <row r="82" spans="1:5">
      <c r="A82" s="28" t="s">
        <v>287</v>
      </c>
      <c r="B82" s="28">
        <v>3</v>
      </c>
      <c r="C82" s="28" t="s">
        <v>3572</v>
      </c>
      <c r="D82" s="28" t="s">
        <v>3364</v>
      </c>
      <c r="E82" s="28" t="s">
        <v>3573</v>
      </c>
    </row>
    <row r="83" spans="1:5">
      <c r="A83" s="28" t="s">
        <v>287</v>
      </c>
      <c r="B83" s="28">
        <v>4</v>
      </c>
      <c r="C83" s="28" t="s">
        <v>3574</v>
      </c>
      <c r="D83" s="28" t="s">
        <v>3575</v>
      </c>
      <c r="E83" s="28" t="s">
        <v>3576</v>
      </c>
    </row>
    <row r="84" spans="1:5">
      <c r="A84" s="28" t="s">
        <v>287</v>
      </c>
      <c r="B84" s="28">
        <v>5</v>
      </c>
      <c r="C84" s="28" t="s">
        <v>3577</v>
      </c>
      <c r="D84" s="28" t="s">
        <v>3364</v>
      </c>
      <c r="E84" s="28" t="s">
        <v>3578</v>
      </c>
    </row>
    <row r="85" spans="1:5">
      <c r="A85" s="28" t="s">
        <v>287</v>
      </c>
      <c r="B85" s="28">
        <v>6</v>
      </c>
      <c r="C85" s="28" t="s">
        <v>3579</v>
      </c>
      <c r="D85" s="28" t="s">
        <v>3580</v>
      </c>
      <c r="E85" s="28" t="s">
        <v>3581</v>
      </c>
    </row>
    <row r="86" spans="1:5">
      <c r="A86" s="28" t="s">
        <v>307</v>
      </c>
      <c r="B86" s="28">
        <v>1</v>
      </c>
      <c r="C86" s="28" t="s">
        <v>3582</v>
      </c>
      <c r="D86" s="28" t="s">
        <v>3583</v>
      </c>
      <c r="E86" s="28" t="s">
        <v>3584</v>
      </c>
    </row>
    <row r="87" spans="1:5">
      <c r="A87" s="28" t="s">
        <v>307</v>
      </c>
      <c r="B87" s="28">
        <v>2</v>
      </c>
      <c r="C87" s="28" t="s">
        <v>3585</v>
      </c>
      <c r="D87" s="28" t="s">
        <v>3586</v>
      </c>
      <c r="E87" s="28" t="s">
        <v>3587</v>
      </c>
    </row>
    <row r="88" spans="1:5">
      <c r="A88" s="28" t="s">
        <v>307</v>
      </c>
      <c r="B88" s="28">
        <v>3</v>
      </c>
      <c r="C88" s="28" t="s">
        <v>3588</v>
      </c>
      <c r="D88" s="28" t="s">
        <v>3364</v>
      </c>
      <c r="E88" s="28" t="s">
        <v>3589</v>
      </c>
    </row>
    <row r="89" spans="1:5">
      <c r="A89" s="28" t="s">
        <v>307</v>
      </c>
      <c r="B89" s="28">
        <v>4</v>
      </c>
      <c r="C89" s="28" t="s">
        <v>3590</v>
      </c>
      <c r="D89" s="28" t="s">
        <v>3591</v>
      </c>
      <c r="E89" s="28" t="s">
        <v>3592</v>
      </c>
    </row>
    <row r="90" spans="1:5">
      <c r="A90" s="28" t="s">
        <v>307</v>
      </c>
      <c r="B90" s="28">
        <v>5</v>
      </c>
      <c r="C90" s="28" t="s">
        <v>3593</v>
      </c>
      <c r="D90" s="28" t="s">
        <v>3364</v>
      </c>
      <c r="E90" s="28" t="s">
        <v>3594</v>
      </c>
    </row>
    <row r="91" spans="1:5">
      <c r="A91" s="28" t="s">
        <v>307</v>
      </c>
      <c r="B91" s="28">
        <v>6</v>
      </c>
      <c r="C91" s="28" t="s">
        <v>327</v>
      </c>
      <c r="D91" s="28" t="s">
        <v>3595</v>
      </c>
      <c r="E91" s="28" t="s">
        <v>3596</v>
      </c>
    </row>
    <row r="92" spans="1:5">
      <c r="A92" s="28" t="s">
        <v>328</v>
      </c>
      <c r="B92" s="28">
        <v>1</v>
      </c>
      <c r="C92" s="28" t="s">
        <v>3597</v>
      </c>
      <c r="D92" s="28" t="s">
        <v>3598</v>
      </c>
      <c r="E92" s="28" t="s">
        <v>3599</v>
      </c>
    </row>
    <row r="93" spans="1:5">
      <c r="A93" s="28" t="s">
        <v>328</v>
      </c>
      <c r="B93" s="28">
        <v>2</v>
      </c>
      <c r="C93" s="28" t="s">
        <v>3600</v>
      </c>
      <c r="D93" s="28" t="s">
        <v>3601</v>
      </c>
      <c r="E93" s="28" t="s">
        <v>3602</v>
      </c>
    </row>
    <row r="94" spans="1:5">
      <c r="A94" s="28" t="s">
        <v>328</v>
      </c>
      <c r="B94" s="28">
        <v>3</v>
      </c>
      <c r="C94" s="28" t="s">
        <v>3603</v>
      </c>
      <c r="D94" s="28" t="s">
        <v>3364</v>
      </c>
      <c r="E94" s="28" t="s">
        <v>3604</v>
      </c>
    </row>
    <row r="95" spans="1:5">
      <c r="A95" s="28" t="s">
        <v>328</v>
      </c>
      <c r="B95" s="28">
        <v>4</v>
      </c>
      <c r="C95" s="28" t="s">
        <v>3605</v>
      </c>
      <c r="D95" s="28" t="s">
        <v>3606</v>
      </c>
      <c r="E95" s="28" t="s">
        <v>3607</v>
      </c>
    </row>
    <row r="96" spans="1:5">
      <c r="A96" s="28" t="s">
        <v>328</v>
      </c>
      <c r="B96" s="28">
        <v>5</v>
      </c>
      <c r="C96" s="28" t="s">
        <v>3608</v>
      </c>
      <c r="D96" s="28" t="s">
        <v>3364</v>
      </c>
      <c r="E96" s="28" t="s">
        <v>3609</v>
      </c>
    </row>
    <row r="97" spans="1:5">
      <c r="A97" s="28" t="s">
        <v>328</v>
      </c>
      <c r="B97" s="28">
        <v>6</v>
      </c>
      <c r="C97" s="28" t="s">
        <v>3610</v>
      </c>
      <c r="D97" s="28" t="s">
        <v>3611</v>
      </c>
      <c r="E97" s="28" t="s">
        <v>3612</v>
      </c>
    </row>
    <row r="98" spans="1:5">
      <c r="A98" s="28" t="s">
        <v>352</v>
      </c>
      <c r="B98" s="28">
        <v>1</v>
      </c>
      <c r="C98" s="28" t="s">
        <v>3613</v>
      </c>
      <c r="D98" s="28" t="s">
        <v>3614</v>
      </c>
      <c r="E98" s="28" t="s">
        <v>3615</v>
      </c>
    </row>
    <row r="99" spans="1:5">
      <c r="A99" s="28" t="s">
        <v>352</v>
      </c>
      <c r="B99" s="28">
        <v>2</v>
      </c>
      <c r="C99" s="28" t="s">
        <v>3616</v>
      </c>
      <c r="D99" s="28" t="s">
        <v>3617</v>
      </c>
      <c r="E99" s="28" t="s">
        <v>3618</v>
      </c>
    </row>
    <row r="100" spans="1:5">
      <c r="A100" s="28" t="s">
        <v>352</v>
      </c>
      <c r="B100" s="28">
        <v>3</v>
      </c>
      <c r="C100" s="28" t="s">
        <v>3619</v>
      </c>
      <c r="D100" s="28" t="s">
        <v>3364</v>
      </c>
      <c r="E100" s="28" t="s">
        <v>3620</v>
      </c>
    </row>
    <row r="101" spans="1:5">
      <c r="A101" s="28" t="s">
        <v>352</v>
      </c>
      <c r="B101" s="28">
        <v>4</v>
      </c>
      <c r="C101" s="28" t="s">
        <v>3621</v>
      </c>
      <c r="D101" s="28" t="s">
        <v>3622</v>
      </c>
      <c r="E101" s="28" t="s">
        <v>3623</v>
      </c>
    </row>
    <row r="102" spans="1:5">
      <c r="A102" s="28" t="s">
        <v>352</v>
      </c>
      <c r="B102" s="28">
        <v>5</v>
      </c>
      <c r="C102" s="28" t="s">
        <v>3624</v>
      </c>
      <c r="D102" s="28" t="s">
        <v>3364</v>
      </c>
      <c r="E102" s="28" t="s">
        <v>3625</v>
      </c>
    </row>
    <row r="103" spans="1:5">
      <c r="A103" s="28" t="s">
        <v>352</v>
      </c>
      <c r="B103" s="28">
        <v>6</v>
      </c>
      <c r="C103" s="28" t="s">
        <v>3626</v>
      </c>
      <c r="D103" s="28" t="s">
        <v>3627</v>
      </c>
      <c r="E103" s="28" t="s">
        <v>3628</v>
      </c>
    </row>
    <row r="104" spans="1:5">
      <c r="A104" s="28" t="s">
        <v>372</v>
      </c>
      <c r="B104" s="28">
        <v>1</v>
      </c>
      <c r="C104" s="28" t="s">
        <v>3629</v>
      </c>
      <c r="D104" s="28" t="s">
        <v>3630</v>
      </c>
      <c r="E104" s="28" t="s">
        <v>3631</v>
      </c>
    </row>
    <row r="105" spans="1:5">
      <c r="A105" s="28" t="s">
        <v>372</v>
      </c>
      <c r="B105" s="28">
        <v>2</v>
      </c>
      <c r="C105" s="28" t="s">
        <v>3632</v>
      </c>
      <c r="D105" s="28" t="s">
        <v>3633</v>
      </c>
      <c r="E105" s="28" t="s">
        <v>3634</v>
      </c>
    </row>
    <row r="106" spans="1:5">
      <c r="A106" s="28" t="s">
        <v>372</v>
      </c>
      <c r="B106" s="28">
        <v>3</v>
      </c>
      <c r="C106" s="28" t="s">
        <v>3635</v>
      </c>
      <c r="D106" s="28" t="s">
        <v>3364</v>
      </c>
      <c r="E106" s="28" t="s">
        <v>3636</v>
      </c>
    </row>
    <row r="107" spans="1:5">
      <c r="A107" s="28" t="s">
        <v>372</v>
      </c>
      <c r="B107" s="28">
        <v>4</v>
      </c>
      <c r="C107" s="28" t="s">
        <v>3637</v>
      </c>
      <c r="D107" s="28" t="s">
        <v>3638</v>
      </c>
      <c r="E107" s="28" t="s">
        <v>3639</v>
      </c>
    </row>
    <row r="108" spans="1:5">
      <c r="A108" s="28" t="s">
        <v>372</v>
      </c>
      <c r="B108" s="28">
        <v>5</v>
      </c>
      <c r="C108" s="28" t="s">
        <v>3640</v>
      </c>
      <c r="D108" s="28" t="s">
        <v>3364</v>
      </c>
      <c r="E108" s="28" t="s">
        <v>3641</v>
      </c>
    </row>
    <row r="109" spans="1:5">
      <c r="A109" s="28" t="s">
        <v>372</v>
      </c>
      <c r="B109" s="28">
        <v>6</v>
      </c>
      <c r="C109" s="28" t="s">
        <v>3642</v>
      </c>
      <c r="D109" s="28" t="s">
        <v>3643</v>
      </c>
      <c r="E109" s="28" t="s">
        <v>3644</v>
      </c>
    </row>
    <row r="110" spans="1:5">
      <c r="A110" s="28" t="s">
        <v>388</v>
      </c>
      <c r="B110" s="28">
        <v>1</v>
      </c>
      <c r="C110" s="28" t="s">
        <v>3645</v>
      </c>
      <c r="D110" s="28" t="s">
        <v>3646</v>
      </c>
      <c r="E110" s="28" t="s">
        <v>3647</v>
      </c>
    </row>
    <row r="111" spans="1:5">
      <c r="A111" s="28" t="s">
        <v>388</v>
      </c>
      <c r="B111" s="28">
        <v>2</v>
      </c>
      <c r="C111" s="28" t="s">
        <v>3648</v>
      </c>
      <c r="D111" s="28" t="s">
        <v>3649</v>
      </c>
      <c r="E111" s="28" t="s">
        <v>3650</v>
      </c>
    </row>
    <row r="112" spans="1:5">
      <c r="A112" s="28" t="s">
        <v>388</v>
      </c>
      <c r="B112" s="28">
        <v>3</v>
      </c>
      <c r="C112" s="28" t="s">
        <v>3651</v>
      </c>
      <c r="D112" s="28" t="s">
        <v>3364</v>
      </c>
      <c r="E112" s="28" t="s">
        <v>3652</v>
      </c>
    </row>
    <row r="113" spans="1:5">
      <c r="A113" s="28" t="s">
        <v>388</v>
      </c>
      <c r="B113" s="28">
        <v>4</v>
      </c>
      <c r="C113" s="28" t="s">
        <v>3653</v>
      </c>
      <c r="D113" s="28" t="s">
        <v>3654</v>
      </c>
      <c r="E113" s="28" t="s">
        <v>3655</v>
      </c>
    </row>
    <row r="114" spans="1:5">
      <c r="A114" s="28" t="s">
        <v>388</v>
      </c>
      <c r="B114" s="28">
        <v>5</v>
      </c>
      <c r="C114" s="28" t="s">
        <v>3656</v>
      </c>
      <c r="D114" s="28" t="s">
        <v>3364</v>
      </c>
      <c r="E114" s="28" t="s">
        <v>3657</v>
      </c>
    </row>
    <row r="115" spans="1:5">
      <c r="A115" s="28" t="s">
        <v>388</v>
      </c>
      <c r="B115" s="28">
        <v>6</v>
      </c>
      <c r="C115" s="28" t="s">
        <v>3658</v>
      </c>
      <c r="D115" s="28" t="s">
        <v>3659</v>
      </c>
      <c r="E115" s="28" t="s">
        <v>3660</v>
      </c>
    </row>
    <row r="116" spans="1:5">
      <c r="A116" s="28" t="s">
        <v>412</v>
      </c>
      <c r="B116" s="28">
        <v>1</v>
      </c>
      <c r="C116" s="28" t="s">
        <v>3661</v>
      </c>
      <c r="D116" s="28" t="s">
        <v>3662</v>
      </c>
      <c r="E116" s="28" t="s">
        <v>3663</v>
      </c>
    </row>
    <row r="117" spans="1:5">
      <c r="A117" s="28" t="s">
        <v>412</v>
      </c>
      <c r="B117" s="28">
        <v>2</v>
      </c>
      <c r="C117" s="28" t="s">
        <v>3664</v>
      </c>
      <c r="D117" s="28" t="s">
        <v>3665</v>
      </c>
      <c r="E117" s="28" t="s">
        <v>3666</v>
      </c>
    </row>
    <row r="118" spans="1:5">
      <c r="A118" s="28" t="s">
        <v>412</v>
      </c>
      <c r="B118" s="28">
        <v>3</v>
      </c>
      <c r="C118" s="28" t="s">
        <v>3667</v>
      </c>
      <c r="D118" s="28" t="s">
        <v>3364</v>
      </c>
      <c r="E118" s="28" t="s">
        <v>3668</v>
      </c>
    </row>
    <row r="119" spans="1:5">
      <c r="A119" s="28" t="s">
        <v>412</v>
      </c>
      <c r="B119" s="28">
        <v>4</v>
      </c>
      <c r="C119" s="28" t="s">
        <v>3669</v>
      </c>
      <c r="D119" s="28" t="s">
        <v>3670</v>
      </c>
      <c r="E119" s="28" t="s">
        <v>3671</v>
      </c>
    </row>
    <row r="120" spans="1:5">
      <c r="A120" s="28" t="s">
        <v>412</v>
      </c>
      <c r="B120" s="28">
        <v>5</v>
      </c>
      <c r="C120" s="28" t="s">
        <v>3672</v>
      </c>
      <c r="D120" s="28" t="s">
        <v>3364</v>
      </c>
      <c r="E120" s="28" t="s">
        <v>3673</v>
      </c>
    </row>
    <row r="121" spans="1:5">
      <c r="A121" s="28" t="s">
        <v>412</v>
      </c>
      <c r="B121" s="28">
        <v>6</v>
      </c>
      <c r="C121" s="28" t="s">
        <v>3674</v>
      </c>
      <c r="D121" s="28" t="s">
        <v>3675</v>
      </c>
      <c r="E121" s="28" t="s">
        <v>3676</v>
      </c>
    </row>
    <row r="122" spans="1:5">
      <c r="A122" s="28" t="s">
        <v>431</v>
      </c>
      <c r="B122" s="28">
        <v>1</v>
      </c>
      <c r="C122" s="28" t="s">
        <v>3677</v>
      </c>
      <c r="D122" s="28" t="s">
        <v>3678</v>
      </c>
      <c r="E122" s="28" t="s">
        <v>3679</v>
      </c>
    </row>
    <row r="123" spans="1:5">
      <c r="A123" s="28" t="s">
        <v>431</v>
      </c>
      <c r="B123" s="28">
        <v>2</v>
      </c>
      <c r="C123" s="28" t="s">
        <v>3680</v>
      </c>
      <c r="D123" s="28" t="s">
        <v>3681</v>
      </c>
      <c r="E123" s="28" t="s">
        <v>3682</v>
      </c>
    </row>
    <row r="124" spans="1:5">
      <c r="A124" s="28" t="s">
        <v>431</v>
      </c>
      <c r="B124" s="28">
        <v>3</v>
      </c>
      <c r="C124" s="28" t="s">
        <v>3683</v>
      </c>
      <c r="D124" s="28" t="s">
        <v>3364</v>
      </c>
      <c r="E124" s="28" t="s">
        <v>3684</v>
      </c>
    </row>
    <row r="125" spans="1:5">
      <c r="A125" s="28" t="s">
        <v>431</v>
      </c>
      <c r="B125" s="28">
        <v>4</v>
      </c>
      <c r="C125" s="28" t="s">
        <v>3685</v>
      </c>
      <c r="D125" s="28" t="s">
        <v>3686</v>
      </c>
      <c r="E125" s="28" t="s">
        <v>3687</v>
      </c>
    </row>
    <row r="126" spans="1:5">
      <c r="A126" s="28" t="s">
        <v>431</v>
      </c>
      <c r="B126" s="28">
        <v>5</v>
      </c>
      <c r="C126" s="28" t="s">
        <v>3688</v>
      </c>
      <c r="D126" s="28" t="s">
        <v>3364</v>
      </c>
      <c r="E126" s="28" t="s">
        <v>3689</v>
      </c>
    </row>
    <row r="127" spans="1:5">
      <c r="A127" s="28" t="s">
        <v>431</v>
      </c>
      <c r="B127" s="28">
        <v>6</v>
      </c>
      <c r="C127" s="28" t="s">
        <v>3690</v>
      </c>
      <c r="D127" s="28" t="s">
        <v>3691</v>
      </c>
      <c r="E127" s="28" t="s">
        <v>3692</v>
      </c>
    </row>
    <row r="128" spans="1:5">
      <c r="A128" s="28" t="s">
        <v>442</v>
      </c>
      <c r="B128" s="28">
        <v>1</v>
      </c>
      <c r="C128" s="28" t="s">
        <v>3693</v>
      </c>
      <c r="D128" s="28" t="s">
        <v>3694</v>
      </c>
      <c r="E128" s="28" t="s">
        <v>3695</v>
      </c>
    </row>
    <row r="129" spans="1:5">
      <c r="A129" s="28" t="s">
        <v>442</v>
      </c>
      <c r="B129" s="28">
        <v>2</v>
      </c>
      <c r="C129" s="28" t="s">
        <v>3696</v>
      </c>
      <c r="D129" s="28" t="s">
        <v>3697</v>
      </c>
      <c r="E129" s="28" t="s">
        <v>3698</v>
      </c>
    </row>
    <row r="130" spans="1:5">
      <c r="A130" s="28" t="s">
        <v>442</v>
      </c>
      <c r="B130" s="28">
        <v>3</v>
      </c>
      <c r="C130" s="28" t="s">
        <v>3699</v>
      </c>
      <c r="D130" s="28" t="s">
        <v>3364</v>
      </c>
      <c r="E130" s="28" t="s">
        <v>3700</v>
      </c>
    </row>
    <row r="131" spans="1:5">
      <c r="A131" s="28" t="s">
        <v>442</v>
      </c>
      <c r="B131" s="28">
        <v>4</v>
      </c>
      <c r="C131" s="28" t="s">
        <v>3701</v>
      </c>
      <c r="D131" s="28" t="s">
        <v>3702</v>
      </c>
      <c r="E131" s="28" t="s">
        <v>3703</v>
      </c>
    </row>
    <row r="132" spans="1:5">
      <c r="A132" s="28" t="s">
        <v>442</v>
      </c>
      <c r="B132" s="28">
        <v>5</v>
      </c>
      <c r="C132" s="28" t="s">
        <v>3704</v>
      </c>
      <c r="D132" s="28" t="s">
        <v>3364</v>
      </c>
      <c r="E132" s="28" t="s">
        <v>3705</v>
      </c>
    </row>
    <row r="133" spans="1:5">
      <c r="A133" s="28" t="s">
        <v>442</v>
      </c>
      <c r="B133" s="28">
        <v>6</v>
      </c>
      <c r="C133" s="28" t="s">
        <v>3706</v>
      </c>
      <c r="D133" s="28" t="s">
        <v>3707</v>
      </c>
      <c r="E133" s="28" t="s">
        <v>3708</v>
      </c>
    </row>
    <row r="134" spans="1:5">
      <c r="A134" s="28" t="s">
        <v>456</v>
      </c>
      <c r="B134" s="28">
        <v>1</v>
      </c>
      <c r="C134" s="28" t="s">
        <v>3709</v>
      </c>
      <c r="D134" s="28" t="s">
        <v>3710</v>
      </c>
      <c r="E134" s="28" t="s">
        <v>3711</v>
      </c>
    </row>
    <row r="135" spans="1:5">
      <c r="A135" s="28" t="s">
        <v>456</v>
      </c>
      <c r="B135" s="28">
        <v>2</v>
      </c>
      <c r="C135" s="28" t="s">
        <v>3712</v>
      </c>
      <c r="D135" s="28" t="s">
        <v>3713</v>
      </c>
      <c r="E135" s="28" t="s">
        <v>3714</v>
      </c>
    </row>
    <row r="136" spans="1:5">
      <c r="A136" s="28" t="s">
        <v>456</v>
      </c>
      <c r="B136" s="28">
        <v>3</v>
      </c>
      <c r="C136" s="28" t="s">
        <v>3715</v>
      </c>
      <c r="D136" s="28" t="s">
        <v>3364</v>
      </c>
      <c r="E136" s="28" t="s">
        <v>3716</v>
      </c>
    </row>
    <row r="137" spans="1:5">
      <c r="A137" s="28" t="s">
        <v>456</v>
      </c>
      <c r="B137" s="28">
        <v>4</v>
      </c>
      <c r="C137" s="28" t="s">
        <v>3717</v>
      </c>
      <c r="D137" s="28" t="s">
        <v>3718</v>
      </c>
      <c r="E137" s="28" t="s">
        <v>3719</v>
      </c>
    </row>
    <row r="138" spans="1:5">
      <c r="A138" s="28" t="s">
        <v>456</v>
      </c>
      <c r="B138" s="28">
        <v>5</v>
      </c>
      <c r="C138" s="28" t="s">
        <v>3720</v>
      </c>
      <c r="D138" s="28" t="s">
        <v>3364</v>
      </c>
      <c r="E138" s="28" t="s">
        <v>3721</v>
      </c>
    </row>
    <row r="139" spans="1:5">
      <c r="A139" s="28" t="s">
        <v>456</v>
      </c>
      <c r="B139" s="28">
        <v>6</v>
      </c>
      <c r="C139" s="28" t="s">
        <v>3722</v>
      </c>
      <c r="D139" s="28" t="s">
        <v>3723</v>
      </c>
      <c r="E139" s="28" t="s">
        <v>3724</v>
      </c>
    </row>
    <row r="140" spans="1:5">
      <c r="A140" s="28" t="s">
        <v>476</v>
      </c>
      <c r="B140" s="28">
        <v>1</v>
      </c>
      <c r="C140" s="28" t="s">
        <v>3725</v>
      </c>
      <c r="D140" s="28" t="s">
        <v>3726</v>
      </c>
      <c r="E140" s="28" t="s">
        <v>3727</v>
      </c>
    </row>
    <row r="141" spans="1:5">
      <c r="A141" s="28" t="s">
        <v>476</v>
      </c>
      <c r="B141" s="28">
        <v>2</v>
      </c>
      <c r="C141" s="28" t="s">
        <v>3728</v>
      </c>
      <c r="D141" s="28" t="s">
        <v>3729</v>
      </c>
      <c r="E141" s="28" t="s">
        <v>3730</v>
      </c>
    </row>
    <row r="142" spans="1:5">
      <c r="A142" s="28" t="s">
        <v>476</v>
      </c>
      <c r="B142" s="28">
        <v>3</v>
      </c>
      <c r="C142" s="28" t="s">
        <v>3731</v>
      </c>
      <c r="D142" s="28" t="s">
        <v>3364</v>
      </c>
      <c r="E142" s="28" t="s">
        <v>3732</v>
      </c>
    </row>
    <row r="143" spans="1:5">
      <c r="A143" s="28" t="s">
        <v>476</v>
      </c>
      <c r="B143" s="28">
        <v>4</v>
      </c>
      <c r="C143" s="28" t="s">
        <v>3733</v>
      </c>
      <c r="D143" s="28" t="s">
        <v>3734</v>
      </c>
      <c r="E143" s="28" t="s">
        <v>3735</v>
      </c>
    </row>
    <row r="144" spans="1:5">
      <c r="A144" s="28" t="s">
        <v>476</v>
      </c>
      <c r="B144" s="28">
        <v>5</v>
      </c>
      <c r="C144" s="28" t="s">
        <v>3736</v>
      </c>
      <c r="D144" s="28" t="s">
        <v>3364</v>
      </c>
      <c r="E144" s="28" t="s">
        <v>3737</v>
      </c>
    </row>
    <row r="145" spans="1:5">
      <c r="A145" s="28" t="s">
        <v>476</v>
      </c>
      <c r="B145" s="28">
        <v>6</v>
      </c>
      <c r="C145" s="28" t="s">
        <v>3738</v>
      </c>
      <c r="D145" s="28" t="s">
        <v>3739</v>
      </c>
      <c r="E145" s="28" t="s">
        <v>3740</v>
      </c>
    </row>
    <row r="146" spans="1:5">
      <c r="A146" s="28" t="s">
        <v>492</v>
      </c>
      <c r="B146" s="28">
        <v>1</v>
      </c>
      <c r="C146" s="28" t="s">
        <v>3741</v>
      </c>
      <c r="D146" s="28" t="s">
        <v>3742</v>
      </c>
      <c r="E146" s="28" t="s">
        <v>3743</v>
      </c>
    </row>
    <row r="147" spans="1:5">
      <c r="A147" s="28" t="s">
        <v>492</v>
      </c>
      <c r="B147" s="28">
        <v>2</v>
      </c>
      <c r="C147" s="28" t="s">
        <v>3744</v>
      </c>
      <c r="D147" s="28" t="s">
        <v>3745</v>
      </c>
      <c r="E147" s="28" t="s">
        <v>3746</v>
      </c>
    </row>
    <row r="148" spans="1:5">
      <c r="A148" s="28" t="s">
        <v>492</v>
      </c>
      <c r="B148" s="28">
        <v>3</v>
      </c>
      <c r="C148" s="28" t="s">
        <v>3747</v>
      </c>
      <c r="D148" s="28" t="s">
        <v>3364</v>
      </c>
      <c r="E148" s="28" t="s">
        <v>3748</v>
      </c>
    </row>
    <row r="149" spans="1:5">
      <c r="A149" s="28" t="s">
        <v>492</v>
      </c>
      <c r="B149" s="28">
        <v>4</v>
      </c>
      <c r="C149" s="28" t="s">
        <v>3749</v>
      </c>
      <c r="D149" s="28" t="s">
        <v>3750</v>
      </c>
      <c r="E149" s="28" t="s">
        <v>3751</v>
      </c>
    </row>
    <row r="150" spans="1:5">
      <c r="A150" s="28" t="s">
        <v>492</v>
      </c>
      <c r="B150" s="28">
        <v>5</v>
      </c>
      <c r="C150" s="28" t="s">
        <v>3752</v>
      </c>
      <c r="D150" s="28" t="s">
        <v>3364</v>
      </c>
      <c r="E150" s="28" t="s">
        <v>3753</v>
      </c>
    </row>
    <row r="151" spans="1:5">
      <c r="A151" s="28" t="s">
        <v>492</v>
      </c>
      <c r="B151" s="28">
        <v>6</v>
      </c>
      <c r="C151" s="28" t="s">
        <v>3754</v>
      </c>
      <c r="D151" s="28" t="s">
        <v>3755</v>
      </c>
      <c r="E151" s="28" t="s">
        <v>3756</v>
      </c>
    </row>
    <row r="152" spans="1:5">
      <c r="A152" s="28" t="s">
        <v>527</v>
      </c>
      <c r="B152" s="28">
        <v>1</v>
      </c>
      <c r="C152" s="28" t="s">
        <v>3757</v>
      </c>
      <c r="D152" s="28" t="s">
        <v>3758</v>
      </c>
      <c r="E152" s="28" t="s">
        <v>3759</v>
      </c>
    </row>
    <row r="153" spans="1:5">
      <c r="A153" s="28" t="s">
        <v>527</v>
      </c>
      <c r="B153" s="28">
        <v>2</v>
      </c>
      <c r="C153" s="28" t="s">
        <v>3760</v>
      </c>
      <c r="D153" s="28" t="s">
        <v>3761</v>
      </c>
      <c r="E153" s="28" t="s">
        <v>3762</v>
      </c>
    </row>
    <row r="154" spans="1:5">
      <c r="A154" s="28" t="s">
        <v>527</v>
      </c>
      <c r="B154" s="28">
        <v>3</v>
      </c>
      <c r="C154" s="28" t="s">
        <v>3763</v>
      </c>
      <c r="D154" s="28" t="s">
        <v>3364</v>
      </c>
      <c r="E154" s="28" t="s">
        <v>3764</v>
      </c>
    </row>
    <row r="155" spans="1:5">
      <c r="A155" s="28" t="s">
        <v>527</v>
      </c>
      <c r="B155" s="28">
        <v>4</v>
      </c>
      <c r="C155" s="28" t="s">
        <v>3765</v>
      </c>
      <c r="D155" s="28" t="s">
        <v>3766</v>
      </c>
      <c r="E155" s="28" t="s">
        <v>3767</v>
      </c>
    </row>
    <row r="156" spans="1:5">
      <c r="A156" s="28" t="s">
        <v>527</v>
      </c>
      <c r="B156" s="28">
        <v>5</v>
      </c>
      <c r="C156" s="28" t="s">
        <v>3768</v>
      </c>
      <c r="D156" s="28" t="s">
        <v>3364</v>
      </c>
      <c r="E156" s="28" t="s">
        <v>3769</v>
      </c>
    </row>
    <row r="157" spans="1:5">
      <c r="A157" s="28" t="s">
        <v>527</v>
      </c>
      <c r="B157" s="28">
        <v>6</v>
      </c>
      <c r="C157" s="28" t="s">
        <v>3770</v>
      </c>
      <c r="D157" s="28" t="s">
        <v>3771</v>
      </c>
      <c r="E157" s="28" t="s">
        <v>3772</v>
      </c>
    </row>
    <row r="158" spans="1:5">
      <c r="A158" s="28" t="s">
        <v>540</v>
      </c>
      <c r="B158" s="28">
        <v>1</v>
      </c>
      <c r="C158" s="28" t="s">
        <v>3773</v>
      </c>
      <c r="D158" s="28" t="s">
        <v>3774</v>
      </c>
      <c r="E158" s="28" t="s">
        <v>3775</v>
      </c>
    </row>
    <row r="159" spans="1:5">
      <c r="A159" s="28" t="s">
        <v>540</v>
      </c>
      <c r="B159" s="28">
        <v>2</v>
      </c>
      <c r="C159" s="28" t="s">
        <v>3776</v>
      </c>
      <c r="D159" s="28" t="s">
        <v>3777</v>
      </c>
      <c r="E159" s="28" t="s">
        <v>3778</v>
      </c>
    </row>
    <row r="160" spans="1:5">
      <c r="A160" s="28" t="s">
        <v>540</v>
      </c>
      <c r="B160" s="28">
        <v>3</v>
      </c>
      <c r="C160" s="28" t="s">
        <v>3779</v>
      </c>
      <c r="D160" s="28" t="s">
        <v>3364</v>
      </c>
      <c r="E160" s="28" t="s">
        <v>3780</v>
      </c>
    </row>
    <row r="161" spans="1:5">
      <c r="A161" s="28" t="s">
        <v>540</v>
      </c>
      <c r="B161" s="28">
        <v>4</v>
      </c>
      <c r="C161" s="28" t="s">
        <v>3781</v>
      </c>
      <c r="D161" s="28" t="s">
        <v>3782</v>
      </c>
      <c r="E161" s="28" t="s">
        <v>3783</v>
      </c>
    </row>
    <row r="162" spans="1:5">
      <c r="A162" s="28" t="s">
        <v>540</v>
      </c>
      <c r="B162" s="28">
        <v>5</v>
      </c>
      <c r="C162" s="28" t="s">
        <v>3784</v>
      </c>
      <c r="D162" s="28" t="s">
        <v>3364</v>
      </c>
      <c r="E162" s="28" t="s">
        <v>3785</v>
      </c>
    </row>
    <row r="163" spans="1:5">
      <c r="A163" s="28" t="s">
        <v>540</v>
      </c>
      <c r="B163" s="28">
        <v>6</v>
      </c>
      <c r="C163" s="28" t="s">
        <v>3786</v>
      </c>
      <c r="D163" s="28" t="s">
        <v>3787</v>
      </c>
      <c r="E163" s="28" t="s">
        <v>3788</v>
      </c>
    </row>
    <row r="164" spans="1:5">
      <c r="A164" s="28" t="s">
        <v>555</v>
      </c>
      <c r="B164" s="28">
        <v>1</v>
      </c>
      <c r="C164" s="28" t="s">
        <v>3789</v>
      </c>
      <c r="D164" s="28" t="s">
        <v>3790</v>
      </c>
      <c r="E164" s="28" t="s">
        <v>3791</v>
      </c>
    </row>
    <row r="165" spans="1:5">
      <c r="A165" s="28" t="s">
        <v>555</v>
      </c>
      <c r="B165" s="28">
        <v>2</v>
      </c>
      <c r="C165" s="28" t="s">
        <v>3792</v>
      </c>
      <c r="D165" s="28" t="s">
        <v>3793</v>
      </c>
      <c r="E165" s="28" t="s">
        <v>3794</v>
      </c>
    </row>
    <row r="166" spans="1:5">
      <c r="A166" s="28" t="s">
        <v>555</v>
      </c>
      <c r="B166" s="28">
        <v>3</v>
      </c>
      <c r="C166" s="28" t="s">
        <v>3795</v>
      </c>
      <c r="D166" s="28" t="s">
        <v>3364</v>
      </c>
      <c r="E166" s="28" t="s">
        <v>3796</v>
      </c>
    </row>
    <row r="167" spans="1:5">
      <c r="A167" s="28" t="s">
        <v>555</v>
      </c>
      <c r="B167" s="28">
        <v>4</v>
      </c>
      <c r="C167" s="28" t="s">
        <v>3797</v>
      </c>
      <c r="D167" s="28" t="s">
        <v>3798</v>
      </c>
      <c r="E167" s="28" t="s">
        <v>3799</v>
      </c>
    </row>
    <row r="168" spans="1:5">
      <c r="A168" s="28" t="s">
        <v>555</v>
      </c>
      <c r="B168" s="28">
        <v>5</v>
      </c>
      <c r="C168" s="28" t="s">
        <v>3800</v>
      </c>
      <c r="D168" s="28" t="s">
        <v>3364</v>
      </c>
      <c r="E168" s="28" t="s">
        <v>3801</v>
      </c>
    </row>
    <row r="169" spans="1:5">
      <c r="A169" s="28" t="s">
        <v>555</v>
      </c>
      <c r="B169" s="28">
        <v>6</v>
      </c>
      <c r="C169" s="28" t="s">
        <v>3802</v>
      </c>
      <c r="D169" s="28" t="s">
        <v>3803</v>
      </c>
      <c r="E169" s="28" t="s">
        <v>3804</v>
      </c>
    </row>
    <row r="170" spans="1:5">
      <c r="A170" s="28" t="s">
        <v>572</v>
      </c>
      <c r="B170" s="28">
        <v>1</v>
      </c>
      <c r="C170" s="28" t="s">
        <v>3805</v>
      </c>
      <c r="D170" s="28" t="s">
        <v>3806</v>
      </c>
      <c r="E170" s="28" t="s">
        <v>3807</v>
      </c>
    </row>
    <row r="171" spans="1:5">
      <c r="A171" s="28" t="s">
        <v>572</v>
      </c>
      <c r="B171" s="28">
        <v>2</v>
      </c>
      <c r="C171" s="28" t="s">
        <v>3808</v>
      </c>
      <c r="D171" s="28" t="s">
        <v>3809</v>
      </c>
      <c r="E171" s="28" t="s">
        <v>3810</v>
      </c>
    </row>
    <row r="172" spans="1:5">
      <c r="A172" s="28" t="s">
        <v>572</v>
      </c>
      <c r="B172" s="28">
        <v>3</v>
      </c>
      <c r="C172" s="28" t="s">
        <v>3811</v>
      </c>
      <c r="D172" s="28" t="s">
        <v>3364</v>
      </c>
      <c r="E172" s="28" t="s">
        <v>3812</v>
      </c>
    </row>
    <row r="173" spans="1:5">
      <c r="A173" s="28" t="s">
        <v>572</v>
      </c>
      <c r="B173" s="28">
        <v>4</v>
      </c>
      <c r="C173" s="28" t="s">
        <v>3813</v>
      </c>
      <c r="D173" s="28" t="s">
        <v>3814</v>
      </c>
      <c r="E173" s="28" t="s">
        <v>3815</v>
      </c>
    </row>
    <row r="174" spans="1:5">
      <c r="A174" s="28" t="s">
        <v>572</v>
      </c>
      <c r="B174" s="28">
        <v>5</v>
      </c>
      <c r="C174" s="28" t="s">
        <v>3816</v>
      </c>
      <c r="D174" s="28" t="s">
        <v>3364</v>
      </c>
      <c r="E174" s="28" t="s">
        <v>3817</v>
      </c>
    </row>
    <row r="175" spans="1:5">
      <c r="A175" s="28" t="s">
        <v>572</v>
      </c>
      <c r="B175" s="28">
        <v>6</v>
      </c>
      <c r="C175" s="28" t="s">
        <v>3818</v>
      </c>
      <c r="D175" s="28" t="s">
        <v>3819</v>
      </c>
      <c r="E175" s="28" t="s">
        <v>3820</v>
      </c>
    </row>
    <row r="176" spans="1:5">
      <c r="A176" s="28" t="s">
        <v>590</v>
      </c>
      <c r="B176" s="28">
        <v>1</v>
      </c>
      <c r="C176" s="28" t="s">
        <v>3821</v>
      </c>
      <c r="D176" s="28" t="s">
        <v>3822</v>
      </c>
      <c r="E176" s="28" t="s">
        <v>3823</v>
      </c>
    </row>
    <row r="177" spans="1:5">
      <c r="A177" s="28" t="s">
        <v>590</v>
      </c>
      <c r="B177" s="28">
        <v>2</v>
      </c>
      <c r="C177" s="28" t="s">
        <v>3824</v>
      </c>
      <c r="D177" s="28" t="s">
        <v>3825</v>
      </c>
      <c r="E177" s="28" t="s">
        <v>3826</v>
      </c>
    </row>
    <row r="178" spans="1:5">
      <c r="A178" s="28" t="s">
        <v>590</v>
      </c>
      <c r="B178" s="28">
        <v>3</v>
      </c>
      <c r="C178" s="28" t="s">
        <v>3827</v>
      </c>
      <c r="D178" s="28" t="s">
        <v>3364</v>
      </c>
      <c r="E178" s="28" t="s">
        <v>3828</v>
      </c>
    </row>
    <row r="179" spans="1:5">
      <c r="A179" s="28" t="s">
        <v>590</v>
      </c>
      <c r="B179" s="28">
        <v>4</v>
      </c>
      <c r="C179" s="28" t="s">
        <v>3829</v>
      </c>
      <c r="D179" s="28" t="s">
        <v>3830</v>
      </c>
      <c r="E179" s="28" t="s">
        <v>3831</v>
      </c>
    </row>
    <row r="180" spans="1:5">
      <c r="A180" s="28" t="s">
        <v>590</v>
      </c>
      <c r="B180" s="28">
        <v>5</v>
      </c>
      <c r="C180" s="28" t="s">
        <v>3832</v>
      </c>
      <c r="D180" s="28" t="s">
        <v>3364</v>
      </c>
      <c r="E180" s="28" t="s">
        <v>3833</v>
      </c>
    </row>
    <row r="181" spans="1:5">
      <c r="A181" s="28" t="s">
        <v>590</v>
      </c>
      <c r="B181" s="28">
        <v>6</v>
      </c>
      <c r="C181" s="28" t="s">
        <v>3834</v>
      </c>
      <c r="D181" s="28" t="s">
        <v>3835</v>
      </c>
      <c r="E181" s="28" t="s">
        <v>3836</v>
      </c>
    </row>
    <row r="182" spans="1:5">
      <c r="A182" s="28" t="s">
        <v>612</v>
      </c>
      <c r="B182" s="28">
        <v>1</v>
      </c>
      <c r="C182" s="28" t="s">
        <v>3837</v>
      </c>
      <c r="D182" s="28" t="s">
        <v>3838</v>
      </c>
      <c r="E182" s="28" t="s">
        <v>3839</v>
      </c>
    </row>
    <row r="183" spans="1:5">
      <c r="A183" s="28" t="s">
        <v>612</v>
      </c>
      <c r="B183" s="28">
        <v>2</v>
      </c>
      <c r="C183" s="28" t="s">
        <v>3840</v>
      </c>
      <c r="D183" s="28" t="s">
        <v>3841</v>
      </c>
      <c r="E183" s="28" t="s">
        <v>3842</v>
      </c>
    </row>
    <row r="184" spans="1:5">
      <c r="A184" s="28" t="s">
        <v>612</v>
      </c>
      <c r="B184" s="28">
        <v>3</v>
      </c>
      <c r="C184" s="28" t="s">
        <v>3843</v>
      </c>
      <c r="D184" s="28" t="s">
        <v>3364</v>
      </c>
      <c r="E184" s="28" t="s">
        <v>3844</v>
      </c>
    </row>
    <row r="185" spans="1:5">
      <c r="A185" s="28" t="s">
        <v>612</v>
      </c>
      <c r="B185" s="28">
        <v>4</v>
      </c>
      <c r="C185" s="28" t="s">
        <v>3845</v>
      </c>
      <c r="D185" s="28" t="s">
        <v>3846</v>
      </c>
      <c r="E185" s="28" t="s">
        <v>3847</v>
      </c>
    </row>
    <row r="186" spans="1:5">
      <c r="A186" s="28" t="s">
        <v>612</v>
      </c>
      <c r="B186" s="28">
        <v>5</v>
      </c>
      <c r="C186" s="28" t="s">
        <v>3848</v>
      </c>
      <c r="D186" s="28" t="s">
        <v>3364</v>
      </c>
      <c r="E186" s="28" t="s">
        <v>3849</v>
      </c>
    </row>
    <row r="187" spans="1:5">
      <c r="A187" s="28" t="s">
        <v>612</v>
      </c>
      <c r="B187" s="28">
        <v>6</v>
      </c>
      <c r="C187" s="28" t="s">
        <v>3850</v>
      </c>
      <c r="D187" s="28" t="s">
        <v>3851</v>
      </c>
      <c r="E187" s="28" t="s">
        <v>3852</v>
      </c>
    </row>
    <row r="188" spans="1:5">
      <c r="A188" s="28" t="s">
        <v>628</v>
      </c>
      <c r="B188" s="28">
        <v>1</v>
      </c>
      <c r="C188" s="28" t="s">
        <v>3853</v>
      </c>
      <c r="D188" s="28" t="s">
        <v>3854</v>
      </c>
      <c r="E188" s="28" t="s">
        <v>3855</v>
      </c>
    </row>
    <row r="189" spans="1:5">
      <c r="A189" s="28" t="s">
        <v>628</v>
      </c>
      <c r="B189" s="28">
        <v>2</v>
      </c>
      <c r="C189" s="28" t="s">
        <v>3856</v>
      </c>
      <c r="D189" s="28" t="s">
        <v>3857</v>
      </c>
      <c r="E189" s="28" t="s">
        <v>3858</v>
      </c>
    </row>
    <row r="190" spans="1:5">
      <c r="A190" s="28" t="s">
        <v>628</v>
      </c>
      <c r="B190" s="28">
        <v>3</v>
      </c>
      <c r="C190" s="28" t="s">
        <v>3859</v>
      </c>
      <c r="D190" s="28" t="s">
        <v>3364</v>
      </c>
      <c r="E190" s="28" t="s">
        <v>3860</v>
      </c>
    </row>
    <row r="191" spans="1:5">
      <c r="A191" s="28" t="s">
        <v>628</v>
      </c>
      <c r="B191" s="28">
        <v>4</v>
      </c>
      <c r="C191" s="28" t="s">
        <v>3861</v>
      </c>
      <c r="D191" s="28" t="s">
        <v>3862</v>
      </c>
      <c r="E191" s="28" t="s">
        <v>3863</v>
      </c>
    </row>
    <row r="192" spans="1:5">
      <c r="A192" s="28" t="s">
        <v>628</v>
      </c>
      <c r="B192" s="28">
        <v>5</v>
      </c>
      <c r="C192" s="28" t="s">
        <v>3864</v>
      </c>
      <c r="D192" s="28" t="s">
        <v>3364</v>
      </c>
      <c r="E192" s="28" t="s">
        <v>3865</v>
      </c>
    </row>
    <row r="193" spans="1:5">
      <c r="A193" s="28" t="s">
        <v>628</v>
      </c>
      <c r="B193" s="28">
        <v>6</v>
      </c>
      <c r="C193" s="28" t="s">
        <v>3866</v>
      </c>
      <c r="D193" s="28" t="s">
        <v>3867</v>
      </c>
      <c r="E193" s="28" t="s">
        <v>3868</v>
      </c>
    </row>
    <row r="194" spans="1:5">
      <c r="A194" s="28" t="s">
        <v>644</v>
      </c>
      <c r="B194" s="28">
        <v>1</v>
      </c>
      <c r="C194" s="28" t="s">
        <v>3869</v>
      </c>
      <c r="D194" s="28" t="s">
        <v>3870</v>
      </c>
      <c r="E194" s="28" t="s">
        <v>3871</v>
      </c>
    </row>
    <row r="195" spans="1:5">
      <c r="A195" s="28" t="s">
        <v>644</v>
      </c>
      <c r="B195" s="28">
        <v>2</v>
      </c>
      <c r="C195" s="28" t="s">
        <v>3872</v>
      </c>
      <c r="D195" s="28" t="s">
        <v>3873</v>
      </c>
      <c r="E195" s="28" t="s">
        <v>3874</v>
      </c>
    </row>
    <row r="196" spans="1:5">
      <c r="A196" s="28" t="s">
        <v>644</v>
      </c>
      <c r="B196" s="28">
        <v>3</v>
      </c>
      <c r="C196" s="28" t="s">
        <v>3875</v>
      </c>
      <c r="D196" s="28" t="s">
        <v>3364</v>
      </c>
      <c r="E196" s="28" t="s">
        <v>3876</v>
      </c>
    </row>
    <row r="197" spans="1:5">
      <c r="A197" s="28" t="s">
        <v>644</v>
      </c>
      <c r="B197" s="28">
        <v>4</v>
      </c>
      <c r="C197" s="28" t="s">
        <v>3877</v>
      </c>
      <c r="D197" s="28" t="s">
        <v>3878</v>
      </c>
      <c r="E197" s="28" t="s">
        <v>3879</v>
      </c>
    </row>
    <row r="198" spans="1:5">
      <c r="A198" s="28" t="s">
        <v>644</v>
      </c>
      <c r="B198" s="28">
        <v>5</v>
      </c>
      <c r="C198" s="28" t="s">
        <v>3880</v>
      </c>
      <c r="D198" s="28" t="s">
        <v>3364</v>
      </c>
      <c r="E198" s="28" t="s">
        <v>3881</v>
      </c>
    </row>
    <row r="199" spans="1:5">
      <c r="A199" s="28" t="s">
        <v>644</v>
      </c>
      <c r="B199" s="28">
        <v>6</v>
      </c>
      <c r="C199" s="28" t="s">
        <v>3882</v>
      </c>
      <c r="D199" s="28" t="s">
        <v>3883</v>
      </c>
      <c r="E199" s="28" t="s">
        <v>3884</v>
      </c>
    </row>
    <row r="200" spans="1:5">
      <c r="A200" s="28" t="s">
        <v>659</v>
      </c>
      <c r="B200" s="28">
        <v>1</v>
      </c>
      <c r="C200" s="28" t="s">
        <v>3885</v>
      </c>
      <c r="D200" s="28" t="s">
        <v>3886</v>
      </c>
      <c r="E200" s="28" t="s">
        <v>3887</v>
      </c>
    </row>
    <row r="201" spans="1:5">
      <c r="A201" s="28" t="s">
        <v>659</v>
      </c>
      <c r="B201" s="28">
        <v>2</v>
      </c>
      <c r="C201" s="28" t="s">
        <v>3888</v>
      </c>
      <c r="D201" s="28" t="s">
        <v>3889</v>
      </c>
      <c r="E201" s="28" t="s">
        <v>3890</v>
      </c>
    </row>
    <row r="202" spans="1:5">
      <c r="A202" s="28" t="s">
        <v>659</v>
      </c>
      <c r="B202" s="28">
        <v>3</v>
      </c>
      <c r="C202" s="28" t="s">
        <v>3891</v>
      </c>
      <c r="D202" s="28" t="s">
        <v>3364</v>
      </c>
      <c r="E202" s="28" t="s">
        <v>3892</v>
      </c>
    </row>
    <row r="203" spans="1:5">
      <c r="A203" s="28" t="s">
        <v>659</v>
      </c>
      <c r="B203" s="28">
        <v>4</v>
      </c>
      <c r="C203" s="28" t="s">
        <v>3893</v>
      </c>
      <c r="D203" s="28" t="s">
        <v>3894</v>
      </c>
      <c r="E203" s="28" t="s">
        <v>3895</v>
      </c>
    </row>
    <row r="204" spans="1:5">
      <c r="A204" s="28" t="s">
        <v>659</v>
      </c>
      <c r="B204" s="28">
        <v>5</v>
      </c>
      <c r="C204" s="28" t="s">
        <v>3896</v>
      </c>
      <c r="D204" s="28" t="s">
        <v>3364</v>
      </c>
      <c r="E204" s="28" t="s">
        <v>3897</v>
      </c>
    </row>
    <row r="205" spans="1:5">
      <c r="A205" s="28" t="s">
        <v>659</v>
      </c>
      <c r="B205" s="28">
        <v>6</v>
      </c>
      <c r="C205" s="28" t="s">
        <v>3898</v>
      </c>
      <c r="D205" s="28" t="s">
        <v>3899</v>
      </c>
      <c r="E205" s="28" t="s">
        <v>3900</v>
      </c>
    </row>
    <row r="206" spans="1:5">
      <c r="A206" s="28" t="s">
        <v>671</v>
      </c>
      <c r="B206" s="28">
        <v>1</v>
      </c>
      <c r="C206" s="28" t="s">
        <v>3901</v>
      </c>
      <c r="D206" s="28" t="s">
        <v>3902</v>
      </c>
      <c r="E206" s="28" t="s">
        <v>3903</v>
      </c>
    </row>
    <row r="207" spans="1:5">
      <c r="A207" s="28" t="s">
        <v>671</v>
      </c>
      <c r="B207" s="28">
        <v>2</v>
      </c>
      <c r="C207" s="28" t="s">
        <v>3904</v>
      </c>
      <c r="D207" s="28" t="s">
        <v>3905</v>
      </c>
      <c r="E207" s="28" t="s">
        <v>3906</v>
      </c>
    </row>
    <row r="208" spans="1:5">
      <c r="A208" s="28" t="s">
        <v>671</v>
      </c>
      <c r="B208" s="28">
        <v>3</v>
      </c>
      <c r="C208" s="28" t="s">
        <v>3907</v>
      </c>
      <c r="D208" s="28" t="s">
        <v>3364</v>
      </c>
      <c r="E208" s="28" t="s">
        <v>3908</v>
      </c>
    </row>
    <row r="209" spans="1:5">
      <c r="A209" s="28" t="s">
        <v>671</v>
      </c>
      <c r="B209" s="28">
        <v>4</v>
      </c>
      <c r="C209" s="28" t="s">
        <v>690</v>
      </c>
      <c r="D209" s="28" t="s">
        <v>3909</v>
      </c>
      <c r="E209" s="28" t="s">
        <v>3910</v>
      </c>
    </row>
    <row r="210" spans="1:5">
      <c r="A210" s="28" t="s">
        <v>671</v>
      </c>
      <c r="B210" s="28">
        <v>5</v>
      </c>
      <c r="C210" s="28" t="s">
        <v>3911</v>
      </c>
      <c r="D210" s="28" t="s">
        <v>3364</v>
      </c>
      <c r="E210" s="28" t="s">
        <v>3912</v>
      </c>
    </row>
    <row r="211" spans="1:5">
      <c r="A211" s="28" t="s">
        <v>671</v>
      </c>
      <c r="B211" s="28">
        <v>6</v>
      </c>
      <c r="C211" s="28" t="s">
        <v>3913</v>
      </c>
      <c r="D211" s="28" t="s">
        <v>3914</v>
      </c>
      <c r="E211" s="28" t="s">
        <v>3915</v>
      </c>
    </row>
    <row r="212" spans="1:5">
      <c r="A212" s="28" t="s">
        <v>692</v>
      </c>
      <c r="B212" s="28">
        <v>1</v>
      </c>
      <c r="C212" s="28" t="s">
        <v>3916</v>
      </c>
      <c r="D212" s="28" t="s">
        <v>3917</v>
      </c>
      <c r="E212" s="28" t="s">
        <v>3918</v>
      </c>
    </row>
    <row r="213" spans="1:5">
      <c r="A213" s="28" t="s">
        <v>692</v>
      </c>
      <c r="B213" s="28">
        <v>2</v>
      </c>
      <c r="C213" s="28" t="s">
        <v>3919</v>
      </c>
      <c r="D213" s="28" t="s">
        <v>3920</v>
      </c>
      <c r="E213" s="28" t="s">
        <v>3921</v>
      </c>
    </row>
    <row r="214" spans="1:5">
      <c r="A214" s="28" t="s">
        <v>692</v>
      </c>
      <c r="B214" s="28">
        <v>3</v>
      </c>
      <c r="C214" s="28" t="s">
        <v>3922</v>
      </c>
      <c r="D214" s="28" t="s">
        <v>3364</v>
      </c>
      <c r="E214" s="54" t="s">
        <v>3923</v>
      </c>
    </row>
    <row r="215" spans="1:5">
      <c r="A215" s="28" t="s">
        <v>692</v>
      </c>
      <c r="B215" s="28">
        <v>4</v>
      </c>
      <c r="C215" s="28" t="s">
        <v>3924</v>
      </c>
      <c r="D215" s="28" t="s">
        <v>3925</v>
      </c>
      <c r="E215" s="54" t="s">
        <v>3926</v>
      </c>
    </row>
    <row r="216" spans="1:5">
      <c r="A216" s="28" t="s">
        <v>692</v>
      </c>
      <c r="B216" s="28">
        <v>5</v>
      </c>
      <c r="C216" s="28" t="s">
        <v>3927</v>
      </c>
      <c r="D216" s="28" t="s">
        <v>3364</v>
      </c>
      <c r="E216" s="54" t="s">
        <v>3928</v>
      </c>
    </row>
    <row r="217" spans="1:5">
      <c r="A217" s="28" t="s">
        <v>692</v>
      </c>
      <c r="B217" s="28">
        <v>6</v>
      </c>
      <c r="C217" s="28" t="s">
        <v>3929</v>
      </c>
      <c r="D217" s="28" t="s">
        <v>3930</v>
      </c>
      <c r="E217" s="54" t="s">
        <v>3931</v>
      </c>
    </row>
    <row r="218" spans="1:5">
      <c r="A218" s="28" t="s">
        <v>716</v>
      </c>
      <c r="B218" s="28">
        <v>1</v>
      </c>
      <c r="C218" s="28" t="s">
        <v>3932</v>
      </c>
      <c r="D218" s="28" t="s">
        <v>3933</v>
      </c>
      <c r="E218" s="28" t="s">
        <v>3934</v>
      </c>
    </row>
    <row r="219" spans="1:5">
      <c r="A219" s="28" t="s">
        <v>716</v>
      </c>
      <c r="B219" s="28">
        <v>2</v>
      </c>
      <c r="C219" s="28" t="s">
        <v>3935</v>
      </c>
      <c r="D219" s="28" t="s">
        <v>3936</v>
      </c>
      <c r="E219" s="28" t="s">
        <v>3937</v>
      </c>
    </row>
    <row r="220" spans="1:5">
      <c r="A220" s="28" t="s">
        <v>716</v>
      </c>
      <c r="B220" s="28">
        <v>3</v>
      </c>
      <c r="C220" s="28" t="s">
        <v>3938</v>
      </c>
      <c r="D220" s="28" t="s">
        <v>3364</v>
      </c>
      <c r="E220" s="28" t="s">
        <v>3939</v>
      </c>
    </row>
    <row r="221" spans="1:5">
      <c r="A221" s="28" t="s">
        <v>716</v>
      </c>
      <c r="B221" s="28">
        <v>4</v>
      </c>
      <c r="C221" s="28" t="s">
        <v>3940</v>
      </c>
      <c r="D221" s="28" t="s">
        <v>3941</v>
      </c>
      <c r="E221" s="28" t="s">
        <v>3942</v>
      </c>
    </row>
    <row r="222" spans="1:5">
      <c r="A222" s="28" t="s">
        <v>716</v>
      </c>
      <c r="B222" s="28">
        <v>5</v>
      </c>
      <c r="C222" s="28" t="s">
        <v>3943</v>
      </c>
      <c r="D222" s="28" t="s">
        <v>3364</v>
      </c>
      <c r="E222" s="28" t="s">
        <v>3944</v>
      </c>
    </row>
    <row r="223" spans="1:5">
      <c r="A223" s="28" t="s">
        <v>716</v>
      </c>
      <c r="B223" s="28">
        <v>6</v>
      </c>
      <c r="C223" s="28" t="s">
        <v>3945</v>
      </c>
      <c r="D223" s="28" t="s">
        <v>3946</v>
      </c>
      <c r="E223" s="28" t="s">
        <v>3947</v>
      </c>
    </row>
    <row r="224" spans="1:5">
      <c r="A224" s="28" t="s">
        <v>734</v>
      </c>
      <c r="B224" s="28">
        <v>1</v>
      </c>
      <c r="C224" s="28" t="s">
        <v>3948</v>
      </c>
      <c r="D224" s="28" t="s">
        <v>3949</v>
      </c>
      <c r="E224" s="28" t="s">
        <v>3950</v>
      </c>
    </row>
    <row r="225" spans="1:5">
      <c r="A225" s="28" t="s">
        <v>734</v>
      </c>
      <c r="B225" s="28">
        <v>2</v>
      </c>
      <c r="C225" s="28" t="s">
        <v>3951</v>
      </c>
      <c r="D225" s="28" t="s">
        <v>3952</v>
      </c>
      <c r="E225" s="28" t="s">
        <v>3953</v>
      </c>
    </row>
    <row r="226" spans="1:5">
      <c r="A226" s="28" t="s">
        <v>734</v>
      </c>
      <c r="B226" s="28">
        <v>3</v>
      </c>
      <c r="C226" s="28" t="s">
        <v>3954</v>
      </c>
      <c r="D226" s="28" t="s">
        <v>3364</v>
      </c>
      <c r="E226" s="28" t="s">
        <v>3955</v>
      </c>
    </row>
    <row r="227" spans="1:5">
      <c r="A227" s="28" t="s">
        <v>734</v>
      </c>
      <c r="B227" s="28">
        <v>4</v>
      </c>
      <c r="C227" s="28" t="s">
        <v>3956</v>
      </c>
      <c r="D227" s="28" t="s">
        <v>3957</v>
      </c>
      <c r="E227" s="28" t="s">
        <v>3958</v>
      </c>
    </row>
    <row r="228" spans="1:5">
      <c r="A228" s="28" t="s">
        <v>734</v>
      </c>
      <c r="B228" s="28">
        <v>5</v>
      </c>
      <c r="C228" s="28" t="s">
        <v>3959</v>
      </c>
      <c r="D228" s="28" t="s">
        <v>3364</v>
      </c>
      <c r="E228" s="28" t="s">
        <v>3960</v>
      </c>
    </row>
    <row r="229" spans="1:5">
      <c r="A229" s="28" t="s">
        <v>734</v>
      </c>
      <c r="B229" s="28">
        <v>6</v>
      </c>
      <c r="C229" s="28" t="s">
        <v>3961</v>
      </c>
      <c r="D229" s="28" t="s">
        <v>3962</v>
      </c>
      <c r="E229" s="28" t="s">
        <v>3963</v>
      </c>
    </row>
    <row r="230" spans="1:5">
      <c r="A230" s="28" t="s">
        <v>749</v>
      </c>
      <c r="B230" s="28">
        <v>1</v>
      </c>
      <c r="C230" s="28" t="s">
        <v>3964</v>
      </c>
      <c r="D230" s="28" t="s">
        <v>3965</v>
      </c>
      <c r="E230" s="28" t="s">
        <v>3966</v>
      </c>
    </row>
    <row r="231" spans="1:5">
      <c r="A231" s="28" t="s">
        <v>749</v>
      </c>
      <c r="B231" s="28">
        <v>2</v>
      </c>
      <c r="C231" s="28" t="s">
        <v>3967</v>
      </c>
      <c r="D231" s="28" t="s">
        <v>3968</v>
      </c>
      <c r="E231" s="28" t="s">
        <v>3969</v>
      </c>
    </row>
    <row r="232" spans="1:5">
      <c r="A232" s="28" t="s">
        <v>749</v>
      </c>
      <c r="B232" s="28">
        <v>3</v>
      </c>
      <c r="C232" s="28" t="s">
        <v>3970</v>
      </c>
      <c r="D232" s="28" t="s">
        <v>3364</v>
      </c>
      <c r="E232" s="28" t="s">
        <v>3971</v>
      </c>
    </row>
    <row r="233" spans="1:5">
      <c r="A233" s="28" t="s">
        <v>749</v>
      </c>
      <c r="B233" s="28">
        <v>4</v>
      </c>
      <c r="C233" s="28" t="s">
        <v>3972</v>
      </c>
      <c r="D233" s="28" t="s">
        <v>3973</v>
      </c>
      <c r="E233" s="28" t="s">
        <v>3974</v>
      </c>
    </row>
    <row r="234" spans="1:5">
      <c r="A234" s="28" t="s">
        <v>749</v>
      </c>
      <c r="B234" s="28">
        <v>5</v>
      </c>
      <c r="C234" s="28" t="s">
        <v>3975</v>
      </c>
      <c r="D234" s="28" t="s">
        <v>3364</v>
      </c>
      <c r="E234" s="28" t="s">
        <v>3976</v>
      </c>
    </row>
    <row r="235" spans="1:5">
      <c r="A235" s="28" t="s">
        <v>749</v>
      </c>
      <c r="B235" s="28">
        <v>6</v>
      </c>
      <c r="C235" s="28" t="s">
        <v>3977</v>
      </c>
      <c r="D235" s="28" t="s">
        <v>3978</v>
      </c>
      <c r="E235" s="28" t="s">
        <v>3979</v>
      </c>
    </row>
    <row r="236" spans="1:5">
      <c r="A236" s="28" t="s">
        <v>763</v>
      </c>
      <c r="B236" s="28">
        <v>1</v>
      </c>
      <c r="C236" s="28" t="s">
        <v>3980</v>
      </c>
      <c r="D236" s="28" t="s">
        <v>3981</v>
      </c>
      <c r="E236" s="28" t="s">
        <v>3982</v>
      </c>
    </row>
    <row r="237" spans="1:5">
      <c r="A237" s="28" t="s">
        <v>763</v>
      </c>
      <c r="B237" s="28">
        <v>2</v>
      </c>
      <c r="C237" s="28" t="s">
        <v>3983</v>
      </c>
      <c r="D237" s="28" t="s">
        <v>3984</v>
      </c>
      <c r="E237" s="28" t="s">
        <v>3985</v>
      </c>
    </row>
    <row r="238" spans="1:5">
      <c r="A238" s="28" t="s">
        <v>763</v>
      </c>
      <c r="B238" s="28">
        <v>3</v>
      </c>
      <c r="C238" s="28" t="s">
        <v>3986</v>
      </c>
      <c r="D238" s="28" t="s">
        <v>3364</v>
      </c>
      <c r="E238" s="28" t="s">
        <v>3987</v>
      </c>
    </row>
    <row r="239" spans="1:5">
      <c r="A239" s="28" t="s">
        <v>763</v>
      </c>
      <c r="B239" s="28">
        <v>4</v>
      </c>
      <c r="C239" s="28" t="s">
        <v>3988</v>
      </c>
      <c r="D239" s="28" t="s">
        <v>3989</v>
      </c>
      <c r="E239" s="28" t="s">
        <v>3990</v>
      </c>
    </row>
    <row r="240" spans="1:5">
      <c r="A240" s="28" t="s">
        <v>763</v>
      </c>
      <c r="B240" s="28">
        <v>5</v>
      </c>
      <c r="C240" s="28" t="s">
        <v>3991</v>
      </c>
      <c r="D240" s="28" t="s">
        <v>3364</v>
      </c>
      <c r="E240" s="28" t="s">
        <v>3992</v>
      </c>
    </row>
    <row r="241" spans="1:5">
      <c r="A241" s="28" t="s">
        <v>763</v>
      </c>
      <c r="B241" s="28">
        <v>6</v>
      </c>
      <c r="C241" s="28" t="s">
        <v>3993</v>
      </c>
      <c r="D241" s="28" t="s">
        <v>3994</v>
      </c>
      <c r="E241" s="28" t="s">
        <v>3995</v>
      </c>
    </row>
    <row r="242" spans="1:5">
      <c r="A242" s="28" t="s">
        <v>784</v>
      </c>
      <c r="B242" s="28">
        <v>1</v>
      </c>
      <c r="C242" s="28" t="s">
        <v>3996</v>
      </c>
      <c r="D242" s="28" t="s">
        <v>3997</v>
      </c>
      <c r="E242" s="28" t="s">
        <v>3998</v>
      </c>
    </row>
    <row r="243" spans="1:5">
      <c r="A243" s="28" t="s">
        <v>784</v>
      </c>
      <c r="B243" s="28">
        <v>2</v>
      </c>
      <c r="C243" s="28" t="s">
        <v>3999</v>
      </c>
      <c r="D243" s="28" t="s">
        <v>4000</v>
      </c>
      <c r="E243" s="28" t="s">
        <v>4001</v>
      </c>
    </row>
    <row r="244" spans="1:5">
      <c r="A244" s="28" t="s">
        <v>784</v>
      </c>
      <c r="B244" s="28">
        <v>3</v>
      </c>
      <c r="C244" s="28" t="s">
        <v>4002</v>
      </c>
      <c r="D244" s="28" t="s">
        <v>3364</v>
      </c>
      <c r="E244" s="28" t="s">
        <v>4003</v>
      </c>
    </row>
    <row r="245" spans="1:5">
      <c r="A245" s="28" t="s">
        <v>784</v>
      </c>
      <c r="B245" s="28">
        <v>4</v>
      </c>
      <c r="C245" s="28" t="s">
        <v>4004</v>
      </c>
      <c r="D245" s="28" t="s">
        <v>4005</v>
      </c>
      <c r="E245" s="28" t="s">
        <v>4006</v>
      </c>
    </row>
    <row r="246" spans="1:5">
      <c r="A246" s="28" t="s">
        <v>784</v>
      </c>
      <c r="B246" s="28">
        <v>5</v>
      </c>
      <c r="C246" s="28" t="s">
        <v>4007</v>
      </c>
      <c r="D246" s="28" t="s">
        <v>3364</v>
      </c>
      <c r="E246" s="28" t="s">
        <v>4008</v>
      </c>
    </row>
    <row r="247" spans="1:5">
      <c r="A247" s="28" t="s">
        <v>784</v>
      </c>
      <c r="B247" s="28">
        <v>6</v>
      </c>
      <c r="C247" s="28" t="s">
        <v>4009</v>
      </c>
      <c r="D247" s="28" t="s">
        <v>4010</v>
      </c>
      <c r="E247" s="28" t="s">
        <v>4011</v>
      </c>
    </row>
    <row r="248" spans="1:5">
      <c r="A248" s="28" t="s">
        <v>796</v>
      </c>
      <c r="B248" s="28">
        <v>1</v>
      </c>
      <c r="C248" s="28" t="s">
        <v>4012</v>
      </c>
      <c r="D248" s="28" t="s">
        <v>4013</v>
      </c>
      <c r="E248" s="28" t="s">
        <v>4014</v>
      </c>
    </row>
    <row r="249" spans="1:5">
      <c r="A249" s="28" t="s">
        <v>796</v>
      </c>
      <c r="B249" s="28">
        <v>2</v>
      </c>
      <c r="C249" s="28" t="s">
        <v>4015</v>
      </c>
      <c r="D249" s="28" t="s">
        <v>4016</v>
      </c>
      <c r="E249" s="28" t="s">
        <v>4017</v>
      </c>
    </row>
    <row r="250" spans="1:5">
      <c r="A250" s="28" t="s">
        <v>796</v>
      </c>
      <c r="B250" s="28">
        <v>3</v>
      </c>
      <c r="C250" s="28" t="s">
        <v>4018</v>
      </c>
      <c r="D250" s="28" t="s">
        <v>3364</v>
      </c>
      <c r="E250" s="28" t="s">
        <v>4019</v>
      </c>
    </row>
    <row r="251" spans="1:5">
      <c r="A251" s="28" t="s">
        <v>796</v>
      </c>
      <c r="B251" s="28">
        <v>4</v>
      </c>
      <c r="C251" s="28" t="s">
        <v>4020</v>
      </c>
      <c r="D251" s="28" t="s">
        <v>4021</v>
      </c>
      <c r="E251" s="28" t="s">
        <v>4022</v>
      </c>
    </row>
    <row r="252" spans="1:5">
      <c r="A252" s="28" t="s">
        <v>796</v>
      </c>
      <c r="B252" s="28">
        <v>5</v>
      </c>
      <c r="C252" s="28" t="s">
        <v>4023</v>
      </c>
      <c r="D252" s="28" t="s">
        <v>3364</v>
      </c>
      <c r="E252" s="28" t="s">
        <v>4024</v>
      </c>
    </row>
    <row r="253" spans="1:5">
      <c r="A253" s="28" t="s">
        <v>796</v>
      </c>
      <c r="B253" s="28">
        <v>6</v>
      </c>
      <c r="C253" s="28" t="s">
        <v>4025</v>
      </c>
      <c r="D253" s="28" t="s">
        <v>4026</v>
      </c>
      <c r="E253" s="28" t="s">
        <v>4027</v>
      </c>
    </row>
    <row r="254" spans="1:5">
      <c r="A254" s="28" t="s">
        <v>826</v>
      </c>
      <c r="B254" s="28">
        <v>1</v>
      </c>
      <c r="C254" s="28" t="s">
        <v>4028</v>
      </c>
      <c r="D254" s="28" t="s">
        <v>4029</v>
      </c>
      <c r="E254" s="28" t="s">
        <v>4030</v>
      </c>
    </row>
    <row r="255" spans="1:5">
      <c r="A255" s="28" t="s">
        <v>826</v>
      </c>
      <c r="B255" s="28">
        <v>2</v>
      </c>
      <c r="C255" s="28" t="s">
        <v>4031</v>
      </c>
      <c r="D255" s="28" t="s">
        <v>4032</v>
      </c>
      <c r="E255" s="28" t="s">
        <v>4033</v>
      </c>
    </row>
    <row r="256" spans="1:5">
      <c r="A256" s="28" t="s">
        <v>826</v>
      </c>
      <c r="B256" s="28">
        <v>3</v>
      </c>
      <c r="C256" s="28" t="s">
        <v>4034</v>
      </c>
      <c r="D256" s="28" t="s">
        <v>3364</v>
      </c>
      <c r="E256" s="28" t="s">
        <v>4035</v>
      </c>
    </row>
    <row r="257" spans="1:5">
      <c r="A257" s="28" t="s">
        <v>826</v>
      </c>
      <c r="B257" s="28">
        <v>4</v>
      </c>
      <c r="C257" s="28" t="s">
        <v>4036</v>
      </c>
      <c r="D257" s="28" t="s">
        <v>4037</v>
      </c>
      <c r="E257" s="28" t="s">
        <v>4038</v>
      </c>
    </row>
    <row r="258" spans="1:5">
      <c r="A258" s="28" t="s">
        <v>826</v>
      </c>
      <c r="B258" s="28">
        <v>5</v>
      </c>
      <c r="C258" s="28" t="s">
        <v>4039</v>
      </c>
      <c r="D258" s="28" t="s">
        <v>3364</v>
      </c>
      <c r="E258" s="28" t="s">
        <v>4040</v>
      </c>
    </row>
    <row r="259" spans="1:5">
      <c r="A259" s="28" t="s">
        <v>826</v>
      </c>
      <c r="B259" s="28">
        <v>6</v>
      </c>
      <c r="C259" s="28" t="s">
        <v>4041</v>
      </c>
      <c r="D259" s="28" t="s">
        <v>4042</v>
      </c>
      <c r="E259" s="28" t="s">
        <v>4043</v>
      </c>
    </row>
    <row r="260" spans="1:5">
      <c r="A260" s="28" t="s">
        <v>849</v>
      </c>
      <c r="B260" s="28">
        <v>1</v>
      </c>
      <c r="C260" s="28" t="s">
        <v>4044</v>
      </c>
      <c r="D260" s="28" t="s">
        <v>4045</v>
      </c>
      <c r="E260" s="28" t="s">
        <v>4046</v>
      </c>
    </row>
    <row r="261" spans="1:5">
      <c r="A261" s="28" t="s">
        <v>849</v>
      </c>
      <c r="B261" s="28">
        <v>2</v>
      </c>
      <c r="C261" s="28" t="s">
        <v>4047</v>
      </c>
      <c r="D261" s="28" t="s">
        <v>4048</v>
      </c>
      <c r="E261" s="28" t="s">
        <v>4049</v>
      </c>
    </row>
    <row r="262" spans="1:5">
      <c r="A262" s="28" t="s">
        <v>849</v>
      </c>
      <c r="B262" s="28">
        <v>3</v>
      </c>
      <c r="C262" s="28" t="s">
        <v>4050</v>
      </c>
      <c r="D262" s="28" t="s">
        <v>3364</v>
      </c>
      <c r="E262" s="28" t="s">
        <v>4051</v>
      </c>
    </row>
    <row r="263" spans="1:5">
      <c r="A263" s="28" t="s">
        <v>849</v>
      </c>
      <c r="B263" s="28">
        <v>4</v>
      </c>
      <c r="C263" s="28" t="s">
        <v>4052</v>
      </c>
      <c r="D263" s="28" t="s">
        <v>4053</v>
      </c>
      <c r="E263" s="28" t="s">
        <v>4054</v>
      </c>
    </row>
    <row r="264" spans="1:5">
      <c r="A264" s="28" t="s">
        <v>849</v>
      </c>
      <c r="B264" s="28">
        <v>5</v>
      </c>
      <c r="C264" s="28" t="s">
        <v>4055</v>
      </c>
      <c r="D264" s="28" t="s">
        <v>3364</v>
      </c>
      <c r="E264" s="28" t="s">
        <v>4056</v>
      </c>
    </row>
    <row r="265" spans="1:5">
      <c r="A265" s="28" t="s">
        <v>849</v>
      </c>
      <c r="B265" s="28">
        <v>6</v>
      </c>
      <c r="C265" s="28" t="s">
        <v>4057</v>
      </c>
      <c r="D265" s="28" t="s">
        <v>4058</v>
      </c>
      <c r="E265" s="28" t="s">
        <v>4059</v>
      </c>
    </row>
    <row r="266" spans="1:5" ht="103" customHeight="1">
      <c r="A266" s="28" t="s">
        <v>864</v>
      </c>
      <c r="B266" s="28">
        <v>1</v>
      </c>
      <c r="C266" s="28" t="s">
        <v>4060</v>
      </c>
      <c r="D266" s="28" t="s">
        <v>4061</v>
      </c>
      <c r="E266" s="28" t="s">
        <v>4062</v>
      </c>
    </row>
    <row r="267" spans="1:5" ht="103" customHeight="1">
      <c r="A267" s="28" t="s">
        <v>864</v>
      </c>
      <c r="B267" s="28">
        <v>2</v>
      </c>
      <c r="C267" s="28" t="s">
        <v>4063</v>
      </c>
      <c r="D267" s="28" t="s">
        <v>4064</v>
      </c>
      <c r="E267" s="28" t="s">
        <v>4065</v>
      </c>
    </row>
    <row r="268" spans="1:5" ht="103" customHeight="1">
      <c r="A268" s="28" t="s">
        <v>864</v>
      </c>
      <c r="B268" s="28">
        <v>3</v>
      </c>
      <c r="C268" s="28" t="s">
        <v>4066</v>
      </c>
      <c r="D268" s="28" t="s">
        <v>3364</v>
      </c>
      <c r="E268" s="28" t="s">
        <v>4067</v>
      </c>
    </row>
    <row r="269" spans="1:5" ht="103" customHeight="1">
      <c r="A269" s="28" t="s">
        <v>864</v>
      </c>
      <c r="B269" s="28">
        <v>4</v>
      </c>
      <c r="C269" s="28" t="s">
        <v>4068</v>
      </c>
      <c r="D269" s="28" t="s">
        <v>4069</v>
      </c>
      <c r="E269" s="28" t="s">
        <v>4070</v>
      </c>
    </row>
    <row r="270" spans="1:5" ht="103" customHeight="1">
      <c r="A270" s="28" t="s">
        <v>864</v>
      </c>
      <c r="B270" s="28">
        <v>5</v>
      </c>
      <c r="C270" s="28" t="s">
        <v>4071</v>
      </c>
      <c r="D270" s="28" t="s">
        <v>3364</v>
      </c>
      <c r="E270" s="28" t="s">
        <v>4072</v>
      </c>
    </row>
    <row r="271" spans="1:5" ht="103" customHeight="1">
      <c r="A271" s="28" t="s">
        <v>864</v>
      </c>
      <c r="B271" s="28">
        <v>6</v>
      </c>
      <c r="C271" s="28" t="s">
        <v>4073</v>
      </c>
      <c r="D271" s="28" t="s">
        <v>4074</v>
      </c>
      <c r="E271" s="28" t="s">
        <v>4075</v>
      </c>
    </row>
    <row r="272" spans="1:5">
      <c r="A272" s="28" t="s">
        <v>879</v>
      </c>
      <c r="B272" s="28">
        <v>1</v>
      </c>
      <c r="C272" s="28" t="s">
        <v>4076</v>
      </c>
      <c r="D272" s="28" t="s">
        <v>4077</v>
      </c>
      <c r="E272" s="28" t="s">
        <v>4078</v>
      </c>
    </row>
    <row r="273" spans="1:5">
      <c r="A273" s="28" t="s">
        <v>879</v>
      </c>
      <c r="B273" s="28">
        <v>2</v>
      </c>
      <c r="C273" s="28" t="s">
        <v>4079</v>
      </c>
      <c r="D273" s="28" t="s">
        <v>4080</v>
      </c>
      <c r="E273" s="28" t="s">
        <v>4081</v>
      </c>
    </row>
    <row r="274" spans="1:5">
      <c r="A274" s="28" t="s">
        <v>879</v>
      </c>
      <c r="B274" s="28">
        <v>3</v>
      </c>
      <c r="C274" s="28" t="s">
        <v>4082</v>
      </c>
      <c r="D274" s="28" t="s">
        <v>3364</v>
      </c>
      <c r="E274" s="28" t="s">
        <v>4083</v>
      </c>
    </row>
    <row r="275" spans="1:5">
      <c r="A275" s="28" t="s">
        <v>879</v>
      </c>
      <c r="B275" s="28">
        <v>4</v>
      </c>
      <c r="C275" s="28" t="s">
        <v>4084</v>
      </c>
      <c r="D275" s="28" t="s">
        <v>4085</v>
      </c>
      <c r="E275" s="28" t="s">
        <v>4086</v>
      </c>
    </row>
    <row r="276" spans="1:5">
      <c r="A276" s="28" t="s">
        <v>879</v>
      </c>
      <c r="B276" s="28">
        <v>5</v>
      </c>
      <c r="C276" s="28" t="s">
        <v>4087</v>
      </c>
      <c r="D276" s="28" t="s">
        <v>3364</v>
      </c>
      <c r="E276" s="28" t="s">
        <v>4088</v>
      </c>
    </row>
    <row r="277" spans="1:5">
      <c r="A277" s="28" t="s">
        <v>879</v>
      </c>
      <c r="B277" s="28">
        <v>6</v>
      </c>
      <c r="C277" s="28" t="s">
        <v>4089</v>
      </c>
      <c r="D277" s="28" t="s">
        <v>4090</v>
      </c>
      <c r="E277" s="28" t="s">
        <v>4091</v>
      </c>
    </row>
    <row r="278" spans="1:5">
      <c r="A278" s="28" t="s">
        <v>900</v>
      </c>
      <c r="B278" s="28">
        <v>1</v>
      </c>
      <c r="C278" s="28" t="s">
        <v>4092</v>
      </c>
      <c r="D278" s="28" t="s">
        <v>4093</v>
      </c>
      <c r="E278" s="28" t="s">
        <v>4094</v>
      </c>
    </row>
    <row r="279" spans="1:5">
      <c r="A279" s="28" t="s">
        <v>900</v>
      </c>
      <c r="B279" s="28">
        <v>2</v>
      </c>
      <c r="C279" s="28" t="s">
        <v>4095</v>
      </c>
      <c r="D279" s="28" t="s">
        <v>4096</v>
      </c>
      <c r="E279" s="28" t="s">
        <v>4097</v>
      </c>
    </row>
    <row r="280" spans="1:5">
      <c r="A280" s="28" t="s">
        <v>900</v>
      </c>
      <c r="B280" s="28">
        <v>3</v>
      </c>
      <c r="C280" s="28" t="s">
        <v>4098</v>
      </c>
      <c r="D280" s="28" t="s">
        <v>3364</v>
      </c>
      <c r="E280" s="28" t="s">
        <v>4099</v>
      </c>
    </row>
    <row r="281" spans="1:5">
      <c r="A281" s="28" t="s">
        <v>900</v>
      </c>
      <c r="B281" s="28">
        <v>4</v>
      </c>
      <c r="C281" s="28" t="s">
        <v>4100</v>
      </c>
      <c r="D281" s="28" t="s">
        <v>4101</v>
      </c>
      <c r="E281" s="28" t="s">
        <v>4102</v>
      </c>
    </row>
    <row r="282" spans="1:5">
      <c r="A282" s="28" t="s">
        <v>900</v>
      </c>
      <c r="B282" s="28">
        <v>5</v>
      </c>
      <c r="C282" s="28" t="s">
        <v>4103</v>
      </c>
      <c r="D282" s="28" t="s">
        <v>3364</v>
      </c>
      <c r="E282" s="28" t="s">
        <v>4104</v>
      </c>
    </row>
    <row r="283" spans="1:5">
      <c r="A283" s="28" t="s">
        <v>900</v>
      </c>
      <c r="B283" s="28">
        <v>6</v>
      </c>
      <c r="C283" s="28" t="s">
        <v>4105</v>
      </c>
      <c r="D283" s="28" t="s">
        <v>4106</v>
      </c>
      <c r="E283" s="28" t="s">
        <v>4107</v>
      </c>
    </row>
    <row r="284" spans="1:5">
      <c r="A284" s="28" t="s">
        <v>915</v>
      </c>
      <c r="B284" s="28">
        <v>1</v>
      </c>
      <c r="C284" s="28" t="s">
        <v>4108</v>
      </c>
      <c r="D284" s="28" t="s">
        <v>4109</v>
      </c>
      <c r="E284" s="28" t="s">
        <v>4110</v>
      </c>
    </row>
    <row r="285" spans="1:5">
      <c r="A285" s="28" t="s">
        <v>915</v>
      </c>
      <c r="B285" s="28">
        <v>2</v>
      </c>
      <c r="C285" s="28" t="s">
        <v>4111</v>
      </c>
      <c r="D285" s="28" t="s">
        <v>4112</v>
      </c>
      <c r="E285" s="28" t="s">
        <v>4113</v>
      </c>
    </row>
    <row r="286" spans="1:5">
      <c r="A286" s="28" t="s">
        <v>915</v>
      </c>
      <c r="B286" s="28">
        <v>3</v>
      </c>
      <c r="C286" s="28" t="s">
        <v>4114</v>
      </c>
      <c r="D286" s="28" t="s">
        <v>3364</v>
      </c>
      <c r="E286" s="28" t="s">
        <v>4115</v>
      </c>
    </row>
    <row r="287" spans="1:5">
      <c r="A287" s="28" t="s">
        <v>915</v>
      </c>
      <c r="B287" s="28">
        <v>4</v>
      </c>
      <c r="C287" s="28" t="s">
        <v>4116</v>
      </c>
      <c r="D287" s="28" t="s">
        <v>4117</v>
      </c>
      <c r="E287" s="28" t="s">
        <v>4118</v>
      </c>
    </row>
    <row r="288" spans="1:5">
      <c r="A288" s="28" t="s">
        <v>915</v>
      </c>
      <c r="B288" s="28">
        <v>5</v>
      </c>
      <c r="C288" s="28" t="s">
        <v>4119</v>
      </c>
      <c r="D288" s="28" t="s">
        <v>3364</v>
      </c>
      <c r="E288" s="28" t="s">
        <v>4120</v>
      </c>
    </row>
    <row r="289" spans="1:5">
      <c r="A289" s="28" t="s">
        <v>915</v>
      </c>
      <c r="B289" s="28">
        <v>6</v>
      </c>
      <c r="C289" s="28" t="s">
        <v>4121</v>
      </c>
      <c r="D289" s="28" t="s">
        <v>4122</v>
      </c>
      <c r="E289" s="28" t="s">
        <v>4123</v>
      </c>
    </row>
    <row r="290" spans="1:5">
      <c r="A290" s="28" t="s">
        <v>933</v>
      </c>
      <c r="B290" s="28">
        <v>1</v>
      </c>
      <c r="C290" s="28" t="s">
        <v>4124</v>
      </c>
      <c r="D290" s="28" t="s">
        <v>4125</v>
      </c>
      <c r="E290" s="28" t="s">
        <v>4126</v>
      </c>
    </row>
    <row r="291" spans="1:5">
      <c r="A291" s="28" t="s">
        <v>933</v>
      </c>
      <c r="B291" s="28">
        <v>2</v>
      </c>
      <c r="C291" s="28" t="s">
        <v>4127</v>
      </c>
      <c r="D291" s="28" t="s">
        <v>4128</v>
      </c>
      <c r="E291" s="28" t="s">
        <v>4129</v>
      </c>
    </row>
    <row r="292" spans="1:5">
      <c r="A292" s="28" t="s">
        <v>933</v>
      </c>
      <c r="B292" s="28">
        <v>3</v>
      </c>
      <c r="C292" s="28" t="s">
        <v>4130</v>
      </c>
      <c r="D292" s="28" t="s">
        <v>3364</v>
      </c>
      <c r="E292" s="28" t="s">
        <v>4131</v>
      </c>
    </row>
    <row r="293" spans="1:5">
      <c r="A293" s="28" t="s">
        <v>933</v>
      </c>
      <c r="B293" s="28">
        <v>4</v>
      </c>
      <c r="C293" s="28" t="s">
        <v>4132</v>
      </c>
      <c r="D293" s="28" t="s">
        <v>4133</v>
      </c>
      <c r="E293" s="28" t="s">
        <v>4134</v>
      </c>
    </row>
    <row r="294" spans="1:5">
      <c r="A294" s="28" t="s">
        <v>933</v>
      </c>
      <c r="B294" s="28">
        <v>5</v>
      </c>
      <c r="C294" s="28" t="s">
        <v>4135</v>
      </c>
      <c r="D294" s="28" t="s">
        <v>3364</v>
      </c>
      <c r="E294" s="28" t="s">
        <v>4136</v>
      </c>
    </row>
    <row r="295" spans="1:5">
      <c r="A295" s="28" t="s">
        <v>933</v>
      </c>
      <c r="B295" s="28">
        <v>6</v>
      </c>
      <c r="C295" s="28" t="s">
        <v>4137</v>
      </c>
      <c r="D295" s="28" t="s">
        <v>4138</v>
      </c>
      <c r="E295" s="28" t="s">
        <v>4139</v>
      </c>
    </row>
  </sheetData>
</worksheet>
</file>

<file path=xl/worksheets/sheet13.xml><?xml version="1.0" encoding="utf-8"?>
<worksheet xmlns="http://schemas.openxmlformats.org/spreadsheetml/2006/main">
  <sheetPr codeName="代理人晋升属性">
    <tabColor/>
  </sheetPr>
  <dimension ref="F301"/>
  <sheetViews>
    <sheetView showGridLines="1" workbookViewId="0">
      <pane xSplit="1" ySplit="1" topLeftCell="B2" state="frozen"/>
    </sheetView>
  </sheetViews>
  <sheetFormatPr baseColWidth="13" defaultRowHeight="18" customHeight="1"/>
  <cols>
    <col min="1" max="6" width="13.7539" style="16" customWidth="1"/>
    <col min="7" max="26" width="13.7539" customWidth="1"/>
  </cols>
  <sheetData>
    <row r="1" spans="1:6" s="82">
      <c r="A1" s="24" t="s">
        <v>956</v>
      </c>
      <c r="B1" s="24" t="s">
        <v>45</v>
      </c>
      <c r="C1" s="24" t="s">
        <v>4140</v>
      </c>
      <c r="D1" s="24" t="s">
        <v>4141</v>
      </c>
      <c r="E1" s="24" t="s">
        <v>4142</v>
      </c>
      <c r="F1" s="24" t="s">
        <v>4143</v>
      </c>
    </row>
    <row r="2" spans="1:6">
      <c r="A2" s="24">
        <v>1011</v>
      </c>
      <c r="B2" s="24" t="s">
        <v>60</v>
      </c>
      <c r="C2" s="24">
        <v>1</v>
      </c>
      <c r="D2" s="24">
        <v>0</v>
      </c>
      <c r="E2" s="24">
        <v>0</v>
      </c>
      <c r="F2" s="24">
        <v>0</v>
      </c>
    </row>
    <row r="3" spans="1:6">
      <c r="A3" s="24">
        <v>1011</v>
      </c>
      <c r="B3" s="24" t="s">
        <v>60</v>
      </c>
      <c r="C3" s="24">
        <v>2</v>
      </c>
      <c r="D3" s="24">
        <v>414</v>
      </c>
      <c r="E3" s="24">
        <v>34</v>
      </c>
      <c r="F3" s="24">
        <v>34</v>
      </c>
    </row>
    <row r="4" spans="1:6">
      <c r="A4" s="24">
        <v>1011</v>
      </c>
      <c r="B4" s="24" t="s">
        <v>60</v>
      </c>
      <c r="C4" s="24">
        <v>3</v>
      </c>
      <c r="D4" s="24">
        <v>828</v>
      </c>
      <c r="E4" s="24">
        <v>68</v>
      </c>
      <c r="F4" s="24">
        <v>68</v>
      </c>
    </row>
    <row r="5" spans="1:6">
      <c r="A5" s="24">
        <v>1011</v>
      </c>
      <c r="B5" s="24" t="s">
        <v>60</v>
      </c>
      <c r="C5" s="24">
        <v>4</v>
      </c>
      <c r="D5" s="24">
        <v>1242</v>
      </c>
      <c r="E5" s="24">
        <v>102</v>
      </c>
      <c r="F5" s="24">
        <v>101</v>
      </c>
    </row>
    <row r="6" spans="1:6">
      <c r="A6" s="24">
        <v>1011</v>
      </c>
      <c r="B6" s="24" t="s">
        <v>60</v>
      </c>
      <c r="C6" s="24">
        <v>5</v>
      </c>
      <c r="D6" s="24">
        <v>1656</v>
      </c>
      <c r="E6" s="24">
        <v>135</v>
      </c>
      <c r="F6" s="24">
        <v>135</v>
      </c>
    </row>
    <row r="7" spans="1:6">
      <c r="A7" s="24">
        <v>1011</v>
      </c>
      <c r="B7" s="24" t="s">
        <v>60</v>
      </c>
      <c r="C7" s="24">
        <v>6</v>
      </c>
      <c r="D7" s="24">
        <v>2069</v>
      </c>
      <c r="E7" s="24">
        <v>169</v>
      </c>
      <c r="F7" s="24">
        <v>169</v>
      </c>
    </row>
    <row r="8" spans="1:6">
      <c r="A8" s="24">
        <v>1021</v>
      </c>
      <c r="B8" s="24" t="s">
        <v>79</v>
      </c>
      <c r="C8" s="24">
        <v>1</v>
      </c>
      <c r="D8" s="24">
        <v>0</v>
      </c>
      <c r="E8" s="24">
        <v>0</v>
      </c>
      <c r="F8" s="24">
        <v>0</v>
      </c>
    </row>
    <row r="9" spans="1:6">
      <c r="A9" s="24">
        <v>1021</v>
      </c>
      <c r="B9" s="24" t="s">
        <v>79</v>
      </c>
      <c r="C9" s="24">
        <v>2</v>
      </c>
      <c r="D9" s="24">
        <v>417</v>
      </c>
      <c r="E9" s="24">
        <v>47</v>
      </c>
      <c r="F9" s="24">
        <v>32</v>
      </c>
    </row>
    <row r="10" spans="1:6">
      <c r="A10" s="24">
        <v>1021</v>
      </c>
      <c r="B10" s="24" t="s">
        <v>79</v>
      </c>
      <c r="C10" s="24">
        <v>3</v>
      </c>
      <c r="D10" s="24">
        <v>834</v>
      </c>
      <c r="E10" s="24">
        <v>94</v>
      </c>
      <c r="F10" s="24">
        <v>65</v>
      </c>
    </row>
    <row r="11" spans="1:6">
      <c r="A11" s="24">
        <v>1021</v>
      </c>
      <c r="B11" s="24" t="s">
        <v>79</v>
      </c>
      <c r="C11" s="24">
        <v>4</v>
      </c>
      <c r="D11" s="24">
        <v>1251</v>
      </c>
      <c r="E11" s="24">
        <v>140</v>
      </c>
      <c r="F11" s="24">
        <v>97</v>
      </c>
    </row>
    <row r="12" spans="1:6">
      <c r="A12" s="24">
        <v>1021</v>
      </c>
      <c r="B12" s="24" t="s">
        <v>79</v>
      </c>
      <c r="C12" s="24">
        <v>5</v>
      </c>
      <c r="D12" s="24">
        <v>1668</v>
      </c>
      <c r="E12" s="24">
        <v>187</v>
      </c>
      <c r="F12" s="24">
        <v>130</v>
      </c>
    </row>
    <row r="13" spans="1:6">
      <c r="A13" s="24">
        <v>1021</v>
      </c>
      <c r="B13" s="24" t="s">
        <v>79</v>
      </c>
      <c r="C13" s="24">
        <v>6</v>
      </c>
      <c r="D13" s="24">
        <v>2086</v>
      </c>
      <c r="E13" s="24">
        <v>234</v>
      </c>
      <c r="F13" s="24">
        <v>162</v>
      </c>
    </row>
    <row r="14" spans="1:6">
      <c r="A14" s="24">
        <v>1031</v>
      </c>
      <c r="B14" s="24" t="s">
        <v>92</v>
      </c>
      <c r="C14" s="24">
        <v>1</v>
      </c>
      <c r="D14" s="24">
        <v>0</v>
      </c>
      <c r="E14" s="24">
        <v>0</v>
      </c>
      <c r="F14" s="24">
        <v>0</v>
      </c>
    </row>
    <row r="15" spans="1:6">
      <c r="A15" s="24">
        <v>1031</v>
      </c>
      <c r="B15" s="24" t="s">
        <v>92</v>
      </c>
      <c r="C15" s="24">
        <v>2</v>
      </c>
      <c r="D15" s="24">
        <v>449</v>
      </c>
      <c r="E15" s="24">
        <v>33</v>
      </c>
      <c r="F15" s="24">
        <v>34</v>
      </c>
    </row>
    <row r="16" spans="1:6">
      <c r="A16" s="24">
        <v>1031</v>
      </c>
      <c r="B16" s="24" t="s">
        <v>92</v>
      </c>
      <c r="C16" s="24">
        <v>3</v>
      </c>
      <c r="D16" s="24">
        <v>899</v>
      </c>
      <c r="E16" s="24">
        <v>67</v>
      </c>
      <c r="F16" s="24">
        <v>69</v>
      </c>
    </row>
    <row r="17" spans="1:6">
      <c r="A17" s="24">
        <v>1031</v>
      </c>
      <c r="B17" s="24" t="s">
        <v>92</v>
      </c>
      <c r="C17" s="24">
        <v>4</v>
      </c>
      <c r="D17" s="24">
        <v>1348</v>
      </c>
      <c r="E17" s="24">
        <v>100</v>
      </c>
      <c r="F17" s="24">
        <v>103</v>
      </c>
    </row>
    <row r="18" spans="1:6">
      <c r="A18" s="24">
        <v>1031</v>
      </c>
      <c r="B18" s="24" t="s">
        <v>92</v>
      </c>
      <c r="C18" s="24">
        <v>5</v>
      </c>
      <c r="D18" s="24">
        <v>1798</v>
      </c>
      <c r="E18" s="24">
        <v>133</v>
      </c>
      <c r="F18" s="24">
        <v>137</v>
      </c>
    </row>
    <row r="19" spans="1:6">
      <c r="A19" s="24">
        <v>1031</v>
      </c>
      <c r="B19" s="24" t="s">
        <v>92</v>
      </c>
      <c r="C19" s="24">
        <v>6</v>
      </c>
      <c r="D19" s="24">
        <v>2247</v>
      </c>
      <c r="E19" s="24">
        <v>167</v>
      </c>
      <c r="F19" s="24">
        <v>172</v>
      </c>
    </row>
    <row r="20" spans="1:6">
      <c r="A20" s="24">
        <v>1041</v>
      </c>
      <c r="B20" s="24" t="s">
        <v>110</v>
      </c>
      <c r="C20" s="24">
        <v>1</v>
      </c>
      <c r="D20" s="24">
        <v>0</v>
      </c>
      <c r="E20" s="24">
        <v>0</v>
      </c>
      <c r="F20" s="24">
        <v>0</v>
      </c>
    </row>
    <row r="21" spans="1:6">
      <c r="A21" s="24">
        <v>1041</v>
      </c>
      <c r="B21" s="24" t="s">
        <v>110</v>
      </c>
      <c r="C21" s="24">
        <v>2</v>
      </c>
      <c r="D21" s="24">
        <v>423</v>
      </c>
      <c r="E21" s="24">
        <v>46</v>
      </c>
      <c r="F21" s="24">
        <v>34</v>
      </c>
    </row>
    <row r="22" spans="1:6">
      <c r="A22" s="24">
        <v>1041</v>
      </c>
      <c r="B22" s="24" t="s">
        <v>110</v>
      </c>
      <c r="C22" s="24">
        <v>3</v>
      </c>
      <c r="D22" s="24">
        <v>847</v>
      </c>
      <c r="E22" s="24">
        <v>91</v>
      </c>
      <c r="F22" s="24">
        <v>68</v>
      </c>
    </row>
    <row r="23" spans="1:6">
      <c r="A23" s="24">
        <v>1041</v>
      </c>
      <c r="B23" s="24" t="s">
        <v>110</v>
      </c>
      <c r="C23" s="24">
        <v>4</v>
      </c>
      <c r="D23" s="24">
        <v>1270</v>
      </c>
      <c r="E23" s="24">
        <v>137</v>
      </c>
      <c r="F23" s="24">
        <v>101</v>
      </c>
    </row>
    <row r="24" spans="1:6">
      <c r="A24" s="24">
        <v>1041</v>
      </c>
      <c r="B24" s="24" t="s">
        <v>110</v>
      </c>
      <c r="C24" s="24">
        <v>5</v>
      </c>
      <c r="D24" s="24">
        <v>1694</v>
      </c>
      <c r="E24" s="24">
        <v>183</v>
      </c>
      <c r="F24" s="24">
        <v>135</v>
      </c>
    </row>
    <row r="25" spans="1:6">
      <c r="A25" s="24">
        <v>1041</v>
      </c>
      <c r="B25" s="24" t="s">
        <v>110</v>
      </c>
      <c r="C25" s="24">
        <v>6</v>
      </c>
      <c r="D25" s="24">
        <v>2117</v>
      </c>
      <c r="E25" s="24">
        <v>228</v>
      </c>
      <c r="F25" s="24">
        <v>169</v>
      </c>
    </row>
    <row r="26" spans="1:6">
      <c r="A26" s="24">
        <v>1051</v>
      </c>
      <c r="B26" s="24" t="s">
        <v>126</v>
      </c>
      <c r="C26" s="24">
        <v>1</v>
      </c>
      <c r="D26" s="24">
        <v>0</v>
      </c>
      <c r="E26" s="24">
        <v>0</v>
      </c>
      <c r="F26" s="24">
        <v>0</v>
      </c>
    </row>
    <row r="27" spans="1:6">
      <c r="A27" s="24">
        <v>1051</v>
      </c>
      <c r="B27" s="24" t="s">
        <v>126</v>
      </c>
      <c r="C27" s="24">
        <v>2</v>
      </c>
      <c r="D27" s="24">
        <v>469</v>
      </c>
      <c r="E27" s="24">
        <v>44</v>
      </c>
      <c r="F27" s="24">
        <v>25</v>
      </c>
    </row>
    <row r="28" spans="1:6">
      <c r="A28" s="24">
        <v>1051</v>
      </c>
      <c r="B28" s="24" t="s">
        <v>126</v>
      </c>
      <c r="C28" s="24">
        <v>3</v>
      </c>
      <c r="D28" s="24">
        <v>938</v>
      </c>
      <c r="E28" s="24">
        <v>88</v>
      </c>
      <c r="F28" s="24">
        <v>49</v>
      </c>
    </row>
    <row r="29" spans="1:6">
      <c r="A29" s="24">
        <v>1051</v>
      </c>
      <c r="B29" s="24" t="s">
        <v>126</v>
      </c>
      <c r="C29" s="24">
        <v>4</v>
      </c>
      <c r="D29" s="24">
        <v>1407</v>
      </c>
      <c r="E29" s="24">
        <v>132</v>
      </c>
      <c r="F29" s="24">
        <v>74</v>
      </c>
    </row>
    <row r="30" spans="1:6">
      <c r="A30" s="24">
        <v>1051</v>
      </c>
      <c r="B30" s="24" t="s">
        <v>126</v>
      </c>
      <c r="C30" s="24">
        <v>5</v>
      </c>
      <c r="D30" s="24">
        <v>1875</v>
      </c>
      <c r="E30" s="24">
        <v>177</v>
      </c>
      <c r="F30" s="24">
        <v>99</v>
      </c>
    </row>
    <row r="31" spans="1:6">
      <c r="A31" s="24">
        <v>1051</v>
      </c>
      <c r="B31" s="24" t="s">
        <v>126</v>
      </c>
      <c r="C31" s="24">
        <v>6</v>
      </c>
      <c r="D31" s="24">
        <v>2344</v>
      </c>
      <c r="E31" s="24">
        <v>221</v>
      </c>
      <c r="F31" s="24">
        <v>124</v>
      </c>
    </row>
    <row r="32" spans="1:6">
      <c r="A32" s="24">
        <v>1061</v>
      </c>
      <c r="B32" s="24" t="s">
        <v>149</v>
      </c>
      <c r="C32" s="24">
        <v>1</v>
      </c>
      <c r="D32" s="24">
        <v>0</v>
      </c>
      <c r="E32" s="24">
        <v>0</v>
      </c>
      <c r="F32" s="24">
        <v>0</v>
      </c>
    </row>
    <row r="33" spans="1:6">
      <c r="A33" s="24">
        <v>1061</v>
      </c>
      <c r="B33" s="24" t="s">
        <v>149</v>
      </c>
      <c r="C33" s="24">
        <v>2</v>
      </c>
      <c r="D33" s="24">
        <v>385</v>
      </c>
      <c r="E33" s="24">
        <v>41</v>
      </c>
      <c r="F33" s="24">
        <v>33</v>
      </c>
    </row>
    <row r="34" spans="1:6">
      <c r="A34" s="24">
        <v>1061</v>
      </c>
      <c r="B34" s="24" t="s">
        <v>149</v>
      </c>
      <c r="C34" s="24">
        <v>3</v>
      </c>
      <c r="D34" s="24">
        <v>770</v>
      </c>
      <c r="E34" s="24">
        <v>83</v>
      </c>
      <c r="F34" s="24">
        <v>67</v>
      </c>
    </row>
    <row r="35" spans="1:6">
      <c r="A35" s="24">
        <v>1061</v>
      </c>
      <c r="B35" s="24" t="s">
        <v>149</v>
      </c>
      <c r="C35" s="24">
        <v>4</v>
      </c>
      <c r="D35" s="24">
        <v>1155</v>
      </c>
      <c r="E35" s="24">
        <v>124</v>
      </c>
      <c r="F35" s="24">
        <v>100</v>
      </c>
    </row>
    <row r="36" spans="1:6">
      <c r="A36" s="24">
        <v>1061</v>
      </c>
      <c r="B36" s="24" t="s">
        <v>149</v>
      </c>
      <c r="C36" s="24">
        <v>5</v>
      </c>
      <c r="D36" s="24">
        <v>1540</v>
      </c>
      <c r="E36" s="24">
        <v>166</v>
      </c>
      <c r="F36" s="24">
        <v>133</v>
      </c>
    </row>
    <row r="37" spans="1:6">
      <c r="A37" s="24">
        <v>1061</v>
      </c>
      <c r="B37" s="24" t="s">
        <v>149</v>
      </c>
      <c r="C37" s="24">
        <v>6</v>
      </c>
      <c r="D37" s="24">
        <v>1925</v>
      </c>
      <c r="E37" s="24">
        <v>207</v>
      </c>
      <c r="F37" s="24">
        <v>167</v>
      </c>
    </row>
    <row r="38" spans="1:6">
      <c r="A38" s="24">
        <v>1071</v>
      </c>
      <c r="B38" s="24" t="s">
        <v>164</v>
      </c>
      <c r="C38" s="24">
        <v>1</v>
      </c>
      <c r="D38" s="24">
        <v>0</v>
      </c>
      <c r="E38" s="24">
        <v>0</v>
      </c>
      <c r="F38" s="24">
        <v>0</v>
      </c>
    </row>
    <row r="39" spans="1:6">
      <c r="A39" s="24">
        <v>1071</v>
      </c>
      <c r="B39" s="24" t="s">
        <v>164</v>
      </c>
      <c r="C39" s="24">
        <v>2</v>
      </c>
      <c r="D39" s="24">
        <v>526</v>
      </c>
      <c r="E39" s="24">
        <v>38</v>
      </c>
      <c r="F39" s="24">
        <v>42</v>
      </c>
    </row>
    <row r="40" spans="1:6">
      <c r="A40" s="24">
        <v>1071</v>
      </c>
      <c r="B40" s="24" t="s">
        <v>164</v>
      </c>
      <c r="C40" s="24">
        <v>3</v>
      </c>
      <c r="D40" s="24">
        <v>1051</v>
      </c>
      <c r="E40" s="24">
        <v>76</v>
      </c>
      <c r="F40" s="24">
        <v>83</v>
      </c>
    </row>
    <row r="41" spans="1:6">
      <c r="A41" s="24">
        <v>1071</v>
      </c>
      <c r="B41" s="24" t="s">
        <v>164</v>
      </c>
      <c r="C41" s="24">
        <v>4</v>
      </c>
      <c r="D41" s="24">
        <v>1577</v>
      </c>
      <c r="E41" s="24">
        <v>113</v>
      </c>
      <c r="F41" s="24">
        <v>125</v>
      </c>
    </row>
    <row r="42" spans="1:6">
      <c r="A42" s="24">
        <v>1071</v>
      </c>
      <c r="B42" s="24" t="s">
        <v>164</v>
      </c>
      <c r="C42" s="24">
        <v>5</v>
      </c>
      <c r="D42" s="24">
        <v>2102</v>
      </c>
      <c r="E42" s="24">
        <v>151</v>
      </c>
      <c r="F42" s="24">
        <v>166</v>
      </c>
    </row>
    <row r="43" spans="1:6">
      <c r="A43" s="24">
        <v>1071</v>
      </c>
      <c r="B43" s="24" t="s">
        <v>164</v>
      </c>
      <c r="C43" s="24">
        <v>6</v>
      </c>
      <c r="D43" s="24">
        <v>2628</v>
      </c>
      <c r="E43" s="24">
        <v>189</v>
      </c>
      <c r="F43" s="24">
        <v>208</v>
      </c>
    </row>
    <row r="44" spans="1:6">
      <c r="A44" s="24">
        <v>1081</v>
      </c>
      <c r="B44" s="24" t="s">
        <v>182</v>
      </c>
      <c r="C44" s="24">
        <v>1</v>
      </c>
      <c r="D44" s="24">
        <v>0</v>
      </c>
      <c r="E44" s="24">
        <v>0</v>
      </c>
      <c r="F44" s="24">
        <v>0</v>
      </c>
    </row>
    <row r="45" spans="1:6">
      <c r="A45" s="24">
        <v>1081</v>
      </c>
      <c r="B45" s="24" t="s">
        <v>182</v>
      </c>
      <c r="C45" s="24">
        <v>2</v>
      </c>
      <c r="D45" s="24">
        <v>381</v>
      </c>
      <c r="E45" s="24">
        <v>40</v>
      </c>
      <c r="F45" s="24">
        <v>33</v>
      </c>
    </row>
    <row r="46" spans="1:6">
      <c r="A46" s="24">
        <v>1081</v>
      </c>
      <c r="B46" s="24" t="s">
        <v>182</v>
      </c>
      <c r="C46" s="24">
        <v>3</v>
      </c>
      <c r="D46" s="24">
        <v>762</v>
      </c>
      <c r="E46" s="24">
        <v>81</v>
      </c>
      <c r="F46" s="24">
        <v>67</v>
      </c>
    </row>
    <row r="47" spans="1:6">
      <c r="A47" s="24">
        <v>1081</v>
      </c>
      <c r="B47" s="24" t="s">
        <v>182</v>
      </c>
      <c r="C47" s="24">
        <v>4</v>
      </c>
      <c r="D47" s="24">
        <v>1143</v>
      </c>
      <c r="E47" s="24">
        <v>121</v>
      </c>
      <c r="F47" s="24">
        <v>100</v>
      </c>
    </row>
    <row r="48" spans="1:6">
      <c r="A48" s="24">
        <v>1081</v>
      </c>
      <c r="B48" s="24" t="s">
        <v>182</v>
      </c>
      <c r="C48" s="24">
        <v>5</v>
      </c>
      <c r="D48" s="24">
        <v>1524</v>
      </c>
      <c r="E48" s="24">
        <v>162</v>
      </c>
      <c r="F48" s="24">
        <v>134</v>
      </c>
    </row>
    <row r="49" spans="1:6">
      <c r="A49" s="24">
        <v>1081</v>
      </c>
      <c r="B49" s="24" t="s">
        <v>182</v>
      </c>
      <c r="C49" s="24">
        <v>6</v>
      </c>
      <c r="D49" s="24">
        <v>1906</v>
      </c>
      <c r="E49" s="24">
        <v>202</v>
      </c>
      <c r="F49" s="24">
        <v>167</v>
      </c>
    </row>
    <row r="50" spans="1:6">
      <c r="A50" s="24">
        <v>1091</v>
      </c>
      <c r="B50" s="24" t="s">
        <v>200</v>
      </c>
      <c r="C50" s="24">
        <v>1</v>
      </c>
      <c r="D50" s="24">
        <v>0</v>
      </c>
      <c r="E50" s="24">
        <v>0</v>
      </c>
      <c r="F50" s="24">
        <v>0</v>
      </c>
    </row>
    <row r="51" spans="1:6">
      <c r="A51" s="24">
        <v>1091</v>
      </c>
      <c r="B51" s="24" t="s">
        <v>200</v>
      </c>
      <c r="C51" s="24">
        <v>2</v>
      </c>
      <c r="D51" s="24">
        <v>423</v>
      </c>
      <c r="E51" s="24">
        <v>45</v>
      </c>
      <c r="F51" s="24">
        <v>33</v>
      </c>
    </row>
    <row r="52" spans="1:6">
      <c r="A52" s="24">
        <v>1091</v>
      </c>
      <c r="B52" s="24" t="s">
        <v>200</v>
      </c>
      <c r="C52" s="24">
        <v>3</v>
      </c>
      <c r="D52" s="24">
        <v>847</v>
      </c>
      <c r="E52" s="24">
        <v>90</v>
      </c>
      <c r="F52" s="24">
        <v>67</v>
      </c>
    </row>
    <row r="53" spans="1:6">
      <c r="A53" s="24">
        <v>1091</v>
      </c>
      <c r="B53" s="24" t="s">
        <v>200</v>
      </c>
      <c r="C53" s="24">
        <v>4</v>
      </c>
      <c r="D53" s="24">
        <v>1270</v>
      </c>
      <c r="E53" s="24">
        <v>136</v>
      </c>
      <c r="F53" s="24">
        <v>100</v>
      </c>
    </row>
    <row r="54" spans="1:6">
      <c r="A54" s="24">
        <v>1091</v>
      </c>
      <c r="B54" s="24" t="s">
        <v>200</v>
      </c>
      <c r="C54" s="24">
        <v>5</v>
      </c>
      <c r="D54" s="24">
        <v>1694</v>
      </c>
      <c r="E54" s="24">
        <v>181</v>
      </c>
      <c r="F54" s="24">
        <v>134</v>
      </c>
    </row>
    <row r="55" spans="1:6">
      <c r="A55" s="24">
        <v>1091</v>
      </c>
      <c r="B55" s="24" t="s">
        <v>200</v>
      </c>
      <c r="C55" s="24">
        <v>6</v>
      </c>
      <c r="D55" s="24">
        <v>2117</v>
      </c>
      <c r="E55" s="24">
        <v>226</v>
      </c>
      <c r="F55" s="24">
        <v>167</v>
      </c>
    </row>
    <row r="56" spans="1:6">
      <c r="A56" s="24">
        <v>1101</v>
      </c>
      <c r="B56" s="24" t="s">
        <v>220</v>
      </c>
      <c r="C56" s="24">
        <v>1</v>
      </c>
      <c r="D56" s="24">
        <v>0</v>
      </c>
      <c r="E56" s="24">
        <v>0</v>
      </c>
      <c r="F56" s="24">
        <v>0</v>
      </c>
    </row>
    <row r="57" spans="1:6">
      <c r="A57" s="24">
        <v>1101</v>
      </c>
      <c r="B57" s="24" t="s">
        <v>220</v>
      </c>
      <c r="C57" s="24">
        <v>2</v>
      </c>
      <c r="D57" s="24">
        <v>448</v>
      </c>
      <c r="E57" s="24">
        <v>38</v>
      </c>
      <c r="F57" s="24">
        <v>33</v>
      </c>
    </row>
    <row r="58" spans="1:6">
      <c r="A58" s="24">
        <v>1101</v>
      </c>
      <c r="B58" s="24" t="s">
        <v>220</v>
      </c>
      <c r="C58" s="24">
        <v>3</v>
      </c>
      <c r="D58" s="24">
        <v>897</v>
      </c>
      <c r="E58" s="24">
        <v>76</v>
      </c>
      <c r="F58" s="24">
        <v>66</v>
      </c>
    </row>
    <row r="59" spans="1:6">
      <c r="A59" s="24">
        <v>1101</v>
      </c>
      <c r="B59" s="24" t="s">
        <v>220</v>
      </c>
      <c r="C59" s="24">
        <v>4</v>
      </c>
      <c r="D59" s="24">
        <v>1345</v>
      </c>
      <c r="E59" s="24">
        <v>113</v>
      </c>
      <c r="F59" s="24">
        <v>98</v>
      </c>
    </row>
    <row r="60" spans="1:6">
      <c r="A60" s="24">
        <v>1101</v>
      </c>
      <c r="B60" s="24" t="s">
        <v>220</v>
      </c>
      <c r="C60" s="24">
        <v>5</v>
      </c>
      <c r="D60" s="24">
        <v>1794</v>
      </c>
      <c r="E60" s="24">
        <v>151</v>
      </c>
      <c r="F60" s="24">
        <v>131</v>
      </c>
    </row>
    <row r="61" spans="1:6">
      <c r="A61" s="24">
        <v>1101</v>
      </c>
      <c r="B61" s="24" t="s">
        <v>220</v>
      </c>
      <c r="C61" s="24">
        <v>6</v>
      </c>
      <c r="D61" s="24">
        <v>2242</v>
      </c>
      <c r="E61" s="24">
        <v>189</v>
      </c>
      <c r="F61" s="24">
        <v>164</v>
      </c>
    </row>
    <row r="62" spans="1:6">
      <c r="A62" s="24">
        <v>1111</v>
      </c>
      <c r="B62" s="24" t="s">
        <v>238</v>
      </c>
      <c r="C62" s="24">
        <v>1</v>
      </c>
      <c r="D62" s="24">
        <v>0</v>
      </c>
      <c r="E62" s="24">
        <v>0</v>
      </c>
      <c r="F62" s="24">
        <v>0</v>
      </c>
    </row>
    <row r="63" spans="1:6">
      <c r="A63" s="24">
        <v>1111</v>
      </c>
      <c r="B63" s="24" t="s">
        <v>238</v>
      </c>
      <c r="C63" s="24">
        <v>2</v>
      </c>
      <c r="D63" s="24">
        <v>398</v>
      </c>
      <c r="E63" s="24">
        <v>41</v>
      </c>
      <c r="F63" s="24">
        <v>34</v>
      </c>
    </row>
    <row r="64" spans="1:6">
      <c r="A64" s="24">
        <v>1111</v>
      </c>
      <c r="B64" s="24" t="s">
        <v>238</v>
      </c>
      <c r="C64" s="24">
        <v>3</v>
      </c>
      <c r="D64" s="24">
        <v>797</v>
      </c>
      <c r="E64" s="24">
        <v>81</v>
      </c>
      <c r="F64" s="24">
        <v>69</v>
      </c>
    </row>
    <row r="65" spans="1:6">
      <c r="A65" s="24">
        <v>1111</v>
      </c>
      <c r="B65" s="24" t="s">
        <v>238</v>
      </c>
      <c r="C65" s="24">
        <v>4</v>
      </c>
      <c r="D65" s="24">
        <v>1195</v>
      </c>
      <c r="E65" s="24">
        <v>122</v>
      </c>
      <c r="F65" s="24">
        <v>103</v>
      </c>
    </row>
    <row r="66" spans="1:6">
      <c r="A66" s="24">
        <v>1111</v>
      </c>
      <c r="B66" s="24" t="s">
        <v>238</v>
      </c>
      <c r="C66" s="24">
        <v>5</v>
      </c>
      <c r="D66" s="24">
        <v>1593</v>
      </c>
      <c r="E66" s="24">
        <v>163</v>
      </c>
      <c r="F66" s="24">
        <v>137</v>
      </c>
    </row>
    <row r="67" spans="1:6">
      <c r="A67" s="24">
        <v>1111</v>
      </c>
      <c r="B67" s="24" t="s">
        <v>238</v>
      </c>
      <c r="C67" s="24">
        <v>6</v>
      </c>
      <c r="D67" s="24">
        <v>1992</v>
      </c>
      <c r="E67" s="24">
        <v>203</v>
      </c>
      <c r="F67" s="24">
        <v>172</v>
      </c>
    </row>
    <row r="68" spans="1:6">
      <c r="A68" s="24">
        <v>1121</v>
      </c>
      <c r="B68" s="24" t="s">
        <v>252</v>
      </c>
      <c r="C68" s="24">
        <v>1</v>
      </c>
      <c r="D68" s="24">
        <v>0</v>
      </c>
      <c r="E68" s="24">
        <v>0</v>
      </c>
      <c r="F68" s="24">
        <v>0</v>
      </c>
    </row>
    <row r="69" spans="1:6">
      <c r="A69" s="24">
        <v>1121</v>
      </c>
      <c r="B69" s="24" t="s">
        <v>252</v>
      </c>
      <c r="C69" s="24">
        <v>2</v>
      </c>
      <c r="D69" s="24">
        <v>473</v>
      </c>
      <c r="E69" s="24">
        <v>34</v>
      </c>
      <c r="F69" s="24">
        <v>40</v>
      </c>
    </row>
    <row r="70" spans="1:6">
      <c r="A70" s="24">
        <v>1121</v>
      </c>
      <c r="B70" s="24" t="s">
        <v>252</v>
      </c>
      <c r="C70" s="24">
        <v>3</v>
      </c>
      <c r="D70" s="24">
        <v>947</v>
      </c>
      <c r="E70" s="24">
        <v>67</v>
      </c>
      <c r="F70" s="24">
        <v>80</v>
      </c>
    </row>
    <row r="71" spans="1:6">
      <c r="A71" s="24">
        <v>1121</v>
      </c>
      <c r="B71" s="24" t="s">
        <v>252</v>
      </c>
      <c r="C71" s="24">
        <v>4</v>
      </c>
      <c r="D71" s="24">
        <v>1420</v>
      </c>
      <c r="E71" s="24">
        <v>101</v>
      </c>
      <c r="F71" s="24">
        <v>120</v>
      </c>
    </row>
    <row r="72" spans="1:6">
      <c r="A72" s="24">
        <v>1121</v>
      </c>
      <c r="B72" s="24" t="s">
        <v>252</v>
      </c>
      <c r="C72" s="24">
        <v>5</v>
      </c>
      <c r="D72" s="24">
        <v>1893</v>
      </c>
      <c r="E72" s="24">
        <v>134</v>
      </c>
      <c r="F72" s="24">
        <v>160</v>
      </c>
    </row>
    <row r="73" spans="1:6">
      <c r="A73" s="24">
        <v>1121</v>
      </c>
      <c r="B73" s="24" t="s">
        <v>252</v>
      </c>
      <c r="C73" s="24">
        <v>6</v>
      </c>
      <c r="D73" s="24">
        <v>2366</v>
      </c>
      <c r="E73" s="24">
        <v>168</v>
      </c>
      <c r="F73" s="24">
        <v>200</v>
      </c>
    </row>
    <row r="74" spans="1:6">
      <c r="A74" s="24">
        <v>1131</v>
      </c>
      <c r="B74" s="24" t="s">
        <v>267</v>
      </c>
      <c r="C74" s="24">
        <v>1</v>
      </c>
      <c r="D74" s="24">
        <v>0</v>
      </c>
      <c r="E74" s="24">
        <v>0</v>
      </c>
      <c r="F74" s="24">
        <v>0</v>
      </c>
    </row>
    <row r="75" spans="1:6">
      <c r="A75" s="24">
        <v>1131</v>
      </c>
      <c r="B75" s="24" t="s">
        <v>267</v>
      </c>
      <c r="C75" s="24">
        <v>2</v>
      </c>
      <c r="D75" s="24">
        <v>443</v>
      </c>
      <c r="E75" s="24">
        <v>34</v>
      </c>
      <c r="F75" s="24">
        <v>33</v>
      </c>
    </row>
    <row r="76" spans="1:6">
      <c r="A76" s="24">
        <v>1131</v>
      </c>
      <c r="B76" s="24" t="s">
        <v>267</v>
      </c>
      <c r="C76" s="24">
        <v>3</v>
      </c>
      <c r="D76" s="24">
        <v>886</v>
      </c>
      <c r="E76" s="24">
        <v>68</v>
      </c>
      <c r="F76" s="24">
        <v>66</v>
      </c>
    </row>
    <row r="77" spans="1:6">
      <c r="A77" s="24">
        <v>1131</v>
      </c>
      <c r="B77" s="24" t="s">
        <v>267</v>
      </c>
      <c r="C77" s="24">
        <v>4</v>
      </c>
      <c r="D77" s="24">
        <v>1329</v>
      </c>
      <c r="E77" s="24">
        <v>103</v>
      </c>
      <c r="F77" s="24">
        <v>99</v>
      </c>
    </row>
    <row r="78" spans="1:6">
      <c r="A78" s="24">
        <v>1131</v>
      </c>
      <c r="B78" s="24" t="s">
        <v>267</v>
      </c>
      <c r="C78" s="24">
        <v>5</v>
      </c>
      <c r="D78" s="24">
        <v>1772</v>
      </c>
      <c r="E78" s="24">
        <v>137</v>
      </c>
      <c r="F78" s="24">
        <v>132</v>
      </c>
    </row>
    <row r="79" spans="1:6">
      <c r="A79" s="24">
        <v>1131</v>
      </c>
      <c r="B79" s="24" t="s">
        <v>267</v>
      </c>
      <c r="C79" s="24">
        <v>6</v>
      </c>
      <c r="D79" s="24">
        <v>2214</v>
      </c>
      <c r="E79" s="24">
        <v>171</v>
      </c>
      <c r="F79" s="24">
        <v>165</v>
      </c>
    </row>
    <row r="80" spans="1:6">
      <c r="A80" s="24">
        <v>1141</v>
      </c>
      <c r="B80" s="24" t="s">
        <v>287</v>
      </c>
      <c r="C80" s="24">
        <v>1</v>
      </c>
      <c r="D80" s="24">
        <v>0</v>
      </c>
      <c r="E80" s="24">
        <v>0</v>
      </c>
      <c r="F80" s="24">
        <v>0</v>
      </c>
    </row>
    <row r="81" spans="1:6">
      <c r="A81" s="24">
        <v>1141</v>
      </c>
      <c r="B81" s="24" t="s">
        <v>287</v>
      </c>
      <c r="C81" s="24">
        <v>2</v>
      </c>
      <c r="D81" s="24">
        <v>464</v>
      </c>
      <c r="E81" s="24">
        <v>37</v>
      </c>
      <c r="F81" s="24">
        <v>33</v>
      </c>
    </row>
    <row r="82" spans="1:6">
      <c r="A82" s="24">
        <v>1141</v>
      </c>
      <c r="B82" s="24" t="s">
        <v>287</v>
      </c>
      <c r="C82" s="24">
        <v>3</v>
      </c>
      <c r="D82" s="24">
        <v>929</v>
      </c>
      <c r="E82" s="24">
        <v>75</v>
      </c>
      <c r="F82" s="24">
        <v>67</v>
      </c>
    </row>
    <row r="83" spans="1:6">
      <c r="A83" s="24">
        <v>1141</v>
      </c>
      <c r="B83" s="24" t="s">
        <v>287</v>
      </c>
      <c r="C83" s="24">
        <v>4</v>
      </c>
      <c r="D83" s="24">
        <v>1393</v>
      </c>
      <c r="E83" s="24">
        <v>112</v>
      </c>
      <c r="F83" s="24">
        <v>100</v>
      </c>
    </row>
    <row r="84" spans="1:6">
      <c r="A84" s="24">
        <v>1141</v>
      </c>
      <c r="B84" s="24" t="s">
        <v>287</v>
      </c>
      <c r="C84" s="24">
        <v>5</v>
      </c>
      <c r="D84" s="24">
        <v>1857</v>
      </c>
      <c r="E84" s="24">
        <v>150</v>
      </c>
      <c r="F84" s="24">
        <v>134</v>
      </c>
    </row>
    <row r="85" spans="1:6">
      <c r="A85" s="24">
        <v>1141</v>
      </c>
      <c r="B85" s="24" t="s">
        <v>287</v>
      </c>
      <c r="C85" s="24">
        <v>6</v>
      </c>
      <c r="D85" s="24">
        <v>2322</v>
      </c>
      <c r="E85" s="24">
        <v>187</v>
      </c>
      <c r="F85" s="24">
        <v>167</v>
      </c>
    </row>
    <row r="86" spans="1:6">
      <c r="A86" s="24">
        <v>1151</v>
      </c>
      <c r="B86" s="24" t="s">
        <v>307</v>
      </c>
      <c r="C86" s="24">
        <v>1</v>
      </c>
      <c r="D86" s="24">
        <v>0</v>
      </c>
      <c r="E86" s="24">
        <v>0</v>
      </c>
      <c r="F86" s="24">
        <v>0</v>
      </c>
    </row>
    <row r="87" spans="1:6">
      <c r="A87" s="24">
        <v>1151</v>
      </c>
      <c r="B87" s="24" t="s">
        <v>307</v>
      </c>
      <c r="C87" s="24">
        <v>2</v>
      </c>
      <c r="D87" s="24">
        <v>443</v>
      </c>
      <c r="E87" s="24">
        <v>34</v>
      </c>
      <c r="F87" s="24">
        <v>34</v>
      </c>
    </row>
    <row r="88" spans="1:6">
      <c r="A88" s="24">
        <v>1151</v>
      </c>
      <c r="B88" s="24" t="s">
        <v>307</v>
      </c>
      <c r="C88" s="24">
        <v>3</v>
      </c>
      <c r="D88" s="24">
        <v>886</v>
      </c>
      <c r="E88" s="24">
        <v>68</v>
      </c>
      <c r="F88" s="24">
        <v>68</v>
      </c>
    </row>
    <row r="89" spans="1:6">
      <c r="A89" s="24">
        <v>1151</v>
      </c>
      <c r="B89" s="24" t="s">
        <v>307</v>
      </c>
      <c r="C89" s="24">
        <v>4</v>
      </c>
      <c r="D89" s="24">
        <v>1329</v>
      </c>
      <c r="E89" s="24">
        <v>102</v>
      </c>
      <c r="F89" s="24">
        <v>101</v>
      </c>
    </row>
    <row r="90" spans="1:6">
      <c r="A90" s="24">
        <v>1151</v>
      </c>
      <c r="B90" s="24" t="s">
        <v>307</v>
      </c>
      <c r="C90" s="24">
        <v>5</v>
      </c>
      <c r="D90" s="24">
        <v>1772</v>
      </c>
      <c r="E90" s="24">
        <v>135</v>
      </c>
      <c r="F90" s="24">
        <v>135</v>
      </c>
    </row>
    <row r="91" spans="1:6">
      <c r="A91" s="24">
        <v>1151</v>
      </c>
      <c r="B91" s="24" t="s">
        <v>307</v>
      </c>
      <c r="C91" s="24">
        <v>6</v>
      </c>
      <c r="D91" s="24">
        <v>2214</v>
      </c>
      <c r="E91" s="24">
        <v>169</v>
      </c>
      <c r="F91" s="24">
        <v>169</v>
      </c>
    </row>
    <row r="92" spans="1:6">
      <c r="A92" s="24">
        <v>1161</v>
      </c>
      <c r="B92" s="24" t="s">
        <v>328</v>
      </c>
      <c r="C92" s="24">
        <v>1</v>
      </c>
      <c r="D92" s="24">
        <v>0</v>
      </c>
      <c r="E92" s="24">
        <v>0</v>
      </c>
      <c r="F92" s="24">
        <v>0</v>
      </c>
    </row>
    <row r="93" spans="1:6">
      <c r="A93" s="24">
        <v>1161</v>
      </c>
      <c r="B93" s="24" t="s">
        <v>328</v>
      </c>
      <c r="C93" s="24">
        <v>2</v>
      </c>
      <c r="D93" s="24">
        <v>432</v>
      </c>
      <c r="E93" s="24">
        <v>47</v>
      </c>
      <c r="F93" s="24">
        <v>34</v>
      </c>
    </row>
    <row r="94" spans="1:6">
      <c r="A94" s="24">
        <v>1161</v>
      </c>
      <c r="B94" s="24" t="s">
        <v>328</v>
      </c>
      <c r="C94" s="24">
        <v>3</v>
      </c>
      <c r="D94" s="24">
        <v>864</v>
      </c>
      <c r="E94" s="24">
        <v>95</v>
      </c>
      <c r="F94" s="24">
        <v>68</v>
      </c>
    </row>
    <row r="95" spans="1:6">
      <c r="A95" s="24">
        <v>1161</v>
      </c>
      <c r="B95" s="24" t="s">
        <v>328</v>
      </c>
      <c r="C95" s="24">
        <v>4</v>
      </c>
      <c r="D95" s="24">
        <v>1296</v>
      </c>
      <c r="E95" s="24">
        <v>142</v>
      </c>
      <c r="F95" s="24">
        <v>101</v>
      </c>
    </row>
    <row r="96" spans="1:6">
      <c r="A96" s="24">
        <v>1161</v>
      </c>
      <c r="B96" s="24" t="s">
        <v>328</v>
      </c>
      <c r="C96" s="24">
        <v>5</v>
      </c>
      <c r="D96" s="24">
        <v>1727</v>
      </c>
      <c r="E96" s="24">
        <v>190</v>
      </c>
      <c r="F96" s="24">
        <v>135</v>
      </c>
    </row>
    <row r="97" spans="1:6">
      <c r="A97" s="24">
        <v>1161</v>
      </c>
      <c r="B97" s="24" t="s">
        <v>328</v>
      </c>
      <c r="C97" s="24">
        <v>6</v>
      </c>
      <c r="D97" s="24">
        <v>2159</v>
      </c>
      <c r="E97" s="24">
        <v>237</v>
      </c>
      <c r="F97" s="24">
        <v>169</v>
      </c>
    </row>
    <row r="98" spans="1:6">
      <c r="A98" s="24">
        <v>1171</v>
      </c>
      <c r="B98" s="24" t="s">
        <v>352</v>
      </c>
      <c r="C98" s="24">
        <v>1</v>
      </c>
      <c r="D98" s="24">
        <v>0</v>
      </c>
      <c r="E98" s="24">
        <v>0</v>
      </c>
      <c r="F98" s="24">
        <v>0</v>
      </c>
    </row>
    <row r="99" spans="1:6">
      <c r="A99" s="24">
        <v>1171</v>
      </c>
      <c r="B99" s="24" t="s">
        <v>352</v>
      </c>
      <c r="C99" s="24">
        <v>2</v>
      </c>
      <c r="D99" s="24">
        <v>407</v>
      </c>
      <c r="E99" s="24">
        <v>44</v>
      </c>
      <c r="F99" s="24">
        <v>33</v>
      </c>
    </row>
    <row r="100" spans="1:6">
      <c r="A100" s="24">
        <v>1171</v>
      </c>
      <c r="B100" s="24" t="s">
        <v>352</v>
      </c>
      <c r="C100" s="24">
        <v>3</v>
      </c>
      <c r="D100" s="24">
        <v>813</v>
      </c>
      <c r="E100" s="24">
        <v>89</v>
      </c>
      <c r="F100" s="24">
        <v>66</v>
      </c>
    </row>
    <row r="101" spans="1:6">
      <c r="A101" s="24">
        <v>1171</v>
      </c>
      <c r="B101" s="24" t="s">
        <v>352</v>
      </c>
      <c r="C101" s="24">
        <v>4</v>
      </c>
      <c r="D101" s="24">
        <v>1220</v>
      </c>
      <c r="E101" s="24">
        <v>133</v>
      </c>
      <c r="F101" s="24">
        <v>99</v>
      </c>
    </row>
    <row r="102" spans="1:6">
      <c r="A102" s="24">
        <v>1171</v>
      </c>
      <c r="B102" s="24" t="s">
        <v>352</v>
      </c>
      <c r="C102" s="24">
        <v>5</v>
      </c>
      <c r="D102" s="24">
        <v>1626</v>
      </c>
      <c r="E102" s="24">
        <v>177</v>
      </c>
      <c r="F102" s="24">
        <v>133</v>
      </c>
    </row>
    <row r="103" spans="1:6">
      <c r="A103" s="24">
        <v>1171</v>
      </c>
      <c r="B103" s="24" t="s">
        <v>352</v>
      </c>
      <c r="C103" s="24">
        <v>6</v>
      </c>
      <c r="D103" s="24">
        <v>2033</v>
      </c>
      <c r="E103" s="24">
        <v>222</v>
      </c>
      <c r="F103" s="24">
        <v>166</v>
      </c>
    </row>
    <row r="104" spans="1:6">
      <c r="A104" s="24">
        <v>1181</v>
      </c>
      <c r="B104" s="24" t="s">
        <v>372</v>
      </c>
      <c r="C104" s="24">
        <v>1</v>
      </c>
      <c r="D104" s="24">
        <v>0</v>
      </c>
      <c r="E104" s="24">
        <v>0</v>
      </c>
      <c r="F104" s="24">
        <v>0</v>
      </c>
    </row>
    <row r="105" spans="1:6">
      <c r="A105" s="24">
        <v>1181</v>
      </c>
      <c r="B105" s="24" t="s">
        <v>372</v>
      </c>
      <c r="C105" s="24">
        <v>2</v>
      </c>
      <c r="D105" s="24">
        <v>413</v>
      </c>
      <c r="E105" s="24">
        <v>42</v>
      </c>
      <c r="F105" s="24">
        <v>33</v>
      </c>
    </row>
    <row r="106" spans="1:6">
      <c r="A106" s="24">
        <v>1181</v>
      </c>
      <c r="B106" s="24" t="s">
        <v>372</v>
      </c>
      <c r="C106" s="24">
        <v>3</v>
      </c>
      <c r="D106" s="24">
        <v>826</v>
      </c>
      <c r="E106" s="24">
        <v>85</v>
      </c>
      <c r="F106" s="24">
        <v>66</v>
      </c>
    </row>
    <row r="107" spans="1:6">
      <c r="A107" s="24">
        <v>1181</v>
      </c>
      <c r="B107" s="24" t="s">
        <v>372</v>
      </c>
      <c r="C107" s="24">
        <v>4</v>
      </c>
      <c r="D107" s="24">
        <v>1239</v>
      </c>
      <c r="E107" s="24">
        <v>127</v>
      </c>
      <c r="F107" s="24">
        <v>99</v>
      </c>
    </row>
    <row r="108" spans="1:6">
      <c r="A108" s="24">
        <v>1181</v>
      </c>
      <c r="B108" s="24" t="s">
        <v>372</v>
      </c>
      <c r="C108" s="24">
        <v>5</v>
      </c>
      <c r="D108" s="24">
        <v>1651</v>
      </c>
      <c r="E108" s="24">
        <v>170</v>
      </c>
      <c r="F108" s="24">
        <v>133</v>
      </c>
    </row>
    <row r="109" spans="1:6">
      <c r="A109" s="24">
        <v>1181</v>
      </c>
      <c r="B109" s="24" t="s">
        <v>372</v>
      </c>
      <c r="C109" s="24">
        <v>6</v>
      </c>
      <c r="D109" s="24">
        <v>2064</v>
      </c>
      <c r="E109" s="24">
        <v>212</v>
      </c>
      <c r="F109" s="24">
        <v>166</v>
      </c>
    </row>
    <row r="110" spans="1:6">
      <c r="A110" s="24">
        <v>1191</v>
      </c>
      <c r="B110" s="24" t="s">
        <v>388</v>
      </c>
      <c r="C110" s="24">
        <v>1</v>
      </c>
      <c r="D110" s="24">
        <v>0</v>
      </c>
      <c r="E110" s="24">
        <v>0</v>
      </c>
      <c r="F110" s="24">
        <v>0</v>
      </c>
    </row>
    <row r="111" spans="1:6">
      <c r="A111" s="24">
        <v>1191</v>
      </c>
      <c r="B111" s="24" t="s">
        <v>388</v>
      </c>
      <c r="C111" s="24">
        <v>2</v>
      </c>
      <c r="D111" s="24">
        <v>423</v>
      </c>
      <c r="E111" s="24">
        <v>48</v>
      </c>
      <c r="F111" s="24">
        <v>33</v>
      </c>
    </row>
    <row r="112" spans="1:6">
      <c r="A112" s="24">
        <v>1191</v>
      </c>
      <c r="B112" s="24" t="s">
        <v>388</v>
      </c>
      <c r="C112" s="24">
        <v>3</v>
      </c>
      <c r="D112" s="24">
        <v>847</v>
      </c>
      <c r="E112" s="24">
        <v>96</v>
      </c>
      <c r="F112" s="24">
        <v>67</v>
      </c>
    </row>
    <row r="113" spans="1:6">
      <c r="A113" s="24">
        <v>1191</v>
      </c>
      <c r="B113" s="24" t="s">
        <v>388</v>
      </c>
      <c r="C113" s="24">
        <v>4</v>
      </c>
      <c r="D113" s="24">
        <v>1270</v>
      </c>
      <c r="E113" s="24">
        <v>145</v>
      </c>
      <c r="F113" s="24">
        <v>100</v>
      </c>
    </row>
    <row r="114" spans="1:6">
      <c r="A114" s="24">
        <v>1191</v>
      </c>
      <c r="B114" s="24" t="s">
        <v>388</v>
      </c>
      <c r="C114" s="24">
        <v>5</v>
      </c>
      <c r="D114" s="24">
        <v>1694</v>
      </c>
      <c r="E114" s="24">
        <v>193</v>
      </c>
      <c r="F114" s="24">
        <v>134</v>
      </c>
    </row>
    <row r="115" spans="1:6">
      <c r="A115" s="24">
        <v>1191</v>
      </c>
      <c r="B115" s="24" t="s">
        <v>388</v>
      </c>
      <c r="C115" s="24">
        <v>6</v>
      </c>
      <c r="D115" s="24">
        <v>2117</v>
      </c>
      <c r="E115" s="24">
        <v>241</v>
      </c>
      <c r="F115" s="24">
        <v>167</v>
      </c>
    </row>
    <row r="116" spans="1:6">
      <c r="A116" s="24">
        <v>1201</v>
      </c>
      <c r="B116" s="24" t="s">
        <v>412</v>
      </c>
      <c r="C116" s="24">
        <v>1</v>
      </c>
      <c r="D116" s="24">
        <v>0</v>
      </c>
      <c r="E116" s="24">
        <v>0</v>
      </c>
      <c r="F116" s="24">
        <v>0</v>
      </c>
    </row>
    <row r="117" spans="1:6">
      <c r="A117" s="24">
        <v>1201</v>
      </c>
      <c r="B117" s="24" t="s">
        <v>412</v>
      </c>
      <c r="C117" s="24">
        <v>2</v>
      </c>
      <c r="D117" s="24">
        <v>409</v>
      </c>
      <c r="E117" s="24">
        <v>47</v>
      </c>
      <c r="F117" s="24">
        <v>33</v>
      </c>
    </row>
    <row r="118" spans="1:6">
      <c r="A118" s="24">
        <v>1201</v>
      </c>
      <c r="B118" s="24" t="s">
        <v>412</v>
      </c>
      <c r="C118" s="24">
        <v>3</v>
      </c>
      <c r="D118" s="24">
        <v>817</v>
      </c>
      <c r="E118" s="24">
        <v>94</v>
      </c>
      <c r="F118" s="24">
        <v>66</v>
      </c>
    </row>
    <row r="119" spans="1:6">
      <c r="A119" s="24">
        <v>1201</v>
      </c>
      <c r="B119" s="24" t="s">
        <v>412</v>
      </c>
      <c r="C119" s="24">
        <v>4</v>
      </c>
      <c r="D119" s="24">
        <v>1226</v>
      </c>
      <c r="E119" s="24">
        <v>141</v>
      </c>
      <c r="F119" s="24">
        <v>99</v>
      </c>
    </row>
    <row r="120" spans="1:6">
      <c r="A120" s="24">
        <v>1201</v>
      </c>
      <c r="B120" s="24" t="s">
        <v>412</v>
      </c>
      <c r="C120" s="24">
        <v>5</v>
      </c>
      <c r="D120" s="24">
        <v>1635</v>
      </c>
      <c r="E120" s="24">
        <v>188</v>
      </c>
      <c r="F120" s="24">
        <v>133</v>
      </c>
    </row>
    <row r="121" spans="1:6">
      <c r="A121" s="24">
        <v>1201</v>
      </c>
      <c r="B121" s="24" t="s">
        <v>412</v>
      </c>
      <c r="C121" s="24">
        <v>6</v>
      </c>
      <c r="D121" s="24">
        <v>2043</v>
      </c>
      <c r="E121" s="24">
        <v>235</v>
      </c>
      <c r="F121" s="24">
        <v>166</v>
      </c>
    </row>
    <row r="122" spans="1:6">
      <c r="A122" s="24">
        <v>1211</v>
      </c>
      <c r="B122" s="24" t="s">
        <v>431</v>
      </c>
      <c r="C122" s="24">
        <v>1</v>
      </c>
      <c r="D122" s="24">
        <v>0</v>
      </c>
      <c r="E122" s="24">
        <v>0</v>
      </c>
      <c r="F122" s="24">
        <v>0</v>
      </c>
    </row>
    <row r="123" spans="1:6">
      <c r="A123" s="24">
        <v>1211</v>
      </c>
      <c r="B123" s="24" t="s">
        <v>431</v>
      </c>
      <c r="C123" s="24">
        <v>2</v>
      </c>
      <c r="D123" s="24">
        <v>475</v>
      </c>
      <c r="E123" s="24">
        <v>37</v>
      </c>
      <c r="F123" s="24">
        <v>33</v>
      </c>
    </row>
    <row r="124" spans="1:6">
      <c r="A124" s="24">
        <v>1211</v>
      </c>
      <c r="B124" s="24" t="s">
        <v>431</v>
      </c>
      <c r="C124" s="24">
        <v>3</v>
      </c>
      <c r="D124" s="24">
        <v>950</v>
      </c>
      <c r="E124" s="24">
        <v>74</v>
      </c>
      <c r="F124" s="24">
        <v>66</v>
      </c>
    </row>
    <row r="125" spans="1:6">
      <c r="A125" s="24">
        <v>1211</v>
      </c>
      <c r="B125" s="24" t="s">
        <v>431</v>
      </c>
      <c r="C125" s="24">
        <v>4</v>
      </c>
      <c r="D125" s="24">
        <v>1425</v>
      </c>
      <c r="E125" s="24">
        <v>111</v>
      </c>
      <c r="F125" s="24">
        <v>99</v>
      </c>
    </row>
    <row r="126" spans="1:6">
      <c r="A126" s="24">
        <v>1211</v>
      </c>
      <c r="B126" s="24" t="s">
        <v>431</v>
      </c>
      <c r="C126" s="24">
        <v>5</v>
      </c>
      <c r="D126" s="24">
        <v>1900</v>
      </c>
      <c r="E126" s="24">
        <v>147</v>
      </c>
      <c r="F126" s="24">
        <v>133</v>
      </c>
    </row>
    <row r="127" spans="1:6">
      <c r="A127" s="24">
        <v>1211</v>
      </c>
      <c r="B127" s="24" t="s">
        <v>431</v>
      </c>
      <c r="C127" s="24">
        <v>6</v>
      </c>
      <c r="D127" s="24">
        <v>2375</v>
      </c>
      <c r="E127" s="24">
        <v>184</v>
      </c>
      <c r="F127" s="24">
        <v>166</v>
      </c>
    </row>
    <row r="128" spans="1:6">
      <c r="A128" s="24">
        <v>1221</v>
      </c>
      <c r="B128" s="24" t="s">
        <v>442</v>
      </c>
      <c r="C128" s="24">
        <v>1</v>
      </c>
      <c r="D128" s="24">
        <v>0</v>
      </c>
      <c r="E128" s="24">
        <v>0</v>
      </c>
      <c r="F128" s="24">
        <v>0</v>
      </c>
    </row>
    <row r="129" spans="1:6">
      <c r="A129" s="24">
        <v>1221</v>
      </c>
      <c r="B129" s="24" t="s">
        <v>442</v>
      </c>
      <c r="C129" s="24">
        <v>2</v>
      </c>
      <c r="D129" s="24">
        <v>430</v>
      </c>
      <c r="E129" s="24">
        <v>45</v>
      </c>
      <c r="F129" s="24">
        <v>34</v>
      </c>
    </row>
    <row r="130" spans="1:6">
      <c r="A130" s="24">
        <v>1221</v>
      </c>
      <c r="B130" s="24" t="s">
        <v>442</v>
      </c>
      <c r="C130" s="24">
        <v>3</v>
      </c>
      <c r="D130" s="24">
        <v>859</v>
      </c>
      <c r="E130" s="24">
        <v>90</v>
      </c>
      <c r="F130" s="24">
        <v>68</v>
      </c>
    </row>
    <row r="131" spans="1:6">
      <c r="A131" s="24">
        <v>1221</v>
      </c>
      <c r="B131" s="24" t="s">
        <v>442</v>
      </c>
      <c r="C131" s="24">
        <v>4</v>
      </c>
      <c r="D131" s="24">
        <v>1289</v>
      </c>
      <c r="E131" s="24">
        <v>134</v>
      </c>
      <c r="F131" s="24">
        <v>101</v>
      </c>
    </row>
    <row r="132" spans="1:6">
      <c r="A132" s="24">
        <v>1221</v>
      </c>
      <c r="B132" s="24" t="s">
        <v>442</v>
      </c>
      <c r="C132" s="24">
        <v>5</v>
      </c>
      <c r="D132" s="24">
        <v>1719</v>
      </c>
      <c r="E132" s="24">
        <v>179</v>
      </c>
      <c r="F132" s="24">
        <v>135</v>
      </c>
    </row>
    <row r="133" spans="1:6">
      <c r="A133" s="24">
        <v>1221</v>
      </c>
      <c r="B133" s="24" t="s">
        <v>442</v>
      </c>
      <c r="C133" s="24">
        <v>6</v>
      </c>
      <c r="D133" s="24">
        <v>2149</v>
      </c>
      <c r="E133" s="24">
        <v>224</v>
      </c>
      <c r="F133" s="24">
        <v>169</v>
      </c>
    </row>
    <row r="134" spans="1:6">
      <c r="A134" s="24">
        <v>1241</v>
      </c>
      <c r="B134" s="24" t="s">
        <v>456</v>
      </c>
      <c r="C134" s="24">
        <v>1</v>
      </c>
      <c r="D134" s="24">
        <v>0</v>
      </c>
      <c r="E134" s="24">
        <v>0</v>
      </c>
      <c r="F134" s="24">
        <v>0</v>
      </c>
    </row>
    <row r="135" spans="1:6">
      <c r="A135" s="24">
        <v>1241</v>
      </c>
      <c r="B135" s="24" t="s">
        <v>456</v>
      </c>
      <c r="C135" s="24">
        <v>2</v>
      </c>
      <c r="D135" s="24">
        <v>413</v>
      </c>
      <c r="E135" s="24">
        <v>47</v>
      </c>
      <c r="F135" s="24">
        <v>33</v>
      </c>
    </row>
    <row r="136" spans="1:6">
      <c r="A136" s="24">
        <v>1241</v>
      </c>
      <c r="B136" s="24" t="s">
        <v>456</v>
      </c>
      <c r="C136" s="24">
        <v>3</v>
      </c>
      <c r="D136" s="24">
        <v>826</v>
      </c>
      <c r="E136" s="24">
        <v>95</v>
      </c>
      <c r="F136" s="24">
        <v>66</v>
      </c>
    </row>
    <row r="137" spans="1:6">
      <c r="A137" s="24">
        <v>1241</v>
      </c>
      <c r="B137" s="24" t="s">
        <v>456</v>
      </c>
      <c r="C137" s="24">
        <v>4</v>
      </c>
      <c r="D137" s="24">
        <v>1239</v>
      </c>
      <c r="E137" s="24">
        <v>142</v>
      </c>
      <c r="F137" s="24">
        <v>99</v>
      </c>
    </row>
    <row r="138" spans="1:6">
      <c r="A138" s="24">
        <v>1241</v>
      </c>
      <c r="B138" s="24" t="s">
        <v>456</v>
      </c>
      <c r="C138" s="24">
        <v>5</v>
      </c>
      <c r="D138" s="24">
        <v>1651</v>
      </c>
      <c r="E138" s="24">
        <v>189</v>
      </c>
      <c r="F138" s="24">
        <v>133</v>
      </c>
    </row>
    <row r="139" spans="1:6">
      <c r="A139" s="24">
        <v>1241</v>
      </c>
      <c r="B139" s="24" t="s">
        <v>456</v>
      </c>
      <c r="C139" s="24">
        <v>6</v>
      </c>
      <c r="D139" s="24">
        <v>2064</v>
      </c>
      <c r="E139" s="24">
        <v>236</v>
      </c>
      <c r="F139" s="24">
        <v>166</v>
      </c>
    </row>
    <row r="140" spans="1:6">
      <c r="A140" s="24">
        <v>1251</v>
      </c>
      <c r="B140" s="24" t="s">
        <v>476</v>
      </c>
      <c r="C140" s="24">
        <v>1</v>
      </c>
      <c r="D140" s="24">
        <v>0</v>
      </c>
      <c r="E140" s="24">
        <v>0</v>
      </c>
      <c r="F140" s="24">
        <v>0</v>
      </c>
    </row>
    <row r="141" spans="1:6">
      <c r="A141" s="24">
        <v>1251</v>
      </c>
      <c r="B141" s="24" t="s">
        <v>476</v>
      </c>
      <c r="C141" s="24">
        <v>2</v>
      </c>
      <c r="D141" s="24">
        <v>455</v>
      </c>
      <c r="E141" s="24">
        <v>39</v>
      </c>
      <c r="F141" s="24">
        <v>34</v>
      </c>
    </row>
    <row r="142" spans="1:6">
      <c r="A142" s="24">
        <v>1251</v>
      </c>
      <c r="B142" s="24" t="s">
        <v>476</v>
      </c>
      <c r="C142" s="24">
        <v>3</v>
      </c>
      <c r="D142" s="24">
        <v>911</v>
      </c>
      <c r="E142" s="24">
        <v>78</v>
      </c>
      <c r="F142" s="24">
        <v>68</v>
      </c>
    </row>
    <row r="143" spans="1:6">
      <c r="A143" s="24">
        <v>1251</v>
      </c>
      <c r="B143" s="24" t="s">
        <v>476</v>
      </c>
      <c r="C143" s="24">
        <v>4</v>
      </c>
      <c r="D143" s="24">
        <v>1366</v>
      </c>
      <c r="E143" s="24">
        <v>117</v>
      </c>
      <c r="F143" s="24">
        <v>101</v>
      </c>
    </row>
    <row r="144" spans="1:6">
      <c r="A144" s="24">
        <v>1251</v>
      </c>
      <c r="B144" s="24" t="s">
        <v>476</v>
      </c>
      <c r="C144" s="24">
        <v>5</v>
      </c>
      <c r="D144" s="24">
        <v>1821</v>
      </c>
      <c r="E144" s="24">
        <v>156</v>
      </c>
      <c r="F144" s="24">
        <v>135</v>
      </c>
    </row>
    <row r="145" spans="1:6">
      <c r="A145" s="24">
        <v>1251</v>
      </c>
      <c r="B145" s="24" t="s">
        <v>476</v>
      </c>
      <c r="C145" s="24">
        <v>6</v>
      </c>
      <c r="D145" s="24">
        <v>2276</v>
      </c>
      <c r="E145" s="24">
        <v>195</v>
      </c>
      <c r="F145" s="24">
        <v>169</v>
      </c>
    </row>
    <row r="146" spans="1:6">
      <c r="A146" s="24">
        <v>1261</v>
      </c>
      <c r="B146" s="24" t="s">
        <v>492</v>
      </c>
      <c r="C146" s="24">
        <v>1</v>
      </c>
      <c r="D146" s="24">
        <v>0</v>
      </c>
      <c r="E146" s="24">
        <v>0</v>
      </c>
      <c r="F146" s="24">
        <v>0</v>
      </c>
    </row>
    <row r="147" spans="1:6">
      <c r="A147" s="24">
        <v>1261</v>
      </c>
      <c r="B147" s="24" t="s">
        <v>492</v>
      </c>
      <c r="C147" s="24">
        <v>2</v>
      </c>
      <c r="D147" s="24">
        <v>430</v>
      </c>
      <c r="E147" s="24">
        <v>45</v>
      </c>
      <c r="F147" s="24">
        <v>33</v>
      </c>
    </row>
    <row r="148" spans="1:6">
      <c r="A148" s="24">
        <v>1261</v>
      </c>
      <c r="B148" s="24" t="s">
        <v>492</v>
      </c>
      <c r="C148" s="24">
        <v>3</v>
      </c>
      <c r="D148" s="24">
        <v>859</v>
      </c>
      <c r="E148" s="24">
        <v>90</v>
      </c>
      <c r="F148" s="24">
        <v>67</v>
      </c>
    </row>
    <row r="149" spans="1:6">
      <c r="A149" s="24">
        <v>1261</v>
      </c>
      <c r="B149" s="24" t="s">
        <v>492</v>
      </c>
      <c r="C149" s="24">
        <v>4</v>
      </c>
      <c r="D149" s="24">
        <v>1289</v>
      </c>
      <c r="E149" s="24">
        <v>136</v>
      </c>
      <c r="F149" s="24">
        <v>100</v>
      </c>
    </row>
    <row r="150" spans="1:6">
      <c r="A150" s="24">
        <v>1261</v>
      </c>
      <c r="B150" s="24" t="s">
        <v>492</v>
      </c>
      <c r="C150" s="24">
        <v>5</v>
      </c>
      <c r="D150" s="24">
        <v>1719</v>
      </c>
      <c r="E150" s="24">
        <v>181</v>
      </c>
      <c r="F150" s="24">
        <v>134</v>
      </c>
    </row>
    <row r="151" spans="1:6">
      <c r="A151" s="24">
        <v>1261</v>
      </c>
      <c r="B151" s="24" t="s">
        <v>492</v>
      </c>
      <c r="C151" s="24">
        <v>6</v>
      </c>
      <c r="D151" s="24">
        <v>2149</v>
      </c>
      <c r="E151" s="24">
        <v>226</v>
      </c>
      <c r="F151" s="24">
        <v>167</v>
      </c>
    </row>
    <row r="152" spans="1:6">
      <c r="A152" s="24">
        <v>1271</v>
      </c>
      <c r="B152" s="24" t="s">
        <v>527</v>
      </c>
      <c r="C152" s="24">
        <v>1</v>
      </c>
      <c r="D152" s="24">
        <v>0</v>
      </c>
      <c r="E152" s="24">
        <v>0</v>
      </c>
      <c r="F152" s="24">
        <v>0</v>
      </c>
    </row>
    <row r="153" spans="1:6">
      <c r="A153" s="24">
        <v>1271</v>
      </c>
      <c r="B153" s="24" t="s">
        <v>527</v>
      </c>
      <c r="C153" s="24">
        <v>2</v>
      </c>
      <c r="D153" s="24">
        <v>480</v>
      </c>
      <c r="E153" s="24">
        <v>33</v>
      </c>
      <c r="F153" s="24">
        <v>41</v>
      </c>
    </row>
    <row r="154" spans="1:6">
      <c r="A154" s="24">
        <v>1271</v>
      </c>
      <c r="B154" s="24" t="s">
        <v>527</v>
      </c>
      <c r="C154" s="24">
        <v>3</v>
      </c>
      <c r="D154" s="24">
        <v>960</v>
      </c>
      <c r="E154" s="24">
        <v>66</v>
      </c>
      <c r="F154" s="24">
        <v>82</v>
      </c>
    </row>
    <row r="155" spans="1:6">
      <c r="A155" s="24">
        <v>1271</v>
      </c>
      <c r="B155" s="24" t="s">
        <v>527</v>
      </c>
      <c r="C155" s="24">
        <v>4</v>
      </c>
      <c r="D155" s="24">
        <v>1440</v>
      </c>
      <c r="E155" s="24">
        <v>99</v>
      </c>
      <c r="F155" s="24">
        <v>123</v>
      </c>
    </row>
    <row r="156" spans="1:6">
      <c r="A156" s="24">
        <v>1271</v>
      </c>
      <c r="B156" s="24" t="s">
        <v>527</v>
      </c>
      <c r="C156" s="24">
        <v>5</v>
      </c>
      <c r="D156" s="24">
        <v>1920</v>
      </c>
      <c r="E156" s="24">
        <v>132</v>
      </c>
      <c r="F156" s="24">
        <v>165</v>
      </c>
    </row>
    <row r="157" spans="1:6">
      <c r="A157" s="24">
        <v>1271</v>
      </c>
      <c r="B157" s="24" t="s">
        <v>527</v>
      </c>
      <c r="C157" s="24">
        <v>6</v>
      </c>
      <c r="D157" s="24">
        <v>2401</v>
      </c>
      <c r="E157" s="24">
        <v>165</v>
      </c>
      <c r="F157" s="24">
        <v>206</v>
      </c>
    </row>
    <row r="158" spans="1:6">
      <c r="A158" s="24">
        <v>1281</v>
      </c>
      <c r="B158" s="24" t="s">
        <v>540</v>
      </c>
      <c r="C158" s="24">
        <v>1</v>
      </c>
      <c r="D158" s="24">
        <v>0</v>
      </c>
      <c r="E158" s="24">
        <v>0</v>
      </c>
      <c r="F158" s="24">
        <v>0</v>
      </c>
    </row>
    <row r="159" spans="1:6">
      <c r="A159" s="24">
        <v>1281</v>
      </c>
      <c r="B159" s="24" t="s">
        <v>540</v>
      </c>
      <c r="C159" s="24">
        <v>2</v>
      </c>
      <c r="D159" s="24">
        <v>385</v>
      </c>
      <c r="E159" s="24">
        <v>39</v>
      </c>
      <c r="F159" s="24">
        <v>34</v>
      </c>
    </row>
    <row r="160" spans="1:6">
      <c r="A160" s="24">
        <v>1281</v>
      </c>
      <c r="B160" s="24" t="s">
        <v>540</v>
      </c>
      <c r="C160" s="24">
        <v>3</v>
      </c>
      <c r="D160" s="24">
        <v>770</v>
      </c>
      <c r="E160" s="24">
        <v>78</v>
      </c>
      <c r="F160" s="24">
        <v>68</v>
      </c>
    </row>
    <row r="161" spans="1:6">
      <c r="A161" s="24">
        <v>1281</v>
      </c>
      <c r="B161" s="24" t="s">
        <v>540</v>
      </c>
      <c r="C161" s="24">
        <v>4</v>
      </c>
      <c r="D161" s="24">
        <v>1155</v>
      </c>
      <c r="E161" s="24">
        <v>117</v>
      </c>
      <c r="F161" s="24">
        <v>101</v>
      </c>
    </row>
    <row r="162" spans="1:6">
      <c r="A162" s="24">
        <v>1281</v>
      </c>
      <c r="B162" s="24" t="s">
        <v>540</v>
      </c>
      <c r="C162" s="24">
        <v>5</v>
      </c>
      <c r="D162" s="24">
        <v>1540</v>
      </c>
      <c r="E162" s="24">
        <v>156</v>
      </c>
      <c r="F162" s="24">
        <v>135</v>
      </c>
    </row>
    <row r="163" spans="1:6">
      <c r="A163" s="24">
        <v>1281</v>
      </c>
      <c r="B163" s="24" t="s">
        <v>540</v>
      </c>
      <c r="C163" s="24">
        <v>6</v>
      </c>
      <c r="D163" s="24">
        <v>1925</v>
      </c>
      <c r="E163" s="24">
        <v>195</v>
      </c>
      <c r="F163" s="24">
        <v>169</v>
      </c>
    </row>
    <row r="164" spans="1:6">
      <c r="A164" s="16">
        <v>1291</v>
      </c>
      <c r="B164" s="16" t="s">
        <v>555</v>
      </c>
      <c r="C164" s="16">
        <v>1</v>
      </c>
      <c r="D164" s="16">
        <v>0</v>
      </c>
      <c r="E164" s="16">
        <v>0</v>
      </c>
      <c r="F164" s="16">
        <v>0</v>
      </c>
    </row>
    <row r="165" spans="1:6">
      <c r="A165" s="16">
        <v>1291</v>
      </c>
      <c r="B165" s="16" t="s">
        <v>555</v>
      </c>
      <c r="C165" s="16">
        <v>2</v>
      </c>
      <c r="D165" s="16">
        <v>438</v>
      </c>
      <c r="E165" s="16">
        <v>47</v>
      </c>
      <c r="F165" s="16">
        <v>34</v>
      </c>
    </row>
    <row r="166" spans="1:6">
      <c r="A166" s="16">
        <v>1291</v>
      </c>
      <c r="B166" s="16" t="s">
        <v>555</v>
      </c>
      <c r="C166" s="16">
        <v>3</v>
      </c>
      <c r="D166" s="16">
        <v>876</v>
      </c>
      <c r="E166" s="16">
        <v>95</v>
      </c>
      <c r="F166" s="16">
        <v>68</v>
      </c>
    </row>
    <row r="167" spans="1:6">
      <c r="A167" s="16">
        <v>1291</v>
      </c>
      <c r="B167" s="16" t="s">
        <v>555</v>
      </c>
      <c r="C167" s="16">
        <v>4</v>
      </c>
      <c r="D167" s="16">
        <v>1314</v>
      </c>
      <c r="E167" s="16">
        <v>142</v>
      </c>
      <c r="F167" s="16">
        <v>102</v>
      </c>
    </row>
    <row r="168" spans="1:6">
      <c r="A168" s="16">
        <v>1291</v>
      </c>
      <c r="B168" s="16" t="s">
        <v>555</v>
      </c>
      <c r="C168" s="16">
        <v>5</v>
      </c>
      <c r="D168" s="16">
        <v>1753</v>
      </c>
      <c r="E168" s="16">
        <v>189</v>
      </c>
      <c r="F168" s="16">
        <v>136</v>
      </c>
    </row>
    <row r="169" spans="1:6">
      <c r="A169" s="16">
        <v>1291</v>
      </c>
      <c r="B169" s="16" t="s">
        <v>555</v>
      </c>
      <c r="C169" s="16">
        <v>6</v>
      </c>
      <c r="D169" s="16">
        <v>2191</v>
      </c>
      <c r="E169" s="16">
        <v>236</v>
      </c>
      <c r="F169" s="16">
        <v>170</v>
      </c>
    </row>
    <row r="170" spans="1:6">
      <c r="A170" s="16">
        <v>1301</v>
      </c>
      <c r="B170" s="16" t="s">
        <v>572</v>
      </c>
      <c r="C170" s="16">
        <v>1</v>
      </c>
      <c r="D170" s="16">
        <v>0</v>
      </c>
      <c r="E170" s="16">
        <v>0</v>
      </c>
      <c r="F170" s="16">
        <v>0</v>
      </c>
    </row>
    <row r="171" spans="1:6">
      <c r="A171" s="16">
        <v>1301</v>
      </c>
      <c r="B171" s="16" t="s">
        <v>572</v>
      </c>
      <c r="C171" s="16">
        <v>2</v>
      </c>
      <c r="D171" s="16">
        <v>430</v>
      </c>
      <c r="E171" s="16">
        <v>48</v>
      </c>
      <c r="F171" s="16">
        <v>34</v>
      </c>
    </row>
    <row r="172" spans="1:6">
      <c r="A172" s="16">
        <v>1301</v>
      </c>
      <c r="B172" s="16" t="s">
        <v>572</v>
      </c>
      <c r="C172" s="16">
        <v>3</v>
      </c>
      <c r="D172" s="16">
        <v>859</v>
      </c>
      <c r="E172" s="16">
        <v>95</v>
      </c>
      <c r="F172" s="16">
        <v>68</v>
      </c>
    </row>
    <row r="173" spans="1:6">
      <c r="A173" s="16">
        <v>1301</v>
      </c>
      <c r="B173" s="16" t="s">
        <v>572</v>
      </c>
      <c r="C173" s="16">
        <v>4</v>
      </c>
      <c r="D173" s="16">
        <v>1289</v>
      </c>
      <c r="E173" s="16">
        <v>143</v>
      </c>
      <c r="F173" s="16">
        <v>101</v>
      </c>
    </row>
    <row r="174" spans="1:6">
      <c r="A174" s="16">
        <v>1301</v>
      </c>
      <c r="B174" s="16" t="s">
        <v>572</v>
      </c>
      <c r="C174" s="16">
        <v>5</v>
      </c>
      <c r="D174" s="16">
        <v>1719</v>
      </c>
      <c r="E174" s="16">
        <v>191</v>
      </c>
      <c r="F174" s="16">
        <v>135</v>
      </c>
    </row>
    <row r="175" spans="1:6">
      <c r="A175" s="16">
        <v>1301</v>
      </c>
      <c r="B175" s="16" t="s">
        <v>572</v>
      </c>
      <c r="C175" s="16">
        <v>6</v>
      </c>
      <c r="D175" s="16">
        <v>2149</v>
      </c>
      <c r="E175" s="16">
        <v>239</v>
      </c>
      <c r="F175" s="16">
        <v>169</v>
      </c>
    </row>
    <row r="176" spans="1:6">
      <c r="A176" s="16">
        <v>1311</v>
      </c>
      <c r="B176" s="16" t="s">
        <v>590</v>
      </c>
      <c r="C176" s="16">
        <v>1</v>
      </c>
      <c r="D176" s="16">
        <v>0</v>
      </c>
      <c r="E176" s="16">
        <v>0</v>
      </c>
      <c r="F176" s="16">
        <v>0</v>
      </c>
    </row>
    <row r="177" spans="1:6">
      <c r="A177" s="16">
        <v>1311</v>
      </c>
      <c r="B177" s="16" t="s">
        <v>590</v>
      </c>
      <c r="C177" s="16">
        <v>2</v>
      </c>
      <c r="D177" s="16">
        <v>475</v>
      </c>
      <c r="E177" s="16">
        <v>37</v>
      </c>
      <c r="F177" s="16">
        <v>33</v>
      </c>
    </row>
    <row r="178" spans="1:6">
      <c r="A178" s="16">
        <v>1311</v>
      </c>
      <c r="B178" s="16" t="s">
        <v>590</v>
      </c>
      <c r="C178" s="16">
        <v>3</v>
      </c>
      <c r="D178" s="16">
        <v>950</v>
      </c>
      <c r="E178" s="16">
        <v>74</v>
      </c>
      <c r="F178" s="16">
        <v>66</v>
      </c>
    </row>
    <row r="179" spans="1:6">
      <c r="A179" s="16">
        <v>1311</v>
      </c>
      <c r="B179" s="16" t="s">
        <v>590</v>
      </c>
      <c r="C179" s="16">
        <v>4</v>
      </c>
      <c r="D179" s="16">
        <v>1425</v>
      </c>
      <c r="E179" s="16">
        <v>110</v>
      </c>
      <c r="F179" s="16">
        <v>99</v>
      </c>
    </row>
    <row r="180" spans="1:6">
      <c r="A180" s="16">
        <v>1311</v>
      </c>
      <c r="B180" s="16" t="s">
        <v>590</v>
      </c>
      <c r="C180" s="16">
        <v>5</v>
      </c>
      <c r="D180" s="16">
        <v>1900</v>
      </c>
      <c r="E180" s="16">
        <v>147</v>
      </c>
      <c r="F180" s="16">
        <v>133</v>
      </c>
    </row>
    <row r="181" spans="1:6">
      <c r="A181" s="16">
        <v>1311</v>
      </c>
      <c r="B181" s="16" t="s">
        <v>590</v>
      </c>
      <c r="C181" s="16">
        <v>6</v>
      </c>
      <c r="D181" s="16">
        <v>2375</v>
      </c>
      <c r="E181" s="16">
        <v>184</v>
      </c>
      <c r="F181" s="16">
        <v>166</v>
      </c>
    </row>
    <row r="182" spans="1:6">
      <c r="A182" s="24">
        <v>1321</v>
      </c>
      <c r="B182" s="24" t="s">
        <v>612</v>
      </c>
      <c r="C182" s="24">
        <v>1</v>
      </c>
      <c r="D182" s="24">
        <v>0</v>
      </c>
      <c r="E182" s="24">
        <v>0</v>
      </c>
      <c r="F182" s="24">
        <v>0</v>
      </c>
    </row>
    <row r="183" spans="1:6">
      <c r="A183" s="24">
        <v>1321</v>
      </c>
      <c r="B183" s="24" t="s">
        <v>612</v>
      </c>
      <c r="C183" s="24">
        <v>2</v>
      </c>
      <c r="D183" s="24">
        <v>430</v>
      </c>
      <c r="E183" s="24">
        <v>48</v>
      </c>
      <c r="F183" s="24">
        <v>34</v>
      </c>
    </row>
    <row r="184" spans="1:6">
      <c r="A184" s="24">
        <v>1321</v>
      </c>
      <c r="B184" s="24" t="s">
        <v>612</v>
      </c>
      <c r="C184" s="24">
        <v>3</v>
      </c>
      <c r="D184" s="24">
        <v>859</v>
      </c>
      <c r="E184" s="24">
        <v>95</v>
      </c>
      <c r="F184" s="24">
        <v>68</v>
      </c>
    </row>
    <row r="185" spans="1:6">
      <c r="A185" s="24">
        <v>1321</v>
      </c>
      <c r="B185" s="24" t="s">
        <v>612</v>
      </c>
      <c r="C185" s="24">
        <v>4</v>
      </c>
      <c r="D185" s="24">
        <v>1289</v>
      </c>
      <c r="E185" s="24">
        <v>143</v>
      </c>
      <c r="F185" s="24">
        <v>101</v>
      </c>
    </row>
    <row r="186" spans="1:6">
      <c r="A186" s="24">
        <v>1321</v>
      </c>
      <c r="B186" s="24" t="s">
        <v>612</v>
      </c>
      <c r="C186" s="24">
        <v>5</v>
      </c>
      <c r="D186" s="24">
        <v>1719</v>
      </c>
      <c r="E186" s="24">
        <v>191</v>
      </c>
      <c r="F186" s="24">
        <v>135</v>
      </c>
    </row>
    <row r="187" spans="1:6">
      <c r="A187" s="24">
        <v>1321</v>
      </c>
      <c r="B187" s="24" t="s">
        <v>612</v>
      </c>
      <c r="C187" s="24">
        <v>6</v>
      </c>
      <c r="D187" s="24">
        <v>2149</v>
      </c>
      <c r="E187" s="24">
        <v>239</v>
      </c>
      <c r="F187" s="24">
        <v>169</v>
      </c>
    </row>
    <row r="188" spans="1:6">
      <c r="A188" s="24">
        <v>1331</v>
      </c>
      <c r="B188" s="24" t="s">
        <v>628</v>
      </c>
      <c r="C188" s="24">
        <v>1</v>
      </c>
      <c r="D188" s="24">
        <v>0</v>
      </c>
      <c r="E188" s="24">
        <v>0</v>
      </c>
      <c r="F188" s="24">
        <v>0</v>
      </c>
    </row>
    <row r="189" spans="1:6">
      <c r="A189" s="24">
        <v>1331</v>
      </c>
      <c r="B189" s="24" t="s">
        <v>628</v>
      </c>
      <c r="C189" s="24">
        <v>2</v>
      </c>
      <c r="D189" s="24">
        <v>423</v>
      </c>
      <c r="E189" s="24">
        <v>45</v>
      </c>
      <c r="F189" s="24">
        <v>33</v>
      </c>
    </row>
    <row r="190" spans="1:6">
      <c r="A190" s="24">
        <v>1331</v>
      </c>
      <c r="B190" s="24" t="s">
        <v>628</v>
      </c>
      <c r="C190" s="24">
        <v>3</v>
      </c>
      <c r="D190" s="24">
        <v>847</v>
      </c>
      <c r="E190" s="24">
        <v>90</v>
      </c>
      <c r="F190" s="24">
        <v>67</v>
      </c>
    </row>
    <row r="191" spans="1:6">
      <c r="A191" s="24">
        <v>1331</v>
      </c>
      <c r="B191" s="24" t="s">
        <v>628</v>
      </c>
      <c r="C191" s="24">
        <v>4</v>
      </c>
      <c r="D191" s="24">
        <v>1270</v>
      </c>
      <c r="E191" s="24">
        <v>136</v>
      </c>
      <c r="F191" s="24">
        <v>100</v>
      </c>
    </row>
    <row r="192" spans="1:6">
      <c r="A192" s="24">
        <v>1331</v>
      </c>
      <c r="B192" s="24" t="s">
        <v>628</v>
      </c>
      <c r="C192" s="24">
        <v>5</v>
      </c>
      <c r="D192" s="24">
        <v>1694</v>
      </c>
      <c r="E192" s="24">
        <v>181</v>
      </c>
      <c r="F192" s="24">
        <v>134</v>
      </c>
    </row>
    <row r="193" spans="1:6">
      <c r="A193" s="24">
        <v>1331</v>
      </c>
      <c r="B193" s="24" t="s">
        <v>628</v>
      </c>
      <c r="C193" s="24">
        <v>6</v>
      </c>
      <c r="D193" s="24">
        <v>2117</v>
      </c>
      <c r="E193" s="24">
        <v>226</v>
      </c>
      <c r="F193" s="24">
        <v>167</v>
      </c>
    </row>
    <row r="194" spans="1:6">
      <c r="A194" s="24">
        <v>1341</v>
      </c>
      <c r="B194" s="24" t="s">
        <v>644</v>
      </c>
      <c r="C194" s="16">
        <v>1</v>
      </c>
      <c r="D194" s="24">
        <v>0</v>
      </c>
      <c r="E194" s="24">
        <v>0</v>
      </c>
      <c r="F194" s="24">
        <v>0</v>
      </c>
    </row>
    <row r="195" spans="1:6">
      <c r="A195" s="24">
        <v>1341</v>
      </c>
      <c r="B195" s="24" t="s">
        <v>644</v>
      </c>
      <c r="C195" s="16">
        <v>2</v>
      </c>
      <c r="D195" s="24">
        <v>503</v>
      </c>
      <c r="E195" s="24">
        <v>39</v>
      </c>
      <c r="F195" s="24">
        <v>39</v>
      </c>
    </row>
    <row r="196" spans="1:6">
      <c r="A196" s="24">
        <v>1341</v>
      </c>
      <c r="B196" s="24" t="s">
        <v>644</v>
      </c>
      <c r="C196" s="16">
        <v>3</v>
      </c>
      <c r="D196" s="24">
        <v>1006</v>
      </c>
      <c r="E196" s="24">
        <v>79</v>
      </c>
      <c r="F196" s="24">
        <v>77</v>
      </c>
    </row>
    <row r="197" spans="1:6">
      <c r="A197" s="24">
        <v>1341</v>
      </c>
      <c r="B197" s="24" t="s">
        <v>644</v>
      </c>
      <c r="C197" s="16">
        <v>4</v>
      </c>
      <c r="D197" s="24">
        <v>1509</v>
      </c>
      <c r="E197" s="24">
        <v>118</v>
      </c>
      <c r="F197" s="24">
        <v>116</v>
      </c>
    </row>
    <row r="198" spans="1:6">
      <c r="A198" s="24">
        <v>1341</v>
      </c>
      <c r="B198" s="24" t="s">
        <v>644</v>
      </c>
      <c r="C198" s="16">
        <v>5</v>
      </c>
      <c r="D198" s="24">
        <v>2012</v>
      </c>
      <c r="E198" s="24">
        <v>157</v>
      </c>
      <c r="F198" s="24">
        <v>155</v>
      </c>
    </row>
    <row r="199" spans="1:6">
      <c r="A199" s="24">
        <v>1341</v>
      </c>
      <c r="B199" s="24" t="s">
        <v>644</v>
      </c>
      <c r="C199" s="16">
        <v>6</v>
      </c>
      <c r="D199" s="24">
        <v>2515</v>
      </c>
      <c r="E199" s="24">
        <v>197</v>
      </c>
      <c r="F199" s="24">
        <v>194</v>
      </c>
    </row>
    <row r="200" spans="1:6">
      <c r="A200" s="16">
        <v>1351</v>
      </c>
      <c r="B200" s="16" t="s">
        <v>659</v>
      </c>
      <c r="C200" s="16">
        <v>1</v>
      </c>
      <c r="D200" s="16">
        <v>0</v>
      </c>
      <c r="E200" s="16">
        <v>0</v>
      </c>
      <c r="F200" s="16">
        <v>0</v>
      </c>
    </row>
    <row r="201" spans="1:6">
      <c r="A201" s="16">
        <v>1351</v>
      </c>
      <c r="B201" s="16" t="s">
        <v>659</v>
      </c>
      <c r="C201" s="16">
        <v>2</v>
      </c>
      <c r="D201" s="16">
        <v>420</v>
      </c>
      <c r="E201" s="16">
        <v>34</v>
      </c>
      <c r="F201" s="16">
        <v>33</v>
      </c>
    </row>
    <row r="202" spans="1:6">
      <c r="A202" s="16">
        <v>1351</v>
      </c>
      <c r="B202" s="16" t="s">
        <v>659</v>
      </c>
      <c r="C202" s="16">
        <v>3</v>
      </c>
      <c r="D202" s="16">
        <v>840</v>
      </c>
      <c r="E202" s="16">
        <v>68</v>
      </c>
      <c r="F202" s="16">
        <v>67</v>
      </c>
    </row>
    <row r="203" spans="1:6">
      <c r="A203" s="16">
        <v>1351</v>
      </c>
      <c r="B203" s="16" t="s">
        <v>659</v>
      </c>
      <c r="C203" s="16">
        <v>4</v>
      </c>
      <c r="D203" s="16">
        <v>1260</v>
      </c>
      <c r="E203" s="16">
        <v>103</v>
      </c>
      <c r="F203" s="16">
        <v>100</v>
      </c>
    </row>
    <row r="204" spans="1:6">
      <c r="A204" s="16">
        <v>1351</v>
      </c>
      <c r="B204" s="16" t="s">
        <v>659</v>
      </c>
      <c r="C204" s="16">
        <v>5</v>
      </c>
      <c r="D204" s="16">
        <v>1680</v>
      </c>
      <c r="E204" s="16">
        <v>137</v>
      </c>
      <c r="F204" s="16">
        <v>134</v>
      </c>
    </row>
    <row r="205" spans="1:6">
      <c r="A205" s="16">
        <v>1351</v>
      </c>
      <c r="B205" s="16" t="s">
        <v>659</v>
      </c>
      <c r="C205" s="16">
        <v>6</v>
      </c>
      <c r="D205" s="16">
        <v>2100</v>
      </c>
      <c r="E205" s="16">
        <v>171</v>
      </c>
      <c r="F205" s="16">
        <v>167</v>
      </c>
    </row>
    <row r="206" spans="1:6">
      <c r="A206" s="16">
        <v>1361</v>
      </c>
      <c r="B206" s="16" t="s">
        <v>671</v>
      </c>
      <c r="C206" s="16">
        <v>1</v>
      </c>
      <c r="D206" s="16">
        <v>0</v>
      </c>
      <c r="E206" s="16">
        <v>0</v>
      </c>
      <c r="F206" s="16">
        <v>0</v>
      </c>
    </row>
    <row r="207" spans="1:6">
      <c r="A207" s="16">
        <v>1361</v>
      </c>
      <c r="B207" s="16" t="s">
        <v>671</v>
      </c>
      <c r="C207" s="16">
        <v>2</v>
      </c>
      <c r="D207" s="16">
        <v>437</v>
      </c>
      <c r="E207" s="16">
        <v>39</v>
      </c>
      <c r="F207" s="16">
        <v>33</v>
      </c>
    </row>
    <row r="208" spans="1:6">
      <c r="A208" s="16">
        <v>1361</v>
      </c>
      <c r="B208" s="16" t="s">
        <v>671</v>
      </c>
      <c r="C208" s="16">
        <v>3</v>
      </c>
      <c r="D208" s="16">
        <v>874</v>
      </c>
      <c r="E208" s="16">
        <v>77</v>
      </c>
      <c r="F208" s="16">
        <v>66</v>
      </c>
    </row>
    <row r="209" spans="1:6">
      <c r="A209" s="16">
        <v>1361</v>
      </c>
      <c r="B209" s="16" t="s">
        <v>671</v>
      </c>
      <c r="C209" s="16">
        <v>4</v>
      </c>
      <c r="D209" s="16">
        <v>1311</v>
      </c>
      <c r="E209" s="16">
        <v>116</v>
      </c>
      <c r="F209" s="16">
        <v>99</v>
      </c>
    </row>
    <row r="210" spans="1:6">
      <c r="A210" s="16">
        <v>1361</v>
      </c>
      <c r="B210" s="16" t="s">
        <v>671</v>
      </c>
      <c r="C210" s="16">
        <v>5</v>
      </c>
      <c r="D210" s="16">
        <v>1749</v>
      </c>
      <c r="E210" s="16">
        <v>154</v>
      </c>
      <c r="F210" s="16">
        <v>133</v>
      </c>
    </row>
    <row r="211" spans="1:6">
      <c r="A211" s="16">
        <v>1361</v>
      </c>
      <c r="B211" s="16" t="s">
        <v>671</v>
      </c>
      <c r="C211" s="16">
        <v>6</v>
      </c>
      <c r="D211" s="16">
        <v>2186</v>
      </c>
      <c r="E211" s="16">
        <v>193</v>
      </c>
      <c r="F211" s="16">
        <v>166</v>
      </c>
    </row>
    <row r="212" spans="1:6">
      <c r="A212" s="16">
        <v>1371</v>
      </c>
      <c r="B212" s="16" t="s">
        <v>692</v>
      </c>
      <c r="C212" s="16">
        <v>1</v>
      </c>
      <c r="D212" s="16">
        <v>0</v>
      </c>
      <c r="E212" s="16">
        <v>0</v>
      </c>
      <c r="F212" s="16">
        <v>0</v>
      </c>
    </row>
    <row r="213" spans="1:6">
      <c r="A213" s="16">
        <v>1371</v>
      </c>
      <c r="B213" s="16" t="s">
        <v>692</v>
      </c>
      <c r="C213" s="16">
        <v>2</v>
      </c>
      <c r="D213" s="16">
        <v>462</v>
      </c>
      <c r="E213" s="16">
        <v>45</v>
      </c>
      <c r="F213" s="16">
        <v>24</v>
      </c>
    </row>
    <row r="214" spans="1:6">
      <c r="A214" s="16">
        <v>1371</v>
      </c>
      <c r="B214" s="16" t="s">
        <v>692</v>
      </c>
      <c r="C214" s="16">
        <v>3</v>
      </c>
      <c r="D214" s="16">
        <v>924</v>
      </c>
      <c r="E214" s="16">
        <v>90</v>
      </c>
      <c r="F214" s="16">
        <v>49</v>
      </c>
    </row>
    <row r="215" spans="1:6">
      <c r="A215" s="16">
        <v>1371</v>
      </c>
      <c r="B215" s="16" t="s">
        <v>692</v>
      </c>
      <c r="C215" s="16">
        <v>4</v>
      </c>
      <c r="D215" s="16">
        <v>1386</v>
      </c>
      <c r="E215" s="16">
        <v>134</v>
      </c>
      <c r="F215" s="16">
        <v>73</v>
      </c>
    </row>
    <row r="216" spans="1:6">
      <c r="A216" s="16">
        <v>1371</v>
      </c>
      <c r="B216" s="16" t="s">
        <v>692</v>
      </c>
      <c r="C216" s="16">
        <v>5</v>
      </c>
      <c r="D216" s="16">
        <v>1848</v>
      </c>
      <c r="E216" s="16">
        <v>179</v>
      </c>
      <c r="F216" s="16">
        <v>97</v>
      </c>
    </row>
    <row r="217" spans="1:6">
      <c r="A217" s="16">
        <v>1371</v>
      </c>
      <c r="B217" s="16" t="s">
        <v>692</v>
      </c>
      <c r="C217" s="16">
        <v>6</v>
      </c>
      <c r="D217" s="16">
        <v>2310</v>
      </c>
      <c r="E217" s="16">
        <v>224</v>
      </c>
      <c r="F217" s="16">
        <v>122</v>
      </c>
    </row>
    <row r="218" spans="1:6">
      <c r="A218" s="16">
        <v>1381</v>
      </c>
      <c r="B218" s="16" t="s">
        <v>716</v>
      </c>
      <c r="C218" s="16">
        <v>1</v>
      </c>
      <c r="D218" s="16">
        <v>0</v>
      </c>
      <c r="E218" s="16">
        <v>0</v>
      </c>
      <c r="F218" s="16">
        <v>0</v>
      </c>
    </row>
    <row r="219" spans="1:6">
      <c r="A219" s="16">
        <v>1381</v>
      </c>
      <c r="B219" s="16" t="s">
        <v>716</v>
      </c>
      <c r="C219" s="16">
        <v>2</v>
      </c>
      <c r="D219" s="16">
        <v>423</v>
      </c>
      <c r="E219" s="16">
        <v>48</v>
      </c>
      <c r="F219" s="16">
        <v>34</v>
      </c>
    </row>
    <row r="220" spans="1:6">
      <c r="A220" s="16">
        <v>1381</v>
      </c>
      <c r="B220" s="16" t="s">
        <v>716</v>
      </c>
      <c r="C220" s="16">
        <v>3</v>
      </c>
      <c r="D220" s="16">
        <v>847</v>
      </c>
      <c r="E220" s="16">
        <v>95</v>
      </c>
      <c r="F220" s="16">
        <v>68</v>
      </c>
    </row>
    <row r="221" spans="1:6">
      <c r="A221" s="16">
        <v>1381</v>
      </c>
      <c r="B221" s="16" t="s">
        <v>716</v>
      </c>
      <c r="C221" s="16">
        <v>4</v>
      </c>
      <c r="D221" s="16">
        <v>1270</v>
      </c>
      <c r="E221" s="16">
        <v>143</v>
      </c>
      <c r="F221" s="16">
        <v>101</v>
      </c>
    </row>
    <row r="222" spans="1:6">
      <c r="A222" s="16">
        <v>1381</v>
      </c>
      <c r="B222" s="16" t="s">
        <v>716</v>
      </c>
      <c r="C222" s="16">
        <v>5</v>
      </c>
      <c r="D222" s="16">
        <v>1694</v>
      </c>
      <c r="E222" s="16">
        <v>191</v>
      </c>
      <c r="F222" s="16">
        <v>135</v>
      </c>
    </row>
    <row r="223" spans="1:6">
      <c r="A223" s="16">
        <v>1381</v>
      </c>
      <c r="B223" s="16" t="s">
        <v>716</v>
      </c>
      <c r="C223" s="16">
        <v>6</v>
      </c>
      <c r="D223" s="16">
        <v>2117</v>
      </c>
      <c r="E223" s="16">
        <v>239</v>
      </c>
      <c r="F223" s="16">
        <v>169</v>
      </c>
    </row>
    <row r="224" spans="1:6">
      <c r="A224" s="16">
        <v>1391</v>
      </c>
      <c r="B224" s="16" t="s">
        <v>734</v>
      </c>
      <c r="C224" s="16">
        <v>1</v>
      </c>
      <c r="D224" s="16">
        <v>0</v>
      </c>
      <c r="E224" s="16">
        <v>0</v>
      </c>
      <c r="F224" s="16">
        <v>0</v>
      </c>
    </row>
    <row r="225" spans="1:6">
      <c r="A225" s="16">
        <v>1391</v>
      </c>
      <c r="B225" s="16" t="s">
        <v>734</v>
      </c>
      <c r="C225" s="16">
        <v>2</v>
      </c>
      <c r="D225" s="16">
        <v>455</v>
      </c>
      <c r="E225" s="16">
        <v>39</v>
      </c>
      <c r="F225" s="16">
        <v>33</v>
      </c>
    </row>
    <row r="226" spans="1:6">
      <c r="A226" s="16">
        <v>1391</v>
      </c>
      <c r="B226" s="16" t="s">
        <v>734</v>
      </c>
      <c r="C226" s="16">
        <v>3</v>
      </c>
      <c r="D226" s="16">
        <v>911</v>
      </c>
      <c r="E226" s="16">
        <v>79</v>
      </c>
      <c r="F226" s="16">
        <v>66</v>
      </c>
    </row>
    <row r="227" spans="1:6">
      <c r="A227" s="16">
        <v>1391</v>
      </c>
      <c r="B227" s="16" t="s">
        <v>734</v>
      </c>
      <c r="C227" s="16">
        <v>4</v>
      </c>
      <c r="D227" s="16">
        <v>1366</v>
      </c>
      <c r="E227" s="16">
        <v>118</v>
      </c>
      <c r="F227" s="16">
        <v>99</v>
      </c>
    </row>
    <row r="228" spans="1:6">
      <c r="A228" s="16">
        <v>1391</v>
      </c>
      <c r="B228" s="16" t="s">
        <v>734</v>
      </c>
      <c r="C228" s="16">
        <v>5</v>
      </c>
      <c r="D228" s="16">
        <v>1821</v>
      </c>
      <c r="E228" s="16">
        <v>157</v>
      </c>
      <c r="F228" s="16">
        <v>132</v>
      </c>
    </row>
    <row r="229" spans="1:6">
      <c r="A229" s="16">
        <v>1391</v>
      </c>
      <c r="B229" s="16" t="s">
        <v>734</v>
      </c>
      <c r="C229" s="16">
        <v>6</v>
      </c>
      <c r="D229" s="16">
        <v>2276</v>
      </c>
      <c r="E229" s="16">
        <v>197</v>
      </c>
      <c r="F229" s="16">
        <v>165</v>
      </c>
    </row>
    <row r="230" spans="1:6">
      <c r="A230" s="16">
        <v>1401</v>
      </c>
      <c r="B230" s="16" t="s">
        <v>749</v>
      </c>
      <c r="C230" s="16">
        <v>1</v>
      </c>
      <c r="D230" s="16">
        <v>0</v>
      </c>
      <c r="E230" s="16">
        <v>0</v>
      </c>
      <c r="F230" s="16">
        <v>0</v>
      </c>
    </row>
    <row r="231" spans="1:6">
      <c r="A231" s="16">
        <v>1401</v>
      </c>
      <c r="B231" s="16" t="s">
        <v>749</v>
      </c>
      <c r="C231" s="16">
        <v>2</v>
      </c>
      <c r="D231" s="16">
        <v>423</v>
      </c>
      <c r="E231" s="16">
        <v>45</v>
      </c>
      <c r="F231" s="16">
        <v>33</v>
      </c>
    </row>
    <row r="232" spans="1:6">
      <c r="A232" s="16">
        <v>1401</v>
      </c>
      <c r="B232" s="16" t="s">
        <v>749</v>
      </c>
      <c r="C232" s="16">
        <v>3</v>
      </c>
      <c r="D232" s="16">
        <v>847</v>
      </c>
      <c r="E232" s="16">
        <v>90</v>
      </c>
      <c r="F232" s="16">
        <v>67</v>
      </c>
    </row>
    <row r="233" spans="1:6">
      <c r="A233" s="16">
        <v>1401</v>
      </c>
      <c r="B233" s="16" t="s">
        <v>749</v>
      </c>
      <c r="C233" s="16">
        <v>4</v>
      </c>
      <c r="D233" s="16">
        <v>1270</v>
      </c>
      <c r="E233" s="16">
        <v>136</v>
      </c>
      <c r="F233" s="16">
        <v>100</v>
      </c>
    </row>
    <row r="234" spans="1:6">
      <c r="A234" s="16">
        <v>1401</v>
      </c>
      <c r="B234" s="16" t="s">
        <v>749</v>
      </c>
      <c r="C234" s="16">
        <v>5</v>
      </c>
      <c r="D234" s="16">
        <v>1694</v>
      </c>
      <c r="E234" s="16">
        <v>181</v>
      </c>
      <c r="F234" s="16">
        <v>134</v>
      </c>
    </row>
    <row r="235" spans="1:6">
      <c r="A235" s="16">
        <v>1401</v>
      </c>
      <c r="B235" s="16" t="s">
        <v>749</v>
      </c>
      <c r="C235" s="16">
        <v>6</v>
      </c>
      <c r="D235" s="16">
        <v>2117</v>
      </c>
      <c r="E235" s="16">
        <v>226</v>
      </c>
      <c r="F235" s="16">
        <v>167</v>
      </c>
    </row>
    <row r="236" spans="1:6">
      <c r="A236" s="16">
        <v>1411</v>
      </c>
      <c r="B236" s="16" t="s">
        <v>763</v>
      </c>
      <c r="C236" s="16">
        <v>1</v>
      </c>
      <c r="D236" s="16">
        <v>0</v>
      </c>
      <c r="E236" s="16">
        <v>0</v>
      </c>
      <c r="F236" s="16">
        <v>0</v>
      </c>
    </row>
    <row r="237" spans="1:6">
      <c r="A237" s="16">
        <v>1411</v>
      </c>
      <c r="B237" s="16" t="s">
        <v>763</v>
      </c>
      <c r="C237" s="16">
        <v>2</v>
      </c>
      <c r="D237" s="16">
        <v>487</v>
      </c>
      <c r="E237" s="16">
        <v>39</v>
      </c>
      <c r="F237" s="16">
        <v>34</v>
      </c>
    </row>
    <row r="238" spans="1:6">
      <c r="A238" s="16">
        <v>1411</v>
      </c>
      <c r="B238" s="16" t="s">
        <v>763</v>
      </c>
      <c r="C238" s="16">
        <v>3</v>
      </c>
      <c r="D238" s="16">
        <v>974</v>
      </c>
      <c r="E238" s="16">
        <v>78</v>
      </c>
      <c r="F238" s="16">
        <v>68</v>
      </c>
    </row>
    <row r="239" spans="1:6">
      <c r="A239" s="16">
        <v>1411</v>
      </c>
      <c r="B239" s="16" t="s">
        <v>763</v>
      </c>
      <c r="C239" s="16">
        <v>4</v>
      </c>
      <c r="D239" s="16">
        <v>1461</v>
      </c>
      <c r="E239" s="16">
        <v>117</v>
      </c>
      <c r="F239" s="16">
        <v>101</v>
      </c>
    </row>
    <row r="240" spans="1:6">
      <c r="A240" s="16">
        <v>1411</v>
      </c>
      <c r="B240" s="16" t="s">
        <v>763</v>
      </c>
      <c r="C240" s="16">
        <v>5</v>
      </c>
      <c r="D240" s="16">
        <v>1949</v>
      </c>
      <c r="E240" s="16">
        <v>156</v>
      </c>
      <c r="F240" s="16">
        <v>135</v>
      </c>
    </row>
    <row r="241" spans="1:6">
      <c r="A241" s="16">
        <v>1411</v>
      </c>
      <c r="B241" s="16" t="s">
        <v>763</v>
      </c>
      <c r="C241" s="16">
        <v>6</v>
      </c>
      <c r="D241" s="16">
        <v>2436</v>
      </c>
      <c r="E241" s="16">
        <v>195</v>
      </c>
      <c r="F241" s="16">
        <v>169</v>
      </c>
    </row>
    <row r="242" spans="1:6">
      <c r="A242" s="16">
        <v>1421</v>
      </c>
      <c r="B242" s="16" t="s">
        <v>784</v>
      </c>
      <c r="C242" s="16">
        <v>1</v>
      </c>
      <c r="D242" s="16">
        <v>0</v>
      </c>
      <c r="E242" s="16">
        <v>0</v>
      </c>
      <c r="F242" s="16">
        <v>0</v>
      </c>
    </row>
    <row r="243" spans="1:6">
      <c r="A243" s="16">
        <v>1421</v>
      </c>
      <c r="B243" s="16" t="s">
        <v>784</v>
      </c>
      <c r="C243" s="16">
        <v>2</v>
      </c>
      <c r="D243" s="16">
        <v>466</v>
      </c>
      <c r="E243" s="16">
        <v>34</v>
      </c>
      <c r="F243" s="16">
        <v>39</v>
      </c>
    </row>
    <row r="244" spans="1:6">
      <c r="A244" s="16">
        <v>1421</v>
      </c>
      <c r="B244" s="16" t="s">
        <v>784</v>
      </c>
      <c r="C244" s="16">
        <v>3</v>
      </c>
      <c r="D244" s="16">
        <v>933</v>
      </c>
      <c r="E244" s="16">
        <v>68</v>
      </c>
      <c r="F244" s="16">
        <v>79</v>
      </c>
    </row>
    <row r="245" spans="1:6">
      <c r="A245" s="16">
        <v>1421</v>
      </c>
      <c r="B245" s="16" t="s">
        <v>784</v>
      </c>
      <c r="C245" s="16">
        <v>4</v>
      </c>
      <c r="D245" s="16">
        <v>1399</v>
      </c>
      <c r="E245" s="16">
        <v>102</v>
      </c>
      <c r="F245" s="16">
        <v>118</v>
      </c>
    </row>
    <row r="246" spans="1:6">
      <c r="A246" s="16">
        <v>1421</v>
      </c>
      <c r="B246" s="16" t="s">
        <v>784</v>
      </c>
      <c r="C246" s="16">
        <v>5</v>
      </c>
      <c r="D246" s="16">
        <v>1866</v>
      </c>
      <c r="E246" s="16">
        <v>136</v>
      </c>
      <c r="F246" s="16">
        <v>157</v>
      </c>
    </row>
    <row r="247" spans="1:6">
      <c r="A247" s="16">
        <v>1421</v>
      </c>
      <c r="B247" s="16" t="s">
        <v>784</v>
      </c>
      <c r="C247" s="16">
        <v>6</v>
      </c>
      <c r="D247" s="16">
        <v>2332</v>
      </c>
      <c r="E247" s="16">
        <v>170</v>
      </c>
      <c r="F247" s="16">
        <v>197</v>
      </c>
    </row>
    <row r="248" spans="1:6">
      <c r="A248" s="16">
        <v>1431</v>
      </c>
      <c r="B248" s="16" t="s">
        <v>796</v>
      </c>
      <c r="C248" s="16">
        <v>1</v>
      </c>
      <c r="D248" s="16">
        <v>0</v>
      </c>
      <c r="E248" s="16">
        <v>0</v>
      </c>
      <c r="F248" s="16">
        <v>0</v>
      </c>
    </row>
    <row r="249" spans="1:6">
      <c r="A249" s="16">
        <v>1431</v>
      </c>
      <c r="B249" s="16" t="s">
        <v>796</v>
      </c>
      <c r="C249" s="16">
        <v>2</v>
      </c>
      <c r="D249" s="16">
        <v>423</v>
      </c>
      <c r="E249" s="16">
        <v>48</v>
      </c>
      <c r="F249" s="16">
        <v>33</v>
      </c>
    </row>
    <row r="250" spans="1:6">
      <c r="A250" s="16">
        <v>1431</v>
      </c>
      <c r="B250" s="16" t="s">
        <v>796</v>
      </c>
      <c r="C250" s="16">
        <v>3</v>
      </c>
      <c r="D250" s="16">
        <v>847</v>
      </c>
      <c r="E250" s="16">
        <v>96</v>
      </c>
      <c r="F250" s="16">
        <v>67</v>
      </c>
    </row>
    <row r="251" spans="1:6">
      <c r="A251" s="16">
        <v>1431</v>
      </c>
      <c r="B251" s="16" t="s">
        <v>796</v>
      </c>
      <c r="C251" s="16">
        <v>4</v>
      </c>
      <c r="D251" s="16">
        <v>1270</v>
      </c>
      <c r="E251" s="16">
        <v>145</v>
      </c>
      <c r="F251" s="16">
        <v>100</v>
      </c>
    </row>
    <row r="252" spans="1:6">
      <c r="A252" s="16">
        <v>1431</v>
      </c>
      <c r="B252" s="16" t="s">
        <v>796</v>
      </c>
      <c r="C252" s="16">
        <v>5</v>
      </c>
      <c r="D252" s="16">
        <v>1694</v>
      </c>
      <c r="E252" s="16">
        <v>193</v>
      </c>
      <c r="F252" s="16">
        <v>134</v>
      </c>
    </row>
    <row r="253" spans="1:6">
      <c r="A253" s="16">
        <v>1431</v>
      </c>
      <c r="B253" s="16" t="s">
        <v>796</v>
      </c>
      <c r="C253" s="16">
        <v>6</v>
      </c>
      <c r="D253" s="16">
        <v>2117</v>
      </c>
      <c r="E253" s="16">
        <v>241</v>
      </c>
      <c r="F253" s="16">
        <v>167</v>
      </c>
    </row>
    <row r="254" spans="1:6">
      <c r="A254" s="16">
        <v>1441</v>
      </c>
      <c r="B254" s="16" t="s">
        <v>826</v>
      </c>
      <c r="C254" s="16">
        <v>1</v>
      </c>
      <c r="D254" s="16">
        <v>0</v>
      </c>
      <c r="E254" s="16">
        <v>0</v>
      </c>
      <c r="F254" s="16">
        <v>0</v>
      </c>
    </row>
    <row r="255" spans="1:6">
      <c r="A255" s="16">
        <v>1441</v>
      </c>
      <c r="B255" s="16" t="s">
        <v>826</v>
      </c>
      <c r="C255" s="16">
        <v>2</v>
      </c>
      <c r="D255" s="16">
        <v>426</v>
      </c>
      <c r="E255" s="16">
        <v>39</v>
      </c>
      <c r="F255" s="16">
        <v>24</v>
      </c>
    </row>
    <row r="256" spans="1:6">
      <c r="A256" s="16">
        <v>1441</v>
      </c>
      <c r="B256" s="16" t="s">
        <v>826</v>
      </c>
      <c r="C256" s="16">
        <v>3</v>
      </c>
      <c r="D256" s="16">
        <v>852</v>
      </c>
      <c r="E256" s="16">
        <v>78</v>
      </c>
      <c r="F256" s="16">
        <v>49</v>
      </c>
    </row>
    <row r="257" spans="1:6">
      <c r="A257" s="16">
        <v>1441</v>
      </c>
      <c r="B257" s="16" t="s">
        <v>826</v>
      </c>
      <c r="C257" s="16">
        <v>4</v>
      </c>
      <c r="D257" s="16">
        <v>1279</v>
      </c>
      <c r="E257" s="16">
        <v>116</v>
      </c>
      <c r="F257" s="16">
        <v>73</v>
      </c>
    </row>
    <row r="258" spans="1:6">
      <c r="A258" s="16">
        <v>1441</v>
      </c>
      <c r="B258" s="16" t="s">
        <v>826</v>
      </c>
      <c r="C258" s="16">
        <v>5</v>
      </c>
      <c r="D258" s="16">
        <v>1705</v>
      </c>
      <c r="E258" s="16">
        <v>155</v>
      </c>
      <c r="F258" s="16">
        <v>98</v>
      </c>
    </row>
    <row r="259" spans="1:6">
      <c r="A259" s="16">
        <v>1441</v>
      </c>
      <c r="B259" s="16" t="s">
        <v>826</v>
      </c>
      <c r="C259" s="16">
        <v>6</v>
      </c>
      <c r="D259" s="16">
        <v>2131</v>
      </c>
      <c r="E259" s="16">
        <v>194</v>
      </c>
      <c r="F259" s="16">
        <v>122</v>
      </c>
    </row>
    <row r="260" spans="1:6">
      <c r="A260" s="16">
        <v>1451</v>
      </c>
      <c r="B260" s="16" t="s">
        <v>849</v>
      </c>
      <c r="C260" s="16">
        <v>1</v>
      </c>
      <c r="D260" s="16">
        <v>0</v>
      </c>
      <c r="E260" s="16">
        <v>0</v>
      </c>
      <c r="F260" s="16">
        <v>0</v>
      </c>
    </row>
    <row r="261" spans="1:6">
      <c r="A261" s="16">
        <v>1451</v>
      </c>
      <c r="B261" s="16" t="s">
        <v>849</v>
      </c>
      <c r="C261" s="16">
        <v>2</v>
      </c>
      <c r="D261" s="16">
        <v>468</v>
      </c>
      <c r="E261" s="16">
        <v>39</v>
      </c>
      <c r="F261" s="16">
        <v>33</v>
      </c>
    </row>
    <row r="262" spans="1:6">
      <c r="A262" s="16">
        <v>1451</v>
      </c>
      <c r="B262" s="16" t="s">
        <v>849</v>
      </c>
      <c r="C262" s="16">
        <v>3</v>
      </c>
      <c r="D262" s="16">
        <v>936</v>
      </c>
      <c r="E262" s="16">
        <v>78</v>
      </c>
      <c r="F262" s="16">
        <v>66</v>
      </c>
    </row>
    <row r="263" spans="1:6">
      <c r="A263" s="16">
        <v>1451</v>
      </c>
      <c r="B263" s="16" t="s">
        <v>849</v>
      </c>
      <c r="C263" s="16">
        <v>4</v>
      </c>
      <c r="D263" s="16">
        <v>1403</v>
      </c>
      <c r="E263" s="16">
        <v>117</v>
      </c>
      <c r="F263" s="16">
        <v>98</v>
      </c>
    </row>
    <row r="264" spans="1:6">
      <c r="A264" s="16">
        <v>1451</v>
      </c>
      <c r="B264" s="16" t="s">
        <v>849</v>
      </c>
      <c r="C264" s="16">
        <v>5</v>
      </c>
      <c r="D264" s="16">
        <v>1871</v>
      </c>
      <c r="E264" s="16">
        <v>156</v>
      </c>
      <c r="F264" s="16">
        <v>131</v>
      </c>
    </row>
    <row r="265" spans="1:6">
      <c r="A265" s="16">
        <v>1451</v>
      </c>
      <c r="B265" s="16" t="s">
        <v>849</v>
      </c>
      <c r="C265" s="16">
        <v>6</v>
      </c>
      <c r="D265" s="16">
        <v>2339</v>
      </c>
      <c r="E265" s="16">
        <v>195</v>
      </c>
      <c r="F265" s="16">
        <v>164</v>
      </c>
    </row>
    <row r="266" spans="1:6">
      <c r="A266" s="16">
        <v>1461</v>
      </c>
      <c r="B266" s="16" t="s">
        <v>864</v>
      </c>
      <c r="C266" s="16">
        <v>1</v>
      </c>
      <c r="D266" s="16">
        <v>0</v>
      </c>
      <c r="E266" s="16">
        <v>0</v>
      </c>
      <c r="F266" s="16">
        <v>0</v>
      </c>
    </row>
    <row r="267" spans="1:6">
      <c r="A267" s="16">
        <v>1461</v>
      </c>
      <c r="B267" s="16" t="s">
        <v>864</v>
      </c>
      <c r="C267" s="16">
        <v>2</v>
      </c>
      <c r="D267" s="16">
        <v>423</v>
      </c>
      <c r="E267" s="16">
        <v>48</v>
      </c>
      <c r="F267" s="16">
        <v>34</v>
      </c>
    </row>
    <row r="268" spans="1:6">
      <c r="A268" s="16">
        <v>1461</v>
      </c>
      <c r="B268" s="16" t="s">
        <v>864</v>
      </c>
      <c r="C268" s="16">
        <v>3</v>
      </c>
      <c r="D268" s="16">
        <v>847</v>
      </c>
      <c r="E268" s="16">
        <v>95</v>
      </c>
      <c r="F268" s="16">
        <v>68</v>
      </c>
    </row>
    <row r="269" spans="1:6">
      <c r="A269" s="16">
        <v>1461</v>
      </c>
      <c r="B269" s="16" t="s">
        <v>864</v>
      </c>
      <c r="C269" s="16">
        <v>4</v>
      </c>
      <c r="D269" s="16">
        <v>1270</v>
      </c>
      <c r="E269" s="16">
        <v>143</v>
      </c>
      <c r="F269" s="16">
        <v>101</v>
      </c>
    </row>
    <row r="270" spans="1:6">
      <c r="A270" s="16">
        <v>1461</v>
      </c>
      <c r="B270" s="16" t="s">
        <v>864</v>
      </c>
      <c r="C270" s="16">
        <v>5</v>
      </c>
      <c r="D270" s="16">
        <v>1694</v>
      </c>
      <c r="E270" s="16">
        <v>191</v>
      </c>
      <c r="F270" s="16">
        <v>135</v>
      </c>
    </row>
    <row r="271" spans="1:6">
      <c r="A271" s="16">
        <v>1461</v>
      </c>
      <c r="B271" s="16" t="s">
        <v>864</v>
      </c>
      <c r="C271" s="16">
        <v>6</v>
      </c>
      <c r="D271" s="16">
        <v>2117</v>
      </c>
      <c r="E271" s="16">
        <v>239</v>
      </c>
      <c r="F271" s="16">
        <v>169</v>
      </c>
    </row>
    <row r="272" spans="1:6">
      <c r="A272" s="16">
        <v>1471</v>
      </c>
      <c r="B272" s="16" t="s">
        <v>879</v>
      </c>
      <c r="C272" s="16">
        <v>1</v>
      </c>
      <c r="D272" s="16">
        <v>0</v>
      </c>
      <c r="E272" s="16">
        <v>0</v>
      </c>
      <c r="F272" s="16">
        <v>0</v>
      </c>
    </row>
    <row r="273" spans="1:6">
      <c r="A273" s="16">
        <v>1471</v>
      </c>
      <c r="B273" s="16" t="s">
        <v>879</v>
      </c>
      <c r="C273" s="16">
        <v>2</v>
      </c>
      <c r="D273" s="16">
        <v>469</v>
      </c>
      <c r="E273" s="16">
        <v>44</v>
      </c>
      <c r="F273" s="16">
        <v>25</v>
      </c>
    </row>
    <row r="274" spans="1:6">
      <c r="A274" s="16">
        <v>1471</v>
      </c>
      <c r="B274" s="16" t="s">
        <v>879</v>
      </c>
      <c r="C274" s="16">
        <v>3</v>
      </c>
      <c r="D274" s="16">
        <v>938</v>
      </c>
      <c r="E274" s="16">
        <v>88</v>
      </c>
      <c r="F274" s="16">
        <v>49</v>
      </c>
    </row>
    <row r="275" spans="1:6">
      <c r="A275" s="16">
        <v>1471</v>
      </c>
      <c r="B275" s="16" t="s">
        <v>879</v>
      </c>
      <c r="C275" s="16">
        <v>4</v>
      </c>
      <c r="D275" s="16">
        <v>1407</v>
      </c>
      <c r="E275" s="16">
        <v>132</v>
      </c>
      <c r="F275" s="16">
        <v>74</v>
      </c>
    </row>
    <row r="276" spans="1:6">
      <c r="A276" s="16">
        <v>1471</v>
      </c>
      <c r="B276" s="16" t="s">
        <v>879</v>
      </c>
      <c r="C276" s="16">
        <v>5</v>
      </c>
      <c r="D276" s="16">
        <v>1875</v>
      </c>
      <c r="E276" s="16">
        <v>177</v>
      </c>
      <c r="F276" s="16">
        <v>98</v>
      </c>
    </row>
    <row r="277" spans="1:6">
      <c r="A277" s="16">
        <v>1471</v>
      </c>
      <c r="B277" s="16" t="s">
        <v>879</v>
      </c>
      <c r="C277" s="16">
        <v>6</v>
      </c>
      <c r="D277" s="16">
        <v>2344</v>
      </c>
      <c r="E277" s="16">
        <v>221</v>
      </c>
      <c r="F277" s="16">
        <v>123</v>
      </c>
    </row>
    <row r="278" spans="1:6">
      <c r="A278" s="16">
        <v>1481</v>
      </c>
      <c r="B278" s="16" t="s">
        <v>900</v>
      </c>
      <c r="C278" s="16">
        <v>1</v>
      </c>
      <c r="D278" s="16">
        <v>0</v>
      </c>
      <c r="E278" s="16">
        <v>0</v>
      </c>
      <c r="F278" s="16">
        <v>0</v>
      </c>
    </row>
    <row r="279" spans="1:6">
      <c r="A279" s="16">
        <v>1481</v>
      </c>
      <c r="B279" s="16" t="s">
        <v>900</v>
      </c>
      <c r="C279" s="16">
        <v>2</v>
      </c>
      <c r="D279" s="16">
        <v>455</v>
      </c>
      <c r="E279" s="16">
        <v>39</v>
      </c>
      <c r="F279" s="16">
        <v>34</v>
      </c>
    </row>
    <row r="280" spans="1:6">
      <c r="A280" s="16">
        <v>1481</v>
      </c>
      <c r="B280" s="16" t="s">
        <v>900</v>
      </c>
      <c r="C280" s="16">
        <v>3</v>
      </c>
      <c r="D280" s="16">
        <v>911</v>
      </c>
      <c r="E280" s="16">
        <v>78</v>
      </c>
      <c r="F280" s="16">
        <v>68</v>
      </c>
    </row>
    <row r="281" spans="1:6">
      <c r="A281" s="16">
        <v>1481</v>
      </c>
      <c r="B281" s="16" t="s">
        <v>900</v>
      </c>
      <c r="C281" s="16">
        <v>4</v>
      </c>
      <c r="D281" s="16">
        <v>1366</v>
      </c>
      <c r="E281" s="16">
        <v>117</v>
      </c>
      <c r="F281" s="16">
        <v>101</v>
      </c>
    </row>
    <row r="282" spans="1:6">
      <c r="A282" s="16">
        <v>1481</v>
      </c>
      <c r="B282" s="16" t="s">
        <v>900</v>
      </c>
      <c r="C282" s="16">
        <v>5</v>
      </c>
      <c r="D282" s="16">
        <v>1821</v>
      </c>
      <c r="E282" s="16">
        <v>156</v>
      </c>
      <c r="F282" s="16">
        <v>135</v>
      </c>
    </row>
    <row r="283" spans="1:6">
      <c r="A283" s="16">
        <v>1481</v>
      </c>
      <c r="B283" s="16" t="s">
        <v>900</v>
      </c>
      <c r="C283" s="16">
        <v>6</v>
      </c>
      <c r="D283" s="16">
        <v>2276</v>
      </c>
      <c r="E283" s="16">
        <v>195</v>
      </c>
      <c r="F283" s="16">
        <v>169</v>
      </c>
    </row>
    <row r="284" spans="1:6">
      <c r="A284" s="16">
        <v>1491</v>
      </c>
      <c r="B284" s="16" t="s">
        <v>915</v>
      </c>
      <c r="C284" s="16">
        <v>1</v>
      </c>
      <c r="D284" s="16">
        <v>0</v>
      </c>
      <c r="E284" s="16">
        <v>0</v>
      </c>
      <c r="F284" s="16">
        <v>0</v>
      </c>
    </row>
    <row r="285" spans="1:6">
      <c r="A285" s="16">
        <v>1491</v>
      </c>
      <c r="B285" s="16" t="s">
        <v>915</v>
      </c>
      <c r="C285" s="16">
        <v>2</v>
      </c>
      <c r="D285" s="16">
        <v>468</v>
      </c>
      <c r="E285" s="16">
        <v>39</v>
      </c>
      <c r="F285" s="16">
        <v>33</v>
      </c>
    </row>
    <row r="286" spans="1:6">
      <c r="A286" s="16">
        <v>1491</v>
      </c>
      <c r="B286" s="16" t="s">
        <v>915</v>
      </c>
      <c r="C286" s="16">
        <v>3</v>
      </c>
      <c r="D286" s="16">
        <v>936</v>
      </c>
      <c r="E286" s="16">
        <v>77</v>
      </c>
      <c r="F286" s="16">
        <v>66</v>
      </c>
    </row>
    <row r="287" spans="1:6">
      <c r="A287" s="16">
        <v>1491</v>
      </c>
      <c r="B287" s="16" t="s">
        <v>915</v>
      </c>
      <c r="C287" s="16">
        <v>4</v>
      </c>
      <c r="D287" s="16">
        <v>1403</v>
      </c>
      <c r="E287" s="16">
        <v>116</v>
      </c>
      <c r="F287" s="16">
        <v>99</v>
      </c>
    </row>
    <row r="288" spans="1:6">
      <c r="A288" s="16">
        <v>1491</v>
      </c>
      <c r="B288" s="16" t="s">
        <v>915</v>
      </c>
      <c r="C288" s="16">
        <v>5</v>
      </c>
      <c r="D288" s="16">
        <v>1871</v>
      </c>
      <c r="E288" s="16">
        <v>154</v>
      </c>
      <c r="F288" s="16">
        <v>133</v>
      </c>
    </row>
    <row r="289" spans="1:6">
      <c r="A289" s="16">
        <v>1491</v>
      </c>
      <c r="B289" s="16" t="s">
        <v>915</v>
      </c>
      <c r="C289" s="16">
        <v>6</v>
      </c>
      <c r="D289" s="16">
        <v>2339</v>
      </c>
      <c r="E289" s="16">
        <v>193</v>
      </c>
      <c r="F289" s="16">
        <v>166</v>
      </c>
    </row>
    <row r="290" spans="1:6">
      <c r="A290" s="16">
        <v>1501</v>
      </c>
      <c r="B290" s="16" t="s">
        <v>933</v>
      </c>
      <c r="C290" s="16">
        <v>1</v>
      </c>
      <c r="D290" s="16">
        <v>0</v>
      </c>
      <c r="E290" s="16">
        <v>0</v>
      </c>
      <c r="F290" s="16">
        <v>0</v>
      </c>
    </row>
    <row r="291" spans="1:6">
      <c r="A291" s="16">
        <v>1501</v>
      </c>
      <c r="B291" s="16" t="s">
        <v>933</v>
      </c>
      <c r="C291" s="16">
        <v>2</v>
      </c>
      <c r="D291" s="16">
        <v>428</v>
      </c>
      <c r="E291" s="16">
        <v>44</v>
      </c>
      <c r="F291" s="16">
        <v>34</v>
      </c>
    </row>
    <row r="292" spans="1:6">
      <c r="A292" s="16">
        <v>1501</v>
      </c>
      <c r="B292" s="16" t="s">
        <v>933</v>
      </c>
      <c r="C292" s="16">
        <v>3</v>
      </c>
      <c r="D292" s="16">
        <v>855</v>
      </c>
      <c r="E292" s="16">
        <v>89</v>
      </c>
      <c r="F292" s="16">
        <v>68</v>
      </c>
    </row>
    <row r="293" spans="1:6">
      <c r="A293" s="16">
        <v>1501</v>
      </c>
      <c r="B293" s="16" t="s">
        <v>933</v>
      </c>
      <c r="C293" s="16">
        <v>4</v>
      </c>
      <c r="D293" s="16">
        <v>1283</v>
      </c>
      <c r="E293" s="16">
        <v>133</v>
      </c>
      <c r="F293" s="16">
        <v>103</v>
      </c>
    </row>
    <row r="294" spans="1:6">
      <c r="A294" s="16">
        <v>1501</v>
      </c>
      <c r="B294" s="16" t="s">
        <v>933</v>
      </c>
      <c r="C294" s="16">
        <v>5</v>
      </c>
      <c r="D294" s="16">
        <v>1710</v>
      </c>
      <c r="E294" s="16">
        <v>177</v>
      </c>
      <c r="F294" s="16">
        <v>137</v>
      </c>
    </row>
    <row r="295" spans="1:6">
      <c r="A295" s="16">
        <v>1501</v>
      </c>
      <c r="B295" s="16" t="s">
        <v>933</v>
      </c>
      <c r="C295" s="16">
        <v>6</v>
      </c>
      <c r="D295" s="16">
        <v>2138</v>
      </c>
      <c r="E295" s="16">
        <v>222</v>
      </c>
      <c r="F295" s="16">
        <v>171</v>
      </c>
    </row>
    <row r="296" spans="1:6">
      <c r="A296" s="16">
        <v>1502</v>
      </c>
      <c r="B296" s="16" t="s">
        <v>933</v>
      </c>
      <c r="C296" s="16">
        <v>1</v>
      </c>
      <c r="D296" s="16">
        <v>0</v>
      </c>
      <c r="E296" s="16">
        <v>0</v>
      </c>
      <c r="F296" s="16">
        <v>0</v>
      </c>
    </row>
    <row r="297" spans="1:6">
      <c r="A297" s="16">
        <v>1502</v>
      </c>
      <c r="B297" s="16" t="s">
        <v>933</v>
      </c>
      <c r="C297" s="16">
        <v>2</v>
      </c>
      <c r="D297" s="16">
        <v>428</v>
      </c>
      <c r="E297" s="16">
        <v>44</v>
      </c>
      <c r="F297" s="16">
        <v>34</v>
      </c>
    </row>
    <row r="298" spans="1:6">
      <c r="A298" s="16">
        <v>1502</v>
      </c>
      <c r="B298" s="16" t="s">
        <v>933</v>
      </c>
      <c r="C298" s="16">
        <v>3</v>
      </c>
      <c r="D298" s="16">
        <v>855</v>
      </c>
      <c r="E298" s="16">
        <v>89</v>
      </c>
      <c r="F298" s="16">
        <v>68</v>
      </c>
    </row>
    <row r="299" spans="1:6">
      <c r="A299" s="16">
        <v>1502</v>
      </c>
      <c r="B299" s="16" t="s">
        <v>933</v>
      </c>
      <c r="C299" s="16">
        <v>4</v>
      </c>
      <c r="D299" s="16">
        <v>1283</v>
      </c>
      <c r="E299" s="16">
        <v>133</v>
      </c>
      <c r="F299" s="16">
        <v>103</v>
      </c>
    </row>
    <row r="300" spans="1:6">
      <c r="A300" s="16">
        <v>1502</v>
      </c>
      <c r="B300" s="16" t="s">
        <v>933</v>
      </c>
      <c r="C300" s="16">
        <v>5</v>
      </c>
      <c r="D300" s="16">
        <v>1710</v>
      </c>
      <c r="E300" s="16">
        <v>177</v>
      </c>
      <c r="F300" s="16">
        <v>137</v>
      </c>
    </row>
    <row r="301" spans="1:6">
      <c r="A301" s="16">
        <v>1502</v>
      </c>
      <c r="B301" s="16" t="s">
        <v>933</v>
      </c>
      <c r="C301" s="16">
        <v>6</v>
      </c>
      <c r="D301" s="16">
        <v>2138</v>
      </c>
      <c r="E301" s="16">
        <v>222</v>
      </c>
      <c r="F301" s="16">
        <v>171</v>
      </c>
    </row>
  </sheetData>
</worksheet>
</file>

<file path=xl/worksheets/sheet14.xml><?xml version="1.0" encoding="utf-8"?>
<worksheet xmlns="http://schemas.openxmlformats.org/spreadsheetml/2006/main">
  <sheetPr codeName="合作者档案">
    <tabColor/>
  </sheetPr>
  <dimension ref="J50"/>
  <sheetViews>
    <sheetView showGridLines="1" workbookViewId="0">
      <pane xSplit="1" ySplit="1" topLeftCell="B2" state="frozen"/>
    </sheetView>
  </sheetViews>
  <sheetFormatPr baseColWidth="13" defaultRowHeight="18" customHeight="1"/>
  <cols>
    <col min="1" max="1" width="10.7109" customWidth="1"/>
    <col min="2" max="2" width="11.8242" customWidth="1"/>
    <col min="3" max="3" width="18.0312" customWidth="1"/>
    <col min="4" max="4" width="10.7109" customWidth="1"/>
    <col min="5" max="5" width="18.8828" style="88" customWidth="1"/>
    <col min="6" max="6" width="12.0938" style="89" customWidth="1"/>
    <col min="7" max="7" width="43.1641" customWidth="1"/>
    <col min="8" max="9" width="21.582" style="10" customWidth="1"/>
    <col min="10" max="10" width="50.7109" style="88" customWidth="1"/>
  </cols>
  <sheetData>
    <row r="1" spans="1:10">
      <c r="A1" s="28" t="s">
        <v>956</v>
      </c>
      <c r="B1" s="28" t="s">
        <v>3185</v>
      </c>
      <c r="C1" s="28" t="s">
        <v>4144</v>
      </c>
      <c r="D1" s="28" t="s">
        <v>4145</v>
      </c>
      <c r="E1" s="28" t="s">
        <v>4146</v>
      </c>
      <c r="F1" s="55" t="s">
        <v>4147</v>
      </c>
      <c r="G1" s="28" t="s">
        <v>4148</v>
      </c>
      <c r="H1" s="28" t="s">
        <v>4149</v>
      </c>
      <c r="I1" s="28" t="s">
        <v>4150</v>
      </c>
      <c r="J1" s="28" t="s">
        <v>4151</v>
      </c>
    </row>
    <row r="2" spans="1:10">
      <c r="A2" s="28">
        <v>101011</v>
      </c>
      <c r="B2" s="28">
        <v>1011</v>
      </c>
      <c r="C2" s="28" t="s">
        <v>4152</v>
      </c>
      <c r="D2" s="28" t="s">
        <v>4153</v>
      </c>
      <c r="E2" s="28">
        <v>156</v>
      </c>
      <c r="F2" s="55" t="s">
        <v>4154</v>
      </c>
      <c r="G2" s="28" t="s">
        <v>4155</v>
      </c>
      <c r="H2" s="28" t="s">
        <v>4156</v>
      </c>
      <c r="I2" s="28" t="s">
        <v>4157</v>
      </c>
      <c r="J2" s="28" t="s">
        <v>4158</v>
      </c>
    </row>
    <row r="3" spans="1:10">
      <c r="A3" s="28">
        <v>101021</v>
      </c>
      <c r="B3" s="28">
        <v>1021</v>
      </c>
      <c r="C3" s="28" t="s">
        <v>4159</v>
      </c>
      <c r="D3" s="28" t="s">
        <v>4153</v>
      </c>
      <c r="E3" s="28">
        <v>148</v>
      </c>
      <c r="F3" s="55" t="s">
        <v>4160</v>
      </c>
      <c r="G3" s="28" t="s">
        <v>4161</v>
      </c>
      <c r="H3" s="28" t="s">
        <v>4162</v>
      </c>
      <c r="I3" s="28" t="s">
        <v>4163</v>
      </c>
      <c r="J3" s="28" t="s">
        <v>4164</v>
      </c>
    </row>
    <row r="4" spans="1:10">
      <c r="A4" s="28">
        <v>101031</v>
      </c>
      <c r="B4" s="28">
        <v>1031</v>
      </c>
      <c r="C4" s="28" t="s">
        <v>4165</v>
      </c>
      <c r="D4" s="28" t="s">
        <v>4153</v>
      </c>
      <c r="E4" s="28">
        <v>165</v>
      </c>
      <c r="F4" s="55" t="s">
        <v>4166</v>
      </c>
      <c r="G4" s="28" t="s">
        <v>4167</v>
      </c>
      <c r="H4" s="28" t="s">
        <v>4168</v>
      </c>
      <c r="I4" s="28" t="s">
        <v>4169</v>
      </c>
      <c r="J4" s="28" t="s">
        <v>4170</v>
      </c>
    </row>
    <row r="5" spans="1:10">
      <c r="A5" s="28">
        <v>101081</v>
      </c>
      <c r="B5" s="28">
        <v>1081</v>
      </c>
      <c r="C5" s="28" t="s">
        <v>4171</v>
      </c>
      <c r="D5" s="28" t="s">
        <v>4172</v>
      </c>
      <c r="E5" s="28">
        <v>188</v>
      </c>
      <c r="F5" s="55" t="s">
        <v>4173</v>
      </c>
      <c r="G5" s="28" t="s">
        <v>4174</v>
      </c>
      <c r="H5" s="28" t="s">
        <v>4175</v>
      </c>
      <c r="I5" s="28" t="s">
        <v>4176</v>
      </c>
      <c r="J5" s="28" t="s">
        <v>4177</v>
      </c>
    </row>
    <row r="6" spans="1:10">
      <c r="A6" s="28">
        <v>121101</v>
      </c>
      <c r="B6" s="28">
        <v>1101</v>
      </c>
      <c r="C6" s="28" t="s">
        <v>4178</v>
      </c>
      <c r="D6" s="28" t="s">
        <v>4153</v>
      </c>
      <c r="E6" s="28">
        <v>150</v>
      </c>
      <c r="F6" s="55" t="s">
        <v>4179</v>
      </c>
      <c r="G6" s="28" t="s">
        <v>4180</v>
      </c>
      <c r="H6" s="28" t="s">
        <v>4181</v>
      </c>
      <c r="I6" s="28" t="s">
        <v>4182</v>
      </c>
      <c r="J6" s="28" t="s">
        <v>4183</v>
      </c>
    </row>
    <row r="7" spans="1:10">
      <c r="A7" s="28">
        <v>121111</v>
      </c>
      <c r="B7" s="28">
        <v>1111</v>
      </c>
      <c r="C7" s="28" t="s">
        <v>4184</v>
      </c>
      <c r="D7" s="28" t="s">
        <v>4172</v>
      </c>
      <c r="E7" s="28">
        <v>190</v>
      </c>
      <c r="F7" s="55" t="s">
        <v>4185</v>
      </c>
      <c r="G7" s="28" t="s">
        <v>4186</v>
      </c>
      <c r="H7" s="28" t="s">
        <v>4187</v>
      </c>
      <c r="I7" s="28" t="s">
        <v>4188</v>
      </c>
      <c r="J7" s="28" t="s">
        <v>4189</v>
      </c>
    </row>
    <row r="8" spans="1:10">
      <c r="A8" s="28">
        <v>121121</v>
      </c>
      <c r="B8" s="28">
        <v>1121</v>
      </c>
      <c r="C8" s="28" t="s">
        <v>4190</v>
      </c>
      <c r="D8" s="28" t="s">
        <v>4172</v>
      </c>
      <c r="E8" s="28">
        <v>192</v>
      </c>
      <c r="F8" s="55" t="s">
        <v>4191</v>
      </c>
      <c r="G8" s="28" t="s">
        <v>4192</v>
      </c>
      <c r="H8" s="28" t="s">
        <v>4193</v>
      </c>
      <c r="I8" s="28" t="s">
        <v>4194</v>
      </c>
      <c r="J8" s="28" t="s">
        <v>4195</v>
      </c>
    </row>
    <row r="9" spans="1:10">
      <c r="A9" s="28">
        <v>121181</v>
      </c>
      <c r="B9" s="28">
        <v>1181</v>
      </c>
      <c r="C9" s="28" t="s">
        <v>4196</v>
      </c>
      <c r="D9" s="28" t="s">
        <v>4153</v>
      </c>
      <c r="E9" s="28">
        <v>170</v>
      </c>
      <c r="F9" s="55" t="s">
        <v>4197</v>
      </c>
      <c r="G9" s="28" t="s">
        <v>4198</v>
      </c>
      <c r="H9" s="28" t="s">
        <v>4199</v>
      </c>
      <c r="I9" s="28" t="s">
        <v>4200</v>
      </c>
      <c r="J9" s="28" t="s">
        <v>4201</v>
      </c>
    </row>
    <row r="10" spans="1:10">
      <c r="A10" s="28">
        <v>131061</v>
      </c>
      <c r="B10" s="28">
        <v>1061</v>
      </c>
      <c r="C10" s="28" t="s">
        <v>4202</v>
      </c>
      <c r="D10" s="28" t="s">
        <v>4153</v>
      </c>
      <c r="E10" s="28">
        <v>141</v>
      </c>
      <c r="F10" s="55" t="s">
        <v>4203</v>
      </c>
      <c r="G10" s="28" t="s">
        <v>4204</v>
      </c>
      <c r="H10" s="28" t="s">
        <v>4205</v>
      </c>
      <c r="I10" s="28" t="s">
        <v>4206</v>
      </c>
      <c r="J10" s="28" t="s">
        <v>4207</v>
      </c>
    </row>
    <row r="11" spans="1:10">
      <c r="A11" s="28">
        <v>131141</v>
      </c>
      <c r="B11" s="28">
        <v>1141</v>
      </c>
      <c r="C11" s="28" t="s">
        <v>4208</v>
      </c>
      <c r="D11" s="28" t="s">
        <v>4172</v>
      </c>
      <c r="E11" s="28">
        <v>198</v>
      </c>
      <c r="F11" s="55" t="s">
        <v>4209</v>
      </c>
      <c r="G11" s="28" t="s">
        <v>4210</v>
      </c>
      <c r="H11" s="28" t="s">
        <v>4211</v>
      </c>
      <c r="I11" s="28" t="s">
        <v>4212</v>
      </c>
      <c r="J11" s="28" t="s">
        <v>4213</v>
      </c>
    </row>
    <row r="12" spans="1:10">
      <c r="A12" s="28">
        <v>131191</v>
      </c>
      <c r="B12" s="28">
        <v>1191</v>
      </c>
      <c r="C12" s="28" t="s">
        <v>4214</v>
      </c>
      <c r="D12" s="28" t="s">
        <v>4153</v>
      </c>
      <c r="E12" s="28">
        <v>161</v>
      </c>
      <c r="F12" s="55" t="s">
        <v>4215</v>
      </c>
      <c r="G12" s="28" t="s">
        <v>4216</v>
      </c>
      <c r="H12" s="28" t="s">
        <v>4217</v>
      </c>
      <c r="I12" s="28" t="s">
        <v>4218</v>
      </c>
      <c r="J12" s="28" t="s">
        <v>4219</v>
      </c>
    </row>
    <row r="13" spans="1:10">
      <c r="A13" s="28">
        <v>131211</v>
      </c>
      <c r="B13" s="28">
        <v>1211</v>
      </c>
      <c r="C13" s="28" t="s">
        <v>4220</v>
      </c>
      <c r="D13" s="28" t="s">
        <v>4153</v>
      </c>
      <c r="E13" s="28">
        <v>173</v>
      </c>
      <c r="F13" s="55" t="s">
        <v>4221</v>
      </c>
      <c r="G13" s="28" t="s">
        <v>4222</v>
      </c>
      <c r="H13" s="28" t="s">
        <v>4223</v>
      </c>
      <c r="I13" s="28" t="s">
        <v>4224</v>
      </c>
      <c r="J13" s="28" t="s">
        <v>4225</v>
      </c>
    </row>
    <row r="14" spans="1:10">
      <c r="A14" s="28">
        <v>141041</v>
      </c>
      <c r="B14" s="28">
        <v>1041</v>
      </c>
      <c r="C14" s="28" t="s">
        <v>110</v>
      </c>
      <c r="D14" s="28" t="s">
        <v>4153</v>
      </c>
      <c r="E14" s="28">
        <v>160</v>
      </c>
      <c r="F14" s="55" t="s">
        <v>4226</v>
      </c>
      <c r="G14" s="28" t="s">
        <v>4227</v>
      </c>
      <c r="H14" s="28" t="s">
        <v>4228</v>
      </c>
      <c r="I14" s="28" t="s">
        <v>4229</v>
      </c>
      <c r="J14" s="28" t="s">
        <v>4230</v>
      </c>
    </row>
    <row r="15" spans="1:10">
      <c r="A15" s="28">
        <v>141301</v>
      </c>
      <c r="B15" s="28">
        <v>1301</v>
      </c>
      <c r="C15" s="28" t="s">
        <v>4231</v>
      </c>
      <c r="D15" s="28" t="s">
        <v>4153</v>
      </c>
      <c r="E15" s="28">
        <v>158</v>
      </c>
      <c r="F15" s="55" t="s">
        <v>4232</v>
      </c>
      <c r="G15" s="28" t="s">
        <v>4233</v>
      </c>
      <c r="H15" s="28" t="s">
        <v>4234</v>
      </c>
      <c r="I15" s="28" t="s">
        <v>4235</v>
      </c>
      <c r="J15" s="28" t="s">
        <v>4236</v>
      </c>
    </row>
    <row r="16" spans="1:10">
      <c r="A16" s="28">
        <v>141361</v>
      </c>
      <c r="B16" s="28">
        <v>1361</v>
      </c>
      <c r="C16" s="28" t="s">
        <v>671</v>
      </c>
      <c r="D16" s="28" t="s">
        <v>4153</v>
      </c>
      <c r="E16" s="28">
        <v>173</v>
      </c>
      <c r="F16" s="55" t="s">
        <v>4237</v>
      </c>
      <c r="G16" s="28" t="s">
        <v>4238</v>
      </c>
      <c r="H16" s="28" t="s">
        <v>4239</v>
      </c>
      <c r="I16" s="28" t="s">
        <v>4240</v>
      </c>
      <c r="J16" s="28" t="s">
        <v>4241</v>
      </c>
    </row>
    <row r="17" spans="1:10">
      <c r="A17" s="28">
        <v>141461</v>
      </c>
      <c r="B17" s="28">
        <v>1461</v>
      </c>
      <c r="C17" s="28" t="s">
        <v>864</v>
      </c>
      <c r="D17" s="28" t="s">
        <v>4153</v>
      </c>
      <c r="E17" s="28" t="s">
        <v>4242</v>
      </c>
      <c r="F17" s="55" t="s">
        <v>4243</v>
      </c>
      <c r="G17" s="28" t="s">
        <v>4244</v>
      </c>
      <c r="H17" s="28" t="s">
        <v>4245</v>
      </c>
      <c r="I17" s="28" t="s">
        <v>4246</v>
      </c>
      <c r="J17" s="28" t="s">
        <v>4247</v>
      </c>
    </row>
    <row r="18" spans="1:10">
      <c r="A18" s="28">
        <v>151241</v>
      </c>
      <c r="B18" s="28">
        <v>1241</v>
      </c>
      <c r="C18" s="28" t="s">
        <v>456</v>
      </c>
      <c r="D18" s="28" t="s">
        <v>4153</v>
      </c>
      <c r="E18" s="28">
        <v>175</v>
      </c>
      <c r="F18" s="55" t="s">
        <v>4248</v>
      </c>
      <c r="G18" s="28" t="s">
        <v>4249</v>
      </c>
      <c r="H18" s="28" t="s">
        <v>4250</v>
      </c>
      <c r="I18" s="28" t="s">
        <v>4251</v>
      </c>
      <c r="J18" s="28" t="s">
        <v>4252</v>
      </c>
    </row>
    <row r="19" spans="1:10">
      <c r="A19" s="28">
        <v>151251</v>
      </c>
      <c r="B19" s="28">
        <v>1251</v>
      </c>
      <c r="C19" s="28" t="s">
        <v>476</v>
      </c>
      <c r="D19" s="28" t="s">
        <v>4153</v>
      </c>
      <c r="E19" s="28">
        <v>142</v>
      </c>
      <c r="F19" s="55" t="s">
        <v>4253</v>
      </c>
      <c r="G19" s="28" t="s">
        <v>4254</v>
      </c>
      <c r="H19" s="28" t="s">
        <v>4255</v>
      </c>
      <c r="I19" s="28" t="s">
        <v>4256</v>
      </c>
      <c r="J19" s="28" t="s">
        <v>4257</v>
      </c>
    </row>
    <row r="20" spans="1:10">
      <c r="A20" s="28">
        <v>151261</v>
      </c>
      <c r="B20" s="28">
        <v>1261</v>
      </c>
      <c r="C20" s="28" t="s">
        <v>1581</v>
      </c>
      <c r="D20" s="28" t="s">
        <v>4153</v>
      </c>
      <c r="E20" s="28">
        <v>170</v>
      </c>
      <c r="F20" s="55" t="s">
        <v>4258</v>
      </c>
      <c r="G20" s="28" t="s">
        <v>4259</v>
      </c>
      <c r="H20" s="28" t="s">
        <v>4260</v>
      </c>
      <c r="I20" s="28" t="s">
        <v>4261</v>
      </c>
      <c r="J20" s="28" t="s">
        <v>4262</v>
      </c>
    </row>
    <row r="21" spans="1:10">
      <c r="A21" s="28">
        <v>151271</v>
      </c>
      <c r="B21" s="28">
        <v>1271</v>
      </c>
      <c r="C21" s="28" t="s">
        <v>4263</v>
      </c>
      <c r="D21" s="28" t="s">
        <v>4172</v>
      </c>
      <c r="E21" s="28">
        <v>174</v>
      </c>
      <c r="F21" s="55" t="s">
        <v>4264</v>
      </c>
      <c r="G21" s="28" t="s">
        <v>4265</v>
      </c>
      <c r="H21" s="28" t="s">
        <v>4266</v>
      </c>
      <c r="I21" s="28" t="s">
        <v>4267</v>
      </c>
      <c r="J21" s="28" t="s">
        <v>4268</v>
      </c>
    </row>
    <row r="22" spans="1:10">
      <c r="A22" s="28">
        <v>161071</v>
      </c>
      <c r="B22" s="28">
        <v>1071</v>
      </c>
      <c r="C22" s="28" t="s">
        <v>4269</v>
      </c>
      <c r="D22" s="28" t="s">
        <v>4153</v>
      </c>
      <c r="E22" s="28">
        <v>176</v>
      </c>
      <c r="F22" s="55" t="s">
        <v>4270</v>
      </c>
      <c r="G22" s="28" t="s">
        <v>4271</v>
      </c>
      <c r="H22" s="28" t="s">
        <v>4272</v>
      </c>
      <c r="I22" s="28" t="s">
        <v>4273</v>
      </c>
      <c r="J22" s="28" t="s">
        <v>4274</v>
      </c>
    </row>
    <row r="23" spans="1:10">
      <c r="A23" s="28">
        <v>161151</v>
      </c>
      <c r="B23" s="28">
        <v>1151</v>
      </c>
      <c r="C23" s="28" t="s">
        <v>4275</v>
      </c>
      <c r="D23" s="28" t="s">
        <v>4153</v>
      </c>
      <c r="E23" s="28">
        <v>152</v>
      </c>
      <c r="F23" s="55" t="s">
        <v>4276</v>
      </c>
      <c r="G23" s="28" t="s">
        <v>4277</v>
      </c>
      <c r="H23" s="28" t="s">
        <v>4278</v>
      </c>
      <c r="I23" s="28" t="s">
        <v>4279</v>
      </c>
      <c r="J23" s="28" t="s">
        <v>4280</v>
      </c>
    </row>
    <row r="24" spans="1:10">
      <c r="A24" s="28">
        <v>161161</v>
      </c>
      <c r="B24" s="28">
        <v>1161</v>
      </c>
      <c r="C24" s="28" t="s">
        <v>328</v>
      </c>
      <c r="D24" s="28" t="s">
        <v>4172</v>
      </c>
      <c r="E24" s="28">
        <v>185</v>
      </c>
      <c r="F24" s="55" t="s">
        <v>4281</v>
      </c>
      <c r="G24" s="28" t="s">
        <v>4282</v>
      </c>
      <c r="H24" s="28" t="s">
        <v>4283</v>
      </c>
      <c r="I24" s="28" t="s">
        <v>4284</v>
      </c>
      <c r="J24" s="28" t="s">
        <v>4285</v>
      </c>
    </row>
    <row r="25" spans="1:10">
      <c r="A25" s="28">
        <v>161171</v>
      </c>
      <c r="B25" s="28">
        <v>1171</v>
      </c>
      <c r="C25" s="28" t="s">
        <v>4286</v>
      </c>
      <c r="D25" s="28" t="s">
        <v>4153</v>
      </c>
      <c r="E25" s="28">
        <v>160</v>
      </c>
      <c r="F25" s="55" t="s">
        <v>4287</v>
      </c>
      <c r="G25" s="28" t="s">
        <v>4288</v>
      </c>
      <c r="H25" s="28" t="s">
        <v>4289</v>
      </c>
      <c r="I25" s="28" t="s">
        <v>4290</v>
      </c>
      <c r="J25" s="28" t="s">
        <v>4291</v>
      </c>
    </row>
    <row r="26" spans="1:10">
      <c r="A26" s="28">
        <v>161281</v>
      </c>
      <c r="B26" s="28">
        <v>1281</v>
      </c>
      <c r="C26" s="28" t="s">
        <v>540</v>
      </c>
      <c r="D26" s="28" t="s">
        <v>4153</v>
      </c>
      <c r="E26" s="28">
        <v>151</v>
      </c>
      <c r="F26" s="55" t="s">
        <v>4292</v>
      </c>
      <c r="G26" s="28" t="s">
        <v>4293</v>
      </c>
      <c r="H26" s="28" t="s">
        <v>4294</v>
      </c>
      <c r="I26" s="28" t="s">
        <v>4295</v>
      </c>
      <c r="J26" s="28" t="s">
        <v>4296</v>
      </c>
    </row>
    <row r="27" spans="1:10">
      <c r="A27" s="28">
        <v>161351</v>
      </c>
      <c r="B27" s="28">
        <v>1351</v>
      </c>
      <c r="C27" s="28" t="s">
        <v>4297</v>
      </c>
      <c r="D27" s="28" t="s">
        <v>4153</v>
      </c>
      <c r="E27" s="28">
        <v>173</v>
      </c>
      <c r="F27" s="55" t="s">
        <v>4298</v>
      </c>
      <c r="G27" s="28" t="s">
        <v>4299</v>
      </c>
      <c r="H27" s="28" t="s">
        <v>4300</v>
      </c>
      <c r="I27" s="28" t="s">
        <v>4301</v>
      </c>
      <c r="J27" s="28" t="s">
        <v>4302</v>
      </c>
    </row>
    <row r="28" spans="1:10">
      <c r="A28" s="28">
        <v>171091</v>
      </c>
      <c r="B28" s="28">
        <v>1091</v>
      </c>
      <c r="C28" s="28" t="s">
        <v>4303</v>
      </c>
      <c r="D28" s="28" t="s">
        <v>4153</v>
      </c>
      <c r="E28" s="28" t="s">
        <v>4304</v>
      </c>
      <c r="F28" s="55" t="s">
        <v>4298</v>
      </c>
      <c r="G28" s="28" t="s">
        <v>4305</v>
      </c>
      <c r="H28" s="28" t="s">
        <v>4306</v>
      </c>
      <c r="I28" s="28" t="s">
        <v>4307</v>
      </c>
      <c r="J28" s="28" t="s">
        <v>4308</v>
      </c>
    </row>
    <row r="29" spans="1:10">
      <c r="A29" s="28">
        <v>171131</v>
      </c>
      <c r="B29" s="28">
        <v>1131</v>
      </c>
      <c r="C29" s="28" t="s">
        <v>267</v>
      </c>
      <c r="D29" s="28" t="s">
        <v>4153</v>
      </c>
      <c r="E29" s="28">
        <v>145</v>
      </c>
      <c r="F29" s="55" t="s">
        <v>4309</v>
      </c>
      <c r="G29" s="28" t="s">
        <v>4310</v>
      </c>
      <c r="H29" s="28" t="s">
        <v>4311</v>
      </c>
      <c r="I29" s="28" t="s">
        <v>4312</v>
      </c>
      <c r="J29" s="28" t="s">
        <v>4313</v>
      </c>
    </row>
    <row r="30" spans="1:10">
      <c r="A30" s="28">
        <v>171201</v>
      </c>
      <c r="B30" s="28">
        <v>1201</v>
      </c>
      <c r="C30" s="28" t="s">
        <v>4314</v>
      </c>
      <c r="D30" s="28" t="s">
        <v>4172</v>
      </c>
      <c r="E30" s="28">
        <v>173</v>
      </c>
      <c r="F30" s="55" t="s">
        <v>4315</v>
      </c>
      <c r="G30" s="28" t="s">
        <v>4316</v>
      </c>
      <c r="H30" s="28" t="s">
        <v>4317</v>
      </c>
      <c r="I30" s="28" t="s">
        <v>4318</v>
      </c>
      <c r="J30" s="28" t="s">
        <v>4319</v>
      </c>
    </row>
    <row r="31" spans="1:10">
      <c r="A31" s="28">
        <v>171221</v>
      </c>
      <c r="B31" s="28">
        <v>1221</v>
      </c>
      <c r="C31" s="28" t="s">
        <v>4320</v>
      </c>
      <c r="D31" s="28" t="s">
        <v>4153</v>
      </c>
      <c r="E31" s="28">
        <v>169</v>
      </c>
      <c r="F31" s="55" t="s">
        <v>4321</v>
      </c>
      <c r="G31" s="28" t="s">
        <v>4322</v>
      </c>
      <c r="H31" s="28" t="s">
        <v>4323</v>
      </c>
      <c r="I31" s="28" t="s">
        <v>4324</v>
      </c>
      <c r="J31" s="28" t="s">
        <v>4325</v>
      </c>
    </row>
    <row r="32" spans="1:10">
      <c r="A32" s="28">
        <v>181311</v>
      </c>
      <c r="B32" s="28">
        <v>1311</v>
      </c>
      <c r="C32" s="28" t="s">
        <v>590</v>
      </c>
      <c r="D32" s="28" t="s">
        <v>4153</v>
      </c>
      <c r="E32" s="28">
        <v>176</v>
      </c>
      <c r="F32" s="55" t="s">
        <v>4326</v>
      </c>
      <c r="G32" s="28" t="s">
        <v>4327</v>
      </c>
      <c r="H32" s="28" t="s">
        <v>4328</v>
      </c>
      <c r="I32" s="28" t="s">
        <v>4329</v>
      </c>
      <c r="J32" s="28" t="s">
        <v>4330</v>
      </c>
    </row>
    <row r="33" spans="1:10">
      <c r="A33" s="28">
        <v>181321</v>
      </c>
      <c r="B33" s="28">
        <v>1321</v>
      </c>
      <c r="C33" s="28" t="s">
        <v>4331</v>
      </c>
      <c r="D33" s="28" t="s">
        <v>4153</v>
      </c>
      <c r="E33" s="28">
        <v>173</v>
      </c>
      <c r="F33" s="55" t="s">
        <v>4332</v>
      </c>
      <c r="G33" s="28" t="s">
        <v>4333</v>
      </c>
      <c r="H33" s="28" t="s">
        <v>4334</v>
      </c>
      <c r="I33" s="28" t="s">
        <v>4335</v>
      </c>
      <c r="J33" s="28" t="s">
        <v>4336</v>
      </c>
    </row>
    <row r="34" spans="1:10">
      <c r="A34" s="28">
        <v>191291</v>
      </c>
      <c r="B34" s="28">
        <v>1291</v>
      </c>
      <c r="C34" s="28" t="s">
        <v>4337</v>
      </c>
      <c r="D34" s="28" t="s">
        <v>4172</v>
      </c>
      <c r="E34" s="28">
        <v>185</v>
      </c>
      <c r="F34" s="55" t="s">
        <v>4338</v>
      </c>
      <c r="G34" s="28" t="s">
        <v>4339</v>
      </c>
      <c r="H34" s="28" t="s">
        <v>4340</v>
      </c>
      <c r="I34" s="28" t="s">
        <v>4341</v>
      </c>
      <c r="J34" s="28" t="s">
        <v>4342</v>
      </c>
    </row>
    <row r="35" spans="1:10">
      <c r="A35" s="28">
        <v>191331</v>
      </c>
      <c r="B35" s="28">
        <v>1331</v>
      </c>
      <c r="C35" s="28" t="s">
        <v>4343</v>
      </c>
      <c r="D35" s="28" t="s">
        <v>4153</v>
      </c>
      <c r="E35" s="28">
        <v>162</v>
      </c>
      <c r="F35" s="55" t="s">
        <v>4344</v>
      </c>
      <c r="G35" s="28" t="s">
        <v>4345</v>
      </c>
      <c r="H35" s="28" t="s">
        <v>4346</v>
      </c>
      <c r="I35" s="28" t="s">
        <v>4347</v>
      </c>
      <c r="J35" s="28" t="s">
        <v>4348</v>
      </c>
    </row>
    <row r="36" spans="1:10">
      <c r="A36" s="28">
        <v>201371</v>
      </c>
      <c r="B36" s="28">
        <v>1371</v>
      </c>
      <c r="C36" s="28" t="s">
        <v>692</v>
      </c>
      <c r="D36" s="28" t="s">
        <v>4153</v>
      </c>
      <c r="E36" s="28">
        <v>172</v>
      </c>
      <c r="F36" s="55" t="s">
        <v>4349</v>
      </c>
      <c r="G36" s="28" t="s">
        <v>4350</v>
      </c>
      <c r="H36" s="28" t="s">
        <v>4351</v>
      </c>
      <c r="I36" s="28" t="s">
        <v>4352</v>
      </c>
      <c r="J36" s="28" t="s">
        <v>4353</v>
      </c>
    </row>
    <row r="37" spans="1:10">
      <c r="A37" s="28">
        <v>201391</v>
      </c>
      <c r="B37" s="28">
        <v>1391</v>
      </c>
      <c r="C37" s="28" t="s">
        <v>734</v>
      </c>
      <c r="D37" s="28" t="s">
        <v>4153</v>
      </c>
      <c r="E37" s="28">
        <v>142</v>
      </c>
      <c r="F37" s="55" t="s">
        <v>4354</v>
      </c>
      <c r="G37" s="28" t="s">
        <v>4355</v>
      </c>
      <c r="H37" s="28" t="s">
        <v>4356</v>
      </c>
      <c r="I37" s="28" t="s">
        <v>4357</v>
      </c>
      <c r="J37" s="28" t="s">
        <v>4358</v>
      </c>
    </row>
    <row r="38" spans="1:10" ht="288.75" customHeight="1">
      <c r="A38" s="28">
        <v>201421</v>
      </c>
      <c r="B38" s="28">
        <v>1421</v>
      </c>
      <c r="C38" s="28" t="s">
        <v>784</v>
      </c>
      <c r="D38" s="28" t="s">
        <v>4172</v>
      </c>
      <c r="E38" s="28">
        <v>192</v>
      </c>
      <c r="F38" s="55" t="s">
        <v>4359</v>
      </c>
      <c r="G38" s="28" t="s">
        <v>4360</v>
      </c>
      <c r="H38" s="28" t="s">
        <v>4361</v>
      </c>
      <c r="I38" s="28" t="s">
        <v>4362</v>
      </c>
      <c r="J38" s="28" t="s">
        <v>4363</v>
      </c>
    </row>
    <row r="39" spans="1:10" ht="288.75" customHeight="1">
      <c r="A39" s="28">
        <v>201431</v>
      </c>
      <c r="B39" s="28">
        <v>1431</v>
      </c>
      <c r="C39" s="28" t="s">
        <v>796</v>
      </c>
      <c r="D39" s="28" t="s">
        <v>4153</v>
      </c>
      <c r="E39" s="28">
        <v>162</v>
      </c>
      <c r="F39" s="55" t="s">
        <v>4364</v>
      </c>
      <c r="G39" s="28" t="s">
        <v>4365</v>
      </c>
      <c r="H39" s="28" t="s">
        <v>4366</v>
      </c>
      <c r="I39" s="28" t="s">
        <v>4367</v>
      </c>
      <c r="J39" s="28" t="s">
        <v>4368</v>
      </c>
    </row>
    <row r="40" spans="1:10" ht="342" customHeight="1">
      <c r="A40" s="28">
        <v>211051</v>
      </c>
      <c r="B40" s="28">
        <v>1051</v>
      </c>
      <c r="C40" s="28" t="s">
        <v>4369</v>
      </c>
      <c r="D40" s="28" t="s">
        <v>4153</v>
      </c>
      <c r="E40" s="28">
        <v>171</v>
      </c>
      <c r="F40" s="55" t="s">
        <v>4370</v>
      </c>
      <c r="G40" s="28" t="s">
        <v>4371</v>
      </c>
      <c r="H40" s="28" t="s">
        <v>4372</v>
      </c>
      <c r="I40" s="28" t="s">
        <v>4373</v>
      </c>
      <c r="J40" s="28" t="s">
        <v>4374</v>
      </c>
    </row>
    <row r="41" spans="1:10">
      <c r="A41" s="28">
        <v>211401</v>
      </c>
      <c r="B41" s="28">
        <v>1401</v>
      </c>
      <c r="C41" s="28" t="s">
        <v>4375</v>
      </c>
      <c r="D41" s="28" t="s">
        <v>4153</v>
      </c>
      <c r="E41" s="28" t="s">
        <v>14626</v>
      </c>
      <c r="F41" s="55" t="s">
        <v>4376</v>
      </c>
      <c r="G41" s="28" t="s">
        <v>4377</v>
      </c>
      <c r="H41" s="28" t="s">
        <v>14627</v>
      </c>
      <c r="I41" s="56" t="s">
        <v>4378</v>
      </c>
      <c r="J41" s="28" t="s">
        <v>4379</v>
      </c>
    </row>
    <row r="42" spans="1:10">
      <c r="A42" s="28">
        <v>211411</v>
      </c>
      <c r="B42" s="28">
        <v>1411</v>
      </c>
      <c r="C42" s="56" t="s">
        <v>4380</v>
      </c>
      <c r="D42" s="28" t="s">
        <v>4153</v>
      </c>
      <c r="E42" s="28">
        <v>162</v>
      </c>
      <c r="F42" s="55" t="s">
        <v>4381</v>
      </c>
      <c r="G42" s="28" t="s">
        <v>4382</v>
      </c>
      <c r="H42" s="28" t="s">
        <v>4383</v>
      </c>
      <c r="I42" s="28" t="s">
        <v>4384</v>
      </c>
      <c r="J42" s="28" t="s">
        <v>4385</v>
      </c>
    </row>
    <row r="43" spans="1:10" ht="402" customHeight="1">
      <c r="A43" s="28">
        <v>211441</v>
      </c>
      <c r="B43" s="28">
        <v>1441</v>
      </c>
      <c r="C43" s="56" t="s">
        <v>4386</v>
      </c>
      <c r="D43" s="28" t="s">
        <v>4172</v>
      </c>
      <c r="E43" s="28">
        <v>198</v>
      </c>
      <c r="F43" s="55" t="s">
        <v>4387</v>
      </c>
      <c r="G43" s="28" t="s">
        <v>4388</v>
      </c>
      <c r="H43" s="28" t="s">
        <v>4389</v>
      </c>
      <c r="I43" s="28" t="s">
        <v>4390</v>
      </c>
      <c r="J43" s="28" t="s">
        <v>4391</v>
      </c>
    </row>
    <row r="44" spans="1:10" ht="402" customHeight="1">
      <c r="A44" s="28">
        <v>211451</v>
      </c>
      <c r="B44" s="28">
        <v>1451</v>
      </c>
      <c r="C44" s="56" t="s">
        <v>4392</v>
      </c>
      <c r="D44" s="28" t="s">
        <v>4153</v>
      </c>
      <c r="E44" s="28">
        <v>160</v>
      </c>
      <c r="F44" s="55" t="s">
        <v>14593</v>
      </c>
      <c r="G44" s="28" t="s">
        <v>4393</v>
      </c>
      <c r="H44" s="28" t="s">
        <v>4394</v>
      </c>
      <c r="I44" s="28" t="s">
        <v>4395</v>
      </c>
      <c r="J44" s="28" t="s">
        <v>4396</v>
      </c>
    </row>
    <row r="45" spans="1:10" ht="402" customHeight="1">
      <c r="A45" s="28">
        <v>221341</v>
      </c>
      <c r="B45" s="28">
        <v>1341</v>
      </c>
      <c r="C45" s="56" t="s">
        <v>644</v>
      </c>
      <c r="D45" s="28" t="s">
        <v>4153</v>
      </c>
      <c r="E45" s="28">
        <v>118</v>
      </c>
      <c r="F45" s="55" t="s">
        <v>14594</v>
      </c>
      <c r="G45" s="28" t="s">
        <v>4397</v>
      </c>
      <c r="H45" s="28" t="s">
        <v>4398</v>
      </c>
      <c r="I45" s="28" t="s">
        <v>4399</v>
      </c>
      <c r="J45" s="28" t="s">
        <v>4400</v>
      </c>
    </row>
    <row r="46" spans="1:10" ht="402" customHeight="1">
      <c r="A46" s="28">
        <v>221471</v>
      </c>
      <c r="B46" s="28">
        <v>1471</v>
      </c>
      <c r="C46" s="56" t="s">
        <v>879</v>
      </c>
      <c r="D46" s="28" t="s">
        <v>4172</v>
      </c>
      <c r="E46" s="28">
        <v>200</v>
      </c>
      <c r="F46" s="55" t="s">
        <v>14595</v>
      </c>
      <c r="G46" s="28" t="s">
        <v>4401</v>
      </c>
      <c r="H46" s="28" t="s">
        <v>4402</v>
      </c>
      <c r="I46" s="28" t="s">
        <v>4403</v>
      </c>
      <c r="J46" s="28" t="s">
        <v>4404</v>
      </c>
    </row>
    <row r="47" spans="1:10" s="10" customFormat="1" ht="402" customHeight="1">
      <c r="A47" s="28">
        <v>221481</v>
      </c>
      <c r="B47" s="28">
        <v>1481</v>
      </c>
      <c r="C47" s="56" t="s">
        <v>900</v>
      </c>
      <c r="D47" s="28" t="s">
        <v>4153</v>
      </c>
      <c r="E47" s="28">
        <v>145</v>
      </c>
      <c r="F47" s="55" t="s">
        <v>14596</v>
      </c>
      <c r="G47" s="28" t="s">
        <v>4405</v>
      </c>
      <c r="H47" s="28" t="s">
        <v>4406</v>
      </c>
      <c r="I47" s="28" t="s">
        <v>4407</v>
      </c>
      <c r="J47" s="28" t="s">
        <v>4408</v>
      </c>
    </row>
    <row r="48" spans="1:10">
      <c r="A48" s="28">
        <v>231491</v>
      </c>
      <c r="B48" s="28">
        <v>1491</v>
      </c>
      <c r="C48" s="28" t="s">
        <v>915</v>
      </c>
      <c r="D48" s="28" t="s">
        <v>4153</v>
      </c>
      <c r="E48" s="28">
        <v>154</v>
      </c>
      <c r="F48" s="55" t="s">
        <v>14597</v>
      </c>
      <c r="G48" s="28" t="s">
        <v>4409</v>
      </c>
      <c r="H48" s="28" t="s">
        <v>4410</v>
      </c>
      <c r="I48" s="28" t="s">
        <v>4411</v>
      </c>
      <c r="J48" s="28" t="s">
        <v>4412</v>
      </c>
    </row>
    <row r="49" spans="1:10">
      <c r="A49" s="28">
        <v>231501</v>
      </c>
      <c r="B49" s="28">
        <v>1501</v>
      </c>
      <c r="C49" s="28" t="s">
        <v>933</v>
      </c>
      <c r="D49" s="28" t="s">
        <v>4153</v>
      </c>
      <c r="E49" s="28">
        <v>150</v>
      </c>
      <c r="F49" s="55" t="s">
        <v>14598</v>
      </c>
      <c r="G49" s="28" t="s">
        <v>4413</v>
      </c>
      <c r="H49" s="28" t="s">
        <v>4414</v>
      </c>
      <c r="I49" s="28" t="s">
        <v>4415</v>
      </c>
      <c r="J49" s="28" t="s">
        <v>4416</v>
      </c>
    </row>
    <row r="50" spans="1:10">
      <c r="A50" s="28">
        <v>900001</v>
      </c>
      <c r="B50" s="28">
        <v>0</v>
      </c>
      <c r="C50" s="28" t="s">
        <v>4417</v>
      </c>
      <c r="D50" s="28" t="s">
        <v>4418</v>
      </c>
      <c r="E50" s="28">
        <v>22</v>
      </c>
      <c r="F50" s="55" t="s">
        <v>4419</v>
      </c>
      <c r="G50" s="28" t="s">
        <v>4420</v>
      </c>
      <c r="H50" s="28" t="s">
        <v>4421</v>
      </c>
      <c r="I50" s="28" t="s">
        <v>4422</v>
      </c>
      <c r="J50" s="28" t="s">
        <v>4423</v>
      </c>
    </row>
  </sheetData>
</worksheet>
</file>

<file path=xl/worksheets/sheet15.xml><?xml version="1.0" encoding="utf-8"?>
<worksheet xmlns="http://schemas.openxmlformats.org/spreadsheetml/2006/main">
  <sheetPr codeName="法厄同图鉴">
    <tabColor/>
  </sheetPr>
  <dimension ref="J193"/>
  <sheetViews>
    <sheetView showGridLines="1" workbookViewId="0">
      <pane xSplit="1" ySplit="1" topLeftCell="B2" state="frozen"/>
    </sheetView>
  </sheetViews>
  <sheetFormatPr baseColWidth="13" defaultRowHeight="18" customHeight="1"/>
  <cols>
    <col min="1" max="1" width="10.793" style="16" customWidth="1"/>
    <col min="2" max="2" width="29.8906" style="16" customWidth="1"/>
    <col min="3" max="3" width="10.2812" style="16" customWidth="1"/>
    <col min="4" max="4" width="29.8906" style="16" customWidth="1"/>
    <col min="5" max="5" width="30.582" style="16" customWidth="1"/>
    <col min="6" max="6" width="10.793" style="16" customWidth="1"/>
    <col min="7" max="7" width="75.5312" style="28" customWidth="1"/>
    <col min="8" max="8" width="10.793" style="16" customWidth="1"/>
    <col min="9" max="9" width="21.582" style="28" customWidth="1"/>
    <col min="10" max="10" width="48.5625" style="28" customWidth="1"/>
    <col min="11" max="27" width="13.6719" style="16"/>
  </cols>
  <sheetData>
    <row r="1" spans="1:10">
      <c r="A1" s="28" t="s">
        <v>4424</v>
      </c>
      <c r="B1" s="28" t="s">
        <v>4144</v>
      </c>
      <c r="C1" s="28" t="s">
        <v>1083</v>
      </c>
      <c r="D1" s="28" t="s">
        <v>1082</v>
      </c>
      <c r="E1" s="28" t="s">
        <v>4425</v>
      </c>
      <c r="F1" s="28" t="s">
        <v>4140</v>
      </c>
      <c r="G1" s="28" t="s">
        <v>3355</v>
      </c>
      <c r="H1" s="28" t="s">
        <v>4426</v>
      </c>
      <c r="I1" s="28" t="s">
        <v>4427</v>
      </c>
      <c r="J1" s="28" t="s">
        <v>46</v>
      </c>
    </row>
    <row r="2" spans="1:10">
      <c r="A2" s="28">
        <v>10000</v>
      </c>
      <c r="B2" s="28" t="s">
        <v>1144</v>
      </c>
      <c r="C2" s="28">
        <v>11096</v>
      </c>
      <c r="D2" s="28" t="s">
        <v>1144</v>
      </c>
      <c r="E2" s="28" t="s">
        <v>4428</v>
      </c>
      <c r="F2" s="28">
        <v>1</v>
      </c>
      <c r="G2" s="28" t="s">
        <v>4429</v>
      </c>
      <c r="H2" s="28" t="s">
        <v>4430</v>
      </c>
      <c r="I2" s="28" t="s">
        <v>4431</v>
      </c>
      <c r="J2" s="28" t="s">
        <v>4432</v>
      </c>
    </row>
    <row r="3" spans="1:10">
      <c r="A3" s="28">
        <v>10001</v>
      </c>
      <c r="B3" s="28" t="s">
        <v>1148</v>
      </c>
      <c r="C3" s="28">
        <v>11103</v>
      </c>
      <c r="D3" s="28" t="s">
        <v>1148</v>
      </c>
      <c r="E3" s="28" t="s">
        <v>4433</v>
      </c>
      <c r="F3" s="28">
        <v>1</v>
      </c>
      <c r="G3" s="28" t="s">
        <v>4434</v>
      </c>
      <c r="H3" s="28" t="s">
        <v>4430</v>
      </c>
      <c r="I3" s="28" t="s">
        <v>4435</v>
      </c>
      <c r="J3" s="28" t="s">
        <v>4436</v>
      </c>
    </row>
    <row r="4" spans="1:10">
      <c r="A4" s="28">
        <v>10002</v>
      </c>
      <c r="B4" s="28" t="s">
        <v>1252</v>
      </c>
      <c r="C4" s="28">
        <v>11141</v>
      </c>
      <c r="D4" s="28" t="s">
        <v>1252</v>
      </c>
      <c r="E4" s="28" t="s">
        <v>4437</v>
      </c>
      <c r="F4" s="28">
        <v>1</v>
      </c>
      <c r="G4" s="28" t="s">
        <v>4438</v>
      </c>
      <c r="H4" s="28" t="s">
        <v>4430</v>
      </c>
      <c r="I4" s="28" t="s">
        <v>4439</v>
      </c>
      <c r="J4" s="28" t="s">
        <v>4440</v>
      </c>
    </row>
    <row r="5" spans="1:10">
      <c r="A5" s="28">
        <v>10003</v>
      </c>
      <c r="B5" s="28" t="s">
        <v>1303</v>
      </c>
      <c r="C5" s="28">
        <v>11203</v>
      </c>
      <c r="D5" s="28" t="s">
        <v>1303</v>
      </c>
      <c r="E5" s="28" t="s">
        <v>4441</v>
      </c>
      <c r="F5" s="28">
        <v>1</v>
      </c>
      <c r="G5" s="28" t="s">
        <v>4442</v>
      </c>
      <c r="H5" s="28" t="s">
        <v>4430</v>
      </c>
      <c r="I5" s="28" t="s">
        <v>4443</v>
      </c>
      <c r="J5" s="28" t="s">
        <v>4444</v>
      </c>
    </row>
    <row r="6" spans="1:10">
      <c r="A6" s="28">
        <v>10004</v>
      </c>
      <c r="B6" s="28" t="s">
        <v>1212</v>
      </c>
      <c r="C6" s="28">
        <v>11083</v>
      </c>
      <c r="D6" s="28" t="s">
        <v>1212</v>
      </c>
      <c r="E6" s="28" t="s">
        <v>4445</v>
      </c>
      <c r="F6" s="28">
        <v>1</v>
      </c>
      <c r="G6" s="28" t="s">
        <v>4446</v>
      </c>
      <c r="H6" s="28" t="s">
        <v>4430</v>
      </c>
      <c r="I6" s="28" t="s">
        <v>4447</v>
      </c>
      <c r="J6" s="28" t="s">
        <v>4448</v>
      </c>
    </row>
    <row r="7" spans="1:10">
      <c r="A7" s="28">
        <v>10005</v>
      </c>
      <c r="B7" s="28" t="s">
        <v>1164</v>
      </c>
      <c r="C7" s="28">
        <v>11163</v>
      </c>
      <c r="D7" s="28" t="s">
        <v>1164</v>
      </c>
      <c r="E7" s="28" t="s">
        <v>4449</v>
      </c>
      <c r="F7" s="28">
        <v>1</v>
      </c>
      <c r="G7" s="28" t="s">
        <v>4450</v>
      </c>
      <c r="H7" s="28" t="s">
        <v>4451</v>
      </c>
      <c r="I7" s="28" t="s">
        <v>4452</v>
      </c>
      <c r="J7" s="28" t="s">
        <v>4453</v>
      </c>
    </row>
    <row r="8" spans="1:10">
      <c r="A8" s="28">
        <v>10006</v>
      </c>
      <c r="B8" s="28" t="s">
        <v>1335</v>
      </c>
      <c r="C8" s="28">
        <v>11253</v>
      </c>
      <c r="D8" s="28" t="s">
        <v>1335</v>
      </c>
      <c r="E8" s="28" t="s">
        <v>4454</v>
      </c>
      <c r="F8" s="28">
        <v>1</v>
      </c>
      <c r="G8" s="28" t="s">
        <v>4455</v>
      </c>
      <c r="H8" s="28" t="s">
        <v>4451</v>
      </c>
      <c r="I8" s="28" t="s">
        <v>4456</v>
      </c>
      <c r="J8" s="28" t="s">
        <v>4457</v>
      </c>
    </row>
    <row r="9" spans="1:10">
      <c r="A9" s="28">
        <v>10007</v>
      </c>
      <c r="B9" s="28" t="s">
        <v>1357</v>
      </c>
      <c r="C9" s="28">
        <v>11273</v>
      </c>
      <c r="D9" s="28" t="s">
        <v>1357</v>
      </c>
      <c r="E9" s="28" t="s">
        <v>4458</v>
      </c>
      <c r="F9" s="28">
        <v>1</v>
      </c>
      <c r="G9" s="28" t="s">
        <v>4459</v>
      </c>
      <c r="H9" s="28" t="s">
        <v>4451</v>
      </c>
      <c r="I9" s="28" t="s">
        <v>4460</v>
      </c>
      <c r="J9" s="28" t="s">
        <v>4461</v>
      </c>
    </row>
    <row r="10" spans="1:10">
      <c r="A10" s="28">
        <v>10008</v>
      </c>
      <c r="B10" s="28" t="s">
        <v>1367</v>
      </c>
      <c r="C10" s="28">
        <v>11283</v>
      </c>
      <c r="D10" s="28" t="s">
        <v>1367</v>
      </c>
      <c r="E10" s="28" t="s">
        <v>4462</v>
      </c>
      <c r="F10" s="28">
        <v>1</v>
      </c>
      <c r="G10" s="28" t="s">
        <v>4463</v>
      </c>
      <c r="H10" s="28" t="s">
        <v>4451</v>
      </c>
      <c r="I10" s="28" t="s">
        <v>4464</v>
      </c>
      <c r="J10" s="28" t="s">
        <v>4465</v>
      </c>
    </row>
    <row r="11" spans="1:10">
      <c r="A11" s="28">
        <v>10009</v>
      </c>
      <c r="B11" s="28" t="s">
        <v>1642</v>
      </c>
      <c r="C11" s="28">
        <v>11763</v>
      </c>
      <c r="D11" s="28" t="s">
        <v>1642</v>
      </c>
      <c r="E11" s="28" t="s">
        <v>4466</v>
      </c>
      <c r="F11" s="28">
        <v>1</v>
      </c>
      <c r="G11" s="28" t="s">
        <v>4467</v>
      </c>
      <c r="H11" s="28" t="s">
        <v>4451</v>
      </c>
      <c r="I11" s="28" t="s">
        <v>4468</v>
      </c>
      <c r="J11" s="28" t="s">
        <v>4469</v>
      </c>
    </row>
    <row r="12" spans="1:10">
      <c r="A12" s="28">
        <v>10014</v>
      </c>
      <c r="B12" s="28" t="s">
        <v>1372</v>
      </c>
      <c r="C12" s="28">
        <v>11291</v>
      </c>
      <c r="D12" s="28" t="s">
        <v>1372</v>
      </c>
      <c r="E12" s="28" t="s">
        <v>4470</v>
      </c>
      <c r="F12" s="28">
        <v>1</v>
      </c>
      <c r="G12" s="28" t="s">
        <v>4471</v>
      </c>
      <c r="H12" s="28" t="s">
        <v>4430</v>
      </c>
      <c r="I12" s="28" t="s">
        <v>4472</v>
      </c>
      <c r="J12" s="28" t="s">
        <v>4473</v>
      </c>
    </row>
    <row r="13" spans="1:10">
      <c r="A13" s="28">
        <v>10015</v>
      </c>
      <c r="B13" s="28" t="s">
        <v>4474</v>
      </c>
      <c r="C13" s="28">
        <v>11343</v>
      </c>
      <c r="D13" s="28" t="s">
        <v>1424</v>
      </c>
      <c r="E13" s="28" t="s">
        <v>4475</v>
      </c>
      <c r="F13" s="28">
        <v>1</v>
      </c>
      <c r="G13" s="28" t="s">
        <v>4476</v>
      </c>
      <c r="H13" s="28" t="s">
        <v>4477</v>
      </c>
      <c r="I13" s="28" t="s">
        <v>4478</v>
      </c>
      <c r="J13" s="28" t="s">
        <v>4479</v>
      </c>
    </row>
    <row r="14" spans="1:10">
      <c r="A14" s="28">
        <v>10016</v>
      </c>
      <c r="B14" s="28" t="s">
        <v>4480</v>
      </c>
      <c r="C14" s="28">
        <v>11333</v>
      </c>
      <c r="D14" s="28" t="s">
        <v>1418</v>
      </c>
      <c r="E14" s="28" t="s">
        <v>4481</v>
      </c>
      <c r="F14" s="28">
        <v>1</v>
      </c>
      <c r="G14" s="28" t="s">
        <v>4482</v>
      </c>
      <c r="H14" s="28" t="s">
        <v>4477</v>
      </c>
      <c r="I14" s="28" t="s">
        <v>4483</v>
      </c>
      <c r="J14" s="28" t="s">
        <v>4484</v>
      </c>
    </row>
    <row r="15" spans="1:10">
      <c r="A15" s="28">
        <v>10017</v>
      </c>
      <c r="B15" s="28" t="s">
        <v>1949</v>
      </c>
      <c r="C15" s="28">
        <v>31391</v>
      </c>
      <c r="D15" s="28" t="s">
        <v>1949</v>
      </c>
      <c r="E15" s="28" t="s">
        <v>4485</v>
      </c>
      <c r="F15" s="28">
        <v>1</v>
      </c>
      <c r="G15" s="28" t="s">
        <v>4486</v>
      </c>
      <c r="H15" s="28" t="s">
        <v>4487</v>
      </c>
      <c r="I15" s="28" t="s">
        <v>4488</v>
      </c>
      <c r="J15" s="28" t="s">
        <v>4489</v>
      </c>
    </row>
    <row r="16" spans="1:10">
      <c r="A16" s="28">
        <v>10018</v>
      </c>
      <c r="B16" s="28" t="s">
        <v>4490</v>
      </c>
      <c r="C16" s="28">
        <v>11323</v>
      </c>
      <c r="D16" s="28" t="s">
        <v>1412</v>
      </c>
      <c r="E16" s="28" t="s">
        <v>4491</v>
      </c>
      <c r="F16" s="28">
        <v>1</v>
      </c>
      <c r="G16" s="28" t="s">
        <v>4492</v>
      </c>
      <c r="H16" s="28" t="s">
        <v>4477</v>
      </c>
      <c r="I16" s="28" t="s">
        <v>4493</v>
      </c>
      <c r="J16" s="28" t="s">
        <v>4494</v>
      </c>
    </row>
    <row r="17" spans="1:10">
      <c r="A17" s="28">
        <v>10019</v>
      </c>
      <c r="B17" s="28" t="s">
        <v>4495</v>
      </c>
      <c r="C17" s="28">
        <v>11313</v>
      </c>
      <c r="D17" s="28" t="s">
        <v>1403</v>
      </c>
      <c r="E17" s="28" t="s">
        <v>4496</v>
      </c>
      <c r="F17" s="28">
        <v>1</v>
      </c>
      <c r="G17" s="28" t="s">
        <v>4497</v>
      </c>
      <c r="H17" s="28" t="s">
        <v>4477</v>
      </c>
      <c r="I17" s="28" t="s">
        <v>4498</v>
      </c>
      <c r="J17" s="28" t="s">
        <v>4499</v>
      </c>
    </row>
    <row r="18" spans="1:10">
      <c r="A18" s="28">
        <v>10023</v>
      </c>
      <c r="B18" s="28" t="s">
        <v>1155</v>
      </c>
      <c r="C18" s="28">
        <v>11241</v>
      </c>
      <c r="D18" s="28" t="s">
        <v>1155</v>
      </c>
      <c r="E18" s="28" t="s">
        <v>4500</v>
      </c>
      <c r="F18" s="28">
        <v>1</v>
      </c>
      <c r="G18" s="28" t="s">
        <v>4501</v>
      </c>
      <c r="H18" s="28" t="s">
        <v>4502</v>
      </c>
      <c r="I18" s="28" t="s">
        <v>4503</v>
      </c>
      <c r="J18" s="28" t="s">
        <v>4504</v>
      </c>
    </row>
    <row r="19" spans="1:10">
      <c r="A19" s="28">
        <v>10025</v>
      </c>
      <c r="B19" s="28" t="s">
        <v>1512</v>
      </c>
      <c r="C19" s="28">
        <v>11461</v>
      </c>
      <c r="D19" s="28" t="s">
        <v>1512</v>
      </c>
      <c r="E19" s="28" t="s">
        <v>4505</v>
      </c>
      <c r="F19" s="28">
        <v>1</v>
      </c>
      <c r="G19" s="28" t="s">
        <v>4506</v>
      </c>
      <c r="H19" s="28" t="s">
        <v>4430</v>
      </c>
      <c r="I19" s="28" t="s">
        <v>4507</v>
      </c>
      <c r="J19" s="28" t="s">
        <v>4508</v>
      </c>
    </row>
    <row r="20" spans="1:10">
      <c r="A20" s="28">
        <v>10026</v>
      </c>
      <c r="B20" s="28" t="s">
        <v>1518</v>
      </c>
      <c r="C20" s="28">
        <v>11471</v>
      </c>
      <c r="D20" s="28" t="s">
        <v>1518</v>
      </c>
      <c r="E20" s="28" t="s">
        <v>4509</v>
      </c>
      <c r="F20" s="28">
        <v>1</v>
      </c>
      <c r="G20" s="28" t="s">
        <v>4510</v>
      </c>
      <c r="H20" s="28" t="s">
        <v>4430</v>
      </c>
      <c r="I20" s="28" t="s">
        <v>4511</v>
      </c>
      <c r="J20" s="28" t="s">
        <v>4512</v>
      </c>
    </row>
    <row r="21" spans="1:10">
      <c r="A21" s="28">
        <v>10029</v>
      </c>
      <c r="B21" s="28" t="s">
        <v>1447</v>
      </c>
      <c r="C21" s="28">
        <v>11371</v>
      </c>
      <c r="D21" s="28" t="s">
        <v>1447</v>
      </c>
      <c r="E21" s="28" t="s">
        <v>4513</v>
      </c>
      <c r="F21" s="28">
        <v>1</v>
      </c>
      <c r="G21" s="28" t="s">
        <v>4514</v>
      </c>
      <c r="H21" s="28" t="s">
        <v>4430</v>
      </c>
      <c r="I21" s="28" t="s">
        <v>4515</v>
      </c>
      <c r="J21" s="28" t="s">
        <v>4516</v>
      </c>
    </row>
    <row r="22" spans="1:10">
      <c r="A22" s="28">
        <v>10030</v>
      </c>
      <c r="B22" s="28" t="s">
        <v>1595</v>
      </c>
      <c r="C22" s="28">
        <v>11681</v>
      </c>
      <c r="D22" s="28" t="s">
        <v>1595</v>
      </c>
      <c r="E22" s="28" t="s">
        <v>4517</v>
      </c>
      <c r="F22" s="28">
        <v>1</v>
      </c>
      <c r="G22" s="28" t="s">
        <v>4518</v>
      </c>
      <c r="H22" s="28" t="s">
        <v>4430</v>
      </c>
      <c r="I22" s="28" t="s">
        <v>4519</v>
      </c>
      <c r="J22" s="28" t="s">
        <v>4520</v>
      </c>
    </row>
    <row r="23" spans="1:10">
      <c r="A23" s="28">
        <v>10031</v>
      </c>
      <c r="B23" s="28" t="s">
        <v>1601</v>
      </c>
      <c r="C23" s="28">
        <v>11691</v>
      </c>
      <c r="D23" s="28" t="s">
        <v>1601</v>
      </c>
      <c r="E23" s="28" t="s">
        <v>4521</v>
      </c>
      <c r="F23" s="28">
        <v>1</v>
      </c>
      <c r="G23" s="28" t="s">
        <v>4522</v>
      </c>
      <c r="H23" s="28" t="s">
        <v>4430</v>
      </c>
      <c r="I23" s="28" t="s">
        <v>4523</v>
      </c>
      <c r="J23" s="28" t="s">
        <v>4524</v>
      </c>
    </row>
    <row r="24" spans="1:10">
      <c r="A24" s="28">
        <v>10032</v>
      </c>
      <c r="B24" s="28" t="s">
        <v>1837</v>
      </c>
      <c r="C24" s="28">
        <v>31181</v>
      </c>
      <c r="D24" s="28" t="s">
        <v>1837</v>
      </c>
      <c r="E24" s="28" t="s">
        <v>4525</v>
      </c>
      <c r="F24" s="28">
        <v>1</v>
      </c>
      <c r="G24" s="28" t="s">
        <v>4526</v>
      </c>
      <c r="H24" s="28" t="s">
        <v>4502</v>
      </c>
      <c r="I24" s="28" t="s">
        <v>4527</v>
      </c>
      <c r="J24" s="28" t="s">
        <v>4528</v>
      </c>
    </row>
    <row r="25" spans="1:10">
      <c r="A25" s="28">
        <v>10033</v>
      </c>
      <c r="B25" s="28" t="s">
        <v>1821</v>
      </c>
      <c r="C25" s="28">
        <v>31151</v>
      </c>
      <c r="D25" s="28" t="s">
        <v>1821</v>
      </c>
      <c r="E25" s="28" t="s">
        <v>4529</v>
      </c>
      <c r="F25" s="28">
        <v>1</v>
      </c>
      <c r="G25" s="28" t="s">
        <v>4530</v>
      </c>
      <c r="H25" s="28" t="s">
        <v>4487</v>
      </c>
      <c r="I25" s="28" t="s">
        <v>4531</v>
      </c>
      <c r="J25" s="28" t="s">
        <v>4532</v>
      </c>
    </row>
    <row r="26" spans="1:10">
      <c r="A26" s="28">
        <v>10034</v>
      </c>
      <c r="B26" s="28" t="s">
        <v>1825</v>
      </c>
      <c r="C26" s="28">
        <v>31161</v>
      </c>
      <c r="D26" s="28" t="s">
        <v>1825</v>
      </c>
      <c r="E26" s="28" t="s">
        <v>4533</v>
      </c>
      <c r="F26" s="28">
        <v>1</v>
      </c>
      <c r="G26" s="28" t="s">
        <v>4534</v>
      </c>
      <c r="H26" s="28" t="s">
        <v>4487</v>
      </c>
      <c r="I26" s="28" t="s">
        <v>4535</v>
      </c>
      <c r="J26" s="28" t="s">
        <v>4536</v>
      </c>
    </row>
    <row r="27" spans="1:10">
      <c r="A27" s="28">
        <v>19999</v>
      </c>
      <c r="B27" s="28" t="s">
        <v>4537</v>
      </c>
      <c r="C27" s="28">
        <v>11096</v>
      </c>
      <c r="D27" s="28" t="s">
        <v>4537</v>
      </c>
      <c r="E27" s="28" t="s">
        <v>4538</v>
      </c>
      <c r="F27" s="28">
        <v>1</v>
      </c>
      <c r="G27" s="28" t="s"/>
      <c r="H27" s="28" t="s">
        <v>4502</v>
      </c>
      <c r="I27" s="28" t="s"/>
      <c r="J27" s="28" t="s"/>
    </row>
    <row r="28" spans="1:10">
      <c r="A28" s="28">
        <v>20000</v>
      </c>
      <c r="B28" s="28" t="s">
        <v>1227</v>
      </c>
      <c r="C28" s="28">
        <v>11114</v>
      </c>
      <c r="D28" s="28" t="s">
        <v>1227</v>
      </c>
      <c r="E28" s="28" t="s">
        <v>4539</v>
      </c>
      <c r="F28" s="28">
        <v>2</v>
      </c>
      <c r="G28" s="28" t="s">
        <v>4540</v>
      </c>
      <c r="H28" s="28" t="s">
        <v>4430</v>
      </c>
      <c r="I28" s="28" t="s">
        <v>4541</v>
      </c>
      <c r="J28" s="28" t="s">
        <v>4542</v>
      </c>
    </row>
    <row r="29" spans="1:10">
      <c r="A29" s="28">
        <v>20001</v>
      </c>
      <c r="B29" s="28" t="s">
        <v>1237</v>
      </c>
      <c r="C29" s="28">
        <v>11123</v>
      </c>
      <c r="D29" s="28" t="s">
        <v>1237</v>
      </c>
      <c r="E29" s="28" t="s">
        <v>4543</v>
      </c>
      <c r="F29" s="28">
        <v>2</v>
      </c>
      <c r="G29" s="28" t="s">
        <v>4544</v>
      </c>
      <c r="H29" s="28" t="s">
        <v>4430</v>
      </c>
      <c r="I29" s="28" t="s">
        <v>4545</v>
      </c>
      <c r="J29" s="28" t="s">
        <v>4546</v>
      </c>
    </row>
    <row r="30" spans="1:10">
      <c r="A30" s="28">
        <v>20002</v>
      </c>
      <c r="B30" s="28" t="s">
        <v>1320</v>
      </c>
      <c r="C30" s="28">
        <v>11225</v>
      </c>
      <c r="D30" s="28" t="s">
        <v>1320</v>
      </c>
      <c r="E30" s="28" t="s">
        <v>4547</v>
      </c>
      <c r="F30" s="28">
        <v>2</v>
      </c>
      <c r="G30" s="28" t="s">
        <v>4548</v>
      </c>
      <c r="H30" s="28" t="s">
        <v>4430</v>
      </c>
      <c r="I30" s="28" t="s">
        <v>4549</v>
      </c>
      <c r="J30" s="28" t="s">
        <v>4550</v>
      </c>
    </row>
    <row r="31" spans="1:10">
      <c r="A31" s="28">
        <v>20003</v>
      </c>
      <c r="B31" s="28" t="s">
        <v>1289</v>
      </c>
      <c r="C31" s="28">
        <v>11192</v>
      </c>
      <c r="D31" s="28" t="s">
        <v>1289</v>
      </c>
      <c r="E31" s="28" t="s">
        <v>4551</v>
      </c>
      <c r="F31" s="28">
        <v>2</v>
      </c>
      <c r="G31" s="28" t="s">
        <v>4552</v>
      </c>
      <c r="H31" s="28" t="s">
        <v>4430</v>
      </c>
      <c r="I31" s="28" t="s">
        <v>4553</v>
      </c>
      <c r="J31" s="28" t="s">
        <v>4554</v>
      </c>
    </row>
    <row r="32" spans="1:10">
      <c r="A32" s="28">
        <v>20004</v>
      </c>
      <c r="B32" s="28" t="s">
        <v>1315</v>
      </c>
      <c r="C32" s="28">
        <v>11222</v>
      </c>
      <c r="D32" s="28" t="s">
        <v>1315</v>
      </c>
      <c r="E32" s="28" t="s">
        <v>4555</v>
      </c>
      <c r="F32" s="28">
        <v>2</v>
      </c>
      <c r="G32" s="28" t="s">
        <v>4556</v>
      </c>
      <c r="H32" s="28" t="s">
        <v>4430</v>
      </c>
      <c r="I32" s="28" t="s">
        <v>4557</v>
      </c>
      <c r="J32" s="28" t="s">
        <v>4550</v>
      </c>
    </row>
    <row r="33" spans="1:10">
      <c r="A33" s="28">
        <v>20005</v>
      </c>
      <c r="B33" s="28" t="s">
        <v>1309</v>
      </c>
      <c r="C33" s="28">
        <v>11213</v>
      </c>
      <c r="D33" s="28" t="s">
        <v>1309</v>
      </c>
      <c r="E33" s="28" t="s">
        <v>4558</v>
      </c>
      <c r="F33" s="28">
        <v>2</v>
      </c>
      <c r="G33" s="28" t="s">
        <v>4559</v>
      </c>
      <c r="H33" s="28" t="s">
        <v>4430</v>
      </c>
      <c r="I33" s="28" t="s">
        <v>4560</v>
      </c>
      <c r="J33" s="28" t="s">
        <v>4561</v>
      </c>
    </row>
    <row r="34" spans="1:10">
      <c r="A34" s="28">
        <v>20007</v>
      </c>
      <c r="B34" s="28" t="s">
        <v>4562</v>
      </c>
      <c r="C34" s="28">
        <v>11454</v>
      </c>
      <c r="D34" s="28" t="s">
        <v>1505</v>
      </c>
      <c r="E34" s="28" t="s">
        <v>4563</v>
      </c>
      <c r="F34" s="28">
        <v>2</v>
      </c>
      <c r="G34" s="28" t="s">
        <v>4564</v>
      </c>
      <c r="H34" s="28" t="s">
        <v>4451</v>
      </c>
      <c r="I34" s="28" t="s">
        <v>4565</v>
      </c>
      <c r="J34" s="28" t="s">
        <v>4566</v>
      </c>
    </row>
    <row r="35" spans="1:10">
      <c r="A35" s="28">
        <v>20008</v>
      </c>
      <c r="B35" s="28" t="s">
        <v>4567</v>
      </c>
      <c r="C35" s="28">
        <v>11443</v>
      </c>
      <c r="D35" s="28" t="s">
        <v>1493</v>
      </c>
      <c r="E35" s="28" t="s">
        <v>4568</v>
      </c>
      <c r="F35" s="28">
        <v>2</v>
      </c>
      <c r="G35" s="28" t="s">
        <v>4569</v>
      </c>
      <c r="H35" s="28" t="s">
        <v>4451</v>
      </c>
      <c r="I35" s="28" t="s">
        <v>4570</v>
      </c>
      <c r="J35" s="28" t="s">
        <v>4571</v>
      </c>
    </row>
    <row r="36" spans="1:10">
      <c r="A36" s="28">
        <v>20009</v>
      </c>
      <c r="B36" s="28" t="s">
        <v>1346</v>
      </c>
      <c r="C36" s="28">
        <v>11263</v>
      </c>
      <c r="D36" s="28" t="s">
        <v>1346</v>
      </c>
      <c r="E36" s="28" t="s">
        <v>4572</v>
      </c>
      <c r="F36" s="28">
        <v>2</v>
      </c>
      <c r="G36" s="28" t="s">
        <v>4573</v>
      </c>
      <c r="H36" s="28" t="s">
        <v>4451</v>
      </c>
      <c r="I36" s="28" t="s">
        <v>4574</v>
      </c>
      <c r="J36" s="28" t="s">
        <v>4575</v>
      </c>
    </row>
    <row r="37" spans="1:10">
      <c r="A37" s="28">
        <v>20010</v>
      </c>
      <c r="B37" s="28" t="s">
        <v>1452</v>
      </c>
      <c r="C37" s="28">
        <v>11381</v>
      </c>
      <c r="D37" s="28" t="s">
        <v>1452</v>
      </c>
      <c r="E37" s="28" t="s">
        <v>4576</v>
      </c>
      <c r="F37" s="28">
        <v>2</v>
      </c>
      <c r="G37" s="28" t="s">
        <v>4577</v>
      </c>
      <c r="H37" s="28" t="s">
        <v>4430</v>
      </c>
      <c r="I37" s="28" t="s">
        <v>4578</v>
      </c>
      <c r="J37" s="28" t="s">
        <v>4579</v>
      </c>
    </row>
    <row r="38" spans="1:10">
      <c r="A38" s="28">
        <v>20011</v>
      </c>
      <c r="B38" s="28" t="s">
        <v>4580</v>
      </c>
      <c r="C38" s="28">
        <v>31381</v>
      </c>
      <c r="D38" s="28" t="s">
        <v>1946</v>
      </c>
      <c r="E38" s="28" t="s">
        <v>4581</v>
      </c>
      <c r="F38" s="28">
        <v>2</v>
      </c>
      <c r="G38" s="28" t="s">
        <v>4582</v>
      </c>
      <c r="H38" s="28" t="s">
        <v>4487</v>
      </c>
      <c r="I38" s="28" t="s">
        <v>4583</v>
      </c>
      <c r="J38" s="28" t="s">
        <v>4584</v>
      </c>
    </row>
    <row r="39" spans="1:10">
      <c r="A39" s="28">
        <v>20015</v>
      </c>
      <c r="B39" s="28" t="s">
        <v>4585</v>
      </c>
      <c r="C39" s="28">
        <v>11363</v>
      </c>
      <c r="D39" s="28" t="s">
        <v>1444</v>
      </c>
      <c r="E39" s="28" t="s">
        <v>4586</v>
      </c>
      <c r="F39" s="28">
        <v>2</v>
      </c>
      <c r="G39" s="28" t="s">
        <v>4587</v>
      </c>
      <c r="H39" s="28" t="s">
        <v>4477</v>
      </c>
      <c r="I39" s="28" t="s">
        <v>4588</v>
      </c>
      <c r="J39" s="28" t="s">
        <v>4589</v>
      </c>
    </row>
    <row r="40" spans="1:10">
      <c r="A40" s="28">
        <v>20016</v>
      </c>
      <c r="B40" s="28" t="s">
        <v>1891</v>
      </c>
      <c r="C40" s="28">
        <v>31271</v>
      </c>
      <c r="D40" s="28" t="s">
        <v>1891</v>
      </c>
      <c r="E40" s="28" t="s">
        <v>4590</v>
      </c>
      <c r="F40" s="28">
        <v>2</v>
      </c>
      <c r="G40" s="28" t="s">
        <v>4591</v>
      </c>
      <c r="H40" s="28" t="s">
        <v>4487</v>
      </c>
      <c r="I40" s="28" t="s">
        <v>4592</v>
      </c>
      <c r="J40" s="28" t="s">
        <v>4593</v>
      </c>
    </row>
    <row r="41" spans="1:10">
      <c r="A41" s="28">
        <v>20017</v>
      </c>
      <c r="B41" s="28" t="s">
        <v>4594</v>
      </c>
      <c r="C41" s="28">
        <v>11354</v>
      </c>
      <c r="D41" s="28" t="s">
        <v>1436</v>
      </c>
      <c r="E41" s="28" t="s">
        <v>4595</v>
      </c>
      <c r="F41" s="28">
        <v>2</v>
      </c>
      <c r="G41" s="28" t="s">
        <v>4596</v>
      </c>
      <c r="H41" s="28" t="s">
        <v>4477</v>
      </c>
      <c r="I41" s="28" t="s">
        <v>4597</v>
      </c>
      <c r="J41" s="28" t="s">
        <v>4598</v>
      </c>
    </row>
    <row r="42" spans="1:10">
      <c r="A42" s="28">
        <v>20018</v>
      </c>
      <c r="B42" s="28" t="s">
        <v>1897</v>
      </c>
      <c r="C42" s="28">
        <v>31281</v>
      </c>
      <c r="D42" s="28" t="s">
        <v>1897</v>
      </c>
      <c r="E42" s="28" t="s">
        <v>4599</v>
      </c>
      <c r="F42" s="28">
        <v>2</v>
      </c>
      <c r="G42" s="28" t="s">
        <v>4600</v>
      </c>
      <c r="H42" s="28" t="s">
        <v>4487</v>
      </c>
      <c r="I42" s="28" t="s">
        <v>4601</v>
      </c>
      <c r="J42" s="28" t="s">
        <v>4602</v>
      </c>
    </row>
    <row r="43" spans="1:10">
      <c r="A43" s="28">
        <v>20020</v>
      </c>
      <c r="B43" s="28" t="s">
        <v>4603</v>
      </c>
      <c r="C43" s="28">
        <v>11046</v>
      </c>
      <c r="D43" s="28" t="s">
        <v>1184</v>
      </c>
      <c r="E43" s="28" t="s">
        <v>4604</v>
      </c>
      <c r="F43" s="28">
        <v>2</v>
      </c>
      <c r="G43" s="28" t="s">
        <v>4605</v>
      </c>
      <c r="H43" s="28" t="s">
        <v>4477</v>
      </c>
      <c r="I43" s="28" t="s">
        <v>4606</v>
      </c>
      <c r="J43" s="28" t="s">
        <v>4607</v>
      </c>
    </row>
    <row r="44" spans="1:12">
      <c r="A44" s="28">
        <v>20022</v>
      </c>
      <c r="B44" s="28" t="s">
        <v>1550</v>
      </c>
      <c r="C44" s="28">
        <v>11561</v>
      </c>
      <c r="D44" s="28" t="s">
        <v>1550</v>
      </c>
      <c r="E44" s="28" t="s">
        <v>4608</v>
      </c>
      <c r="F44" s="28">
        <v>1</v>
      </c>
      <c r="G44" s="28" t="s">
        <v>4609</v>
      </c>
      <c r="H44" s="28" t="s">
        <v>4430</v>
      </c>
      <c r="I44" s="28" t="s">
        <v>4610</v>
      </c>
      <c r="J44" s="28" t="s">
        <v>4611</v>
      </c>
      <c r="K44" s="16" t="s"/>
      <c r="L44" s="16" t="s"/>
    </row>
    <row r="45" spans="1:10">
      <c r="A45" s="28">
        <v>20023</v>
      </c>
      <c r="B45" s="28" t="s">
        <v>1559</v>
      </c>
      <c r="C45" s="28">
        <v>11601</v>
      </c>
      <c r="D45" s="28" t="s">
        <v>1559</v>
      </c>
      <c r="E45" s="28" t="s">
        <v>4612</v>
      </c>
      <c r="F45" s="28">
        <v>2</v>
      </c>
      <c r="G45" s="28" t="s">
        <v>4613</v>
      </c>
      <c r="H45" s="28" t="s">
        <v>4477</v>
      </c>
      <c r="I45" s="28" t="s">
        <v>4614</v>
      </c>
      <c r="J45" s="28" t="s">
        <v>4615</v>
      </c>
    </row>
    <row r="46" spans="1:10">
      <c r="A46" s="28">
        <v>20024</v>
      </c>
      <c r="B46" s="28" t="s">
        <v>659</v>
      </c>
      <c r="C46" s="28">
        <v>11621</v>
      </c>
      <c r="D46" s="28" t="s">
        <v>659</v>
      </c>
      <c r="E46" s="28" t="s">
        <v>4616</v>
      </c>
      <c r="F46" s="28">
        <v>2</v>
      </c>
      <c r="G46" s="28" t="s">
        <v>4617</v>
      </c>
      <c r="H46" s="28" t="s">
        <v>4477</v>
      </c>
      <c r="I46" s="28" t="s">
        <v>4618</v>
      </c>
      <c r="J46" s="28" t="s">
        <v>4619</v>
      </c>
    </row>
    <row r="47" spans="1:10">
      <c r="A47" s="28">
        <v>20025</v>
      </c>
      <c r="B47" s="28" t="s">
        <v>1568</v>
      </c>
      <c r="C47" s="28">
        <v>11611</v>
      </c>
      <c r="D47" s="28" t="s">
        <v>1568</v>
      </c>
      <c r="E47" s="28" t="s">
        <v>4620</v>
      </c>
      <c r="F47" s="28">
        <v>2</v>
      </c>
      <c r="G47" s="28" t="s">
        <v>4621</v>
      </c>
      <c r="H47" s="28" t="s">
        <v>4477</v>
      </c>
      <c r="I47" s="28" t="s">
        <v>4622</v>
      </c>
      <c r="J47" s="28" t="s">
        <v>4623</v>
      </c>
    </row>
    <row r="48" spans="1:10">
      <c r="A48" s="28">
        <v>20026</v>
      </c>
      <c r="B48" s="28" t="s">
        <v>1912</v>
      </c>
      <c r="C48" s="28">
        <v>31301</v>
      </c>
      <c r="D48" s="28" t="s">
        <v>1912</v>
      </c>
      <c r="E48" s="28" t="s">
        <v>4624</v>
      </c>
      <c r="F48" s="28">
        <v>2</v>
      </c>
      <c r="G48" s="28" t="s">
        <v>4625</v>
      </c>
      <c r="H48" s="28" t="s">
        <v>4487</v>
      </c>
      <c r="I48" s="28" t="s">
        <v>4626</v>
      </c>
      <c r="J48" s="28" t="s">
        <v>4627</v>
      </c>
    </row>
    <row r="49" spans="1:10">
      <c r="A49" s="28">
        <v>20027</v>
      </c>
      <c r="B49" s="28" t="s">
        <v>1918</v>
      </c>
      <c r="C49" s="28">
        <v>31311</v>
      </c>
      <c r="D49" s="28" t="s">
        <v>1918</v>
      </c>
      <c r="E49" s="28" t="s">
        <v>4628</v>
      </c>
      <c r="F49" s="28">
        <v>2</v>
      </c>
      <c r="G49" s="28" t="s">
        <v>4629</v>
      </c>
      <c r="H49" s="28" t="s">
        <v>4487</v>
      </c>
      <c r="I49" s="28" t="s">
        <v>4630</v>
      </c>
      <c r="J49" s="54" t="s">
        <v>4631</v>
      </c>
    </row>
    <row r="50" spans="1:10">
      <c r="A50" s="28">
        <v>20028</v>
      </c>
      <c r="B50" s="28" t="s">
        <v>4632</v>
      </c>
      <c r="C50" s="28">
        <v>31221</v>
      </c>
      <c r="D50" s="28" t="s">
        <v>1867</v>
      </c>
      <c r="E50" s="28" t="s">
        <v>4633</v>
      </c>
      <c r="F50" s="28">
        <v>1</v>
      </c>
      <c r="G50" s="28" t="s">
        <v>4634</v>
      </c>
      <c r="H50" s="28" t="s">
        <v>4502</v>
      </c>
      <c r="I50" s="28" t="s">
        <v>4635</v>
      </c>
      <c r="J50" s="54" t="s">
        <v>4636</v>
      </c>
    </row>
    <row r="51" spans="1:10">
      <c r="A51" s="28">
        <v>20029</v>
      </c>
      <c r="B51" s="28" t="s">
        <v>4637</v>
      </c>
      <c r="C51" s="28">
        <v>31251</v>
      </c>
      <c r="D51" s="28" t="s">
        <v>1881</v>
      </c>
      <c r="E51" s="28" t="s">
        <v>4638</v>
      </c>
      <c r="F51" s="28">
        <v>1</v>
      </c>
      <c r="G51" s="28" t="s">
        <v>4639</v>
      </c>
      <c r="H51" s="28" t="s">
        <v>4502</v>
      </c>
      <c r="I51" s="28" t="s">
        <v>4640</v>
      </c>
      <c r="J51" s="28" t="s">
        <v>4641</v>
      </c>
    </row>
    <row r="52" spans="1:10">
      <c r="A52" s="28">
        <v>20030</v>
      </c>
      <c r="B52" s="28" t="s">
        <v>4642</v>
      </c>
      <c r="C52" s="28">
        <v>31241</v>
      </c>
      <c r="D52" s="28" t="s">
        <v>1876</v>
      </c>
      <c r="E52" s="28" t="s">
        <v>4643</v>
      </c>
      <c r="F52" s="28">
        <v>1</v>
      </c>
      <c r="G52" s="28" t="s">
        <v>4644</v>
      </c>
      <c r="H52" s="28" t="s">
        <v>4502</v>
      </c>
      <c r="I52" s="28" t="s">
        <v>4645</v>
      </c>
      <c r="J52" s="28" t="s">
        <v>4646</v>
      </c>
    </row>
    <row r="53" spans="1:10">
      <c r="A53" s="28">
        <v>20031</v>
      </c>
      <c r="B53" s="28" t="s">
        <v>1924</v>
      </c>
      <c r="C53" s="28">
        <v>31321</v>
      </c>
      <c r="D53" s="28" t="s">
        <v>1924</v>
      </c>
      <c r="E53" s="28" t="s">
        <v>4647</v>
      </c>
      <c r="F53" s="28">
        <v>2</v>
      </c>
      <c r="G53" s="28" t="s">
        <v>4648</v>
      </c>
      <c r="H53" s="28" t="s">
        <v>4487</v>
      </c>
      <c r="I53" s="28" t="s">
        <v>4649</v>
      </c>
      <c r="J53" s="28" t="s">
        <v>4650</v>
      </c>
    </row>
    <row r="54" spans="1:10">
      <c r="A54" s="28">
        <v>20032</v>
      </c>
      <c r="B54" s="28" t="s">
        <v>1832</v>
      </c>
      <c r="C54" s="28">
        <v>31171</v>
      </c>
      <c r="D54" s="28" t="s">
        <v>1832</v>
      </c>
      <c r="E54" s="28" t="s">
        <v>4651</v>
      </c>
      <c r="F54" s="28">
        <v>2</v>
      </c>
      <c r="G54" s="28" t="s">
        <v>4652</v>
      </c>
      <c r="H54" s="28" t="s">
        <v>4430</v>
      </c>
      <c r="I54" s="28" t="s">
        <v>4653</v>
      </c>
      <c r="J54" s="28" t="s">
        <v>4654</v>
      </c>
    </row>
    <row r="55" spans="1:10">
      <c r="A55" s="28">
        <v>29999</v>
      </c>
      <c r="B55" s="28" t="s">
        <v>4537</v>
      </c>
      <c r="C55" s="28">
        <v>11114</v>
      </c>
      <c r="D55" s="28" t="s">
        <v>4537</v>
      </c>
      <c r="E55" s="28" t="s">
        <v>4538</v>
      </c>
      <c r="F55" s="28">
        <v>2</v>
      </c>
      <c r="G55" s="28" t="s"/>
      <c r="H55" s="28" t="s">
        <v>4502</v>
      </c>
      <c r="I55" s="28" t="s"/>
      <c r="J55" s="28" t="s"/>
    </row>
    <row r="56" spans="1:10">
      <c r="A56" s="28">
        <v>30000</v>
      </c>
      <c r="B56" s="28" t="s">
        <v>1264</v>
      </c>
      <c r="C56" s="28">
        <v>11154</v>
      </c>
      <c r="D56" s="28" t="s">
        <v>1264</v>
      </c>
      <c r="E56" s="28" t="s">
        <v>4655</v>
      </c>
      <c r="F56" s="28">
        <v>2</v>
      </c>
      <c r="G56" s="28" t="s">
        <v>4656</v>
      </c>
      <c r="H56" s="28" t="s">
        <v>4430</v>
      </c>
      <c r="I56" s="28" t="s">
        <v>4657</v>
      </c>
      <c r="J56" s="28" t="s">
        <v>4658</v>
      </c>
    </row>
    <row r="57" spans="1:10">
      <c r="A57" s="28">
        <v>30001</v>
      </c>
      <c r="B57" s="28" t="s">
        <v>1283</v>
      </c>
      <c r="C57" s="28">
        <v>11184</v>
      </c>
      <c r="D57" s="28" t="s">
        <v>1283</v>
      </c>
      <c r="E57" s="28" t="s">
        <v>4659</v>
      </c>
      <c r="F57" s="28">
        <v>2</v>
      </c>
      <c r="G57" s="28" t="s">
        <v>4660</v>
      </c>
      <c r="H57" s="28" t="s">
        <v>4430</v>
      </c>
      <c r="I57" s="28" t="s">
        <v>4661</v>
      </c>
      <c r="J57" s="28" t="s">
        <v>4662</v>
      </c>
    </row>
    <row r="58" spans="1:10">
      <c r="A58" s="28">
        <v>30002</v>
      </c>
      <c r="B58" s="28" t="s">
        <v>4663</v>
      </c>
      <c r="C58" s="28">
        <v>11058</v>
      </c>
      <c r="D58" s="28" t="s">
        <v>1199</v>
      </c>
      <c r="E58" s="28" t="s">
        <v>4664</v>
      </c>
      <c r="F58" s="28">
        <v>2</v>
      </c>
      <c r="G58" s="28" t="s">
        <v>4665</v>
      </c>
      <c r="H58" s="28" t="s">
        <v>4451</v>
      </c>
      <c r="I58" s="28" t="s">
        <v>4666</v>
      </c>
      <c r="J58" s="28" t="s">
        <v>4667</v>
      </c>
    </row>
    <row r="59" spans="1:10">
      <c r="A59" s="28">
        <v>30003</v>
      </c>
      <c r="B59" s="28" t="s">
        <v>1942</v>
      </c>
      <c r="C59" s="28">
        <v>31361</v>
      </c>
      <c r="D59" s="28" t="s">
        <v>1942</v>
      </c>
      <c r="E59" s="28" t="s">
        <v>4668</v>
      </c>
      <c r="F59" s="28">
        <v>3</v>
      </c>
      <c r="G59" s="28" t="s">
        <v>4669</v>
      </c>
      <c r="H59" s="28" t="s">
        <v>4502</v>
      </c>
      <c r="I59" s="28" t="s">
        <v>4670</v>
      </c>
      <c r="J59" s="28" t="s">
        <v>4671</v>
      </c>
    </row>
    <row r="60" spans="1:10">
      <c r="A60" s="28">
        <v>30004</v>
      </c>
      <c r="B60" s="28" t="s">
        <v>1386</v>
      </c>
      <c r="C60" s="28">
        <v>11301</v>
      </c>
      <c r="D60" s="28" t="s">
        <v>1386</v>
      </c>
      <c r="E60" s="28" t="s">
        <v>4672</v>
      </c>
      <c r="F60" s="28">
        <v>3</v>
      </c>
      <c r="G60" s="28" t="s">
        <v>4673</v>
      </c>
      <c r="H60" s="28" t="s">
        <v>4502</v>
      </c>
      <c r="I60" s="28" t="s">
        <v>4674</v>
      </c>
      <c r="J60" s="28" t="s">
        <v>4675</v>
      </c>
    </row>
    <row r="61" spans="1:10">
      <c r="A61" s="28">
        <v>30005</v>
      </c>
      <c r="B61" s="28" t="s">
        <v>1466</v>
      </c>
      <c r="C61" s="28">
        <v>11401</v>
      </c>
      <c r="D61" s="28" t="s">
        <v>1466</v>
      </c>
      <c r="E61" s="28" t="s">
        <v>4676</v>
      </c>
      <c r="F61" s="28">
        <v>3</v>
      </c>
      <c r="G61" s="28" t="s">
        <v>4677</v>
      </c>
      <c r="H61" s="28" t="s">
        <v>4502</v>
      </c>
      <c r="I61" s="28" t="s">
        <v>4678</v>
      </c>
      <c r="J61" s="28" t="s">
        <v>4679</v>
      </c>
    </row>
    <row r="62" spans="1:10">
      <c r="A62" s="28">
        <v>30006</v>
      </c>
      <c r="B62" s="28" t="s">
        <v>1457</v>
      </c>
      <c r="C62" s="28">
        <v>11391</v>
      </c>
      <c r="D62" s="28" t="s">
        <v>1457</v>
      </c>
      <c r="E62" s="28" t="s">
        <v>4680</v>
      </c>
      <c r="F62" s="28">
        <v>3</v>
      </c>
      <c r="G62" s="28" t="s">
        <v>4681</v>
      </c>
      <c r="H62" s="28" t="s">
        <v>4502</v>
      </c>
      <c r="I62" s="28" t="s">
        <v>4682</v>
      </c>
      <c r="J62" s="28" t="s">
        <v>4683</v>
      </c>
    </row>
    <row r="63" spans="1:10">
      <c r="A63" s="28">
        <v>30007</v>
      </c>
      <c r="B63" s="28" t="s">
        <v>1136</v>
      </c>
      <c r="C63" s="28">
        <v>11235</v>
      </c>
      <c r="D63" s="28" t="s">
        <v>1136</v>
      </c>
      <c r="E63" s="28" t="s">
        <v>4684</v>
      </c>
      <c r="F63" s="28">
        <v>4</v>
      </c>
      <c r="G63" s="28" t="s">
        <v>4685</v>
      </c>
      <c r="H63" s="28" t="s">
        <v>4430</v>
      </c>
      <c r="I63" s="28" t="s">
        <v>4686</v>
      </c>
      <c r="J63" s="28" t="s">
        <v>4687</v>
      </c>
    </row>
    <row r="64" spans="1:10">
      <c r="A64" s="28">
        <v>30008</v>
      </c>
      <c r="B64" s="28" t="s">
        <v>4688</v>
      </c>
      <c r="C64" s="28">
        <v>11063</v>
      </c>
      <c r="D64" s="28" t="s">
        <v>1208</v>
      </c>
      <c r="E64" s="28" t="s">
        <v>4689</v>
      </c>
      <c r="F64" s="28">
        <v>3</v>
      </c>
      <c r="G64" s="28" t="s">
        <v>4690</v>
      </c>
      <c r="H64" s="28" t="s">
        <v>4451</v>
      </c>
      <c r="I64" s="28" t="s">
        <v>4691</v>
      </c>
      <c r="J64" s="28" t="s">
        <v>4692</v>
      </c>
    </row>
    <row r="65" spans="1:10">
      <c r="A65" s="28">
        <v>30009</v>
      </c>
      <c r="B65" s="28" t="s">
        <v>1475</v>
      </c>
      <c r="C65" s="28">
        <v>11411</v>
      </c>
      <c r="D65" s="28" t="s">
        <v>1475</v>
      </c>
      <c r="E65" s="28" t="s">
        <v>4693</v>
      </c>
      <c r="F65" s="28">
        <v>4</v>
      </c>
      <c r="G65" s="28" t="s">
        <v>4694</v>
      </c>
      <c r="H65" s="28" t="s">
        <v>4487</v>
      </c>
      <c r="I65" s="28" t="s">
        <v>4695</v>
      </c>
      <c r="J65" s="28" t="s">
        <v>4696</v>
      </c>
    </row>
    <row r="66" spans="1:10">
      <c r="A66" s="28">
        <v>30010</v>
      </c>
      <c r="B66" s="28" t="s">
        <v>1480</v>
      </c>
      <c r="C66" s="28">
        <v>11421</v>
      </c>
      <c r="D66" s="28" t="s">
        <v>1480</v>
      </c>
      <c r="E66" s="28" t="s">
        <v>4697</v>
      </c>
      <c r="F66" s="28">
        <v>3</v>
      </c>
      <c r="G66" s="28" t="s">
        <v>4698</v>
      </c>
      <c r="H66" s="28" t="s">
        <v>4430</v>
      </c>
      <c r="I66" s="28" t="s">
        <v>4699</v>
      </c>
      <c r="J66" s="28" t="s">
        <v>4700</v>
      </c>
    </row>
    <row r="67" spans="1:10">
      <c r="A67" s="28">
        <v>30011</v>
      </c>
      <c r="B67" s="28" t="s">
        <v>1485</v>
      </c>
      <c r="C67" s="28">
        <v>11431</v>
      </c>
      <c r="D67" s="28" t="s">
        <v>1485</v>
      </c>
      <c r="E67" s="28" t="s">
        <v>4701</v>
      </c>
      <c r="F67" s="28">
        <v>3</v>
      </c>
      <c r="G67" s="28" t="s">
        <v>4702</v>
      </c>
      <c r="H67" s="28" t="s">
        <v>4430</v>
      </c>
      <c r="I67" s="28" t="s">
        <v>4703</v>
      </c>
      <c r="J67" s="28" t="s">
        <v>4700</v>
      </c>
    </row>
    <row r="68" spans="1:10">
      <c r="A68" s="28">
        <v>30012</v>
      </c>
      <c r="B68" s="28" t="s">
        <v>4704</v>
      </c>
      <c r="C68" s="28">
        <v>11421</v>
      </c>
      <c r="D68" s="28" t="s">
        <v>4704</v>
      </c>
      <c r="E68" s="28" t="s">
        <v>4705</v>
      </c>
      <c r="F68" s="28">
        <v>4</v>
      </c>
      <c r="G68" s="28" t="s">
        <v>4706</v>
      </c>
      <c r="H68" s="28" t="s">
        <v>4430</v>
      </c>
      <c r="I68" s="28" t="s">
        <v>4707</v>
      </c>
      <c r="J68" s="28" t="s">
        <v>4708</v>
      </c>
    </row>
    <row r="69" spans="1:10">
      <c r="A69" s="28">
        <v>30013</v>
      </c>
      <c r="B69" s="28" t="s">
        <v>1847</v>
      </c>
      <c r="C69" s="28">
        <v>31201</v>
      </c>
      <c r="D69" s="28" t="s">
        <v>1847</v>
      </c>
      <c r="E69" s="28" t="s">
        <v>4709</v>
      </c>
      <c r="F69" s="28">
        <v>3</v>
      </c>
      <c r="G69" s="28" t="s">
        <v>4710</v>
      </c>
      <c r="H69" s="28" t="s">
        <v>4430</v>
      </c>
      <c r="I69" s="28" t="s">
        <v>4711</v>
      </c>
      <c r="J69" s="28" t="s">
        <v>4712</v>
      </c>
    </row>
    <row r="70" spans="1:10">
      <c r="A70" s="28">
        <v>30014</v>
      </c>
      <c r="B70" s="28" t="s">
        <v>1960</v>
      </c>
      <c r="C70" s="28">
        <v>31441</v>
      </c>
      <c r="D70" s="28" t="s">
        <v>1960</v>
      </c>
      <c r="E70" s="28" t="s">
        <v>4713</v>
      </c>
      <c r="F70" s="28">
        <v>3</v>
      </c>
      <c r="G70" s="28" t="s">
        <v>4714</v>
      </c>
      <c r="H70" s="28" t="s">
        <v>4502</v>
      </c>
      <c r="I70" s="28" t="s">
        <v>4715</v>
      </c>
      <c r="J70" s="28" t="s">
        <v>4716</v>
      </c>
    </row>
    <row r="71" spans="1:10">
      <c r="A71" s="28">
        <v>30015</v>
      </c>
      <c r="B71" s="28" t="s">
        <v>4717</v>
      </c>
      <c r="C71" s="28">
        <v>31442</v>
      </c>
      <c r="D71" s="28" t="s">
        <v>1964</v>
      </c>
      <c r="E71" s="28" t="s">
        <v>4718</v>
      </c>
      <c r="F71" s="28">
        <v>3</v>
      </c>
      <c r="G71" s="28" t="s">
        <v>4719</v>
      </c>
      <c r="H71" s="28" t="s">
        <v>4502</v>
      </c>
      <c r="I71" s="28" t="s">
        <v>4720</v>
      </c>
      <c r="J71" s="28" t="s">
        <v>4721</v>
      </c>
    </row>
    <row r="72" spans="1:10">
      <c r="A72" s="28">
        <v>30017</v>
      </c>
      <c r="B72" s="28" t="s">
        <v>1645</v>
      </c>
      <c r="C72" s="28">
        <v>11771</v>
      </c>
      <c r="D72" s="28" t="s">
        <v>1645</v>
      </c>
      <c r="E72" s="28" t="s">
        <v>4722</v>
      </c>
      <c r="F72" s="28">
        <v>1</v>
      </c>
      <c r="G72" s="28" t="s">
        <v>4723</v>
      </c>
      <c r="H72" s="28" t="s">
        <v>4430</v>
      </c>
      <c r="I72" s="28" t="s">
        <v>4724</v>
      </c>
      <c r="J72" s="28" t="s">
        <v>4725</v>
      </c>
    </row>
    <row r="73" spans="1:10">
      <c r="A73" s="28">
        <v>30018</v>
      </c>
      <c r="B73" s="28" t="s">
        <v>1648</v>
      </c>
      <c r="C73" s="28">
        <v>11781</v>
      </c>
      <c r="D73" s="28" t="s">
        <v>1648</v>
      </c>
      <c r="E73" s="28" t="s">
        <v>4726</v>
      </c>
      <c r="F73" s="28">
        <v>1</v>
      </c>
      <c r="G73" s="28" t="s">
        <v>4727</v>
      </c>
      <c r="H73" s="28" t="s">
        <v>4430</v>
      </c>
      <c r="I73" s="28" t="s">
        <v>4728</v>
      </c>
      <c r="J73" s="28" t="s">
        <v>4729</v>
      </c>
    </row>
    <row r="74" spans="1:10">
      <c r="A74" s="28">
        <v>30019</v>
      </c>
      <c r="B74" s="28" t="s">
        <v>4730</v>
      </c>
      <c r="C74" s="28">
        <v>11671</v>
      </c>
      <c r="D74" s="28" t="s">
        <v>1592</v>
      </c>
      <c r="E74" s="28" t="s">
        <v>4731</v>
      </c>
      <c r="F74" s="28">
        <v>3</v>
      </c>
      <c r="G74" s="28" t="s">
        <v>4732</v>
      </c>
      <c r="H74" s="28" t="s">
        <v>4477</v>
      </c>
      <c r="I74" s="28" t="s">
        <v>4733</v>
      </c>
      <c r="J74" s="28" t="s">
        <v>4734</v>
      </c>
    </row>
    <row r="75" spans="1:10">
      <c r="A75" s="28">
        <v>30020</v>
      </c>
      <c r="B75" s="28" t="s">
        <v>4735</v>
      </c>
      <c r="C75" s="28">
        <v>11642</v>
      </c>
      <c r="D75" s="28" t="s">
        <v>1585</v>
      </c>
      <c r="E75" s="28" t="s">
        <v>4736</v>
      </c>
      <c r="F75" s="28">
        <v>3</v>
      </c>
      <c r="G75" s="28" t="s">
        <v>4737</v>
      </c>
      <c r="H75" s="28" t="s">
        <v>4430</v>
      </c>
      <c r="I75" s="28" t="s">
        <v>4738</v>
      </c>
      <c r="J75" s="28" t="s">
        <v>4739</v>
      </c>
    </row>
    <row r="76" spans="1:10">
      <c r="A76" s="28">
        <v>30021</v>
      </c>
      <c r="B76" s="28" t="s">
        <v>1607</v>
      </c>
      <c r="C76" s="28">
        <v>11701</v>
      </c>
      <c r="D76" s="28" t="s">
        <v>1607</v>
      </c>
      <c r="E76" s="28" t="s">
        <v>4740</v>
      </c>
      <c r="F76" s="28">
        <v>4</v>
      </c>
      <c r="G76" s="28" t="s">
        <v>4741</v>
      </c>
      <c r="H76" s="28" t="s">
        <v>4487</v>
      </c>
      <c r="I76" s="28" t="s">
        <v>4742</v>
      </c>
      <c r="J76" s="28" t="s">
        <v>4743</v>
      </c>
    </row>
    <row r="77" spans="1:10">
      <c r="A77" s="28">
        <v>30022</v>
      </c>
      <c r="B77" s="28" t="s">
        <v>1581</v>
      </c>
      <c r="C77" s="28">
        <v>11641</v>
      </c>
      <c r="D77" s="28" t="s">
        <v>1581</v>
      </c>
      <c r="E77" s="28" t="s">
        <v>4744</v>
      </c>
      <c r="F77" s="28">
        <v>3</v>
      </c>
      <c r="G77" s="28" t="s">
        <v>4745</v>
      </c>
      <c r="H77" s="28" t="s">
        <v>4502</v>
      </c>
      <c r="I77" s="28" t="s"/>
      <c r="J77" s="28" t="s">
        <v>4746</v>
      </c>
    </row>
    <row r="78" spans="1:10">
      <c r="A78" s="28">
        <v>30023</v>
      </c>
      <c r="B78" s="28" t="s">
        <v>1612</v>
      </c>
      <c r="C78" s="28">
        <v>11711</v>
      </c>
      <c r="D78" s="28" t="s">
        <v>1612</v>
      </c>
      <c r="E78" s="28" t="s">
        <v>4747</v>
      </c>
      <c r="F78" s="28">
        <v>3</v>
      </c>
      <c r="G78" s="28" t="s">
        <v>4748</v>
      </c>
      <c r="H78" s="28" t="s">
        <v>4430</v>
      </c>
      <c r="I78" s="28" t="s">
        <v>4749</v>
      </c>
      <c r="J78" s="28" t="s">
        <v>4750</v>
      </c>
    </row>
    <row r="79" spans="1:10">
      <c r="A79" s="28">
        <v>30024</v>
      </c>
      <c r="B79" s="28" t="s">
        <v>1654</v>
      </c>
      <c r="C79" s="28">
        <v>11811</v>
      </c>
      <c r="D79" s="28" t="s">
        <v>1654</v>
      </c>
      <c r="E79" s="28" t="s">
        <v>4751</v>
      </c>
      <c r="F79" s="28">
        <v>4</v>
      </c>
      <c r="G79" s="28" t="s">
        <v>4752</v>
      </c>
      <c r="H79" s="28" t="s">
        <v>4502</v>
      </c>
      <c r="I79" s="28" t="s">
        <v>4753</v>
      </c>
      <c r="J79" s="28" t="s">
        <v>4754</v>
      </c>
    </row>
    <row r="80" spans="1:10">
      <c r="A80" s="28">
        <v>30025</v>
      </c>
      <c r="B80" s="28" t="s">
        <v>1679</v>
      </c>
      <c r="C80" s="28">
        <v>11851</v>
      </c>
      <c r="D80" s="28" t="s">
        <v>1679</v>
      </c>
      <c r="E80" s="28" t="s">
        <v>4755</v>
      </c>
      <c r="F80" s="28">
        <v>1</v>
      </c>
      <c r="G80" s="28" t="s">
        <v>4756</v>
      </c>
      <c r="H80" s="28" t="s">
        <v>4430</v>
      </c>
      <c r="I80" s="28" t="s">
        <v>4757</v>
      </c>
      <c r="J80" s="28" t="s">
        <v>4758</v>
      </c>
    </row>
    <row r="81" spans="1:10">
      <c r="A81" s="28">
        <v>30026</v>
      </c>
      <c r="B81" s="28" t="s">
        <v>1711</v>
      </c>
      <c r="C81" s="28">
        <v>11941</v>
      </c>
      <c r="D81" s="28" t="s">
        <v>1711</v>
      </c>
      <c r="E81" s="28" t="s">
        <v>4759</v>
      </c>
      <c r="F81" s="28">
        <v>3</v>
      </c>
      <c r="G81" s="28" t="s">
        <v>4760</v>
      </c>
      <c r="H81" s="28" t="s">
        <v>4451</v>
      </c>
      <c r="I81" s="28" t="s">
        <v>4761</v>
      </c>
      <c r="J81" s="28" t="s">
        <v>4762</v>
      </c>
    </row>
    <row r="82" spans="1:10">
      <c r="A82" s="28">
        <v>30027</v>
      </c>
      <c r="B82" s="28" t="s">
        <v>1651</v>
      </c>
      <c r="C82" s="28">
        <v>11791</v>
      </c>
      <c r="D82" s="28" t="s">
        <v>1651</v>
      </c>
      <c r="E82" s="28" t="s">
        <v>4763</v>
      </c>
      <c r="F82" s="28">
        <v>3</v>
      </c>
      <c r="G82" s="28" t="s">
        <v>4764</v>
      </c>
      <c r="H82" s="28" t="s">
        <v>4477</v>
      </c>
      <c r="I82" s="28" t="s">
        <v>4765</v>
      </c>
      <c r="J82" s="28" t="s">
        <v>4766</v>
      </c>
    </row>
    <row r="83" spans="1:10">
      <c r="A83" s="28">
        <v>30028</v>
      </c>
      <c r="B83" s="28" t="s">
        <v>1700</v>
      </c>
      <c r="C83" s="28">
        <v>11911</v>
      </c>
      <c r="D83" s="28" t="s">
        <v>1700</v>
      </c>
      <c r="E83" s="28" t="s">
        <v>4767</v>
      </c>
      <c r="F83" s="28">
        <v>1</v>
      </c>
      <c r="G83" s="28" t="s">
        <v>4768</v>
      </c>
      <c r="H83" s="28" t="s">
        <v>4502</v>
      </c>
      <c r="I83" s="28" t="s">
        <v>4769</v>
      </c>
      <c r="J83" s="28" t="s">
        <v>4770</v>
      </c>
    </row>
    <row r="84" spans="1:10">
      <c r="A84" s="28">
        <v>30029</v>
      </c>
      <c r="B84" s="28" t="s">
        <v>4771</v>
      </c>
      <c r="C84" s="28">
        <v>11531</v>
      </c>
      <c r="D84" s="28" t="s">
        <v>4771</v>
      </c>
      <c r="E84" s="28" t="s">
        <v>4772</v>
      </c>
      <c r="F84" s="28">
        <v>1</v>
      </c>
      <c r="G84" s="28" t="s">
        <v>4737</v>
      </c>
      <c r="H84" s="28" t="s">
        <v>4430</v>
      </c>
      <c r="I84" s="28" t="s">
        <v>4738</v>
      </c>
      <c r="J84" s="28" t="s">
        <v>4773</v>
      </c>
    </row>
    <row r="85" spans="1:10">
      <c r="A85" s="28">
        <v>30030</v>
      </c>
      <c r="B85" s="28" t="s">
        <v>1730</v>
      </c>
      <c r="C85" s="28">
        <v>11981</v>
      </c>
      <c r="D85" s="28" t="s">
        <v>1730</v>
      </c>
      <c r="E85" s="28" t="s">
        <v>4774</v>
      </c>
      <c r="F85" s="28">
        <v>3</v>
      </c>
      <c r="G85" s="28" t="s">
        <v>4775</v>
      </c>
      <c r="H85" s="28" t="s">
        <v>4502</v>
      </c>
      <c r="I85" s="28" t="s"/>
      <c r="J85" s="28" t="s">
        <v>4776</v>
      </c>
    </row>
    <row r="86" spans="1:10">
      <c r="A86" s="28">
        <v>30031</v>
      </c>
      <c r="B86" s="28" t="s">
        <v>1714</v>
      </c>
      <c r="C86" s="28">
        <v>11951</v>
      </c>
      <c r="D86" s="28" t="s">
        <v>1714</v>
      </c>
      <c r="E86" s="28" t="s">
        <v>4777</v>
      </c>
      <c r="F86" s="28">
        <v>3</v>
      </c>
      <c r="G86" s="28" t="s">
        <v>4778</v>
      </c>
      <c r="H86" s="28" t="s">
        <v>4430</v>
      </c>
      <c r="I86" s="28" t="s">
        <v>4779</v>
      </c>
      <c r="J86" s="28" t="s">
        <v>4780</v>
      </c>
    </row>
    <row r="87" spans="1:10">
      <c r="A87" s="28">
        <v>30032</v>
      </c>
      <c r="B87" s="28" t="s">
        <v>4781</v>
      </c>
      <c r="C87" s="28">
        <v>11541</v>
      </c>
      <c r="D87" s="28" t="s">
        <v>1545</v>
      </c>
      <c r="E87" s="28" t="s">
        <v>4782</v>
      </c>
      <c r="F87" s="28">
        <v>4</v>
      </c>
      <c r="G87" s="28" t="s">
        <v>4783</v>
      </c>
      <c r="H87" s="28" t="s">
        <v>4430</v>
      </c>
      <c r="I87" s="28" t="s">
        <v>4784</v>
      </c>
      <c r="J87" s="28" t="s">
        <v>4785</v>
      </c>
    </row>
    <row r="88" spans="1:10">
      <c r="A88" s="28">
        <v>30033</v>
      </c>
      <c r="B88" s="28" t="s">
        <v>1758</v>
      </c>
      <c r="C88" s="28">
        <v>31031</v>
      </c>
      <c r="D88" s="28" t="s">
        <v>1758</v>
      </c>
      <c r="E88" s="28" t="s">
        <v>4786</v>
      </c>
      <c r="F88" s="28">
        <v>4</v>
      </c>
      <c r="G88" s="28" t="s">
        <v>4787</v>
      </c>
      <c r="H88" s="28" t="s">
        <v>4430</v>
      </c>
      <c r="I88" s="28" t="s">
        <v>4788</v>
      </c>
      <c r="J88" s="28" t="s">
        <v>4789</v>
      </c>
    </row>
    <row r="89" spans="1:10">
      <c r="A89" s="28">
        <v>30034</v>
      </c>
      <c r="B89" s="28" t="s">
        <v>1772</v>
      </c>
      <c r="C89" s="28">
        <v>31061</v>
      </c>
      <c r="D89" s="28" t="s">
        <v>1772</v>
      </c>
      <c r="E89" s="28" t="s">
        <v>4790</v>
      </c>
      <c r="F89" s="28">
        <v>4</v>
      </c>
      <c r="G89" s="28" t="s">
        <v>4791</v>
      </c>
      <c r="H89" s="28" t="s">
        <v>4487</v>
      </c>
      <c r="I89" s="28" t="s">
        <v>4792</v>
      </c>
      <c r="J89" s="54" t="s">
        <v>4793</v>
      </c>
    </row>
    <row r="90" spans="1:10">
      <c r="A90" s="28">
        <v>30035</v>
      </c>
      <c r="B90" s="28" t="s">
        <v>1799</v>
      </c>
      <c r="C90" s="28">
        <v>31111</v>
      </c>
      <c r="D90" s="28" t="s">
        <v>1799</v>
      </c>
      <c r="E90" s="28" t="s">
        <v>4794</v>
      </c>
      <c r="F90" s="28">
        <v>3</v>
      </c>
      <c r="G90" s="28" t="s">
        <v>4795</v>
      </c>
      <c r="H90" s="28" t="s">
        <v>4502</v>
      </c>
      <c r="I90" s="28" t="s">
        <v>4796</v>
      </c>
      <c r="J90" s="54" t="s">
        <v>4797</v>
      </c>
    </row>
    <row r="91" spans="1:10">
      <c r="A91" s="28">
        <v>30036</v>
      </c>
      <c r="B91" s="28" t="s">
        <v>4798</v>
      </c>
      <c r="C91" s="28">
        <v>31261</v>
      </c>
      <c r="D91" s="28" t="s">
        <v>1886</v>
      </c>
      <c r="E91" s="28" t="s">
        <v>4799</v>
      </c>
      <c r="F91" s="28">
        <v>3</v>
      </c>
      <c r="G91" s="28" t="s">
        <v>4800</v>
      </c>
      <c r="H91" s="28" t="s">
        <v>4487</v>
      </c>
      <c r="I91" s="28" t="s">
        <v>4761</v>
      </c>
      <c r="J91" s="54" t="s">
        <v>4801</v>
      </c>
    </row>
    <row r="92" spans="1:10">
      <c r="A92" s="28">
        <v>30037</v>
      </c>
      <c r="B92" s="28" t="s">
        <v>1168</v>
      </c>
      <c r="C92" s="28">
        <v>31211</v>
      </c>
      <c r="D92" s="28" t="s">
        <v>1168</v>
      </c>
      <c r="E92" s="28" t="s">
        <v>4802</v>
      </c>
      <c r="F92" s="28">
        <v>3</v>
      </c>
      <c r="G92" s="28" t="s">
        <v>4803</v>
      </c>
      <c r="H92" s="28" t="s">
        <v>4502</v>
      </c>
      <c r="I92" s="28" t="s">
        <v>4804</v>
      </c>
      <c r="J92" s="28" t="s">
        <v>4805</v>
      </c>
    </row>
    <row r="93" spans="1:10">
      <c r="A93" s="28">
        <v>30038</v>
      </c>
      <c r="B93" s="28" t="s">
        <v>1810</v>
      </c>
      <c r="C93" s="28">
        <v>31141</v>
      </c>
      <c r="D93" s="28" t="s">
        <v>1810</v>
      </c>
      <c r="E93" s="28" t="s">
        <v>4806</v>
      </c>
      <c r="F93" s="28">
        <v>4</v>
      </c>
      <c r="G93" s="28" t="s">
        <v>4807</v>
      </c>
      <c r="H93" s="28" t="s">
        <v>4502</v>
      </c>
      <c r="I93" s="28" t="s">
        <v>4808</v>
      </c>
      <c r="J93" s="28" t="s">
        <v>4809</v>
      </c>
    </row>
    <row r="94" spans="1:10">
      <c r="A94" s="28">
        <v>30039</v>
      </c>
      <c r="B94" s="28" t="s">
        <v>1840</v>
      </c>
      <c r="C94" s="28">
        <v>31191</v>
      </c>
      <c r="D94" s="28" t="s">
        <v>1840</v>
      </c>
      <c r="E94" s="28" t="s">
        <v>4810</v>
      </c>
      <c r="F94" s="28">
        <v>3</v>
      </c>
      <c r="G94" s="28" t="s">
        <v>4811</v>
      </c>
      <c r="H94" s="28" t="s">
        <v>4487</v>
      </c>
      <c r="I94" s="28" t="s">
        <v>4812</v>
      </c>
      <c r="J94" s="28" t="s">
        <v>4813</v>
      </c>
    </row>
    <row r="95" spans="1:10">
      <c r="A95" s="28">
        <v>30040</v>
      </c>
      <c r="B95" s="28" t="s">
        <v>4814</v>
      </c>
      <c r="C95" s="28">
        <v>31291</v>
      </c>
      <c r="D95" s="28" t="s">
        <v>4814</v>
      </c>
      <c r="E95" s="28" t="s">
        <v>4815</v>
      </c>
      <c r="F95" s="28">
        <v>3</v>
      </c>
      <c r="G95" s="28" t="s">
        <v>4816</v>
      </c>
      <c r="H95" s="28" t="s">
        <v>4502</v>
      </c>
      <c r="I95" s="28" t="s">
        <v>4817</v>
      </c>
      <c r="J95" s="28" t="s">
        <v>4818</v>
      </c>
    </row>
    <row r="96" spans="1:10">
      <c r="A96" s="28">
        <v>30041</v>
      </c>
      <c r="B96" s="28" t="s">
        <v>1674</v>
      </c>
      <c r="C96" s="28">
        <v>11841</v>
      </c>
      <c r="D96" s="28" t="s">
        <v>1674</v>
      </c>
      <c r="E96" s="28" t="s">
        <v>4819</v>
      </c>
      <c r="F96" s="28">
        <v>4</v>
      </c>
      <c r="G96" s="28" t="s">
        <v>4820</v>
      </c>
      <c r="H96" s="28" t="s">
        <v>4487</v>
      </c>
      <c r="I96" s="28" t="s">
        <v>4821</v>
      </c>
      <c r="J96" s="28" t="s">
        <v>4822</v>
      </c>
    </row>
    <row r="97" spans="1:10">
      <c r="A97" s="28">
        <v>30042</v>
      </c>
      <c r="B97" s="28" t="s">
        <v>1935</v>
      </c>
      <c r="C97" s="28">
        <v>31351</v>
      </c>
      <c r="D97" s="28" t="s">
        <v>1935</v>
      </c>
      <c r="E97" s="28" t="s">
        <v>4823</v>
      </c>
      <c r="F97" s="28">
        <v>4</v>
      </c>
      <c r="G97" s="28" t="s">
        <v>4824</v>
      </c>
      <c r="H97" s="28" t="s">
        <v>4502</v>
      </c>
      <c r="I97" s="28" t="s">
        <v>4825</v>
      </c>
      <c r="J97" s="28" t="s">
        <v>4826</v>
      </c>
    </row>
    <row r="98" spans="1:10">
      <c r="A98" s="28">
        <v>30044</v>
      </c>
      <c r="B98" s="28" t="s">
        <v>4827</v>
      </c>
      <c r="C98" s="28">
        <v>31331</v>
      </c>
      <c r="D98" s="28" t="s">
        <v>1927</v>
      </c>
      <c r="E98" s="28" t="s">
        <v>4828</v>
      </c>
      <c r="F98" s="28">
        <v>3</v>
      </c>
      <c r="G98" s="28" t="s">
        <v>4829</v>
      </c>
      <c r="H98" s="28" t="s">
        <v>4502</v>
      </c>
      <c r="I98" s="28" t="s">
        <v>4830</v>
      </c>
      <c r="J98" s="28" t="s">
        <v>4831</v>
      </c>
    </row>
    <row r="99" spans="1:10">
      <c r="A99" s="28">
        <v>30045</v>
      </c>
      <c r="B99" s="28" t="s">
        <v>1955</v>
      </c>
      <c r="C99" s="28">
        <v>31421</v>
      </c>
      <c r="D99" s="28" t="s">
        <v>1955</v>
      </c>
      <c r="E99" s="28" t="s">
        <v>4832</v>
      </c>
      <c r="F99" s="28">
        <v>3</v>
      </c>
      <c r="G99" s="28" t="s">
        <v>4833</v>
      </c>
      <c r="H99" s="28" t="s">
        <v>4487</v>
      </c>
      <c r="I99" s="28" t="s">
        <v>4834</v>
      </c>
      <c r="J99" s="28" t="s">
        <v>4835</v>
      </c>
    </row>
    <row r="100" spans="1:10">
      <c r="A100" s="28">
        <v>35001</v>
      </c>
      <c r="B100" s="28" t="s">
        <v>4836</v>
      </c>
      <c r="C100" s="28">
        <v>11531</v>
      </c>
      <c r="D100" s="28" t="s">
        <v>1541</v>
      </c>
      <c r="E100" s="28" t="s">
        <v>4837</v>
      </c>
      <c r="F100" s="28">
        <v>4</v>
      </c>
      <c r="G100" s="28" t="s">
        <v>4838</v>
      </c>
      <c r="H100" s="28" t="s">
        <v>4430</v>
      </c>
      <c r="I100" s="28" t="s">
        <v>4839</v>
      </c>
      <c r="J100" s="28" t="s">
        <v>4840</v>
      </c>
    </row>
    <row r="101" spans="1:10">
      <c r="A101" s="28">
        <v>40000</v>
      </c>
      <c r="B101" s="28" t="s">
        <v>1952</v>
      </c>
      <c r="C101" s="28">
        <v>31411</v>
      </c>
      <c r="D101" s="28" t="s">
        <v>1952</v>
      </c>
      <c r="E101" s="28" t="s">
        <v>4841</v>
      </c>
      <c r="F101" s="28">
        <v>4</v>
      </c>
      <c r="G101" s="28" t="s">
        <v>4842</v>
      </c>
      <c r="H101" s="28" t="s">
        <v>4502</v>
      </c>
      <c r="I101" s="28" t="s">
        <v>4843</v>
      </c>
      <c r="J101" s="28" t="s">
        <v>4844</v>
      </c>
    </row>
    <row r="102" spans="1:10">
      <c r="A102" s="28">
        <v>40001</v>
      </c>
      <c r="B102" s="28" t="s">
        <v>1968</v>
      </c>
      <c r="C102" s="28">
        <v>31451</v>
      </c>
      <c r="D102" s="28" t="s">
        <v>1968</v>
      </c>
      <c r="E102" s="28" t="s">
        <v>4845</v>
      </c>
      <c r="F102" s="28">
        <v>4</v>
      </c>
      <c r="G102" s="28" t="s">
        <v>4846</v>
      </c>
      <c r="H102" s="28" t="s">
        <v>4502</v>
      </c>
      <c r="I102" s="28" t="s">
        <v>4847</v>
      </c>
      <c r="J102" s="28" t="s">
        <v>4848</v>
      </c>
    </row>
    <row r="103" spans="1:10">
      <c r="A103" s="28">
        <v>100001</v>
      </c>
      <c r="B103" s="28" t="s">
        <v>1221</v>
      </c>
      <c r="C103" s="28">
        <v>11098</v>
      </c>
      <c r="D103" s="28" t="s">
        <v>1221</v>
      </c>
      <c r="E103" s="28" t="s">
        <v>4849</v>
      </c>
      <c r="F103" s="28">
        <v>1</v>
      </c>
      <c r="G103" s="28" t="s">
        <v>4429</v>
      </c>
      <c r="H103" s="28" t="s">
        <v>4430</v>
      </c>
      <c r="I103" s="28" t="s">
        <v>4431</v>
      </c>
      <c r="J103" s="28" t="s">
        <v>4432</v>
      </c>
    </row>
    <row r="104" spans="1:10">
      <c r="A104" s="28">
        <v>100004</v>
      </c>
      <c r="B104" s="28" t="s">
        <v>1671</v>
      </c>
      <c r="C104" s="28">
        <v>11831</v>
      </c>
      <c r="D104" s="28" t="s">
        <v>1671</v>
      </c>
      <c r="E104" s="28" t="s">
        <v>4850</v>
      </c>
      <c r="F104" s="28">
        <v>1</v>
      </c>
      <c r="G104" s="28" t="s">
        <v>4429</v>
      </c>
      <c r="H104" s="28" t="s">
        <v>4430</v>
      </c>
      <c r="I104" s="28" t="s">
        <v>4431</v>
      </c>
      <c r="J104" s="28" t="s">
        <v>4851</v>
      </c>
    </row>
    <row r="105" spans="1:10">
      <c r="A105" s="28">
        <v>100011</v>
      </c>
      <c r="B105" s="28" t="s">
        <v>1224</v>
      </c>
      <c r="C105" s="28">
        <v>11105</v>
      </c>
      <c r="D105" s="28" t="s">
        <v>1224</v>
      </c>
      <c r="E105" s="28" t="s">
        <v>4852</v>
      </c>
      <c r="F105" s="28">
        <v>1</v>
      </c>
      <c r="G105" s="28" t="s">
        <v>4434</v>
      </c>
      <c r="H105" s="28" t="s">
        <v>4430</v>
      </c>
      <c r="I105" s="28" t="s">
        <v>4435</v>
      </c>
      <c r="J105" s="28" t="s">
        <v>4436</v>
      </c>
    </row>
    <row r="106" spans="1:10">
      <c r="A106" s="28">
        <v>100014</v>
      </c>
      <c r="B106" s="28" t="s">
        <v>1668</v>
      </c>
      <c r="C106" s="28">
        <v>11821</v>
      </c>
      <c r="D106" s="28" t="s">
        <v>1668</v>
      </c>
      <c r="E106" s="28" t="s">
        <v>4853</v>
      </c>
      <c r="F106" s="28">
        <v>1</v>
      </c>
      <c r="G106" s="28" t="s">
        <v>4434</v>
      </c>
      <c r="H106" s="28" t="s">
        <v>4430</v>
      </c>
      <c r="I106" s="28" t="s">
        <v>4435</v>
      </c>
      <c r="J106" s="28" t="s">
        <v>4854</v>
      </c>
    </row>
    <row r="107" spans="1:10">
      <c r="A107" s="28">
        <v>100021</v>
      </c>
      <c r="B107" s="28" t="s">
        <v>1257</v>
      </c>
      <c r="C107" s="28">
        <v>11143</v>
      </c>
      <c r="D107" s="28" t="s">
        <v>1257</v>
      </c>
      <c r="E107" s="28" t="s">
        <v>4855</v>
      </c>
      <c r="F107" s="28">
        <v>1</v>
      </c>
      <c r="G107" s="28" t="s">
        <v>4438</v>
      </c>
      <c r="H107" s="28" t="s">
        <v>4430</v>
      </c>
      <c r="I107" s="28" t="s">
        <v>4439</v>
      </c>
      <c r="J107" s="28" t="s">
        <v>4440</v>
      </c>
    </row>
    <row r="108" spans="1:10">
      <c r="A108" s="28">
        <v>100031</v>
      </c>
      <c r="B108" s="28" t="s">
        <v>1306</v>
      </c>
      <c r="C108" s="28">
        <v>11205</v>
      </c>
      <c r="D108" s="28" t="s">
        <v>1306</v>
      </c>
      <c r="E108" s="28" t="s">
        <v>4856</v>
      </c>
      <c r="F108" s="28">
        <v>1</v>
      </c>
      <c r="G108" s="28" t="s">
        <v>4442</v>
      </c>
      <c r="H108" s="28" t="s">
        <v>4430</v>
      </c>
      <c r="I108" s="28" t="s">
        <v>4443</v>
      </c>
      <c r="J108" s="28" t="s">
        <v>4444</v>
      </c>
    </row>
    <row r="109" spans="1:10">
      <c r="A109" s="28">
        <v>100041</v>
      </c>
      <c r="B109" s="28" t="s">
        <v>1216</v>
      </c>
      <c r="C109" s="28">
        <v>11085</v>
      </c>
      <c r="D109" s="28" t="s">
        <v>1216</v>
      </c>
      <c r="E109" s="28" t="s">
        <v>4857</v>
      </c>
      <c r="F109" s="28">
        <v>1</v>
      </c>
      <c r="G109" s="28" t="s">
        <v>4446</v>
      </c>
      <c r="H109" s="28" t="s">
        <v>4430</v>
      </c>
      <c r="I109" s="28" t="s">
        <v>4447</v>
      </c>
      <c r="J109" s="28" t="s">
        <v>4448</v>
      </c>
    </row>
    <row r="110" spans="1:10">
      <c r="A110" s="28">
        <v>100044</v>
      </c>
      <c r="B110" s="28" t="s">
        <v>1663</v>
      </c>
      <c r="C110" s="28">
        <v>11814</v>
      </c>
      <c r="D110" s="28" t="s">
        <v>1663</v>
      </c>
      <c r="E110" s="28" t="s">
        <v>4858</v>
      </c>
      <c r="F110" s="28">
        <v>1</v>
      </c>
      <c r="G110" s="28" t="s">
        <v>4446</v>
      </c>
      <c r="H110" s="28" t="s">
        <v>4430</v>
      </c>
      <c r="I110" s="28" t="s">
        <v>4447</v>
      </c>
      <c r="J110" s="28" t="s">
        <v>4859</v>
      </c>
    </row>
    <row r="111" spans="1:10">
      <c r="A111" s="28">
        <v>100051</v>
      </c>
      <c r="B111" s="28" t="s">
        <v>1274</v>
      </c>
      <c r="C111" s="28">
        <v>11161</v>
      </c>
      <c r="D111" s="28" t="s">
        <v>1274</v>
      </c>
      <c r="E111" s="28" t="s">
        <v>4860</v>
      </c>
      <c r="F111" s="28">
        <v>1</v>
      </c>
      <c r="G111" s="28" t="s">
        <v>4450</v>
      </c>
      <c r="H111" s="28" t="s">
        <v>4451</v>
      </c>
      <c r="I111" s="28" t="s">
        <v>4452</v>
      </c>
      <c r="J111" s="28" t="s">
        <v>4861</v>
      </c>
    </row>
    <row r="112" spans="1:10">
      <c r="A112" s="28">
        <v>100061</v>
      </c>
      <c r="B112" s="28" t="s">
        <v>1330</v>
      </c>
      <c r="C112" s="28">
        <v>11251</v>
      </c>
      <c r="D112" s="28" t="s">
        <v>1330</v>
      </c>
      <c r="E112" s="28" t="s">
        <v>4862</v>
      </c>
      <c r="F112" s="28">
        <v>1</v>
      </c>
      <c r="G112" s="28" t="s">
        <v>4455</v>
      </c>
      <c r="H112" s="28" t="s">
        <v>4451</v>
      </c>
      <c r="I112" s="28" t="s">
        <v>4456</v>
      </c>
      <c r="J112" s="28" t="s">
        <v>4863</v>
      </c>
    </row>
    <row r="113" spans="1:10">
      <c r="A113" s="28">
        <v>100071</v>
      </c>
      <c r="B113" s="28" t="s">
        <v>1352</v>
      </c>
      <c r="C113" s="28">
        <v>11271</v>
      </c>
      <c r="D113" s="28" t="s">
        <v>1352</v>
      </c>
      <c r="E113" s="28" t="s">
        <v>4864</v>
      </c>
      <c r="F113" s="28">
        <v>1</v>
      </c>
      <c r="G113" s="28" t="s">
        <v>4459</v>
      </c>
      <c r="H113" s="28" t="s">
        <v>4451</v>
      </c>
      <c r="I113" s="28" t="s">
        <v>4460</v>
      </c>
      <c r="J113" s="28" t="s">
        <v>4865</v>
      </c>
    </row>
    <row r="114" spans="1:10">
      <c r="A114" s="28">
        <v>100081</v>
      </c>
      <c r="B114" s="28" t="s">
        <v>1362</v>
      </c>
      <c r="C114" s="28">
        <v>11281</v>
      </c>
      <c r="D114" s="28" t="s">
        <v>1362</v>
      </c>
      <c r="E114" s="28" t="s">
        <v>4866</v>
      </c>
      <c r="F114" s="28">
        <v>1</v>
      </c>
      <c r="G114" s="28" t="s">
        <v>4463</v>
      </c>
      <c r="H114" s="28" t="s">
        <v>4451</v>
      </c>
      <c r="I114" s="28" t="s">
        <v>4464</v>
      </c>
      <c r="J114" s="28" t="s">
        <v>4867</v>
      </c>
    </row>
    <row r="115" spans="1:10">
      <c r="A115" s="28">
        <v>100091</v>
      </c>
      <c r="B115" s="28" t="s">
        <v>1639</v>
      </c>
      <c r="C115" s="28">
        <v>11761</v>
      </c>
      <c r="D115" s="28" t="s">
        <v>1639</v>
      </c>
      <c r="E115" s="28" t="s">
        <v>4868</v>
      </c>
      <c r="F115" s="28">
        <v>1</v>
      </c>
      <c r="G115" s="28" t="s">
        <v>4467</v>
      </c>
      <c r="H115" s="28" t="s">
        <v>4451</v>
      </c>
      <c r="I115" s="28" t="s">
        <v>4468</v>
      </c>
      <c r="J115" s="28" t="s">
        <v>4869</v>
      </c>
    </row>
    <row r="116" spans="1:10">
      <c r="A116" s="28">
        <v>100141</v>
      </c>
      <c r="B116" s="28" t="s">
        <v>1379</v>
      </c>
      <c r="C116" s="28">
        <v>11295</v>
      </c>
      <c r="D116" s="28" t="s">
        <v>1379</v>
      </c>
      <c r="E116" s="28" t="s">
        <v>4870</v>
      </c>
      <c r="F116" s="28">
        <v>1</v>
      </c>
      <c r="G116" s="28" t="s">
        <v>4471</v>
      </c>
      <c r="H116" s="28" t="s">
        <v>4430</v>
      </c>
      <c r="I116" s="28" t="s">
        <v>4472</v>
      </c>
      <c r="J116" s="28" t="s">
        <v>4473</v>
      </c>
    </row>
    <row r="117" spans="1:10">
      <c r="A117" s="28">
        <v>100151</v>
      </c>
      <c r="B117" s="28" t="s">
        <v>4871</v>
      </c>
      <c r="C117" s="28">
        <v>11341</v>
      </c>
      <c r="D117" s="28" t="s">
        <v>1421</v>
      </c>
      <c r="E117" s="28" t="s">
        <v>4872</v>
      </c>
      <c r="F117" s="28">
        <v>1</v>
      </c>
      <c r="G117" s="28" t="s">
        <v>4476</v>
      </c>
      <c r="H117" s="28" t="s">
        <v>4477</v>
      </c>
      <c r="I117" s="28" t="s">
        <v>4478</v>
      </c>
      <c r="J117" s="28" t="s">
        <v>4873</v>
      </c>
    </row>
    <row r="118" spans="1:10">
      <c r="A118" s="28">
        <v>100161</v>
      </c>
      <c r="B118" s="28" t="s">
        <v>4874</v>
      </c>
      <c r="C118" s="28">
        <v>11331</v>
      </c>
      <c r="D118" s="28" t="s">
        <v>1415</v>
      </c>
      <c r="E118" s="28" t="s">
        <v>4875</v>
      </c>
      <c r="F118" s="28">
        <v>1</v>
      </c>
      <c r="G118" s="28" t="s">
        <v>4482</v>
      </c>
      <c r="H118" s="28" t="s">
        <v>4477</v>
      </c>
      <c r="I118" s="28" t="s">
        <v>4483</v>
      </c>
      <c r="J118" s="28" t="s">
        <v>4876</v>
      </c>
    </row>
    <row r="119" spans="1:10">
      <c r="A119" s="28">
        <v>100181</v>
      </c>
      <c r="B119" s="28" t="s">
        <v>4877</v>
      </c>
      <c r="C119" s="28">
        <v>11321</v>
      </c>
      <c r="D119" s="28" t="s">
        <v>1409</v>
      </c>
      <c r="E119" s="28" t="s">
        <v>4878</v>
      </c>
      <c r="F119" s="28">
        <v>1</v>
      </c>
      <c r="G119" s="28" t="s">
        <v>4492</v>
      </c>
      <c r="H119" s="28" t="s">
        <v>4477</v>
      </c>
      <c r="I119" s="28" t="s">
        <v>4493</v>
      </c>
      <c r="J119" s="28" t="s">
        <v>4879</v>
      </c>
    </row>
    <row r="120" spans="1:10">
      <c r="A120" s="28">
        <v>100191</v>
      </c>
      <c r="B120" s="28" t="s">
        <v>4880</v>
      </c>
      <c r="C120" s="28">
        <v>11311</v>
      </c>
      <c r="D120" s="28" t="s">
        <v>1398</v>
      </c>
      <c r="E120" s="28" t="s">
        <v>4881</v>
      </c>
      <c r="F120" s="28">
        <v>1</v>
      </c>
      <c r="G120" s="28" t="s">
        <v>4497</v>
      </c>
      <c r="H120" s="28" t="s">
        <v>4477</v>
      </c>
      <c r="I120" s="28" t="s">
        <v>4498</v>
      </c>
      <c r="J120" s="28" t="s">
        <v>4882</v>
      </c>
    </row>
    <row r="121" spans="1:10">
      <c r="A121" s="28">
        <v>100231</v>
      </c>
      <c r="B121" s="28" t="s">
        <v>1159</v>
      </c>
      <c r="C121" s="28">
        <v>11245</v>
      </c>
      <c r="D121" s="28" t="s">
        <v>1159</v>
      </c>
      <c r="E121" s="28" t="s">
        <v>4883</v>
      </c>
      <c r="F121" s="28">
        <v>1</v>
      </c>
      <c r="G121" s="28" t="s">
        <v>4884</v>
      </c>
      <c r="H121" s="28" t="s">
        <v>4502</v>
      </c>
      <c r="I121" s="28" t="s">
        <v>4885</v>
      </c>
      <c r="J121" s="28" t="s">
        <v>4886</v>
      </c>
    </row>
    <row r="122" spans="1:10">
      <c r="A122" s="28">
        <v>100251</v>
      </c>
      <c r="B122" s="28" t="s">
        <v>1515</v>
      </c>
      <c r="C122" s="28">
        <v>11463</v>
      </c>
      <c r="D122" s="28" t="s">
        <v>1515</v>
      </c>
      <c r="E122" s="28" t="s">
        <v>4887</v>
      </c>
      <c r="F122" s="28">
        <v>1</v>
      </c>
      <c r="G122" s="28" t="s">
        <v>4506</v>
      </c>
      <c r="H122" s="28" t="s">
        <v>4430</v>
      </c>
      <c r="I122" s="28" t="s">
        <v>4507</v>
      </c>
      <c r="J122" s="28" t="s">
        <v>4508</v>
      </c>
    </row>
    <row r="123" spans="1:10">
      <c r="A123" s="28">
        <v>100261</v>
      </c>
      <c r="B123" s="28" t="s">
        <v>1521</v>
      </c>
      <c r="C123" s="28">
        <v>11473</v>
      </c>
      <c r="D123" s="28" t="s">
        <v>1521</v>
      </c>
      <c r="E123" s="28" t="s">
        <v>4888</v>
      </c>
      <c r="F123" s="28">
        <v>1</v>
      </c>
      <c r="G123" s="28" t="s">
        <v>4510</v>
      </c>
      <c r="H123" s="28" t="s">
        <v>4430</v>
      </c>
      <c r="I123" s="28" t="s">
        <v>4511</v>
      </c>
      <c r="J123" s="28" t="s">
        <v>4512</v>
      </c>
    </row>
    <row r="124" spans="1:10">
      <c r="A124" s="28">
        <v>100271</v>
      </c>
      <c r="B124" s="28" t="s">
        <v>4889</v>
      </c>
      <c r="C124" s="28">
        <v>11481</v>
      </c>
      <c r="D124" s="28" t="s">
        <v>1524</v>
      </c>
      <c r="E124" s="28" t="s">
        <v>4890</v>
      </c>
      <c r="F124" s="28">
        <v>1</v>
      </c>
      <c r="G124" s="28" t="s">
        <v>4891</v>
      </c>
      <c r="H124" s="28" t="s">
        <v>4487</v>
      </c>
      <c r="I124" s="28" t="s">
        <v>4892</v>
      </c>
      <c r="J124" s="28" t="s">
        <v>4893</v>
      </c>
    </row>
    <row r="125" spans="1:10">
      <c r="A125" s="28">
        <v>100281</v>
      </c>
      <c r="B125" s="28" t="s">
        <v>4894</v>
      </c>
      <c r="C125" s="28">
        <v>11491</v>
      </c>
      <c r="D125" s="28" t="s">
        <v>1527</v>
      </c>
      <c r="E125" s="28" t="s">
        <v>4895</v>
      </c>
      <c r="F125" s="28">
        <v>1</v>
      </c>
      <c r="G125" s="28" t="s">
        <v>4896</v>
      </c>
      <c r="H125" s="28" t="s">
        <v>4487</v>
      </c>
      <c r="I125" s="28" t="s">
        <v>4897</v>
      </c>
      <c r="J125" s="28" t="s">
        <v>4898</v>
      </c>
    </row>
    <row r="126" spans="1:10">
      <c r="A126" s="28">
        <v>100301</v>
      </c>
      <c r="B126" s="28" t="s">
        <v>1598</v>
      </c>
      <c r="C126" s="28">
        <v>11683</v>
      </c>
      <c r="D126" s="28" t="s">
        <v>1598</v>
      </c>
      <c r="E126" s="28" t="s">
        <v>4899</v>
      </c>
      <c r="F126" s="28">
        <v>1</v>
      </c>
      <c r="G126" s="28" t="s">
        <v>4518</v>
      </c>
      <c r="H126" s="28" t="s">
        <v>4430</v>
      </c>
      <c r="I126" s="28" t="s">
        <v>4519</v>
      </c>
      <c r="J126" s="28" t="s">
        <v>4520</v>
      </c>
    </row>
    <row r="127" spans="1:10">
      <c r="A127" s="28">
        <v>100311</v>
      </c>
      <c r="B127" s="28" t="s">
        <v>1604</v>
      </c>
      <c r="C127" s="28">
        <v>11693</v>
      </c>
      <c r="D127" s="28" t="s">
        <v>1604</v>
      </c>
      <c r="E127" s="28" t="s">
        <v>4900</v>
      </c>
      <c r="F127" s="28">
        <v>1</v>
      </c>
      <c r="G127" s="28" t="s">
        <v>4522</v>
      </c>
      <c r="H127" s="28" t="s">
        <v>4430</v>
      </c>
      <c r="I127" s="28" t="s">
        <v>4523</v>
      </c>
      <c r="J127" s="28" t="s">
        <v>4524</v>
      </c>
    </row>
    <row r="128" spans="1:10">
      <c r="A128" s="28">
        <v>200001</v>
      </c>
      <c r="B128" s="28" t="s">
        <v>1232</v>
      </c>
      <c r="C128" s="28">
        <v>11116</v>
      </c>
      <c r="D128" s="28" t="s">
        <v>1232</v>
      </c>
      <c r="E128" s="28" t="s">
        <v>4901</v>
      </c>
      <c r="F128" s="28">
        <v>2</v>
      </c>
      <c r="G128" s="28" t="s">
        <v>4540</v>
      </c>
      <c r="H128" s="28" t="s">
        <v>4430</v>
      </c>
      <c r="I128" s="28" t="s">
        <v>4541</v>
      </c>
      <c r="J128" s="28" t="s">
        <v>4542</v>
      </c>
    </row>
    <row r="129" spans="1:10">
      <c r="A129" s="28">
        <v>200004</v>
      </c>
      <c r="B129" s="28" t="s">
        <v>1626</v>
      </c>
      <c r="C129" s="28">
        <v>11731</v>
      </c>
      <c r="D129" s="28" t="s">
        <v>1626</v>
      </c>
      <c r="E129" s="28" t="s">
        <v>4902</v>
      </c>
      <c r="F129" s="28">
        <v>2</v>
      </c>
      <c r="G129" s="28" t="s">
        <v>4540</v>
      </c>
      <c r="H129" s="28" t="s">
        <v>4430</v>
      </c>
      <c r="I129" s="28" t="s">
        <v>4541</v>
      </c>
      <c r="J129" s="28" t="s">
        <v>4903</v>
      </c>
    </row>
    <row r="130" spans="1:10">
      <c r="A130" s="28">
        <v>200011</v>
      </c>
      <c r="B130" s="28" t="s">
        <v>1242</v>
      </c>
      <c r="C130" s="28">
        <v>11125</v>
      </c>
      <c r="D130" s="28" t="s">
        <v>1242</v>
      </c>
      <c r="E130" s="28" t="s">
        <v>4904</v>
      </c>
      <c r="F130" s="28">
        <v>2</v>
      </c>
      <c r="G130" s="28" t="s">
        <v>4544</v>
      </c>
      <c r="H130" s="28" t="s">
        <v>4430</v>
      </c>
      <c r="I130" s="28" t="s">
        <v>4545</v>
      </c>
      <c r="J130" s="28" t="s">
        <v>4546</v>
      </c>
    </row>
    <row r="131" spans="1:10">
      <c r="A131" s="28">
        <v>200014</v>
      </c>
      <c r="B131" s="28" t="s">
        <v>1294</v>
      </c>
      <c r="C131" s="28">
        <v>11195</v>
      </c>
      <c r="D131" s="28" t="s">
        <v>1294</v>
      </c>
      <c r="E131" s="28" t="s">
        <v>4905</v>
      </c>
      <c r="F131" s="28">
        <v>3</v>
      </c>
      <c r="G131" s="28" t="s">
        <v>4544</v>
      </c>
      <c r="H131" s="28" t="s">
        <v>4430</v>
      </c>
      <c r="I131" s="28" t="s">
        <v>4545</v>
      </c>
      <c r="J131" s="28" t="s">
        <v>4546</v>
      </c>
    </row>
    <row r="132" spans="1:10">
      <c r="A132" s="28">
        <v>200015</v>
      </c>
      <c r="B132" s="28" t="s">
        <v>1247</v>
      </c>
      <c r="C132" s="28">
        <v>11127</v>
      </c>
      <c r="D132" s="28" t="s">
        <v>1247</v>
      </c>
      <c r="E132" s="28" t="s">
        <v>4906</v>
      </c>
      <c r="F132" s="28">
        <v>3</v>
      </c>
      <c r="G132" s="28" t="s">
        <v>4544</v>
      </c>
      <c r="H132" s="28" t="s">
        <v>4430</v>
      </c>
      <c r="I132" s="28" t="s">
        <v>4545</v>
      </c>
      <c r="J132" s="28" t="s">
        <v>4907</v>
      </c>
    </row>
    <row r="133" spans="1:10">
      <c r="A133" s="28">
        <v>200021</v>
      </c>
      <c r="B133" s="28" t="s">
        <v>1616</v>
      </c>
      <c r="C133" s="28">
        <v>11721</v>
      </c>
      <c r="D133" s="28" t="s">
        <v>1616</v>
      </c>
      <c r="E133" s="28" t="s">
        <v>4908</v>
      </c>
      <c r="F133" s="28">
        <v>2</v>
      </c>
      <c r="G133" s="28" t="s">
        <v>4548</v>
      </c>
      <c r="H133" s="28" t="s">
        <v>4430</v>
      </c>
      <c r="I133" s="28" t="s">
        <v>4549</v>
      </c>
      <c r="J133" s="28" t="s">
        <v>4550</v>
      </c>
    </row>
    <row r="134" spans="1:10">
      <c r="A134" s="28">
        <v>200031</v>
      </c>
      <c r="B134" s="28" t="s">
        <v>1298</v>
      </c>
      <c r="C134" s="28">
        <v>11196</v>
      </c>
      <c r="D134" s="28" t="s">
        <v>1298</v>
      </c>
      <c r="E134" s="28" t="s">
        <v>4909</v>
      </c>
      <c r="F134" s="28">
        <v>2</v>
      </c>
      <c r="G134" s="28" t="s">
        <v>4552</v>
      </c>
      <c r="H134" s="28" t="s">
        <v>4430</v>
      </c>
      <c r="I134" s="28" t="s">
        <v>4553</v>
      </c>
      <c r="J134" s="28" t="s">
        <v>4554</v>
      </c>
    </row>
    <row r="135" spans="1:10">
      <c r="A135" s="28">
        <v>200034</v>
      </c>
      <c r="B135" s="28" t="s">
        <v>4910</v>
      </c>
      <c r="C135" s="28">
        <v>11195</v>
      </c>
      <c r="D135" s="28" t="s">
        <v>4910</v>
      </c>
      <c r="E135" s="28" t="s">
        <v>4911</v>
      </c>
      <c r="F135" s="28">
        <v>3</v>
      </c>
      <c r="G135" s="28" t="s">
        <v>4552</v>
      </c>
      <c r="H135" s="28" t="s">
        <v>4430</v>
      </c>
      <c r="I135" s="28" t="s">
        <v>4553</v>
      </c>
      <c r="J135" s="28" t="s">
        <v>4912</v>
      </c>
    </row>
    <row r="136" spans="1:10">
      <c r="A136" s="28">
        <v>200041</v>
      </c>
      <c r="B136" s="28" t="s">
        <v>1621</v>
      </c>
      <c r="C136" s="28">
        <v>11723</v>
      </c>
      <c r="D136" s="28" t="s">
        <v>1621</v>
      </c>
      <c r="E136" s="28" t="s">
        <v>4913</v>
      </c>
      <c r="F136" s="28">
        <v>2</v>
      </c>
      <c r="G136" s="28" t="s">
        <v>4556</v>
      </c>
      <c r="H136" s="28" t="s">
        <v>4430</v>
      </c>
      <c r="I136" s="28" t="s">
        <v>4557</v>
      </c>
      <c r="J136" s="28" t="s">
        <v>4550</v>
      </c>
    </row>
    <row r="137" spans="1:10">
      <c r="A137" s="28">
        <v>200051</v>
      </c>
      <c r="B137" s="28" t="s">
        <v>1312</v>
      </c>
      <c r="C137" s="28">
        <v>11215</v>
      </c>
      <c r="D137" s="28" t="s">
        <v>1312</v>
      </c>
      <c r="E137" s="28" t="s">
        <v>4914</v>
      </c>
      <c r="F137" s="28">
        <v>2</v>
      </c>
      <c r="G137" s="28" t="s">
        <v>4559</v>
      </c>
      <c r="H137" s="28" t="s">
        <v>4430</v>
      </c>
      <c r="I137" s="28" t="s">
        <v>4560</v>
      </c>
      <c r="J137" s="28" t="s">
        <v>4561</v>
      </c>
    </row>
    <row r="138" spans="1:10">
      <c r="A138" s="28">
        <v>200071</v>
      </c>
      <c r="B138" s="28" t="s">
        <v>4915</v>
      </c>
      <c r="C138" s="28">
        <v>11451</v>
      </c>
      <c r="D138" s="28" t="s">
        <v>1498</v>
      </c>
      <c r="E138" s="28" t="s">
        <v>4916</v>
      </c>
      <c r="F138" s="28">
        <v>2</v>
      </c>
      <c r="G138" s="28" t="s">
        <v>4564</v>
      </c>
      <c r="H138" s="28" t="s">
        <v>4451</v>
      </c>
      <c r="I138" s="28" t="s">
        <v>4565</v>
      </c>
      <c r="J138" s="28" t="s">
        <v>4917</v>
      </c>
    </row>
    <row r="139" spans="1:10">
      <c r="A139" s="28">
        <v>200072</v>
      </c>
      <c r="B139" s="28" t="s">
        <v>4918</v>
      </c>
      <c r="C139" s="28">
        <v>11456</v>
      </c>
      <c r="D139" s="28" t="s">
        <v>1508</v>
      </c>
      <c r="E139" s="28" t="s">
        <v>4919</v>
      </c>
      <c r="F139" s="28">
        <v>3</v>
      </c>
      <c r="G139" s="28" t="s">
        <v>4564</v>
      </c>
      <c r="H139" s="28" t="s">
        <v>4451</v>
      </c>
      <c r="I139" s="28" t="s">
        <v>4565</v>
      </c>
      <c r="J139" s="28" t="s">
        <v>4920</v>
      </c>
    </row>
    <row r="140" spans="1:10">
      <c r="A140" s="28">
        <v>200073</v>
      </c>
      <c r="B140" s="28" t="s">
        <v>4921</v>
      </c>
      <c r="C140" s="28">
        <v>11453</v>
      </c>
      <c r="D140" s="28" t="s">
        <v>1501</v>
      </c>
      <c r="E140" s="28" t="s">
        <v>4922</v>
      </c>
      <c r="F140" s="28">
        <v>3</v>
      </c>
      <c r="G140" s="28" t="s">
        <v>4564</v>
      </c>
      <c r="H140" s="28" t="s">
        <v>4451</v>
      </c>
      <c r="I140" s="28" t="s">
        <v>4565</v>
      </c>
      <c r="J140" s="28" t="s">
        <v>4923</v>
      </c>
    </row>
    <row r="141" spans="1:10">
      <c r="A141" s="28">
        <v>200081</v>
      </c>
      <c r="B141" s="28" t="s">
        <v>4924</v>
      </c>
      <c r="C141" s="28">
        <v>11441</v>
      </c>
      <c r="D141" s="28" t="s">
        <v>1488</v>
      </c>
      <c r="E141" s="28" t="s">
        <v>4925</v>
      </c>
      <c r="F141" s="28">
        <v>2</v>
      </c>
      <c r="G141" s="28" t="s">
        <v>4569</v>
      </c>
      <c r="H141" s="28" t="s">
        <v>4451</v>
      </c>
      <c r="I141" s="28" t="s">
        <v>4570</v>
      </c>
      <c r="J141" s="28" t="s">
        <v>4926</v>
      </c>
    </row>
    <row r="142" spans="1:10">
      <c r="A142" s="28">
        <v>200091</v>
      </c>
      <c r="B142" s="28" t="s">
        <v>1341</v>
      </c>
      <c r="C142" s="28">
        <v>11261</v>
      </c>
      <c r="D142" s="28" t="s">
        <v>1341</v>
      </c>
      <c r="E142" s="28" t="s">
        <v>4927</v>
      </c>
      <c r="F142" s="28">
        <v>2</v>
      </c>
      <c r="G142" s="28" t="s">
        <v>4573</v>
      </c>
      <c r="H142" s="28" t="s">
        <v>4451</v>
      </c>
      <c r="I142" s="28" t="s">
        <v>4574</v>
      </c>
      <c r="J142" s="28" t="s">
        <v>4928</v>
      </c>
    </row>
    <row r="143" spans="1:10">
      <c r="A143" s="28">
        <v>200092</v>
      </c>
      <c r="B143" s="28" t="s">
        <v>1726</v>
      </c>
      <c r="C143" s="28">
        <v>11971</v>
      </c>
      <c r="D143" s="28" t="s">
        <v>1726</v>
      </c>
      <c r="E143" s="28" t="s">
        <v>4929</v>
      </c>
      <c r="F143" s="28">
        <v>3</v>
      </c>
      <c r="G143" s="28" t="s">
        <v>4573</v>
      </c>
      <c r="H143" s="28" t="s">
        <v>4451</v>
      </c>
      <c r="I143" s="28" t="s">
        <v>4574</v>
      </c>
      <c r="J143" s="28" t="s">
        <v>4930</v>
      </c>
    </row>
    <row r="144" spans="1:10">
      <c r="A144" s="28">
        <v>200121</v>
      </c>
      <c r="B144" s="28" t="s">
        <v>4931</v>
      </c>
      <c r="C144" s="28">
        <v>11501</v>
      </c>
      <c r="D144" s="28" t="s">
        <v>1530</v>
      </c>
      <c r="E144" s="28" t="s">
        <v>4932</v>
      </c>
      <c r="F144" s="28">
        <v>2</v>
      </c>
      <c r="G144" s="28" t="s">
        <v>4933</v>
      </c>
      <c r="H144" s="28" t="s">
        <v>4487</v>
      </c>
      <c r="I144" s="28" t="s">
        <v>4626</v>
      </c>
      <c r="J144" s="28" t="s">
        <v>4934</v>
      </c>
    </row>
    <row r="145" spans="1:10">
      <c r="A145" s="28">
        <v>200131</v>
      </c>
      <c r="B145" s="28" t="s">
        <v>4935</v>
      </c>
      <c r="C145" s="28">
        <v>11511</v>
      </c>
      <c r="D145" s="28" t="s">
        <v>1533</v>
      </c>
      <c r="E145" s="28" t="s">
        <v>4936</v>
      </c>
      <c r="F145" s="28">
        <v>2</v>
      </c>
      <c r="G145" s="28" t="s">
        <v>4937</v>
      </c>
      <c r="H145" s="28" t="s">
        <v>4487</v>
      </c>
      <c r="I145" s="28" t="s">
        <v>4938</v>
      </c>
      <c r="J145" s="28" t="s">
        <v>4939</v>
      </c>
    </row>
    <row r="146" spans="1:10">
      <c r="A146" s="28">
        <v>200141</v>
      </c>
      <c r="B146" s="28" t="s">
        <v>4940</v>
      </c>
      <c r="C146" s="28">
        <v>11521</v>
      </c>
      <c r="D146" s="28" t="s">
        <v>1536</v>
      </c>
      <c r="E146" s="28" t="s">
        <v>4941</v>
      </c>
      <c r="F146" s="28">
        <v>2</v>
      </c>
      <c r="G146" s="28" t="s">
        <v>4942</v>
      </c>
      <c r="H146" s="28" t="s">
        <v>4487</v>
      </c>
      <c r="I146" s="28" t="s">
        <v>4943</v>
      </c>
      <c r="J146" s="28" t="s">
        <v>4944</v>
      </c>
    </row>
    <row r="147" spans="1:10">
      <c r="A147" s="28">
        <v>200151</v>
      </c>
      <c r="B147" s="28" t="s">
        <v>4945</v>
      </c>
      <c r="C147" s="28">
        <v>11361</v>
      </c>
      <c r="D147" s="28" t="s">
        <v>1441</v>
      </c>
      <c r="E147" s="28" t="s">
        <v>4946</v>
      </c>
      <c r="F147" s="28">
        <v>2</v>
      </c>
      <c r="G147" s="28" t="s">
        <v>4587</v>
      </c>
      <c r="H147" s="28" t="s">
        <v>4477</v>
      </c>
      <c r="I147" s="28" t="s">
        <v>4588</v>
      </c>
      <c r="J147" s="28" t="s">
        <v>4947</v>
      </c>
    </row>
    <row r="148" spans="1:10">
      <c r="A148" s="28">
        <v>200171</v>
      </c>
      <c r="B148" s="28" t="s">
        <v>4948</v>
      </c>
      <c r="C148" s="28">
        <v>11351</v>
      </c>
      <c r="D148" s="28" t="s">
        <v>1427</v>
      </c>
      <c r="E148" s="28" t="s">
        <v>4949</v>
      </c>
      <c r="F148" s="28">
        <v>2</v>
      </c>
      <c r="G148" s="28" t="s">
        <v>4596</v>
      </c>
      <c r="H148" s="28" t="s">
        <v>4477</v>
      </c>
      <c r="I148" s="28" t="s">
        <v>4597</v>
      </c>
      <c r="J148" s="28" t="s">
        <v>4950</v>
      </c>
    </row>
    <row r="149" spans="1:10">
      <c r="A149" s="28">
        <v>200172</v>
      </c>
      <c r="B149" s="28" t="s">
        <v>1432</v>
      </c>
      <c r="C149" s="28">
        <v>11353</v>
      </c>
      <c r="D149" s="28" t="s">
        <v>1432</v>
      </c>
      <c r="E149" s="28" t="s">
        <v>4951</v>
      </c>
      <c r="F149" s="28">
        <v>3</v>
      </c>
      <c r="G149" s="28" t="s">
        <v>4596</v>
      </c>
      <c r="H149" s="28" t="s">
        <v>4477</v>
      </c>
      <c r="I149" s="28" t="s">
        <v>4597</v>
      </c>
      <c r="J149" s="28" t="s">
        <v>4952</v>
      </c>
    </row>
    <row r="150" spans="1:10">
      <c r="A150" s="28">
        <v>200231</v>
      </c>
      <c r="B150" s="28" t="s">
        <v>4953</v>
      </c>
      <c r="C150" s="28">
        <v>11602</v>
      </c>
      <c r="D150" s="28" t="s">
        <v>1563</v>
      </c>
      <c r="E150" s="28" t="s">
        <v>4954</v>
      </c>
      <c r="F150" s="28">
        <v>2</v>
      </c>
      <c r="G150" s="28" t="s">
        <v>4737</v>
      </c>
      <c r="H150" s="28" t="s">
        <v>4430</v>
      </c>
      <c r="I150" s="28" t="s">
        <v>4738</v>
      </c>
      <c r="J150" s="28" t="s">
        <v>4955</v>
      </c>
    </row>
    <row r="151" spans="1:10">
      <c r="A151" s="28">
        <v>200241</v>
      </c>
      <c r="B151" s="28" t="s">
        <v>4956</v>
      </c>
      <c r="C151" s="28">
        <v>11622</v>
      </c>
      <c r="D151" s="28" t="s">
        <v>1578</v>
      </c>
      <c r="E151" s="28" t="s">
        <v>4957</v>
      </c>
      <c r="F151" s="28">
        <v>2</v>
      </c>
      <c r="G151" s="28" t="s">
        <v>4737</v>
      </c>
      <c r="H151" s="28" t="s">
        <v>4430</v>
      </c>
      <c r="I151" s="28" t="s">
        <v>4738</v>
      </c>
      <c r="J151" s="28" t="s">
        <v>4958</v>
      </c>
    </row>
    <row r="152" spans="1:10">
      <c r="A152" s="28">
        <v>200251</v>
      </c>
      <c r="B152" s="28" t="s">
        <v>4959</v>
      </c>
      <c r="C152" s="28">
        <v>11612</v>
      </c>
      <c r="D152" s="28" t="s">
        <v>1572</v>
      </c>
      <c r="E152" s="28" t="s">
        <v>4960</v>
      </c>
      <c r="F152" s="28">
        <v>2</v>
      </c>
      <c r="G152" s="28" t="s">
        <v>4737</v>
      </c>
      <c r="H152" s="28" t="s">
        <v>4430</v>
      </c>
      <c r="I152" s="28" t="s">
        <v>4738</v>
      </c>
      <c r="J152" s="28" t="s">
        <v>4961</v>
      </c>
    </row>
    <row r="153" spans="1:10">
      <c r="A153" s="28">
        <v>300001</v>
      </c>
      <c r="B153" s="28" t="s">
        <v>1269</v>
      </c>
      <c r="C153" s="28">
        <v>11157</v>
      </c>
      <c r="D153" s="28" t="s">
        <v>1269</v>
      </c>
      <c r="E153" s="28" t="s">
        <v>4962</v>
      </c>
      <c r="F153" s="28">
        <v>2</v>
      </c>
      <c r="G153" s="28" t="s">
        <v>4656</v>
      </c>
      <c r="H153" s="28" t="s">
        <v>4430</v>
      </c>
      <c r="I153" s="28" t="s">
        <v>4657</v>
      </c>
      <c r="J153" s="28" t="s">
        <v>4658</v>
      </c>
    </row>
    <row r="154" spans="1:10">
      <c r="A154" s="28">
        <v>300002</v>
      </c>
      <c r="B154" s="28" t="s">
        <v>1260</v>
      </c>
      <c r="C154" s="28">
        <v>11152</v>
      </c>
      <c r="D154" s="28" t="s">
        <v>1260</v>
      </c>
      <c r="E154" s="28" t="s">
        <v>4963</v>
      </c>
      <c r="F154" s="28">
        <v>2</v>
      </c>
      <c r="G154" s="28" t="s">
        <v>4656</v>
      </c>
      <c r="H154" s="28" t="s">
        <v>4430</v>
      </c>
      <c r="I154" s="28" t="s">
        <v>4657</v>
      </c>
      <c r="J154" s="28" t="s">
        <v>4658</v>
      </c>
    </row>
    <row r="155" spans="1:10">
      <c r="A155" s="28">
        <v>300004</v>
      </c>
      <c r="B155" s="28" t="s">
        <v>1636</v>
      </c>
      <c r="C155" s="28">
        <v>11751</v>
      </c>
      <c r="D155" s="28" t="s">
        <v>1636</v>
      </c>
      <c r="E155" s="28" t="s">
        <v>4964</v>
      </c>
      <c r="F155" s="28">
        <v>2</v>
      </c>
      <c r="G155" s="28" t="s">
        <v>4656</v>
      </c>
      <c r="H155" s="28" t="s">
        <v>4430</v>
      </c>
      <c r="I155" s="28" t="s">
        <v>4657</v>
      </c>
      <c r="J155" s="28" t="s">
        <v>4965</v>
      </c>
    </row>
    <row r="156" spans="1:10">
      <c r="A156" s="28">
        <v>300005</v>
      </c>
      <c r="B156" s="28" t="s">
        <v>1132</v>
      </c>
      <c r="C156" s="28">
        <v>11156</v>
      </c>
      <c r="D156" s="28" t="s">
        <v>1132</v>
      </c>
      <c r="E156" s="28" t="s">
        <v>4966</v>
      </c>
      <c r="F156" s="28">
        <v>3</v>
      </c>
      <c r="G156" s="28" t="s">
        <v>4656</v>
      </c>
      <c r="H156" s="28" t="s">
        <v>4430</v>
      </c>
      <c r="I156" s="28" t="s">
        <v>4657</v>
      </c>
      <c r="J156" s="28" t="s">
        <v>4967</v>
      </c>
    </row>
    <row r="157" spans="1:10">
      <c r="A157" s="28">
        <v>300011</v>
      </c>
      <c r="B157" s="28" t="s">
        <v>1286</v>
      </c>
      <c r="C157" s="28">
        <v>11186</v>
      </c>
      <c r="D157" s="28" t="s">
        <v>1286</v>
      </c>
      <c r="E157" s="28" t="s">
        <v>4968</v>
      </c>
      <c r="F157" s="28">
        <v>2</v>
      </c>
      <c r="G157" s="28" t="s">
        <v>4660</v>
      </c>
      <c r="H157" s="28" t="s">
        <v>4430</v>
      </c>
      <c r="I157" s="28" t="s">
        <v>4661</v>
      </c>
      <c r="J157" s="28" t="s">
        <v>4662</v>
      </c>
    </row>
    <row r="158" spans="1:10">
      <c r="A158" s="28">
        <v>300014</v>
      </c>
      <c r="B158" s="28" t="s">
        <v>1631</v>
      </c>
      <c r="C158" s="28">
        <v>11741</v>
      </c>
      <c r="D158" s="28" t="s">
        <v>1631</v>
      </c>
      <c r="E158" s="28" t="s">
        <v>4969</v>
      </c>
      <c r="F158" s="28">
        <v>2</v>
      </c>
      <c r="G158" s="28" t="s">
        <v>4660</v>
      </c>
      <c r="H158" s="28" t="s">
        <v>4430</v>
      </c>
      <c r="I158" s="28" t="s">
        <v>4661</v>
      </c>
      <c r="J158" s="28" t="s">
        <v>4970</v>
      </c>
    </row>
    <row r="159" spans="1:10">
      <c r="A159" s="28">
        <v>300015</v>
      </c>
      <c r="B159" s="28" t="s">
        <v>1280</v>
      </c>
      <c r="C159" s="28">
        <v>11181</v>
      </c>
      <c r="D159" s="28" t="s">
        <v>1280</v>
      </c>
      <c r="E159" s="28" t="s">
        <v>4971</v>
      </c>
      <c r="F159" s="28">
        <v>3</v>
      </c>
      <c r="G159" s="28" t="s">
        <v>4660</v>
      </c>
      <c r="H159" s="28" t="s">
        <v>4430</v>
      </c>
      <c r="I159" s="28" t="s">
        <v>4661</v>
      </c>
      <c r="J159" s="28" t="s">
        <v>4972</v>
      </c>
    </row>
    <row r="160" spans="1:10">
      <c r="A160" s="28">
        <v>300021</v>
      </c>
      <c r="B160" s="28" t="s">
        <v>4973</v>
      </c>
      <c r="C160" s="28">
        <v>11051</v>
      </c>
      <c r="D160" s="28" t="s">
        <v>1189</v>
      </c>
      <c r="E160" s="28" t="s">
        <v>4974</v>
      </c>
      <c r="F160" s="28">
        <v>2</v>
      </c>
      <c r="G160" s="28" t="s">
        <v>4665</v>
      </c>
      <c r="H160" s="28" t="s">
        <v>4451</v>
      </c>
      <c r="I160" s="28" t="s">
        <v>4666</v>
      </c>
      <c r="J160" s="28" t="s">
        <v>4975</v>
      </c>
    </row>
    <row r="161" spans="1:10">
      <c r="A161" s="28">
        <v>300022</v>
      </c>
      <c r="B161" s="28" t="s">
        <v>4976</v>
      </c>
      <c r="C161" s="28">
        <v>11057</v>
      </c>
      <c r="D161" s="28" t="s">
        <v>1195</v>
      </c>
      <c r="E161" s="28" t="s">
        <v>4977</v>
      </c>
      <c r="F161" s="28">
        <v>3</v>
      </c>
      <c r="G161" s="28" t="s">
        <v>4665</v>
      </c>
      <c r="H161" s="28" t="s">
        <v>4451</v>
      </c>
      <c r="I161" s="28" t="s">
        <v>4666</v>
      </c>
      <c r="J161" s="28" t="s">
        <v>4978</v>
      </c>
    </row>
    <row r="162" spans="1:10">
      <c r="A162" s="28">
        <v>300041</v>
      </c>
      <c r="B162" s="28" t="s">
        <v>1390</v>
      </c>
      <c r="C162" s="28">
        <v>11302</v>
      </c>
      <c r="D162" s="28" t="s">
        <v>1390</v>
      </c>
      <c r="E162" s="28" t="s">
        <v>4979</v>
      </c>
      <c r="F162" s="28">
        <v>3</v>
      </c>
      <c r="G162" s="28" t="s">
        <v>4673</v>
      </c>
      <c r="H162" s="28" t="s">
        <v>4502</v>
      </c>
      <c r="I162" s="28" t="s">
        <v>4674</v>
      </c>
      <c r="J162" s="28" t="s">
        <v>4675</v>
      </c>
    </row>
    <row r="163" spans="1:10">
      <c r="A163" s="28">
        <v>300042</v>
      </c>
      <c r="B163" s="28" t="s">
        <v>1394</v>
      </c>
      <c r="C163" s="28">
        <v>11303</v>
      </c>
      <c r="D163" s="28" t="s">
        <v>1394</v>
      </c>
      <c r="E163" s="28" t="s">
        <v>4980</v>
      </c>
      <c r="F163" s="28">
        <v>3</v>
      </c>
      <c r="G163" s="28" t="s">
        <v>4673</v>
      </c>
      <c r="H163" s="28" t="s">
        <v>4502</v>
      </c>
      <c r="I163" s="28" t="s">
        <v>4674</v>
      </c>
      <c r="J163" s="28" t="s">
        <v>4675</v>
      </c>
    </row>
    <row r="164" spans="1:10">
      <c r="A164" s="28">
        <v>300051</v>
      </c>
      <c r="B164" s="28" t="s">
        <v>1469</v>
      </c>
      <c r="C164" s="28">
        <v>11402</v>
      </c>
      <c r="D164" s="28" t="s">
        <v>1469</v>
      </c>
      <c r="E164" s="28" t="s">
        <v>4981</v>
      </c>
      <c r="F164" s="28">
        <v>3</v>
      </c>
      <c r="G164" s="28" t="s">
        <v>4677</v>
      </c>
      <c r="H164" s="28" t="s">
        <v>4502</v>
      </c>
      <c r="I164" s="28" t="s">
        <v>4678</v>
      </c>
      <c r="J164" s="28" t="s">
        <v>4679</v>
      </c>
    </row>
    <row r="165" spans="1:10">
      <c r="A165" s="28">
        <v>300052</v>
      </c>
      <c r="B165" s="28" t="s">
        <v>1472</v>
      </c>
      <c r="C165" s="28">
        <v>11403</v>
      </c>
      <c r="D165" s="28" t="s">
        <v>1472</v>
      </c>
      <c r="E165" s="28" t="s">
        <v>4982</v>
      </c>
      <c r="F165" s="28">
        <v>3</v>
      </c>
      <c r="G165" s="28" t="s">
        <v>4677</v>
      </c>
      <c r="H165" s="28" t="s">
        <v>4502</v>
      </c>
      <c r="I165" s="28" t="s">
        <v>4678</v>
      </c>
      <c r="J165" s="28" t="s">
        <v>4679</v>
      </c>
    </row>
    <row r="166" spans="1:10">
      <c r="A166" s="28">
        <v>300061</v>
      </c>
      <c r="B166" s="28" t="s">
        <v>1460</v>
      </c>
      <c r="C166" s="28">
        <v>11392</v>
      </c>
      <c r="D166" s="28" t="s">
        <v>1460</v>
      </c>
      <c r="E166" s="28" t="s">
        <v>4983</v>
      </c>
      <c r="F166" s="28">
        <v>3</v>
      </c>
      <c r="G166" s="28" t="s">
        <v>4681</v>
      </c>
      <c r="H166" s="28" t="s">
        <v>4502</v>
      </c>
      <c r="I166" s="28" t="s">
        <v>4682</v>
      </c>
      <c r="J166" s="28" t="s">
        <v>4683</v>
      </c>
    </row>
    <row r="167" spans="1:10">
      <c r="A167" s="28">
        <v>300062</v>
      </c>
      <c r="B167" s="28" t="s">
        <v>1463</v>
      </c>
      <c r="C167" s="28">
        <v>11393</v>
      </c>
      <c r="D167" s="28" t="s">
        <v>1463</v>
      </c>
      <c r="E167" s="28" t="s">
        <v>4984</v>
      </c>
      <c r="F167" s="28">
        <v>3</v>
      </c>
      <c r="G167" s="28" t="s">
        <v>4681</v>
      </c>
      <c r="H167" s="28" t="s">
        <v>4502</v>
      </c>
      <c r="I167" s="28" t="s">
        <v>4682</v>
      </c>
      <c r="J167" s="28" t="s">
        <v>4683</v>
      </c>
    </row>
    <row r="168" spans="1:10">
      <c r="A168" s="28">
        <v>300071</v>
      </c>
      <c r="B168" s="28" t="s">
        <v>1128</v>
      </c>
      <c r="C168" s="28">
        <v>11233</v>
      </c>
      <c r="D168" s="28" t="s">
        <v>1128</v>
      </c>
      <c r="E168" s="28" t="s">
        <v>4985</v>
      </c>
      <c r="F168" s="28">
        <v>4</v>
      </c>
      <c r="G168" s="28" t="s">
        <v>4685</v>
      </c>
      <c r="H168" s="28" t="s">
        <v>4430</v>
      </c>
      <c r="I168" s="28" t="s">
        <v>4686</v>
      </c>
      <c r="J168" s="54" t="s">
        <v>4986</v>
      </c>
    </row>
    <row r="169" spans="1:10">
      <c r="A169" s="28">
        <v>300072</v>
      </c>
      <c r="B169" s="28" t="s">
        <v>1697</v>
      </c>
      <c r="C169" s="28">
        <v>11901</v>
      </c>
      <c r="D169" s="28" t="s">
        <v>1697</v>
      </c>
      <c r="E169" s="28" t="s">
        <v>4987</v>
      </c>
      <c r="F169" s="28">
        <v>4</v>
      </c>
      <c r="G169" s="28" t="s">
        <v>4685</v>
      </c>
      <c r="H169" s="28" t="s">
        <v>4430</v>
      </c>
      <c r="I169" s="28" t="s">
        <v>4686</v>
      </c>
      <c r="J169" s="28" t="s">
        <v>4988</v>
      </c>
    </row>
    <row r="170" spans="1:10">
      <c r="A170" s="28">
        <v>300081</v>
      </c>
      <c r="B170" s="28" t="s">
        <v>4989</v>
      </c>
      <c r="C170" s="28">
        <v>11061</v>
      </c>
      <c r="D170" s="28" t="s">
        <v>1204</v>
      </c>
      <c r="E170" s="28" t="s">
        <v>4990</v>
      </c>
      <c r="F170" s="28">
        <v>3</v>
      </c>
      <c r="G170" s="28" t="s">
        <v>4991</v>
      </c>
      <c r="H170" s="28" t="s">
        <v>4451</v>
      </c>
      <c r="I170" s="28" t="s">
        <v>4992</v>
      </c>
      <c r="J170" s="28" t="s">
        <v>4993</v>
      </c>
    </row>
    <row r="171" spans="1:10">
      <c r="A171" s="28">
        <v>300082</v>
      </c>
      <c r="B171" s="28" t="s">
        <v>1694</v>
      </c>
      <c r="C171" s="28">
        <v>11891</v>
      </c>
      <c r="D171" s="28" t="s">
        <v>1694</v>
      </c>
      <c r="E171" s="28" t="s">
        <v>4994</v>
      </c>
      <c r="F171" s="28">
        <v>3</v>
      </c>
      <c r="G171" s="28" t="s">
        <v>4995</v>
      </c>
      <c r="H171" s="28" t="s">
        <v>4451</v>
      </c>
      <c r="I171" s="28" t="s">
        <v>4996</v>
      </c>
      <c r="J171" s="28" t="s">
        <v>4997</v>
      </c>
    </row>
    <row r="172" spans="1:10">
      <c r="A172" s="28">
        <v>300121</v>
      </c>
      <c r="B172" s="28" t="s">
        <v>1684</v>
      </c>
      <c r="C172" s="28">
        <v>11861</v>
      </c>
      <c r="D172" s="28" t="s">
        <v>1684</v>
      </c>
      <c r="E172" s="28" t="s">
        <v>4998</v>
      </c>
      <c r="F172" s="28">
        <v>4</v>
      </c>
      <c r="G172" s="28" t="s">
        <v>4706</v>
      </c>
      <c r="H172" s="28" t="s">
        <v>4430</v>
      </c>
      <c r="I172" s="28" t="s">
        <v>4707</v>
      </c>
      <c r="J172" s="28" t="s">
        <v>4999</v>
      </c>
    </row>
    <row r="173" spans="1:10">
      <c r="A173" s="28">
        <v>300211</v>
      </c>
      <c r="B173" s="28" t="s">
        <v>1691</v>
      </c>
      <c r="C173" s="28">
        <v>11881</v>
      </c>
      <c r="D173" s="28" t="s">
        <v>1691</v>
      </c>
      <c r="E173" s="28" t="s">
        <v>5000</v>
      </c>
      <c r="F173" s="28">
        <v>4</v>
      </c>
      <c r="G173" s="28" t="s">
        <v>4741</v>
      </c>
      <c r="H173" s="28" t="s">
        <v>4487</v>
      </c>
      <c r="I173" s="28" t="s">
        <v>4742</v>
      </c>
      <c r="J173" s="28" t="s">
        <v>5001</v>
      </c>
    </row>
    <row r="174" spans="1:10">
      <c r="A174" s="28">
        <v>300301</v>
      </c>
      <c r="B174" s="28" t="s">
        <v>5002</v>
      </c>
      <c r="C174" s="28">
        <v>11982</v>
      </c>
      <c r="D174" s="28" t="s">
        <v>1733</v>
      </c>
      <c r="E174" s="28" t="s">
        <v>5003</v>
      </c>
      <c r="F174" s="28">
        <v>3</v>
      </c>
      <c r="G174" s="28" t="s">
        <v>4737</v>
      </c>
      <c r="H174" s="28" t="s">
        <v>4430</v>
      </c>
      <c r="I174" s="28" t="s">
        <v>4738</v>
      </c>
      <c r="J174" s="28" t="s">
        <v>5004</v>
      </c>
    </row>
    <row r="175" spans="1:10">
      <c r="A175" s="28">
        <v>300371</v>
      </c>
      <c r="B175" s="28" t="s">
        <v>1858</v>
      </c>
      <c r="C175" s="28">
        <v>31212</v>
      </c>
      <c r="D175" s="28" t="s">
        <v>1858</v>
      </c>
      <c r="E175" s="28" t="s">
        <v>5005</v>
      </c>
      <c r="F175" s="28">
        <v>3</v>
      </c>
      <c r="G175" s="28" t="s">
        <v>5006</v>
      </c>
      <c r="H175" s="28" t="s">
        <v>4430</v>
      </c>
      <c r="I175" s="28" t="s">
        <v>4738</v>
      </c>
      <c r="J175" s="28" t="s">
        <v>5007</v>
      </c>
    </row>
    <row r="176" spans="1:10">
      <c r="A176" s="28">
        <v>300372</v>
      </c>
      <c r="B176" s="28" t="s">
        <v>1862</v>
      </c>
      <c r="C176" s="28">
        <v>31213</v>
      </c>
      <c r="D176" s="28" t="s">
        <v>1862</v>
      </c>
      <c r="E176" s="28" t="s">
        <v>5008</v>
      </c>
      <c r="F176" s="28">
        <v>3</v>
      </c>
      <c r="G176" s="28" t="s">
        <v>5006</v>
      </c>
      <c r="H176" s="28" t="s">
        <v>4502</v>
      </c>
      <c r="I176" s="28" t="s">
        <v>4738</v>
      </c>
      <c r="J176" s="28" t="s">
        <v>5009</v>
      </c>
    </row>
    <row r="177" spans="1:10">
      <c r="A177" s="28">
        <v>300401</v>
      </c>
      <c r="B177" s="28" t="s">
        <v>5010</v>
      </c>
      <c r="C177" s="28">
        <v>31292</v>
      </c>
      <c r="D177" s="28" t="s">
        <v>1906</v>
      </c>
      <c r="E177" s="28" t="s">
        <v>5011</v>
      </c>
      <c r="F177" s="28">
        <v>3</v>
      </c>
      <c r="G177" s="28" t="s">
        <v>4737</v>
      </c>
      <c r="H177" s="28" t="s">
        <v>4430</v>
      </c>
      <c r="I177" s="28" t="s">
        <v>4738</v>
      </c>
      <c r="J177" s="28" t="s">
        <v>5012</v>
      </c>
    </row>
    <row r="178" spans="1:10">
      <c r="A178" s="28">
        <v>300402</v>
      </c>
      <c r="B178" s="28" t="s">
        <v>5013</v>
      </c>
      <c r="C178" s="28">
        <v>31293</v>
      </c>
      <c r="D178" s="28" t="s">
        <v>1909</v>
      </c>
      <c r="E178" s="28" t="s">
        <v>5014</v>
      </c>
      <c r="F178" s="28">
        <v>3</v>
      </c>
      <c r="G178" s="28" t="s">
        <v>5015</v>
      </c>
      <c r="H178" s="28" t="s">
        <v>4502</v>
      </c>
      <c r="I178" s="28" t="s">
        <v>4738</v>
      </c>
      <c r="J178" s="28" t="s">
        <v>5016</v>
      </c>
    </row>
    <row r="179" spans="1:10">
      <c r="A179" s="28">
        <v>930166</v>
      </c>
      <c r="B179" s="28" t="s">
        <v>1722</v>
      </c>
      <c r="C179" s="28">
        <v>11961</v>
      </c>
      <c r="D179" s="28" t="s">
        <v>1722</v>
      </c>
      <c r="E179" s="28" t="s">
        <v>5017</v>
      </c>
      <c r="F179" s="28">
        <v>3</v>
      </c>
      <c r="G179" s="28" t="s">
        <v>5018</v>
      </c>
      <c r="H179" s="28" t="s">
        <v>4430</v>
      </c>
      <c r="I179" s="28" t="s">
        <v>5019</v>
      </c>
      <c r="J179" s="28" t="s">
        <v>5020</v>
      </c>
    </row>
    <row r="180" spans="1:10">
      <c r="A180" s="28">
        <v>930167</v>
      </c>
      <c r="B180" s="28" t="s">
        <v>1778</v>
      </c>
      <c r="C180" s="28">
        <v>31081</v>
      </c>
      <c r="D180" s="28" t="s">
        <v>1778</v>
      </c>
      <c r="E180" s="28" t="s">
        <v>5021</v>
      </c>
      <c r="F180" s="28">
        <v>2</v>
      </c>
      <c r="G180" s="28" t="s">
        <v>5022</v>
      </c>
      <c r="H180" s="28" t="s">
        <v>4487</v>
      </c>
      <c r="I180" s="28" t="s">
        <v>5023</v>
      </c>
      <c r="J180" s="28" t="s">
        <v>5024</v>
      </c>
    </row>
    <row r="181" spans="1:10">
      <c r="A181" s="28">
        <v>930168</v>
      </c>
      <c r="B181" s="28" t="s">
        <v>1767</v>
      </c>
      <c r="C181" s="28">
        <v>31051</v>
      </c>
      <c r="D181" s="28" t="s">
        <v>1767</v>
      </c>
      <c r="E181" s="28" t="s">
        <v>5025</v>
      </c>
      <c r="F181" s="28">
        <v>2</v>
      </c>
      <c r="G181" s="28" t="s">
        <v>5026</v>
      </c>
      <c r="H181" s="28" t="s">
        <v>4430</v>
      </c>
      <c r="I181" s="28" t="s">
        <v>5027</v>
      </c>
      <c r="J181" s="28" t="s">
        <v>5028</v>
      </c>
    </row>
    <row r="182" spans="1:10">
      <c r="A182" s="16">
        <v>930169</v>
      </c>
      <c r="B182" s="16" t="s">
        <v>1749</v>
      </c>
      <c r="C182" s="16">
        <v>31011</v>
      </c>
      <c r="D182" s="16" t="s">
        <v>1749</v>
      </c>
      <c r="E182" s="16" t="s">
        <v>5029</v>
      </c>
      <c r="F182" s="16">
        <v>3</v>
      </c>
      <c r="G182" s="28" t="s">
        <v>5030</v>
      </c>
      <c r="H182" s="16" t="s">
        <v>4430</v>
      </c>
      <c r="I182" s="28" t="s">
        <v>5031</v>
      </c>
      <c r="J182" s="28" t="s">
        <v>5032</v>
      </c>
    </row>
    <row r="183" spans="1:10">
      <c r="A183" s="16">
        <v>930170</v>
      </c>
      <c r="B183" s="16" t="s">
        <v>1553</v>
      </c>
      <c r="C183" s="16">
        <v>11571</v>
      </c>
      <c r="D183" s="16" t="s">
        <v>1553</v>
      </c>
      <c r="E183" s="16" t="s">
        <v>5033</v>
      </c>
      <c r="F183" s="16">
        <v>3</v>
      </c>
      <c r="G183" s="28" t="s">
        <v>5034</v>
      </c>
      <c r="H183" s="16" t="s">
        <v>4502</v>
      </c>
      <c r="I183" s="28" t="s">
        <v>5035</v>
      </c>
      <c r="J183" s="28" t="s">
        <v>5036</v>
      </c>
    </row>
    <row r="184" spans="1:10">
      <c r="A184" s="16">
        <v>930171</v>
      </c>
      <c r="B184" s="16" t="s">
        <v>1754</v>
      </c>
      <c r="C184" s="16">
        <v>31021</v>
      </c>
      <c r="D184" s="16" t="s">
        <v>1754</v>
      </c>
      <c r="E184" s="16" t="s">
        <v>5037</v>
      </c>
      <c r="F184" s="16">
        <v>2</v>
      </c>
      <c r="G184" s="28" t="s">
        <v>5038</v>
      </c>
      <c r="H184" s="16" t="s">
        <v>4430</v>
      </c>
      <c r="I184" s="28" t="s">
        <v>5039</v>
      </c>
      <c r="J184" s="28" t="s">
        <v>5040</v>
      </c>
    </row>
    <row r="185" spans="1:10">
      <c r="A185" s="16">
        <v>930172</v>
      </c>
      <c r="B185" s="16" t="s">
        <v>1172</v>
      </c>
      <c r="C185" s="16">
        <v>31071</v>
      </c>
      <c r="D185" s="16" t="s">
        <v>1172</v>
      </c>
      <c r="E185" s="16" t="s">
        <v>5041</v>
      </c>
      <c r="F185" s="16">
        <v>1</v>
      </c>
      <c r="G185" s="28" t="s">
        <v>5042</v>
      </c>
      <c r="H185" s="16" t="s">
        <v>4430</v>
      </c>
      <c r="I185" s="28" t="s">
        <v>5043</v>
      </c>
      <c r="J185" s="28" t="s">
        <v>5044</v>
      </c>
    </row>
    <row r="186" spans="1:10">
      <c r="A186" s="16">
        <v>930173</v>
      </c>
      <c r="B186" s="16" t="s">
        <v>1763</v>
      </c>
      <c r="C186" s="16">
        <v>31041</v>
      </c>
      <c r="D186" s="16" t="s">
        <v>1763</v>
      </c>
      <c r="E186" s="16" t="s">
        <v>5045</v>
      </c>
      <c r="F186" s="16">
        <v>1</v>
      </c>
      <c r="G186" s="28" t="s">
        <v>5046</v>
      </c>
      <c r="H186" s="16" t="s">
        <v>4430</v>
      </c>
      <c r="I186" s="28" t="s">
        <v>5047</v>
      </c>
      <c r="J186" s="28" t="s">
        <v>5048</v>
      </c>
    </row>
    <row r="187" spans="1:10">
      <c r="A187" s="16">
        <v>930174</v>
      </c>
      <c r="B187" s="16" t="s">
        <v>1783</v>
      </c>
      <c r="C187" s="16">
        <v>31091</v>
      </c>
      <c r="D187" s="16" t="s">
        <v>1783</v>
      </c>
      <c r="E187" s="16" t="s">
        <v>5049</v>
      </c>
      <c r="F187" s="16">
        <v>1</v>
      </c>
      <c r="G187" s="28" t="s">
        <v>5050</v>
      </c>
      <c r="H187" s="16" t="s">
        <v>4487</v>
      </c>
      <c r="I187" s="28" t="s">
        <v>5051</v>
      </c>
      <c r="J187" s="28" t="s">
        <v>5052</v>
      </c>
    </row>
    <row r="188" spans="1:10">
      <c r="A188" s="16">
        <v>930175</v>
      </c>
      <c r="B188" s="16" t="s">
        <v>5053</v>
      </c>
      <c r="C188" s="16">
        <v>31121</v>
      </c>
      <c r="D188" s="16" t="s">
        <v>1802</v>
      </c>
      <c r="E188" s="16" t="s">
        <v>5054</v>
      </c>
      <c r="F188" s="16">
        <v>3</v>
      </c>
      <c r="G188" s="28" t="s">
        <v>5015</v>
      </c>
      <c r="H188" s="16" t="s">
        <v>4502</v>
      </c>
      <c r="I188" s="28" t="s">
        <v>4738</v>
      </c>
      <c r="J188" s="28" t="s">
        <v>5055</v>
      </c>
    </row>
    <row r="189" spans="1:10">
      <c r="A189" s="16">
        <v>930176</v>
      </c>
      <c r="B189" s="16" t="s">
        <v>5056</v>
      </c>
      <c r="C189" s="16">
        <v>31131</v>
      </c>
      <c r="D189" s="16" t="s">
        <v>1807</v>
      </c>
      <c r="E189" s="16" t="s">
        <v>5057</v>
      </c>
      <c r="F189" s="16">
        <v>3</v>
      </c>
      <c r="G189" s="28" t="s">
        <v>5006</v>
      </c>
      <c r="H189" s="16" t="s">
        <v>4502</v>
      </c>
      <c r="I189" s="28" t="s">
        <v>4738</v>
      </c>
      <c r="J189" s="28" t="s">
        <v>5058</v>
      </c>
    </row>
    <row r="190" spans="1:10">
      <c r="A190" s="16">
        <v>930177</v>
      </c>
      <c r="B190" s="16" t="s">
        <v>5059</v>
      </c>
      <c r="C190" s="16">
        <v>11114</v>
      </c>
      <c r="D190" s="16" t="s">
        <v>5059</v>
      </c>
      <c r="E190" s="16" t="s">
        <v>5060</v>
      </c>
      <c r="F190" s="16">
        <v>1</v>
      </c>
      <c r="G190" s="28" t="s">
        <v>5006</v>
      </c>
      <c r="H190" s="16" t="s">
        <v>4502</v>
      </c>
      <c r="I190" s="28" t="s">
        <v>4738</v>
      </c>
      <c r="J190" s="28" t="s">
        <v>5061</v>
      </c>
    </row>
    <row r="191" spans="1:10">
      <c r="A191" s="16">
        <v>930178</v>
      </c>
      <c r="B191" s="16" t="s">
        <v>1794</v>
      </c>
      <c r="C191" s="16">
        <v>31101</v>
      </c>
      <c r="D191" s="16" t="s">
        <v>1794</v>
      </c>
      <c r="E191" s="16" t="s">
        <v>5062</v>
      </c>
      <c r="F191" s="16">
        <v>3</v>
      </c>
      <c r="G191" s="28" t="s">
        <v>5063</v>
      </c>
      <c r="H191" s="16" t="s">
        <v>4430</v>
      </c>
      <c r="I191" s="28" t="s">
        <v>5064</v>
      </c>
      <c r="J191" s="28" t="s">
        <v>5065</v>
      </c>
    </row>
    <row r="192" spans="1:10">
      <c r="A192" s="16">
        <v>990167</v>
      </c>
      <c r="B192" s="16" t="s">
        <v>5066</v>
      </c>
      <c r="C192" s="16">
        <v>31081</v>
      </c>
      <c r="D192" s="16" t="s">
        <v>5066</v>
      </c>
      <c r="E192" s="16" t="s">
        <v>5067</v>
      </c>
      <c r="F192" s="16">
        <v>2</v>
      </c>
      <c r="G192" s="28" t="s"/>
      <c r="H192" s="16" t="s">
        <v>4487</v>
      </c>
      <c r="I192" s="28" t="s"/>
      <c r="J192" s="28" t="s"/>
    </row>
    <row r="193" spans="1:10">
      <c r="A193" s="16">
        <v>990174</v>
      </c>
      <c r="B193" s="16" t="s">
        <v>5068</v>
      </c>
      <c r="C193" s="16">
        <v>31091</v>
      </c>
      <c r="D193" s="16" t="s">
        <v>5068</v>
      </c>
      <c r="E193" s="16" t="s">
        <v>5069</v>
      </c>
      <c r="F193" s="16">
        <v>1</v>
      </c>
      <c r="G193" s="28" t="s"/>
      <c r="H193" s="16" t="s">
        <v>4487</v>
      </c>
      <c r="I193" s="28" t="s"/>
      <c r="J193" s="28" t="s"/>
    </row>
  </sheetData>
</worksheet>
</file>

<file path=xl/worksheets/sheet16.xml><?xml version="1.0" encoding="utf-8"?>
<worksheet xmlns="http://schemas.openxmlformats.org/spreadsheetml/2006/main">
  <sheetPr codeName="敌人强化">
    <tabColor/>
  </sheetPr>
  <dimension ref="B106"/>
  <sheetViews>
    <sheetView showGridLines="1" workbookViewId="0">
      <pane ySplit="1" topLeftCell="A2" state="frozen"/>
    </sheetView>
  </sheetViews>
  <sheetFormatPr baseColWidth="13" defaultRowHeight="18" customHeight="1"/>
  <cols>
    <col min="1" max="1" width="24.7109" customWidth="1"/>
    <col min="2" max="2" width="23.7109" customWidth="1"/>
  </cols>
  <sheetData>
    <row r="1" spans="1:2">
      <c r="A1" s="16" t="s">
        <v>5070</v>
      </c>
      <c r="B1" s="16" t="s">
        <v>5071</v>
      </c>
    </row>
    <row r="2" spans="1:2">
      <c r="A2" s="16">
        <v>900011011</v>
      </c>
      <c r="B2" s="16">
        <v>900011012</v>
      </c>
    </row>
    <row r="3" spans="1:2">
      <c r="A3" s="16">
        <v>900011013</v>
      </c>
      <c r="B3" s="16">
        <v>900011014</v>
      </c>
    </row>
    <row r="4" spans="1:2">
      <c r="A4" s="16">
        <v>900011021</v>
      </c>
      <c r="B4" s="16">
        <v>900011022</v>
      </c>
    </row>
    <row r="5" spans="1:2">
      <c r="A5" s="16">
        <v>900011023</v>
      </c>
      <c r="B5" s="16">
        <v>900011024</v>
      </c>
    </row>
    <row r="6" spans="1:2">
      <c r="A6" s="16">
        <v>900011031</v>
      </c>
      <c r="B6" s="16">
        <v>900011032</v>
      </c>
    </row>
    <row r="7" spans="1:2">
      <c r="A7" s="16">
        <v>900011033</v>
      </c>
      <c r="B7" s="16">
        <v>900011034</v>
      </c>
    </row>
    <row r="8" spans="1:2">
      <c r="A8" s="16">
        <v>900011041</v>
      </c>
      <c r="B8" s="16">
        <v>900011044</v>
      </c>
    </row>
    <row r="9" spans="1:2">
      <c r="A9" s="16">
        <v>900011046</v>
      </c>
      <c r="B9" s="16">
        <v>900011045</v>
      </c>
    </row>
    <row r="10" spans="1:2">
      <c r="A10" s="16">
        <v>900011051</v>
      </c>
      <c r="B10" s="16">
        <v>900011052</v>
      </c>
    </row>
    <row r="11" spans="1:2">
      <c r="A11" s="16">
        <v>900011053</v>
      </c>
      <c r="B11" s="16">
        <v>900011055</v>
      </c>
    </row>
    <row r="12" spans="1:2">
      <c r="A12" s="16">
        <v>900011058</v>
      </c>
      <c r="B12" s="16">
        <v>900011059</v>
      </c>
    </row>
    <row r="13" spans="1:2">
      <c r="A13" s="16">
        <v>900011071</v>
      </c>
      <c r="B13" s="16">
        <v>900011073</v>
      </c>
    </row>
    <row r="14" spans="1:2">
      <c r="A14" s="16">
        <v>900011081</v>
      </c>
      <c r="B14" s="16">
        <v>900011082</v>
      </c>
    </row>
    <row r="15" spans="1:2">
      <c r="A15" s="16">
        <v>900011083</v>
      </c>
      <c r="B15" s="16">
        <v>900011084</v>
      </c>
    </row>
    <row r="16" spans="1:2">
      <c r="A16" s="16">
        <v>900011085</v>
      </c>
      <c r="B16" s="16">
        <v>900011086</v>
      </c>
    </row>
    <row r="17" spans="1:2">
      <c r="A17" s="16">
        <v>900011091</v>
      </c>
      <c r="B17" s="16">
        <v>900011095</v>
      </c>
    </row>
    <row r="18" spans="1:2">
      <c r="A18" s="16">
        <v>900011096</v>
      </c>
      <c r="B18" s="16">
        <v>900011097</v>
      </c>
    </row>
    <row r="19" spans="1:2">
      <c r="A19" s="16">
        <v>900011098</v>
      </c>
      <c r="B19" s="16">
        <v>900011099</v>
      </c>
    </row>
    <row r="20" spans="1:2">
      <c r="A20" s="16">
        <v>900011101</v>
      </c>
      <c r="B20" s="16">
        <v>900011102</v>
      </c>
    </row>
    <row r="21" spans="1:2">
      <c r="A21" s="16">
        <v>900011103</v>
      </c>
      <c r="B21" s="16">
        <v>900011104</v>
      </c>
    </row>
    <row r="22" spans="1:2">
      <c r="A22" s="16">
        <v>900011105</v>
      </c>
      <c r="B22" s="16">
        <v>900011106</v>
      </c>
    </row>
    <row r="23" spans="1:2">
      <c r="A23" s="16">
        <v>900011111</v>
      </c>
      <c r="B23" s="16">
        <v>900011113</v>
      </c>
    </row>
    <row r="24" spans="1:2">
      <c r="A24" s="16">
        <v>900011114</v>
      </c>
      <c r="B24" s="16">
        <v>900011115</v>
      </c>
    </row>
    <row r="25" spans="1:2">
      <c r="A25" s="16">
        <v>900011116</v>
      </c>
      <c r="B25" s="16">
        <v>900011117</v>
      </c>
    </row>
    <row r="26" spans="1:2">
      <c r="A26" s="16">
        <v>900011121</v>
      </c>
      <c r="B26" s="16">
        <v>900011122</v>
      </c>
    </row>
    <row r="27" spans="1:2">
      <c r="A27" s="16">
        <v>900011123</v>
      </c>
      <c r="B27" s="16">
        <v>900011124</v>
      </c>
    </row>
    <row r="28" spans="1:2">
      <c r="A28" s="16">
        <v>900011125</v>
      </c>
      <c r="B28" s="16">
        <v>900011126</v>
      </c>
    </row>
    <row r="29" spans="1:2">
      <c r="A29" s="16">
        <v>900011141</v>
      </c>
      <c r="B29" s="16">
        <v>900011142</v>
      </c>
    </row>
    <row r="30" spans="1:2">
      <c r="A30" s="16">
        <v>900011143</v>
      </c>
      <c r="B30" s="16">
        <v>900011144</v>
      </c>
    </row>
    <row r="31" spans="1:2">
      <c r="A31" s="16">
        <v>900011151</v>
      </c>
      <c r="B31" s="16">
        <v>900011153</v>
      </c>
    </row>
    <row r="32" spans="1:2">
      <c r="A32" s="16">
        <v>900011154</v>
      </c>
      <c r="B32" s="16">
        <v>900011155</v>
      </c>
    </row>
    <row r="33" spans="1:2">
      <c r="A33" s="16">
        <v>900011157</v>
      </c>
      <c r="B33" s="16">
        <v>900011158</v>
      </c>
    </row>
    <row r="34" spans="1:2">
      <c r="A34" s="16">
        <v>900011161</v>
      </c>
      <c r="B34" s="16">
        <v>900011162</v>
      </c>
    </row>
    <row r="35" spans="1:2">
      <c r="A35" s="16">
        <v>900011163</v>
      </c>
      <c r="B35" s="16">
        <v>900011164</v>
      </c>
    </row>
    <row r="36" spans="1:2">
      <c r="A36" s="16">
        <v>900011182</v>
      </c>
      <c r="B36" s="16">
        <v>900011183</v>
      </c>
    </row>
    <row r="37" spans="1:2">
      <c r="A37" s="16">
        <v>900011184</v>
      </c>
      <c r="B37" s="16">
        <v>900011185</v>
      </c>
    </row>
    <row r="38" spans="1:2">
      <c r="A38" s="16">
        <v>900011186</v>
      </c>
      <c r="B38" s="16">
        <v>900011187</v>
      </c>
    </row>
    <row r="39" spans="1:2">
      <c r="A39" s="16">
        <v>900011191</v>
      </c>
      <c r="B39" s="16">
        <v>900011193</v>
      </c>
    </row>
    <row r="40" spans="1:2">
      <c r="A40" s="16">
        <v>900011192</v>
      </c>
      <c r="B40" s="16">
        <v>900011194</v>
      </c>
    </row>
    <row r="41" spans="1:2">
      <c r="A41" s="16">
        <v>900011196</v>
      </c>
      <c r="B41" s="16">
        <v>900011197</v>
      </c>
    </row>
    <row r="42" spans="1:2">
      <c r="A42" s="16">
        <v>900011201</v>
      </c>
      <c r="B42" s="16">
        <v>900011202</v>
      </c>
    </row>
    <row r="43" spans="1:2">
      <c r="A43" s="16">
        <v>900011203</v>
      </c>
      <c r="B43" s="16">
        <v>900011204</v>
      </c>
    </row>
    <row r="44" spans="1:2">
      <c r="A44" s="16">
        <v>900011205</v>
      </c>
      <c r="B44" s="16">
        <v>900011206</v>
      </c>
    </row>
    <row r="45" spans="1:2">
      <c r="A45" s="16">
        <v>900011211</v>
      </c>
      <c r="B45" s="16">
        <v>900011212</v>
      </c>
    </row>
    <row r="46" spans="1:2">
      <c r="A46" s="16">
        <v>900011213</v>
      </c>
      <c r="B46" s="16">
        <v>900011214</v>
      </c>
    </row>
    <row r="47" spans="1:2">
      <c r="A47" s="16">
        <v>900011215</v>
      </c>
      <c r="B47" s="16">
        <v>900011216</v>
      </c>
    </row>
    <row r="48" spans="1:2">
      <c r="A48" s="16">
        <v>900011221</v>
      </c>
      <c r="B48" s="16">
        <v>900011223</v>
      </c>
    </row>
    <row r="49" spans="1:2">
      <c r="A49" s="16">
        <v>900011222</v>
      </c>
      <c r="B49" s="16">
        <v>900011224</v>
      </c>
    </row>
    <row r="50" spans="1:2">
      <c r="A50" s="16">
        <v>900011225</v>
      </c>
      <c r="B50" s="16">
        <v>900011226</v>
      </c>
    </row>
    <row r="51" spans="1:2">
      <c r="A51" s="16">
        <v>900011251</v>
      </c>
      <c r="B51" s="16">
        <v>900011252</v>
      </c>
    </row>
    <row r="52" spans="1:2">
      <c r="A52" s="16">
        <v>900011253</v>
      </c>
      <c r="B52" s="16">
        <v>900011254</v>
      </c>
    </row>
    <row r="53" spans="1:2">
      <c r="A53" s="16">
        <v>900011261</v>
      </c>
      <c r="B53" s="16">
        <v>900011262</v>
      </c>
    </row>
    <row r="54" spans="1:2">
      <c r="A54" s="16">
        <v>900011263</v>
      </c>
      <c r="B54" s="16">
        <v>900011264</v>
      </c>
    </row>
    <row r="55" spans="1:2">
      <c r="A55" s="16">
        <v>900011271</v>
      </c>
      <c r="B55" s="16">
        <v>900011272</v>
      </c>
    </row>
    <row r="56" spans="1:2">
      <c r="A56" s="16">
        <v>900011273</v>
      </c>
      <c r="B56" s="16">
        <v>900011274</v>
      </c>
    </row>
    <row r="57" spans="1:2">
      <c r="A57" s="16">
        <v>900011281</v>
      </c>
      <c r="B57" s="16">
        <v>900011282</v>
      </c>
    </row>
    <row r="58" spans="1:2">
      <c r="A58" s="16">
        <v>900011283</v>
      </c>
      <c r="B58" s="16">
        <v>900011284</v>
      </c>
    </row>
    <row r="59" spans="1:2">
      <c r="A59" s="16">
        <v>900011291</v>
      </c>
      <c r="B59" s="16">
        <v>900011293</v>
      </c>
    </row>
    <row r="60" spans="1:2">
      <c r="A60" s="16">
        <v>900011292</v>
      </c>
      <c r="B60" s="16">
        <v>900011294</v>
      </c>
    </row>
    <row r="61" spans="1:2">
      <c r="A61" s="16">
        <v>900011295</v>
      </c>
      <c r="B61" s="16">
        <v>900011297</v>
      </c>
    </row>
    <row r="62" spans="1:2">
      <c r="A62" s="16">
        <v>900011296</v>
      </c>
      <c r="B62" s="16">
        <v>900011298</v>
      </c>
    </row>
    <row r="63" spans="1:2">
      <c r="A63" s="16">
        <v>900011311</v>
      </c>
      <c r="B63" s="16">
        <v>900011312</v>
      </c>
    </row>
    <row r="64" spans="1:2">
      <c r="A64" s="16">
        <v>900011313</v>
      </c>
      <c r="B64" s="16">
        <v>900011314</v>
      </c>
    </row>
    <row r="65" spans="1:2">
      <c r="A65" s="16">
        <v>900011321</v>
      </c>
      <c r="B65" s="16">
        <v>900011322</v>
      </c>
    </row>
    <row r="66" spans="1:2">
      <c r="A66" s="16">
        <v>900011323</v>
      </c>
      <c r="B66" s="16">
        <v>900011324</v>
      </c>
    </row>
    <row r="67" spans="1:2">
      <c r="A67" s="16">
        <v>900011331</v>
      </c>
      <c r="B67" s="16">
        <v>900011332</v>
      </c>
    </row>
    <row r="68" spans="1:2">
      <c r="A68" s="16">
        <v>900011333</v>
      </c>
      <c r="B68" s="16">
        <v>900011334</v>
      </c>
    </row>
    <row r="69" spans="1:2">
      <c r="A69" s="16">
        <v>900011341</v>
      </c>
      <c r="B69" s="16">
        <v>900011342</v>
      </c>
    </row>
    <row r="70" spans="1:2">
      <c r="A70" s="16">
        <v>900011343</v>
      </c>
      <c r="B70" s="16">
        <v>900011344</v>
      </c>
    </row>
    <row r="71" spans="1:2">
      <c r="A71" s="16">
        <v>900011351</v>
      </c>
      <c r="B71" s="16">
        <v>900011352</v>
      </c>
    </row>
    <row r="72" spans="1:2">
      <c r="A72" s="16">
        <v>900011354</v>
      </c>
      <c r="B72" s="16">
        <v>900011355</v>
      </c>
    </row>
    <row r="73" spans="1:2">
      <c r="A73" s="16">
        <v>900011361</v>
      </c>
      <c r="B73" s="16">
        <v>900011362</v>
      </c>
    </row>
    <row r="74" spans="1:2">
      <c r="A74" s="16">
        <v>900011363</v>
      </c>
      <c r="B74" s="16">
        <v>900011364</v>
      </c>
    </row>
    <row r="75" spans="1:2">
      <c r="A75" s="16">
        <v>900011371</v>
      </c>
      <c r="B75" s="16">
        <v>900011372</v>
      </c>
    </row>
    <row r="76" spans="1:2">
      <c r="A76" s="16">
        <v>900011381</v>
      </c>
      <c r="B76" s="16">
        <v>900011382</v>
      </c>
    </row>
    <row r="77" spans="1:2">
      <c r="A77" s="16">
        <v>900011441</v>
      </c>
      <c r="B77" s="16">
        <v>900011442</v>
      </c>
    </row>
    <row r="78" spans="1:2">
      <c r="A78" s="16">
        <v>900011443</v>
      </c>
      <c r="B78" s="16">
        <v>900011444</v>
      </c>
    </row>
    <row r="79" spans="1:2">
      <c r="A79" s="16">
        <v>900011451</v>
      </c>
      <c r="B79" s="16">
        <v>900011452</v>
      </c>
    </row>
    <row r="80" spans="1:2">
      <c r="A80" s="16">
        <v>900011454</v>
      </c>
      <c r="B80" s="16">
        <v>900011455</v>
      </c>
    </row>
    <row r="81" spans="1:2">
      <c r="A81" s="16">
        <v>900011461</v>
      </c>
      <c r="B81" s="16">
        <v>900011462</v>
      </c>
    </row>
    <row r="82" spans="1:2">
      <c r="A82" s="16">
        <v>900011463</v>
      </c>
      <c r="B82" s="16">
        <v>900011464</v>
      </c>
    </row>
    <row r="83" spans="1:2">
      <c r="A83" s="16">
        <v>900011471</v>
      </c>
      <c r="B83" s="16">
        <v>900011472</v>
      </c>
    </row>
    <row r="84" spans="1:2">
      <c r="A84" s="16">
        <v>900011473</v>
      </c>
      <c r="B84" s="16">
        <v>900011474</v>
      </c>
    </row>
    <row r="85" spans="1:2">
      <c r="A85" s="16">
        <v>900011481</v>
      </c>
      <c r="B85" s="16">
        <v>900011482</v>
      </c>
    </row>
    <row r="86" spans="1:2">
      <c r="A86" s="16">
        <v>900011491</v>
      </c>
      <c r="B86" s="16">
        <v>900011492</v>
      </c>
    </row>
    <row r="87" spans="1:2">
      <c r="A87" s="16">
        <v>900011501</v>
      </c>
      <c r="B87" s="16">
        <v>900011502</v>
      </c>
    </row>
    <row r="88" spans="1:2">
      <c r="A88" s="16">
        <v>900011511</v>
      </c>
      <c r="B88" s="16">
        <v>900011512</v>
      </c>
    </row>
    <row r="89" spans="1:2">
      <c r="A89" s="16">
        <v>900011521</v>
      </c>
      <c r="B89" s="16">
        <v>900011522</v>
      </c>
    </row>
    <row r="90" spans="1:2">
      <c r="A90" s="16">
        <v>900011591</v>
      </c>
      <c r="B90" s="16">
        <v>900011592</v>
      </c>
    </row>
    <row r="91" spans="1:2">
      <c r="A91" s="16">
        <v>900011601</v>
      </c>
      <c r="B91" s="16">
        <v>900011602</v>
      </c>
    </row>
    <row r="92" spans="1:2">
      <c r="A92" s="16">
        <v>900011611</v>
      </c>
      <c r="B92" s="16">
        <v>900011612</v>
      </c>
    </row>
    <row r="93" spans="1:2">
      <c r="A93" s="16">
        <v>900011621</v>
      </c>
      <c r="B93" s="16">
        <v>900011622</v>
      </c>
    </row>
    <row r="94" spans="1:2">
      <c r="A94" s="16">
        <v>900011681</v>
      </c>
      <c r="B94" s="16">
        <v>900011682</v>
      </c>
    </row>
    <row r="95" spans="1:2">
      <c r="A95" s="16">
        <v>900011683</v>
      </c>
      <c r="B95" s="16">
        <v>900011684</v>
      </c>
    </row>
    <row r="96" spans="1:2">
      <c r="A96" s="16">
        <v>900011691</v>
      </c>
      <c r="B96" s="16">
        <v>900011692</v>
      </c>
    </row>
    <row r="97" spans="1:2">
      <c r="A97" s="16">
        <v>900011693</v>
      </c>
      <c r="B97" s="16">
        <v>900011694</v>
      </c>
    </row>
    <row r="98" spans="1:2">
      <c r="A98" s="16">
        <v>900011721</v>
      </c>
      <c r="B98" s="16">
        <v>900011722</v>
      </c>
    </row>
    <row r="99" spans="1:2">
      <c r="A99" s="16">
        <v>900011723</v>
      </c>
      <c r="B99" s="16">
        <v>900011724</v>
      </c>
    </row>
    <row r="100" spans="1:2">
      <c r="A100" s="16">
        <v>900011731</v>
      </c>
      <c r="B100" s="16">
        <v>900011732</v>
      </c>
    </row>
    <row r="101" spans="1:2">
      <c r="A101" s="16">
        <v>900011741</v>
      </c>
      <c r="B101" s="16">
        <v>900011742</v>
      </c>
    </row>
    <row r="102" spans="1:2">
      <c r="A102" s="16">
        <v>900011751</v>
      </c>
      <c r="B102" s="16">
        <v>900011752</v>
      </c>
    </row>
    <row r="103" spans="1:2">
      <c r="A103" s="16">
        <v>900011761</v>
      </c>
      <c r="B103" s="16">
        <v>900011762</v>
      </c>
    </row>
    <row r="104" spans="1:2">
      <c r="A104" s="16">
        <v>900011763</v>
      </c>
      <c r="B104" s="16">
        <v>900011764</v>
      </c>
    </row>
    <row r="105" spans="1:2">
      <c r="A105" s="16">
        <v>900011771</v>
      </c>
      <c r="B105" s="16">
        <v>900011772</v>
      </c>
    </row>
    <row r="106" spans="1:2">
      <c r="A106" s="16">
        <v>900011781</v>
      </c>
      <c r="B106" s="16">
        <v>900011782</v>
      </c>
    </row>
  </sheetData>
</worksheet>
</file>

<file path=xl/worksheets/sheet17.xml><?xml version="1.0" encoding="utf-8"?>
<worksheet xmlns="http://schemas.openxmlformats.org/spreadsheetml/2006/main">
  <sheetPr codeName="敌人转阶段">
    <tabColor/>
  </sheetPr>
  <dimension ref="B7"/>
  <sheetViews>
    <sheetView showGridLines="1" workbookViewId="0">
      <pane ySplit="1" topLeftCell="A2" state="frozen"/>
    </sheetView>
  </sheetViews>
  <sheetFormatPr baseColWidth="13" defaultRowHeight="18" customHeight="1"/>
  <cols>
    <col min="1" max="1" width="24.7109" customWidth="1"/>
    <col min="2" max="2" width="25.7109" customWidth="1"/>
  </cols>
  <sheetData>
    <row r="1" spans="1:2">
      <c r="A1" s="16" t="s">
        <v>5070</v>
      </c>
      <c r="B1" s="16" t="s">
        <v>5072</v>
      </c>
    </row>
    <row r="2" spans="1:2">
      <c r="A2" s="16">
        <v>900011233</v>
      </c>
      <c r="B2" s="16">
        <v>900011234</v>
      </c>
    </row>
    <row r="3" spans="1:2">
      <c r="A3" s="16">
        <v>900011235</v>
      </c>
      <c r="B3" s="16">
        <v>900011236</v>
      </c>
    </row>
    <row r="4" spans="1:2">
      <c r="A4" s="16">
        <v>900011411</v>
      </c>
      <c r="B4" s="16">
        <v>900011412</v>
      </c>
    </row>
    <row r="5" spans="1:2">
      <c r="A5" s="16">
        <v>900011412</v>
      </c>
      <c r="B5" s="16">
        <v>900011413</v>
      </c>
    </row>
    <row r="6" spans="1:2">
      <c r="A6" s="16">
        <v>900011701</v>
      </c>
      <c r="B6" s="16">
        <v>900011702</v>
      </c>
    </row>
    <row r="7" spans="1:2">
      <c r="A7" s="16">
        <v>900011811</v>
      </c>
      <c r="B7" s="16">
        <v>900011812</v>
      </c>
    </row>
  </sheetData>
</worksheet>
</file>

<file path=xl/worksheets/sheet18.xml><?xml version="1.0" encoding="utf-8"?>
<worksheet xmlns="http://schemas.openxmlformats.org/spreadsheetml/2006/main">
  <sheetPr codeName="音擎属性">
    <tabColor/>
  </sheetPr>
  <dimension ref="I86"/>
  <sheetViews>
    <sheetView showGridLines="1" workbookViewId="0">
      <pane xSplit="1" ySplit="1" topLeftCell="B2" state="frozen"/>
    </sheetView>
  </sheetViews>
  <sheetFormatPr baseColWidth="13" defaultRowHeight="18" customHeight="1"/>
  <cols>
    <col min="1" max="1" width="24.1406" customWidth="1"/>
    <col min="2" max="2" width="6.22266" customWidth="1"/>
    <col min="3" max="3" width="10.1133" customWidth="1"/>
    <col min="4" max="4" width="8.13281" customWidth="1"/>
    <col min="5" max="5" width="17.1406" customWidth="1"/>
    <col min="6" max="6" width="18.2422" customWidth="1"/>
    <col min="7" max="7" width="13.0742" customWidth="1"/>
    <col min="8" max="8" width="17.1406" style="84" customWidth="1"/>
    <col min="9" max="9" width="18.2422" style="84" customWidth="1"/>
  </cols>
  <sheetData>
    <row r="1" spans="1:9">
      <c r="A1" s="16" t="s">
        <v>4144</v>
      </c>
      <c r="B1" s="16" t="s">
        <v>956</v>
      </c>
      <c r="C1" s="16" t="s">
        <v>5073</v>
      </c>
      <c r="D1" s="57" t="s">
        <v>5074</v>
      </c>
      <c r="E1" s="57" t="s">
        <v>5075</v>
      </c>
      <c r="F1" s="57" t="s">
        <v>981</v>
      </c>
      <c r="G1" s="16" t="s">
        <v>5076</v>
      </c>
      <c r="H1" s="58" t="s">
        <v>5077</v>
      </c>
      <c r="I1" s="58" t="s">
        <v>5078</v>
      </c>
    </row>
    <row r="2" spans="1:9">
      <c r="A2" s="28" t="s">
        <v>5079</v>
      </c>
      <c r="B2" s="16">
        <v>14150</v>
      </c>
      <c r="C2" s="16" t="s">
        <v>5080</v>
      </c>
      <c r="D2" s="16" t="s">
        <v>1021</v>
      </c>
      <c r="E2" s="16">
        <v>48</v>
      </c>
      <c r="F2" s="18">
        <v>713.76</v>
      </c>
      <c r="G2" s="16" t="s">
        <v>972</v>
      </c>
      <c r="H2" s="22">
        <v>0.12</v>
      </c>
      <c r="I2" s="22">
        <v>0.3</v>
      </c>
    </row>
    <row r="3" spans="1:9">
      <c r="A3" s="28" t="s">
        <v>5081</v>
      </c>
      <c r="B3" s="16">
        <v>14149</v>
      </c>
      <c r="C3" s="16" t="s">
        <v>5080</v>
      </c>
      <c r="D3" s="16" t="s">
        <v>1000</v>
      </c>
      <c r="E3" s="16">
        <v>48</v>
      </c>
      <c r="F3" s="18">
        <v>713.76</v>
      </c>
      <c r="G3" s="16" t="s">
        <v>5082</v>
      </c>
      <c r="H3" s="22">
        <v>0.24</v>
      </c>
      <c r="I3" s="22">
        <v>0.6</v>
      </c>
    </row>
    <row r="4" spans="1:9">
      <c r="A4" s="28" t="s">
        <v>5083</v>
      </c>
      <c r="B4" s="16">
        <v>14148</v>
      </c>
      <c r="C4" s="16" t="s">
        <v>5080</v>
      </c>
      <c r="D4" s="16" t="s">
        <v>989</v>
      </c>
      <c r="E4" s="16">
        <v>48</v>
      </c>
      <c r="F4" s="18">
        <v>713.76</v>
      </c>
      <c r="G4" s="16" t="s">
        <v>969</v>
      </c>
      <c r="H4" s="22">
        <v>0.096</v>
      </c>
      <c r="I4" s="22">
        <v>0.24</v>
      </c>
    </row>
    <row r="5" spans="1:9">
      <c r="A5" s="28" t="s">
        <v>5084</v>
      </c>
      <c r="B5" s="16">
        <v>14147</v>
      </c>
      <c r="C5" s="16" t="s">
        <v>5080</v>
      </c>
      <c r="D5" s="16" t="s">
        <v>1007</v>
      </c>
      <c r="E5" s="16">
        <v>48</v>
      </c>
      <c r="F5" s="18">
        <v>713.76</v>
      </c>
      <c r="G5" s="16" t="s">
        <v>963</v>
      </c>
      <c r="H5" s="22">
        <v>0.12</v>
      </c>
      <c r="I5" s="22">
        <v>0.3</v>
      </c>
    </row>
    <row r="6" spans="1:9">
      <c r="A6" s="28" t="s">
        <v>5085</v>
      </c>
      <c r="B6" s="16">
        <v>14146</v>
      </c>
      <c r="C6" s="16" t="s">
        <v>5080</v>
      </c>
      <c r="D6" s="16" t="s">
        <v>996</v>
      </c>
      <c r="E6" s="16">
        <v>48</v>
      </c>
      <c r="F6" s="18">
        <v>713.76</v>
      </c>
      <c r="G6" s="16" t="s">
        <v>969</v>
      </c>
      <c r="H6" s="22">
        <v>0.096</v>
      </c>
      <c r="I6" s="22">
        <v>0.24</v>
      </c>
    </row>
    <row r="7" spans="1:9">
      <c r="A7" s="28" t="s">
        <v>5086</v>
      </c>
      <c r="B7" s="16">
        <v>14145</v>
      </c>
      <c r="C7" s="16" t="s">
        <v>5080</v>
      </c>
      <c r="D7" s="16" t="s">
        <v>1000</v>
      </c>
      <c r="E7" s="16">
        <v>48</v>
      </c>
      <c r="F7" s="18">
        <v>713.76</v>
      </c>
      <c r="G7" s="16" t="s">
        <v>963</v>
      </c>
      <c r="H7" s="22">
        <v>0.12</v>
      </c>
      <c r="I7" s="22">
        <v>0.3</v>
      </c>
    </row>
    <row r="8" spans="1:9">
      <c r="A8" s="28" t="s">
        <v>5087</v>
      </c>
      <c r="B8" s="16">
        <v>14143</v>
      </c>
      <c r="C8" s="16" t="s">
        <v>5080</v>
      </c>
      <c r="D8" s="16" t="s">
        <v>996</v>
      </c>
      <c r="E8" s="16">
        <v>50</v>
      </c>
      <c r="F8" s="18">
        <v>743.5</v>
      </c>
      <c r="G8" s="16" t="s">
        <v>970</v>
      </c>
      <c r="H8" s="22">
        <v>0.192</v>
      </c>
      <c r="I8" s="22">
        <v>0.48</v>
      </c>
    </row>
    <row r="9" spans="1:9">
      <c r="A9" s="28" t="s">
        <v>5088</v>
      </c>
      <c r="B9" s="16">
        <v>14141</v>
      </c>
      <c r="C9" s="16" t="s">
        <v>5080</v>
      </c>
      <c r="D9" s="16" t="s">
        <v>1000</v>
      </c>
      <c r="E9" s="16">
        <v>48</v>
      </c>
      <c r="F9" s="18">
        <v>713.76</v>
      </c>
      <c r="G9" s="16" t="s">
        <v>5082</v>
      </c>
      <c r="H9" s="22">
        <v>0.24</v>
      </c>
      <c r="I9" s="22">
        <v>0.6</v>
      </c>
    </row>
    <row r="10" spans="1:9">
      <c r="A10" s="28" t="s">
        <v>5089</v>
      </c>
      <c r="B10" s="16">
        <v>14140</v>
      </c>
      <c r="C10" s="16" t="s">
        <v>5080</v>
      </c>
      <c r="D10" s="16" t="s">
        <v>1021</v>
      </c>
      <c r="E10" s="16">
        <v>48</v>
      </c>
      <c r="F10" s="18">
        <v>713.76</v>
      </c>
      <c r="G10" s="16" t="s">
        <v>965</v>
      </c>
      <c r="H10" s="22">
        <v>0.12</v>
      </c>
      <c r="I10" s="22">
        <v>0.3</v>
      </c>
    </row>
    <row r="11" spans="1:9">
      <c r="A11" s="16" t="s">
        <v>5090</v>
      </c>
      <c r="B11" s="16">
        <v>14139</v>
      </c>
      <c r="C11" s="16" t="s">
        <v>5080</v>
      </c>
      <c r="D11" s="16" t="s">
        <v>989</v>
      </c>
      <c r="E11" s="16">
        <v>48</v>
      </c>
      <c r="F11" s="18">
        <v>713.76</v>
      </c>
      <c r="G11" s="16" t="s">
        <v>965</v>
      </c>
      <c r="H11" s="22">
        <v>0.12</v>
      </c>
      <c r="I11" s="22">
        <v>0.3</v>
      </c>
    </row>
    <row r="12" spans="1:9">
      <c r="A12" s="16" t="s">
        <v>5091</v>
      </c>
      <c r="B12" s="16">
        <v>14138</v>
      </c>
      <c r="C12" s="16" t="s">
        <v>5080</v>
      </c>
      <c r="D12" s="16" t="s">
        <v>996</v>
      </c>
      <c r="E12" s="16">
        <v>48</v>
      </c>
      <c r="F12" s="18">
        <v>713.76</v>
      </c>
      <c r="G12" s="16" t="s">
        <v>970</v>
      </c>
      <c r="H12" s="22">
        <v>0.192</v>
      </c>
      <c r="I12" s="22">
        <v>0.48</v>
      </c>
    </row>
    <row r="13" spans="1:9">
      <c r="A13" s="16" t="s">
        <v>5092</v>
      </c>
      <c r="B13" s="16">
        <v>14137</v>
      </c>
      <c r="C13" s="16" t="s">
        <v>5080</v>
      </c>
      <c r="D13" s="16" t="s">
        <v>1007</v>
      </c>
      <c r="E13" s="16">
        <v>50</v>
      </c>
      <c r="F13" s="18">
        <v>743.5</v>
      </c>
      <c r="G13" s="16" t="s">
        <v>963</v>
      </c>
      <c r="H13" s="22">
        <v>0.12</v>
      </c>
      <c r="I13" s="22">
        <v>0.3</v>
      </c>
    </row>
    <row r="14" spans="1:9">
      <c r="A14" s="16" t="s">
        <v>5093</v>
      </c>
      <c r="B14" s="16">
        <v>14136</v>
      </c>
      <c r="C14" s="16" t="s">
        <v>5080</v>
      </c>
      <c r="D14" s="16" t="s">
        <v>989</v>
      </c>
      <c r="E14" s="16">
        <v>48</v>
      </c>
      <c r="F14" s="18">
        <v>713.76</v>
      </c>
      <c r="G14" s="16" t="s">
        <v>969</v>
      </c>
      <c r="H14" s="22">
        <v>0.096</v>
      </c>
      <c r="I14" s="22">
        <v>0.24</v>
      </c>
    </row>
    <row r="15" spans="1:9">
      <c r="A15" s="16" t="s">
        <v>5094</v>
      </c>
      <c r="B15" s="16">
        <v>14134</v>
      </c>
      <c r="C15" s="16" t="s">
        <v>5080</v>
      </c>
      <c r="D15" s="16" t="s">
        <v>1013</v>
      </c>
      <c r="E15" s="16">
        <v>48</v>
      </c>
      <c r="F15" s="18">
        <v>713.76</v>
      </c>
      <c r="G15" s="16" t="s">
        <v>963</v>
      </c>
      <c r="H15" s="22">
        <v>0.12</v>
      </c>
      <c r="I15" s="22">
        <v>0.3</v>
      </c>
    </row>
    <row r="16" spans="1:9">
      <c r="A16" s="16" t="s">
        <v>5095</v>
      </c>
      <c r="B16" s="16">
        <v>14133</v>
      </c>
      <c r="C16" s="16" t="s">
        <v>5080</v>
      </c>
      <c r="D16" s="16" t="s">
        <v>1021</v>
      </c>
      <c r="E16" s="16">
        <v>48</v>
      </c>
      <c r="F16" s="18">
        <v>713.76</v>
      </c>
      <c r="G16" s="16" t="s">
        <v>975</v>
      </c>
      <c r="H16" s="42">
        <v>36</v>
      </c>
      <c r="I16" s="42">
        <v>90</v>
      </c>
    </row>
    <row r="17" spans="1:9">
      <c r="A17" s="16" t="s">
        <v>5096</v>
      </c>
      <c r="B17" s="16">
        <v>14132</v>
      </c>
      <c r="C17" s="16" t="s">
        <v>5080</v>
      </c>
      <c r="D17" s="16" t="s">
        <v>996</v>
      </c>
      <c r="E17" s="16">
        <v>48</v>
      </c>
      <c r="F17" s="18">
        <v>713.76</v>
      </c>
      <c r="G17" s="16" t="s">
        <v>969</v>
      </c>
      <c r="H17" s="22">
        <v>0.096</v>
      </c>
      <c r="I17" s="22">
        <v>0.24</v>
      </c>
    </row>
    <row r="18" spans="1:9">
      <c r="A18" s="16" t="s">
        <v>5097</v>
      </c>
      <c r="B18" s="16">
        <v>14131</v>
      </c>
      <c r="C18" s="16" t="s">
        <v>5080</v>
      </c>
      <c r="D18" s="16" t="s">
        <v>1000</v>
      </c>
      <c r="E18" s="16">
        <v>48</v>
      </c>
      <c r="F18" s="18">
        <v>713.76</v>
      </c>
      <c r="G18" s="16" t="s">
        <v>965</v>
      </c>
      <c r="H18" s="22">
        <v>0.12</v>
      </c>
      <c r="I18" s="22">
        <v>0.3</v>
      </c>
    </row>
    <row r="19" spans="1:9" ht="18" customHeight="1">
      <c r="A19" s="16" t="s">
        <v>5098</v>
      </c>
      <c r="B19" s="16">
        <v>14130</v>
      </c>
      <c r="C19" s="16" t="s">
        <v>5080</v>
      </c>
      <c r="D19" s="16" t="s">
        <v>996</v>
      </c>
      <c r="E19" s="16">
        <v>48</v>
      </c>
      <c r="F19" s="18">
        <v>713.76</v>
      </c>
      <c r="G19" s="16" t="s">
        <v>5082</v>
      </c>
      <c r="H19" s="22">
        <v>0.24</v>
      </c>
      <c r="I19" s="22">
        <v>0.6</v>
      </c>
    </row>
    <row r="20" spans="1:9" ht="18" customHeight="1">
      <c r="A20" s="16" t="s">
        <v>5099</v>
      </c>
      <c r="B20" s="16">
        <v>14129</v>
      </c>
      <c r="C20" s="16" t="s">
        <v>5080</v>
      </c>
      <c r="D20" s="16" t="s">
        <v>996</v>
      </c>
      <c r="E20" s="16">
        <v>48</v>
      </c>
      <c r="F20" s="18">
        <v>713.76</v>
      </c>
      <c r="G20" s="16" t="s">
        <v>969</v>
      </c>
      <c r="H20" s="22">
        <v>0.096</v>
      </c>
      <c r="I20" s="22">
        <v>0.24</v>
      </c>
    </row>
    <row r="21" spans="1:9">
      <c r="A21" s="16" t="s">
        <v>5100</v>
      </c>
      <c r="B21" s="16">
        <v>14126</v>
      </c>
      <c r="C21" s="16" t="s">
        <v>5080</v>
      </c>
      <c r="D21" s="16" t="s">
        <v>1021</v>
      </c>
      <c r="E21" s="16">
        <v>48</v>
      </c>
      <c r="F21" s="18">
        <v>713.76</v>
      </c>
      <c r="G21" s="16" t="s">
        <v>975</v>
      </c>
      <c r="H21" s="42">
        <v>36</v>
      </c>
      <c r="I21" s="42">
        <v>90</v>
      </c>
    </row>
    <row r="22" spans="1:9">
      <c r="A22" s="16" t="s">
        <v>5101</v>
      </c>
      <c r="B22" s="16">
        <v>14125</v>
      </c>
      <c r="C22" s="16" t="s">
        <v>5080</v>
      </c>
      <c r="D22" s="16" t="s">
        <v>989</v>
      </c>
      <c r="E22" s="16">
        <v>48</v>
      </c>
      <c r="F22" s="18">
        <v>713.76</v>
      </c>
      <c r="G22" s="16" t="s">
        <v>971</v>
      </c>
      <c r="H22" s="22">
        <v>0.072</v>
      </c>
      <c r="I22" s="22">
        <v>0.18</v>
      </c>
    </row>
    <row r="23" spans="1:9">
      <c r="A23" s="16" t="s">
        <v>5102</v>
      </c>
      <c r="B23" s="16">
        <v>14124</v>
      </c>
      <c r="C23" s="16" t="s">
        <v>5080</v>
      </c>
      <c r="D23" s="16" t="s">
        <v>996</v>
      </c>
      <c r="E23" s="16">
        <v>48</v>
      </c>
      <c r="F23" s="18">
        <v>713.76</v>
      </c>
      <c r="G23" s="16" t="s">
        <v>970</v>
      </c>
      <c r="H23" s="22">
        <v>0.192</v>
      </c>
      <c r="I23" s="22">
        <v>0.48</v>
      </c>
    </row>
    <row r="24" spans="1:9">
      <c r="A24" s="16" t="s">
        <v>5103</v>
      </c>
      <c r="B24" s="16">
        <v>14122</v>
      </c>
      <c r="C24" s="16" t="s">
        <v>5080</v>
      </c>
      <c r="D24" s="57" t="s">
        <v>1021</v>
      </c>
      <c r="E24" s="57">
        <v>48</v>
      </c>
      <c r="F24" s="18">
        <v>713.76</v>
      </c>
      <c r="G24" s="16" t="s">
        <v>965</v>
      </c>
      <c r="H24" s="22">
        <v>0.12</v>
      </c>
      <c r="I24" s="22">
        <v>0.3</v>
      </c>
    </row>
    <row r="25" spans="1:9">
      <c r="A25" s="16" t="s">
        <v>5104</v>
      </c>
      <c r="B25" s="16">
        <v>14121</v>
      </c>
      <c r="C25" s="16" t="s">
        <v>5080</v>
      </c>
      <c r="D25" s="16" t="s">
        <v>1000</v>
      </c>
      <c r="E25" s="16">
        <v>46</v>
      </c>
      <c r="F25" s="18">
        <v>684.02</v>
      </c>
      <c r="G25" s="16" t="s">
        <v>5105</v>
      </c>
      <c r="H25" s="22">
        <v>0.096</v>
      </c>
      <c r="I25" s="22">
        <v>0.24</v>
      </c>
    </row>
    <row r="26" spans="1:9">
      <c r="A26" s="16" t="s">
        <v>5106</v>
      </c>
      <c r="B26" s="16">
        <v>14120</v>
      </c>
      <c r="C26" s="16" t="s">
        <v>5080</v>
      </c>
      <c r="D26" s="16" t="s">
        <v>996</v>
      </c>
      <c r="E26" s="16">
        <v>48</v>
      </c>
      <c r="F26" s="18">
        <v>713.76</v>
      </c>
      <c r="G26" s="16" t="s">
        <v>970</v>
      </c>
      <c r="H26" s="22">
        <v>0.192</v>
      </c>
      <c r="I26" s="22">
        <v>0.48</v>
      </c>
    </row>
    <row r="27" spans="1:9">
      <c r="A27" s="16" t="s">
        <v>5107</v>
      </c>
      <c r="B27" s="16">
        <v>14119</v>
      </c>
      <c r="C27" s="16" t="s">
        <v>5080</v>
      </c>
      <c r="D27" s="16" t="s">
        <v>996</v>
      </c>
      <c r="E27" s="16">
        <v>48</v>
      </c>
      <c r="F27" s="18">
        <v>713.76</v>
      </c>
      <c r="G27" s="16" t="s">
        <v>969</v>
      </c>
      <c r="H27" s="22">
        <v>0.096</v>
      </c>
      <c r="I27" s="22">
        <v>0.24</v>
      </c>
    </row>
    <row r="28" spans="1:9">
      <c r="A28" s="16" t="s">
        <v>5108</v>
      </c>
      <c r="B28" s="16">
        <v>14118</v>
      </c>
      <c r="C28" s="16" t="s">
        <v>5080</v>
      </c>
      <c r="D28" s="16" t="s">
        <v>1021</v>
      </c>
      <c r="E28" s="16">
        <v>46</v>
      </c>
      <c r="F28" s="18">
        <v>684.02</v>
      </c>
      <c r="G28" s="16" t="s">
        <v>5105</v>
      </c>
      <c r="H28" s="22">
        <v>0.096</v>
      </c>
      <c r="I28" s="22">
        <v>0.24</v>
      </c>
    </row>
    <row r="29" spans="1:9">
      <c r="A29" s="16" t="s">
        <v>5109</v>
      </c>
      <c r="B29" s="16">
        <v>14117</v>
      </c>
      <c r="C29" s="16" t="s">
        <v>5080</v>
      </c>
      <c r="D29" s="57" t="s">
        <v>1021</v>
      </c>
      <c r="E29" s="57">
        <v>48</v>
      </c>
      <c r="F29" s="18">
        <v>713.76</v>
      </c>
      <c r="G29" s="16" t="s">
        <v>965</v>
      </c>
      <c r="H29" s="22">
        <v>0.12</v>
      </c>
      <c r="I29" s="22">
        <v>0.3</v>
      </c>
    </row>
    <row r="30" spans="1:9">
      <c r="A30" s="16" t="s">
        <v>5110</v>
      </c>
      <c r="B30" s="16">
        <v>14116</v>
      </c>
      <c r="C30" s="16" t="s">
        <v>5080</v>
      </c>
      <c r="D30" s="57" t="s">
        <v>989</v>
      </c>
      <c r="E30" s="57">
        <v>48</v>
      </c>
      <c r="F30" s="18">
        <v>713.76</v>
      </c>
      <c r="G30" s="16" t="s">
        <v>971</v>
      </c>
      <c r="H30" s="22">
        <v>0.072</v>
      </c>
      <c r="I30" s="22">
        <v>0.18</v>
      </c>
    </row>
    <row r="31" spans="1:9">
      <c r="A31" s="16" t="s">
        <v>5111</v>
      </c>
      <c r="B31" s="16">
        <v>14114</v>
      </c>
      <c r="C31" s="16" t="s">
        <v>5080</v>
      </c>
      <c r="D31" s="16" t="s">
        <v>989</v>
      </c>
      <c r="E31" s="16">
        <v>46</v>
      </c>
      <c r="F31" s="18">
        <v>684.02</v>
      </c>
      <c r="G31" s="16" t="s">
        <v>971</v>
      </c>
      <c r="H31" s="22">
        <v>0.072</v>
      </c>
      <c r="I31" s="22">
        <v>0.18</v>
      </c>
    </row>
    <row r="32" spans="1:9">
      <c r="A32" s="16" t="s">
        <v>5112</v>
      </c>
      <c r="B32" s="16">
        <v>14110</v>
      </c>
      <c r="C32" s="16" t="s">
        <v>5080</v>
      </c>
      <c r="D32" s="16" t="s">
        <v>989</v>
      </c>
      <c r="E32" s="16">
        <v>46</v>
      </c>
      <c r="F32" s="18">
        <v>684.02</v>
      </c>
      <c r="G32" s="16" t="s">
        <v>971</v>
      </c>
      <c r="H32" s="22">
        <v>0.072</v>
      </c>
      <c r="I32" s="22">
        <v>0.18</v>
      </c>
    </row>
    <row r="33" spans="1:9">
      <c r="A33" s="16" t="s">
        <v>5113</v>
      </c>
      <c r="B33" s="16">
        <v>14109</v>
      </c>
      <c r="C33" s="16" t="s">
        <v>5080</v>
      </c>
      <c r="D33" s="16" t="s">
        <v>1021</v>
      </c>
      <c r="E33" s="16">
        <v>50</v>
      </c>
      <c r="F33" s="18">
        <v>743.5</v>
      </c>
      <c r="G33" s="16" t="s">
        <v>969</v>
      </c>
      <c r="H33" s="22">
        <v>0.096</v>
      </c>
      <c r="I33" s="22">
        <v>0.24</v>
      </c>
    </row>
    <row r="34" spans="1:9">
      <c r="A34" s="16" t="s">
        <v>5114</v>
      </c>
      <c r="B34" s="16">
        <v>14107</v>
      </c>
      <c r="C34" s="16" t="s">
        <v>5080</v>
      </c>
      <c r="D34" s="57" t="s">
        <v>1013</v>
      </c>
      <c r="E34" s="57">
        <v>48</v>
      </c>
      <c r="F34" s="18">
        <v>713.76</v>
      </c>
      <c r="G34" s="16" t="s">
        <v>971</v>
      </c>
      <c r="H34" s="22">
        <v>0.072</v>
      </c>
      <c r="I34" s="22">
        <v>0.18</v>
      </c>
    </row>
    <row r="35" spans="1:9">
      <c r="A35" s="16" t="s">
        <v>5115</v>
      </c>
      <c r="B35" s="16">
        <v>14105</v>
      </c>
      <c r="C35" s="16" t="s">
        <v>5080</v>
      </c>
      <c r="D35" s="16" t="s">
        <v>1007</v>
      </c>
      <c r="E35" s="16">
        <v>48</v>
      </c>
      <c r="F35" s="18">
        <v>713.76</v>
      </c>
      <c r="G35" s="16" t="s">
        <v>963</v>
      </c>
      <c r="H35" s="22">
        <v>0.12</v>
      </c>
      <c r="I35" s="22">
        <v>0.3</v>
      </c>
    </row>
    <row r="36" spans="1:9">
      <c r="A36" s="16" t="s">
        <v>5116</v>
      </c>
      <c r="B36" s="16">
        <v>14104</v>
      </c>
      <c r="C36" s="16" t="s">
        <v>5080</v>
      </c>
      <c r="D36" s="16" t="s">
        <v>996</v>
      </c>
      <c r="E36" s="16">
        <v>46</v>
      </c>
      <c r="F36" s="18">
        <v>684.02</v>
      </c>
      <c r="G36" s="16" t="s">
        <v>965</v>
      </c>
      <c r="H36" s="22">
        <v>0.12</v>
      </c>
      <c r="I36" s="22">
        <v>0.3</v>
      </c>
    </row>
    <row r="37" spans="1:9">
      <c r="A37" s="16" t="s">
        <v>5117</v>
      </c>
      <c r="B37" s="16">
        <v>14102</v>
      </c>
      <c r="C37" s="16" t="s">
        <v>5080</v>
      </c>
      <c r="D37" s="16" t="s">
        <v>996</v>
      </c>
      <c r="E37" s="16">
        <v>46</v>
      </c>
      <c r="F37" s="18">
        <v>684.02</v>
      </c>
      <c r="G37" s="16" t="s">
        <v>969</v>
      </c>
      <c r="H37" s="22">
        <v>0.096</v>
      </c>
      <c r="I37" s="22">
        <v>0.24</v>
      </c>
    </row>
    <row r="38" spans="1:9">
      <c r="A38" s="16" t="s">
        <v>5118</v>
      </c>
      <c r="B38" s="16">
        <v>14003</v>
      </c>
      <c r="C38" s="16" t="s">
        <v>96</v>
      </c>
      <c r="D38" s="16" t="s">
        <v>989</v>
      </c>
      <c r="E38" s="16">
        <v>40</v>
      </c>
      <c r="F38" s="18">
        <v>594.8</v>
      </c>
      <c r="G38" s="16" t="s">
        <v>971</v>
      </c>
      <c r="H38" s="22">
        <v>0.06</v>
      </c>
      <c r="I38" s="22">
        <v>0.15</v>
      </c>
    </row>
    <row r="39" spans="1:9">
      <c r="A39" s="16" t="s">
        <v>5119</v>
      </c>
      <c r="B39" s="16">
        <v>14002</v>
      </c>
      <c r="C39" s="16" t="s">
        <v>96</v>
      </c>
      <c r="D39" s="16" t="s">
        <v>1000</v>
      </c>
      <c r="E39" s="16">
        <v>40</v>
      </c>
      <c r="F39" s="18">
        <v>594.8</v>
      </c>
      <c r="G39" s="16" t="s">
        <v>5082</v>
      </c>
      <c r="H39" s="22">
        <v>0.2</v>
      </c>
      <c r="I39" s="22">
        <v>0.5</v>
      </c>
    </row>
    <row r="40" spans="1:9">
      <c r="A40" s="16" t="s">
        <v>5120</v>
      </c>
      <c r="B40" s="16">
        <v>14001</v>
      </c>
      <c r="C40" s="16" t="s">
        <v>96</v>
      </c>
      <c r="D40" s="16" t="s">
        <v>996</v>
      </c>
      <c r="E40" s="16">
        <v>40</v>
      </c>
      <c r="F40" s="18">
        <v>594.8</v>
      </c>
      <c r="G40" s="16" t="s">
        <v>969</v>
      </c>
      <c r="H40" s="22">
        <v>0.08</v>
      </c>
      <c r="I40" s="22">
        <v>0.2</v>
      </c>
    </row>
    <row r="41" spans="1:9">
      <c r="A41" s="16" t="s">
        <v>5121</v>
      </c>
      <c r="B41" s="16">
        <v>13144</v>
      </c>
      <c r="C41" s="16" t="s">
        <v>96</v>
      </c>
      <c r="D41" s="16" t="s">
        <v>1007</v>
      </c>
      <c r="E41" s="16">
        <v>42</v>
      </c>
      <c r="F41" s="18">
        <v>624.54</v>
      </c>
      <c r="G41" s="16" t="s">
        <v>963</v>
      </c>
      <c r="H41" s="22">
        <v>0.1</v>
      </c>
      <c r="I41" s="22">
        <v>0.25</v>
      </c>
    </row>
    <row r="42" spans="1:9">
      <c r="A42" s="16" t="s">
        <v>5122</v>
      </c>
      <c r="B42" s="16">
        <v>13142</v>
      </c>
      <c r="C42" s="16" t="s">
        <v>96</v>
      </c>
      <c r="D42" s="16" t="s">
        <v>1013</v>
      </c>
      <c r="E42" s="16">
        <v>42</v>
      </c>
      <c r="F42" s="18">
        <v>624.54</v>
      </c>
      <c r="G42" s="16" t="s">
        <v>965</v>
      </c>
      <c r="H42" s="22">
        <v>0.1</v>
      </c>
      <c r="I42" s="22">
        <v>0.25</v>
      </c>
    </row>
    <row r="43" spans="1:9">
      <c r="A43" s="16" t="s">
        <v>5123</v>
      </c>
      <c r="B43" s="16">
        <v>13135</v>
      </c>
      <c r="C43" s="16" t="s">
        <v>96</v>
      </c>
      <c r="D43" s="16" t="s">
        <v>989</v>
      </c>
      <c r="E43" s="16">
        <v>42</v>
      </c>
      <c r="F43" s="18">
        <v>624.54</v>
      </c>
      <c r="G43" s="16" t="s">
        <v>971</v>
      </c>
      <c r="H43" s="22">
        <v>0.06</v>
      </c>
      <c r="I43" s="22">
        <v>0.15</v>
      </c>
    </row>
    <row r="44" spans="1:9">
      <c r="A44" s="16" t="s">
        <v>5124</v>
      </c>
      <c r="B44" s="16">
        <v>13128</v>
      </c>
      <c r="C44" s="16" t="s">
        <v>96</v>
      </c>
      <c r="D44" s="16" t="s">
        <v>1021</v>
      </c>
      <c r="E44" s="16">
        <v>42</v>
      </c>
      <c r="F44" s="18">
        <v>624.54</v>
      </c>
      <c r="G44" s="16" t="s">
        <v>965</v>
      </c>
      <c r="H44" s="22">
        <v>0.1</v>
      </c>
      <c r="I44" s="22">
        <v>0.25</v>
      </c>
    </row>
    <row r="45" spans="1:9">
      <c r="A45" s="16" t="s">
        <v>5125</v>
      </c>
      <c r="B45" s="16">
        <v>13127</v>
      </c>
      <c r="C45" s="16" t="s">
        <v>96</v>
      </c>
      <c r="D45" s="16" t="s">
        <v>1013</v>
      </c>
      <c r="E45" s="16">
        <v>42</v>
      </c>
      <c r="F45" s="18">
        <v>624.54</v>
      </c>
      <c r="G45" s="16" t="s">
        <v>965</v>
      </c>
      <c r="H45" s="22">
        <v>0.1</v>
      </c>
      <c r="I45" s="22">
        <v>0.25</v>
      </c>
    </row>
    <row r="46" spans="1:9">
      <c r="A46" s="16" t="s">
        <v>5126</v>
      </c>
      <c r="B46" s="16">
        <v>13115</v>
      </c>
      <c r="C46" s="16" t="s">
        <v>96</v>
      </c>
      <c r="D46" s="16" t="s">
        <v>1000</v>
      </c>
      <c r="E46" s="16">
        <v>42</v>
      </c>
      <c r="F46" s="18">
        <v>624.54</v>
      </c>
      <c r="G46" s="16" t="s">
        <v>5082</v>
      </c>
      <c r="H46" s="22">
        <v>0.2</v>
      </c>
      <c r="I46" s="22">
        <v>0.5</v>
      </c>
    </row>
    <row r="47" spans="1:9">
      <c r="A47" s="16" t="s">
        <v>5127</v>
      </c>
      <c r="B47" s="16">
        <v>13113</v>
      </c>
      <c r="C47" s="16" t="s">
        <v>96</v>
      </c>
      <c r="D47" s="16" t="s">
        <v>1000</v>
      </c>
      <c r="E47" s="16">
        <v>42</v>
      </c>
      <c r="F47" s="18">
        <v>624.54</v>
      </c>
      <c r="G47" s="16" t="s">
        <v>965</v>
      </c>
      <c r="H47" s="22">
        <v>0.1</v>
      </c>
      <c r="I47" s="22">
        <v>0.25</v>
      </c>
    </row>
    <row r="48" spans="1:9">
      <c r="A48" s="16" t="s">
        <v>5128</v>
      </c>
      <c r="B48" s="16">
        <v>13112</v>
      </c>
      <c r="C48" s="16" t="s">
        <v>96</v>
      </c>
      <c r="D48" s="16" t="s">
        <v>1013</v>
      </c>
      <c r="E48" s="16">
        <v>42</v>
      </c>
      <c r="F48" s="18">
        <v>624.54</v>
      </c>
      <c r="G48" s="16" t="s">
        <v>967</v>
      </c>
      <c r="H48" s="22">
        <v>0.16</v>
      </c>
      <c r="I48" s="22">
        <v>0.4</v>
      </c>
    </row>
    <row r="49" spans="1:9">
      <c r="A49" s="16" t="s">
        <v>5129</v>
      </c>
      <c r="B49" s="16">
        <v>13111</v>
      </c>
      <c r="C49" s="16" t="s">
        <v>96</v>
      </c>
      <c r="D49" s="16" t="s">
        <v>996</v>
      </c>
      <c r="E49" s="16">
        <v>42</v>
      </c>
      <c r="F49" s="18">
        <v>624.54</v>
      </c>
      <c r="G49" s="16" t="s">
        <v>5082</v>
      </c>
      <c r="H49" s="22">
        <v>0.2</v>
      </c>
      <c r="I49" s="22">
        <v>0.5</v>
      </c>
    </row>
    <row r="50" spans="1:9">
      <c r="A50" s="16" t="s">
        <v>5130</v>
      </c>
      <c r="B50" s="16">
        <v>13108</v>
      </c>
      <c r="C50" s="16" t="s">
        <v>96</v>
      </c>
      <c r="D50" s="16" t="s">
        <v>996</v>
      </c>
      <c r="E50" s="16">
        <v>42</v>
      </c>
      <c r="F50" s="18">
        <v>624.54</v>
      </c>
      <c r="G50" s="16" t="s">
        <v>965</v>
      </c>
      <c r="H50" s="22">
        <v>0.1</v>
      </c>
      <c r="I50" s="22">
        <v>0.25</v>
      </c>
    </row>
    <row r="51" spans="1:9">
      <c r="A51" s="16" t="s">
        <v>5131</v>
      </c>
      <c r="B51" s="16">
        <v>13106</v>
      </c>
      <c r="C51" s="16" t="s">
        <v>96</v>
      </c>
      <c r="D51" s="16" t="s">
        <v>996</v>
      </c>
      <c r="E51" s="16">
        <v>42</v>
      </c>
      <c r="F51" s="18">
        <v>624.54</v>
      </c>
      <c r="G51" s="16" t="s">
        <v>965</v>
      </c>
      <c r="H51" s="22">
        <v>0.1</v>
      </c>
      <c r="I51" s="22">
        <v>0.25</v>
      </c>
    </row>
    <row r="52" spans="1:9">
      <c r="A52" s="16" t="s">
        <v>5132</v>
      </c>
      <c r="B52" s="16">
        <v>13103</v>
      </c>
      <c r="C52" s="16" t="s">
        <v>96</v>
      </c>
      <c r="D52" s="16" t="s">
        <v>1000</v>
      </c>
      <c r="E52" s="16">
        <v>42</v>
      </c>
      <c r="F52" s="18">
        <v>624.54</v>
      </c>
      <c r="G52" s="16" t="s">
        <v>5082</v>
      </c>
      <c r="H52" s="22">
        <v>0.2</v>
      </c>
      <c r="I52" s="22">
        <v>0.5</v>
      </c>
    </row>
    <row r="53" spans="1:9">
      <c r="A53" s="16" t="s">
        <v>5133</v>
      </c>
      <c r="B53" s="16">
        <v>13101</v>
      </c>
      <c r="C53" s="16" t="s">
        <v>96</v>
      </c>
      <c r="D53" s="16" t="s">
        <v>989</v>
      </c>
      <c r="E53" s="16">
        <v>42</v>
      </c>
      <c r="F53" s="18">
        <v>624.54</v>
      </c>
      <c r="G53" s="16" t="s">
        <v>971</v>
      </c>
      <c r="H53" s="22">
        <v>0.06</v>
      </c>
      <c r="I53" s="22">
        <v>0.15</v>
      </c>
    </row>
    <row r="54" spans="1:9">
      <c r="A54" s="16" t="s">
        <v>5134</v>
      </c>
      <c r="B54" s="16">
        <v>13020</v>
      </c>
      <c r="C54" s="16" t="s">
        <v>96</v>
      </c>
      <c r="D54" s="16" t="s">
        <v>989</v>
      </c>
      <c r="E54" s="16">
        <v>40</v>
      </c>
      <c r="F54" s="18">
        <v>594.8</v>
      </c>
      <c r="G54" s="16" t="s">
        <v>971</v>
      </c>
      <c r="H54" s="22">
        <v>0.06</v>
      </c>
      <c r="I54" s="22">
        <v>0.15</v>
      </c>
    </row>
    <row r="55" spans="1:9">
      <c r="A55" s="16" t="s">
        <v>5135</v>
      </c>
      <c r="B55" s="16">
        <v>13019</v>
      </c>
      <c r="C55" s="16" t="s">
        <v>96</v>
      </c>
      <c r="D55" s="16" t="s">
        <v>1007</v>
      </c>
      <c r="E55" s="16">
        <v>40</v>
      </c>
      <c r="F55" s="18">
        <v>594.8</v>
      </c>
      <c r="G55" s="16" t="s">
        <v>963</v>
      </c>
      <c r="H55" s="22">
        <v>0.1</v>
      </c>
      <c r="I55" s="22">
        <v>0.25</v>
      </c>
    </row>
    <row r="56" spans="1:9">
      <c r="A56" s="16" t="s">
        <v>5136</v>
      </c>
      <c r="B56" s="16">
        <v>13016</v>
      </c>
      <c r="C56" s="16" t="s">
        <v>96</v>
      </c>
      <c r="D56" s="16" t="s">
        <v>1013</v>
      </c>
      <c r="E56" s="16">
        <v>40</v>
      </c>
      <c r="F56" s="18">
        <v>594.8</v>
      </c>
      <c r="G56" s="16" t="s">
        <v>971</v>
      </c>
      <c r="H56" s="22">
        <v>0.06</v>
      </c>
      <c r="I56" s="22">
        <v>0.15</v>
      </c>
    </row>
    <row r="57" spans="1:9">
      <c r="A57" s="16" t="s">
        <v>5137</v>
      </c>
      <c r="B57" s="16">
        <v>13015</v>
      </c>
      <c r="C57" s="16" t="s">
        <v>96</v>
      </c>
      <c r="D57" s="16" t="s">
        <v>996</v>
      </c>
      <c r="E57" s="16">
        <v>40</v>
      </c>
      <c r="F57" s="18">
        <v>594.8</v>
      </c>
      <c r="G57" s="16" t="s">
        <v>969</v>
      </c>
      <c r="H57" s="22">
        <v>0.08</v>
      </c>
      <c r="I57" s="22">
        <v>0.2</v>
      </c>
    </row>
    <row r="58" spans="1:9">
      <c r="A58" s="16" t="s">
        <v>5138</v>
      </c>
      <c r="B58" s="16">
        <v>13014</v>
      </c>
      <c r="C58" s="16" t="s">
        <v>96</v>
      </c>
      <c r="D58" s="16" t="s">
        <v>1007</v>
      </c>
      <c r="E58" s="16">
        <v>40</v>
      </c>
      <c r="F58" s="18">
        <v>594.8</v>
      </c>
      <c r="G58" s="16" t="s">
        <v>963</v>
      </c>
      <c r="H58" s="22">
        <v>0.1</v>
      </c>
      <c r="I58" s="22">
        <v>0.25</v>
      </c>
    </row>
    <row r="59" spans="1:9">
      <c r="A59" s="16" t="s">
        <v>5139</v>
      </c>
      <c r="B59" s="16">
        <v>13013</v>
      </c>
      <c r="C59" s="16" t="s">
        <v>96</v>
      </c>
      <c r="D59" s="16" t="s">
        <v>996</v>
      </c>
      <c r="E59" s="16">
        <v>40</v>
      </c>
      <c r="F59" s="18">
        <v>594.8</v>
      </c>
      <c r="G59" s="16" t="s">
        <v>965</v>
      </c>
      <c r="H59" s="22">
        <v>0.1</v>
      </c>
      <c r="I59" s="22">
        <v>0.25</v>
      </c>
    </row>
    <row r="60" spans="1:9">
      <c r="A60" s="16" t="s">
        <v>5140</v>
      </c>
      <c r="B60" s="16">
        <v>13012</v>
      </c>
      <c r="C60" s="16" t="s">
        <v>96</v>
      </c>
      <c r="D60" s="16" t="s">
        <v>1007</v>
      </c>
      <c r="E60" s="16">
        <v>40</v>
      </c>
      <c r="F60" s="18">
        <v>594.8</v>
      </c>
      <c r="G60" s="16" t="s">
        <v>965</v>
      </c>
      <c r="H60" s="22">
        <v>0.1</v>
      </c>
      <c r="I60" s="22">
        <v>0.25</v>
      </c>
    </row>
    <row r="61" spans="1:9">
      <c r="A61" s="16" t="s">
        <v>5141</v>
      </c>
      <c r="B61" s="16">
        <v>13011</v>
      </c>
      <c r="C61" s="16" t="s">
        <v>96</v>
      </c>
      <c r="D61" s="16" t="s">
        <v>1013</v>
      </c>
      <c r="E61" s="16">
        <v>40</v>
      </c>
      <c r="F61" s="18">
        <v>594.8</v>
      </c>
      <c r="G61" s="16" t="s">
        <v>965</v>
      </c>
      <c r="H61" s="22">
        <v>0.1</v>
      </c>
      <c r="I61" s="22">
        <v>0.25</v>
      </c>
    </row>
    <row r="62" spans="1:9">
      <c r="A62" s="16" t="s">
        <v>5142</v>
      </c>
      <c r="B62" s="16">
        <v>13010</v>
      </c>
      <c r="C62" s="16" t="s">
        <v>96</v>
      </c>
      <c r="D62" s="16" t="s">
        <v>1013</v>
      </c>
      <c r="E62" s="16">
        <v>40</v>
      </c>
      <c r="F62" s="18">
        <v>594.8</v>
      </c>
      <c r="G62" s="16" t="s">
        <v>967</v>
      </c>
      <c r="H62" s="22">
        <v>0.16</v>
      </c>
      <c r="I62" s="22">
        <v>0.4</v>
      </c>
    </row>
    <row r="63" spans="1:9">
      <c r="A63" s="16" t="s">
        <v>5143</v>
      </c>
      <c r="B63" s="16">
        <v>13009</v>
      </c>
      <c r="C63" s="16" t="s">
        <v>96</v>
      </c>
      <c r="D63" s="16" t="s">
        <v>1021</v>
      </c>
      <c r="E63" s="16">
        <v>40</v>
      </c>
      <c r="F63" s="18">
        <v>594.8</v>
      </c>
      <c r="G63" s="42" t="s">
        <v>975</v>
      </c>
      <c r="H63" s="42">
        <v>30</v>
      </c>
      <c r="I63" s="42">
        <v>75</v>
      </c>
    </row>
    <row r="64" spans="1:9">
      <c r="A64" s="16" t="s">
        <v>5144</v>
      </c>
      <c r="B64" s="16">
        <v>13008</v>
      </c>
      <c r="C64" s="16" t="s">
        <v>96</v>
      </c>
      <c r="D64" s="16" t="s">
        <v>1021</v>
      </c>
      <c r="E64" s="16">
        <v>40</v>
      </c>
      <c r="F64" s="18">
        <v>594.8</v>
      </c>
      <c r="G64" s="16" t="s">
        <v>965</v>
      </c>
      <c r="H64" s="22">
        <v>0.1</v>
      </c>
      <c r="I64" s="22">
        <v>0.25</v>
      </c>
    </row>
    <row r="65" spans="1:9">
      <c r="A65" s="16" t="s">
        <v>5145</v>
      </c>
      <c r="B65" s="16">
        <v>13007</v>
      </c>
      <c r="C65" s="16" t="s">
        <v>96</v>
      </c>
      <c r="D65" s="16" t="s">
        <v>1013</v>
      </c>
      <c r="E65" s="16">
        <v>40</v>
      </c>
      <c r="F65" s="18">
        <v>594.8</v>
      </c>
      <c r="G65" s="16" t="s">
        <v>963</v>
      </c>
      <c r="H65" s="22">
        <v>0.1</v>
      </c>
      <c r="I65" s="22">
        <v>0.25</v>
      </c>
    </row>
    <row r="66" spans="1:9">
      <c r="A66" s="16" t="s">
        <v>5146</v>
      </c>
      <c r="B66" s="16">
        <v>13006</v>
      </c>
      <c r="C66" s="16" t="s">
        <v>96</v>
      </c>
      <c r="D66" s="16" t="s">
        <v>989</v>
      </c>
      <c r="E66" s="16">
        <v>40</v>
      </c>
      <c r="F66" s="18">
        <v>594.8</v>
      </c>
      <c r="G66" s="16" t="s">
        <v>971</v>
      </c>
      <c r="H66" s="22">
        <v>0.06</v>
      </c>
      <c r="I66" s="22">
        <v>0.15</v>
      </c>
    </row>
    <row r="67" spans="1:9">
      <c r="A67" s="16" t="s">
        <v>5147</v>
      </c>
      <c r="B67" s="16">
        <v>13005</v>
      </c>
      <c r="C67" s="16" t="s">
        <v>96</v>
      </c>
      <c r="D67" s="16" t="s">
        <v>989</v>
      </c>
      <c r="E67" s="16">
        <v>40</v>
      </c>
      <c r="F67" s="18">
        <v>594.8</v>
      </c>
      <c r="G67" s="16" t="s">
        <v>5082</v>
      </c>
      <c r="H67" s="22">
        <v>0.2</v>
      </c>
      <c r="I67" s="22">
        <v>0.5</v>
      </c>
    </row>
    <row r="68" spans="1:9">
      <c r="A68" s="16" t="s">
        <v>5148</v>
      </c>
      <c r="B68" s="16">
        <v>13004</v>
      </c>
      <c r="C68" s="16" t="s">
        <v>96</v>
      </c>
      <c r="D68" s="16" t="s">
        <v>996</v>
      </c>
      <c r="E68" s="16">
        <v>40</v>
      </c>
      <c r="F68" s="18">
        <v>594.8</v>
      </c>
      <c r="G68" s="16" t="s">
        <v>965</v>
      </c>
      <c r="H68" s="22">
        <v>0.1</v>
      </c>
      <c r="I68" s="22">
        <v>0.25</v>
      </c>
    </row>
    <row r="69" spans="1:9">
      <c r="A69" s="16" t="s">
        <v>5149</v>
      </c>
      <c r="B69" s="16">
        <v>13003</v>
      </c>
      <c r="C69" s="16" t="s">
        <v>96</v>
      </c>
      <c r="D69" s="16" t="s">
        <v>1021</v>
      </c>
      <c r="E69" s="16">
        <v>40</v>
      </c>
      <c r="F69" s="18">
        <v>594.8</v>
      </c>
      <c r="G69" s="42" t="s">
        <v>975</v>
      </c>
      <c r="H69" s="42">
        <v>30</v>
      </c>
      <c r="I69" s="42">
        <v>75</v>
      </c>
    </row>
    <row r="70" spans="1:9">
      <c r="A70" s="16" t="s">
        <v>5150</v>
      </c>
      <c r="B70" s="16">
        <v>13002</v>
      </c>
      <c r="C70" s="16" t="s">
        <v>96</v>
      </c>
      <c r="D70" s="16" t="s">
        <v>1000</v>
      </c>
      <c r="E70" s="16">
        <v>40</v>
      </c>
      <c r="F70" s="18">
        <v>594.8</v>
      </c>
      <c r="G70" s="16" t="s">
        <v>5105</v>
      </c>
      <c r="H70" s="22">
        <v>0.08</v>
      </c>
      <c r="I70" s="22">
        <v>0.2</v>
      </c>
    </row>
    <row r="71" spans="1:9">
      <c r="A71" s="16" t="s">
        <v>5151</v>
      </c>
      <c r="B71" s="16">
        <v>13001</v>
      </c>
      <c r="C71" s="16" t="s">
        <v>96</v>
      </c>
      <c r="D71" s="16" t="s">
        <v>996</v>
      </c>
      <c r="E71" s="16">
        <v>40</v>
      </c>
      <c r="F71" s="18">
        <v>594.8</v>
      </c>
      <c r="G71" s="16" t="s">
        <v>965</v>
      </c>
      <c r="H71" s="22">
        <v>0.1</v>
      </c>
      <c r="I71" s="22">
        <v>0.25</v>
      </c>
    </row>
    <row r="72" spans="1:9">
      <c r="A72" s="16" t="s">
        <v>5152</v>
      </c>
      <c r="B72" s="16">
        <v>12015</v>
      </c>
      <c r="C72" s="16" t="s">
        <v>97</v>
      </c>
      <c r="D72" s="16" t="s">
        <v>1007</v>
      </c>
      <c r="E72" s="16">
        <v>32</v>
      </c>
      <c r="F72" s="18">
        <v>475.84</v>
      </c>
      <c r="G72" s="16" t="s">
        <v>963</v>
      </c>
      <c r="H72" s="22">
        <v>0.08</v>
      </c>
      <c r="I72" s="22">
        <v>0.2</v>
      </c>
    </row>
    <row r="73" spans="1:9">
      <c r="A73" s="16" t="s">
        <v>5153</v>
      </c>
      <c r="B73" s="16">
        <v>12014</v>
      </c>
      <c r="C73" s="16" t="s">
        <v>97</v>
      </c>
      <c r="D73" s="16" t="s">
        <v>1013</v>
      </c>
      <c r="E73" s="16">
        <v>32</v>
      </c>
      <c r="F73" s="18">
        <v>475.84</v>
      </c>
      <c r="G73" s="16" t="s">
        <v>967</v>
      </c>
      <c r="H73" s="22">
        <v>0.128</v>
      </c>
      <c r="I73" s="22">
        <v>0.32</v>
      </c>
    </row>
    <row r="74" spans="1:9">
      <c r="A74" s="16" t="s">
        <v>5154</v>
      </c>
      <c r="B74" s="16">
        <v>12013</v>
      </c>
      <c r="C74" s="16" t="s">
        <v>97</v>
      </c>
      <c r="D74" s="16" t="s">
        <v>1013</v>
      </c>
      <c r="E74" s="16">
        <v>32</v>
      </c>
      <c r="F74" s="18">
        <v>475.84</v>
      </c>
      <c r="G74" s="16" t="s">
        <v>967</v>
      </c>
      <c r="H74" s="22">
        <v>0.128</v>
      </c>
      <c r="I74" s="22">
        <v>0.32</v>
      </c>
    </row>
    <row r="75" spans="1:9">
      <c r="A75" s="16" t="s">
        <v>5155</v>
      </c>
      <c r="B75" s="16">
        <v>12012</v>
      </c>
      <c r="C75" s="16" t="s">
        <v>97</v>
      </c>
      <c r="D75" s="16" t="s">
        <v>1021</v>
      </c>
      <c r="E75" s="16">
        <v>32</v>
      </c>
      <c r="F75" s="18">
        <v>475.84</v>
      </c>
      <c r="G75" s="16" t="s">
        <v>5105</v>
      </c>
      <c r="H75" s="22">
        <v>0.064</v>
      </c>
      <c r="I75" s="22">
        <v>0.16</v>
      </c>
    </row>
    <row r="76" spans="1:9">
      <c r="A76" s="16" t="s">
        <v>5156</v>
      </c>
      <c r="B76" s="16">
        <v>12011</v>
      </c>
      <c r="C76" s="16" t="s">
        <v>97</v>
      </c>
      <c r="D76" s="16" t="s">
        <v>1021</v>
      </c>
      <c r="E76" s="16">
        <v>32</v>
      </c>
      <c r="F76" s="18">
        <v>475.84</v>
      </c>
      <c r="G76" s="42" t="s">
        <v>975</v>
      </c>
      <c r="H76" s="42">
        <v>24</v>
      </c>
      <c r="I76" s="42">
        <v>60</v>
      </c>
    </row>
    <row r="77" spans="1:9">
      <c r="A77" s="16" t="s">
        <v>5157</v>
      </c>
      <c r="B77" s="16">
        <v>12010</v>
      </c>
      <c r="C77" s="16" t="s">
        <v>97</v>
      </c>
      <c r="D77" s="16" t="s">
        <v>1021</v>
      </c>
      <c r="E77" s="16">
        <v>32</v>
      </c>
      <c r="F77" s="18">
        <v>475.84</v>
      </c>
      <c r="G77" s="16" t="s">
        <v>965</v>
      </c>
      <c r="H77" s="22">
        <v>0.08</v>
      </c>
      <c r="I77" s="22">
        <v>0.2</v>
      </c>
    </row>
    <row r="78" spans="1:9">
      <c r="A78" s="16" t="s">
        <v>5158</v>
      </c>
      <c r="B78" s="16">
        <v>12009</v>
      </c>
      <c r="C78" s="16" t="s">
        <v>97</v>
      </c>
      <c r="D78" s="16" t="s">
        <v>989</v>
      </c>
      <c r="E78" s="16">
        <v>32</v>
      </c>
      <c r="F78" s="18">
        <v>475.84</v>
      </c>
      <c r="G78" s="16" t="s">
        <v>5082</v>
      </c>
      <c r="H78" s="22">
        <v>0.16</v>
      </c>
      <c r="I78" s="22">
        <v>0.4</v>
      </c>
    </row>
    <row r="79" spans="1:9">
      <c r="A79" s="16" t="s">
        <v>5159</v>
      </c>
      <c r="B79" s="16">
        <v>12008</v>
      </c>
      <c r="C79" s="16" t="s">
        <v>97</v>
      </c>
      <c r="D79" s="16" t="s">
        <v>989</v>
      </c>
      <c r="E79" s="16">
        <v>32</v>
      </c>
      <c r="F79" s="18">
        <v>475.84</v>
      </c>
      <c r="G79" s="16" t="s">
        <v>971</v>
      </c>
      <c r="H79" s="22">
        <v>0.048</v>
      </c>
      <c r="I79" s="22">
        <v>0.12</v>
      </c>
    </row>
    <row r="80" spans="1:9">
      <c r="A80" s="16" t="s">
        <v>5160</v>
      </c>
      <c r="B80" s="16">
        <v>12007</v>
      </c>
      <c r="C80" s="16" t="s">
        <v>97</v>
      </c>
      <c r="D80" s="16" t="s">
        <v>989</v>
      </c>
      <c r="E80" s="16">
        <v>32</v>
      </c>
      <c r="F80" s="18">
        <v>475.84</v>
      </c>
      <c r="G80" s="16" t="s">
        <v>965</v>
      </c>
      <c r="H80" s="22">
        <v>0.08</v>
      </c>
      <c r="I80" s="22">
        <v>0.2</v>
      </c>
    </row>
    <row r="81" spans="1:9">
      <c r="A81" s="16" t="s">
        <v>5161</v>
      </c>
      <c r="B81" s="16">
        <v>12006</v>
      </c>
      <c r="C81" s="16" t="s">
        <v>97</v>
      </c>
      <c r="D81" s="16" t="s">
        <v>1000</v>
      </c>
      <c r="E81" s="16">
        <v>32</v>
      </c>
      <c r="F81" s="18">
        <v>475.84</v>
      </c>
      <c r="G81" s="16" t="s">
        <v>963</v>
      </c>
      <c r="H81" s="22">
        <v>0.08</v>
      </c>
      <c r="I81" s="22">
        <v>0.2</v>
      </c>
    </row>
    <row r="82" spans="1:9">
      <c r="A82" s="16" t="s">
        <v>5162</v>
      </c>
      <c r="B82" s="16">
        <v>12005</v>
      </c>
      <c r="C82" s="16" t="s">
        <v>97</v>
      </c>
      <c r="D82" s="16" t="s">
        <v>1000</v>
      </c>
      <c r="E82" s="16">
        <v>32</v>
      </c>
      <c r="F82" s="18">
        <v>475.84</v>
      </c>
      <c r="G82" s="16" t="s">
        <v>5082</v>
      </c>
      <c r="H82" s="22">
        <v>0.16</v>
      </c>
      <c r="I82" s="22">
        <v>0.4</v>
      </c>
    </row>
    <row r="83" spans="1:9">
      <c r="A83" s="16" t="s">
        <v>5163</v>
      </c>
      <c r="B83" s="16">
        <v>12004</v>
      </c>
      <c r="C83" s="16" t="s">
        <v>97</v>
      </c>
      <c r="D83" s="16" t="s">
        <v>1000</v>
      </c>
      <c r="E83" s="16">
        <v>32</v>
      </c>
      <c r="F83" s="18">
        <v>475.84</v>
      </c>
      <c r="G83" s="16" t="s">
        <v>965</v>
      </c>
      <c r="H83" s="22">
        <v>0.08</v>
      </c>
      <c r="I83" s="22">
        <v>0.2</v>
      </c>
    </row>
    <row r="84" spans="1:9">
      <c r="A84" s="16" t="s">
        <v>5164</v>
      </c>
      <c r="B84" s="16">
        <v>12003</v>
      </c>
      <c r="C84" s="16" t="s">
        <v>97</v>
      </c>
      <c r="D84" s="16" t="s">
        <v>996</v>
      </c>
      <c r="E84" s="16">
        <v>32</v>
      </c>
      <c r="F84" s="18">
        <v>475.84</v>
      </c>
      <c r="G84" s="16" t="s">
        <v>969</v>
      </c>
      <c r="H84" s="22">
        <v>0.064</v>
      </c>
      <c r="I84" s="22">
        <v>0.16</v>
      </c>
    </row>
    <row r="85" spans="1:9">
      <c r="A85" s="16" t="s">
        <v>5165</v>
      </c>
      <c r="B85" s="16">
        <v>12002</v>
      </c>
      <c r="C85" s="16" t="s">
        <v>97</v>
      </c>
      <c r="D85" s="16" t="s">
        <v>996</v>
      </c>
      <c r="E85" s="16">
        <v>32</v>
      </c>
      <c r="F85" s="18">
        <v>475.84</v>
      </c>
      <c r="G85" s="16" t="s">
        <v>965</v>
      </c>
      <c r="H85" s="22">
        <v>0.08</v>
      </c>
      <c r="I85" s="22">
        <v>0.2</v>
      </c>
    </row>
    <row r="86" spans="1:9">
      <c r="A86" s="16" t="s">
        <v>5166</v>
      </c>
      <c r="B86" s="16">
        <v>12001</v>
      </c>
      <c r="C86" s="16" t="s">
        <v>97</v>
      </c>
      <c r="D86" s="16" t="s">
        <v>996</v>
      </c>
      <c r="E86" s="16">
        <v>32</v>
      </c>
      <c r="F86" s="18">
        <v>475.84</v>
      </c>
      <c r="G86" s="16" t="s">
        <v>965</v>
      </c>
      <c r="H86" s="22">
        <v>0.08</v>
      </c>
      <c r="I86" s="22">
        <v>0.2</v>
      </c>
    </row>
  </sheetData>
</worksheet>
</file>

<file path=xl/worksheets/sheet19.xml><?xml version="1.0" encoding="utf-8"?>
<worksheet xmlns="http://schemas.openxmlformats.org/spreadsheetml/2006/main">
  <sheetPr codeName="音擎描述">
    <tabColor/>
  </sheetPr>
  <dimension ref="K86"/>
  <sheetViews>
    <sheetView showGridLines="1" workbookViewId="0">
      <pane xSplit="1" ySplit="1" topLeftCell="B2" state="frozen"/>
    </sheetView>
  </sheetViews>
  <sheetFormatPr baseColWidth="13" defaultRowHeight="18" customHeight="1"/>
  <cols>
    <col min="1" max="1" width="15.6641" customWidth="1"/>
    <col min="2" max="3" width="10.7109" customWidth="1"/>
    <col min="4" max="4" width="32.3711" customWidth="1"/>
    <col min="5" max="5" width="21.582" customWidth="1"/>
    <col min="6" max="6" width="20.4414" customWidth="1"/>
    <col min="7" max="11" width="21.582" customWidth="1"/>
  </cols>
  <sheetData>
    <row r="1" spans="1:11">
      <c r="A1" s="28" t="s">
        <v>4144</v>
      </c>
      <c r="B1" s="28" t="s">
        <v>956</v>
      </c>
      <c r="C1" s="28" t="s">
        <v>5074</v>
      </c>
      <c r="D1" s="28" t="s">
        <v>3355</v>
      </c>
      <c r="E1" s="28" t="s">
        <v>5167</v>
      </c>
      <c r="F1" s="28" t="s">
        <v>1997</v>
      </c>
      <c r="G1" s="28" t="s">
        <v>5168</v>
      </c>
      <c r="H1" s="28" t="s">
        <v>5169</v>
      </c>
      <c r="I1" s="28" t="s">
        <v>5170</v>
      </c>
      <c r="J1" s="28" t="s">
        <v>5171</v>
      </c>
      <c r="K1" s="28" t="s">
        <v>5172</v>
      </c>
    </row>
    <row r="2" spans="1:11">
      <c r="A2" s="28" t="s">
        <v>5079</v>
      </c>
      <c r="B2" s="28">
        <v>14150</v>
      </c>
      <c r="C2" s="28" t="s">
        <v>1021</v>
      </c>
      <c r="D2" s="28" t="s">
        <v>5173</v>
      </c>
      <c r="E2" s="28" t="s">
        <v>5174</v>
      </c>
      <c r="F2" s="28" t="s">
        <v>5175</v>
      </c>
      <c r="G2" s="28" t="s">
        <v>5176</v>
      </c>
      <c r="H2" s="28" t="s">
        <v>5177</v>
      </c>
      <c r="I2" s="28" t="s">
        <v>5178</v>
      </c>
      <c r="J2" s="28" t="s">
        <v>5179</v>
      </c>
      <c r="K2" s="28" t="s">
        <v>5180</v>
      </c>
    </row>
    <row r="3" spans="1:11">
      <c r="A3" s="28" t="s">
        <v>5081</v>
      </c>
      <c r="B3" s="28">
        <v>14149</v>
      </c>
      <c r="C3" s="28" t="s">
        <v>1000</v>
      </c>
      <c r="D3" s="28" t="s">
        <v>5181</v>
      </c>
      <c r="E3" s="28" t="s">
        <v>5182</v>
      </c>
      <c r="F3" s="28" t="s">
        <v>5183</v>
      </c>
      <c r="G3" s="28" t="s">
        <v>5184</v>
      </c>
      <c r="H3" s="28" t="s">
        <v>5185</v>
      </c>
      <c r="I3" s="28" t="s">
        <v>5186</v>
      </c>
      <c r="J3" s="28" t="s">
        <v>5187</v>
      </c>
      <c r="K3" s="28" t="s">
        <v>5188</v>
      </c>
    </row>
    <row r="4" spans="1:11">
      <c r="A4" s="28" t="s">
        <v>5083</v>
      </c>
      <c r="B4" s="28">
        <v>14148</v>
      </c>
      <c r="C4" s="28" t="s">
        <v>989</v>
      </c>
      <c r="D4" s="28" t="s">
        <v>5189</v>
      </c>
      <c r="E4" s="28" t="s">
        <v>5190</v>
      </c>
      <c r="F4" s="28" t="s">
        <v>5191</v>
      </c>
      <c r="G4" s="28" t="s">
        <v>5192</v>
      </c>
      <c r="H4" s="28" t="s">
        <v>5193</v>
      </c>
      <c r="I4" s="28" t="s">
        <v>5194</v>
      </c>
      <c r="J4" s="28" t="s">
        <v>5195</v>
      </c>
      <c r="K4" s="28" t="s">
        <v>5196</v>
      </c>
    </row>
    <row r="5" spans="1:11">
      <c r="A5" s="28" t="s">
        <v>5084</v>
      </c>
      <c r="B5" s="28">
        <v>14147</v>
      </c>
      <c r="C5" s="28" t="s">
        <v>1007</v>
      </c>
      <c r="D5" s="28" t="s">
        <v>5197</v>
      </c>
      <c r="E5" s="28" t="s">
        <v>5198</v>
      </c>
      <c r="F5" s="28" t="s">
        <v>5199</v>
      </c>
      <c r="G5" s="28" t="s">
        <v>5200</v>
      </c>
      <c r="H5" s="28" t="s">
        <v>5201</v>
      </c>
      <c r="I5" s="28" t="s">
        <v>5202</v>
      </c>
      <c r="J5" s="28" t="s">
        <v>5203</v>
      </c>
      <c r="K5" s="28" t="s">
        <v>5204</v>
      </c>
    </row>
    <row r="6" spans="1:11">
      <c r="A6" s="28" t="s">
        <v>5085</v>
      </c>
      <c r="B6" s="28">
        <v>14146</v>
      </c>
      <c r="C6" s="28" t="s">
        <v>996</v>
      </c>
      <c r="D6" s="28" t="s">
        <v>5205</v>
      </c>
      <c r="E6" s="28" t="s">
        <v>5206</v>
      </c>
      <c r="F6" s="28" t="s">
        <v>5207</v>
      </c>
      <c r="G6" s="28" t="s">
        <v>5208</v>
      </c>
      <c r="H6" s="28" t="s">
        <v>5209</v>
      </c>
      <c r="I6" s="28" t="s">
        <v>5210</v>
      </c>
      <c r="J6" s="28" t="s">
        <v>5211</v>
      </c>
      <c r="K6" s="28" t="s">
        <v>5212</v>
      </c>
    </row>
    <row r="7" spans="1:11">
      <c r="A7" s="28" t="s">
        <v>5086</v>
      </c>
      <c r="B7" s="28">
        <v>14145</v>
      </c>
      <c r="C7" s="28" t="s">
        <v>1000</v>
      </c>
      <c r="D7" s="28" t="s">
        <v>5213</v>
      </c>
      <c r="E7" s="28" t="s">
        <v>5214</v>
      </c>
      <c r="F7" s="28" t="s">
        <v>5215</v>
      </c>
      <c r="G7" s="28" t="s">
        <v>5216</v>
      </c>
      <c r="H7" s="28" t="s">
        <v>5217</v>
      </c>
      <c r="I7" s="28" t="s">
        <v>5218</v>
      </c>
      <c r="J7" s="28" t="s">
        <v>5219</v>
      </c>
      <c r="K7" s="28" t="s">
        <v>5220</v>
      </c>
    </row>
    <row r="8" spans="1:11">
      <c r="A8" s="28" t="s">
        <v>5087</v>
      </c>
      <c r="B8" s="28">
        <v>14143</v>
      </c>
      <c r="C8" s="28" t="s">
        <v>996</v>
      </c>
      <c r="D8" s="28" t="s">
        <v>5221</v>
      </c>
      <c r="E8" s="28" t="s">
        <v>5222</v>
      </c>
      <c r="F8" s="28" t="s">
        <v>5223</v>
      </c>
      <c r="G8" s="28" t="s">
        <v>5224</v>
      </c>
      <c r="H8" s="28" t="s">
        <v>5225</v>
      </c>
      <c r="I8" s="28" t="s">
        <v>5226</v>
      </c>
      <c r="J8" s="28" t="s">
        <v>5227</v>
      </c>
      <c r="K8" s="28" t="s">
        <v>5228</v>
      </c>
    </row>
    <row r="9" spans="1:11">
      <c r="A9" s="28" t="s">
        <v>5088</v>
      </c>
      <c r="B9" s="28">
        <v>14141</v>
      </c>
      <c r="C9" s="28" t="s">
        <v>1000</v>
      </c>
      <c r="D9" s="28" t="s">
        <v>5229</v>
      </c>
      <c r="E9" s="28" t="s">
        <v>5230</v>
      </c>
      <c r="F9" s="28" t="s">
        <v>5231</v>
      </c>
      <c r="G9" s="28" t="s">
        <v>5232</v>
      </c>
      <c r="H9" s="28" t="s">
        <v>5233</v>
      </c>
      <c r="I9" s="28" t="s">
        <v>5234</v>
      </c>
      <c r="J9" s="28" t="s">
        <v>5235</v>
      </c>
      <c r="K9" s="28" t="s">
        <v>5236</v>
      </c>
    </row>
    <row r="10" spans="1:11">
      <c r="A10" s="28" t="s">
        <v>5089</v>
      </c>
      <c r="B10" s="28">
        <v>14140</v>
      </c>
      <c r="C10" s="28" t="s">
        <v>1021</v>
      </c>
      <c r="D10" s="28" t="s">
        <v>5237</v>
      </c>
      <c r="E10" s="28" t="s">
        <v>5238</v>
      </c>
      <c r="F10" s="28" t="s">
        <v>5239</v>
      </c>
      <c r="G10" s="28" t="s">
        <v>5240</v>
      </c>
      <c r="H10" s="28" t="s">
        <v>5241</v>
      </c>
      <c r="I10" s="28" t="s">
        <v>5242</v>
      </c>
      <c r="J10" s="28" t="s">
        <v>5243</v>
      </c>
      <c r="K10" s="28" t="s">
        <v>5244</v>
      </c>
    </row>
    <row r="11" spans="1:11">
      <c r="A11" s="28" t="s">
        <v>5090</v>
      </c>
      <c r="B11" s="28">
        <v>14139</v>
      </c>
      <c r="C11" s="28" t="s">
        <v>989</v>
      </c>
      <c r="D11" s="28" t="s">
        <v>5245</v>
      </c>
      <c r="E11" s="28" t="s">
        <v>5246</v>
      </c>
      <c r="F11" s="28" t="s">
        <v>5247</v>
      </c>
      <c r="G11" s="28" t="s">
        <v>5248</v>
      </c>
      <c r="H11" s="28" t="s">
        <v>5249</v>
      </c>
      <c r="I11" s="28" t="s">
        <v>5250</v>
      </c>
      <c r="J11" s="28" t="s">
        <v>5251</v>
      </c>
      <c r="K11" s="28" t="s">
        <v>5252</v>
      </c>
    </row>
    <row r="12" spans="1:11">
      <c r="A12" s="28" t="s">
        <v>5091</v>
      </c>
      <c r="B12" s="28">
        <v>14138</v>
      </c>
      <c r="C12" s="28" t="s">
        <v>996</v>
      </c>
      <c r="D12" s="28" t="s">
        <v>5253</v>
      </c>
      <c r="E12" s="28" t="s">
        <v>5254</v>
      </c>
      <c r="F12" s="28" t="s">
        <v>5255</v>
      </c>
      <c r="G12" s="28" t="s">
        <v>5256</v>
      </c>
      <c r="H12" s="28" t="s">
        <v>5257</v>
      </c>
      <c r="I12" s="28" t="s">
        <v>5258</v>
      </c>
      <c r="J12" s="28" t="s">
        <v>5259</v>
      </c>
      <c r="K12" s="28" t="s">
        <v>5260</v>
      </c>
    </row>
    <row r="13" spans="1:11">
      <c r="A13" s="28" t="s">
        <v>5092</v>
      </c>
      <c r="B13" s="28">
        <v>14137</v>
      </c>
      <c r="C13" s="28" t="s">
        <v>1007</v>
      </c>
      <c r="D13" s="28" t="s">
        <v>5261</v>
      </c>
      <c r="E13" s="28" t="s">
        <v>5262</v>
      </c>
      <c r="F13" s="28" t="s">
        <v>5263</v>
      </c>
      <c r="G13" s="28" t="s">
        <v>5264</v>
      </c>
      <c r="H13" s="28" t="s">
        <v>5265</v>
      </c>
      <c r="I13" s="28" t="s">
        <v>5266</v>
      </c>
      <c r="J13" s="28" t="s">
        <v>5267</v>
      </c>
      <c r="K13" s="28" t="s">
        <v>5268</v>
      </c>
    </row>
    <row r="14" spans="1:11">
      <c r="A14" s="28" t="s">
        <v>5093</v>
      </c>
      <c r="B14" s="28">
        <v>14136</v>
      </c>
      <c r="C14" s="28" t="s">
        <v>989</v>
      </c>
      <c r="D14" s="28" t="s">
        <v>5269</v>
      </c>
      <c r="E14" s="28" t="s">
        <v>5270</v>
      </c>
      <c r="F14" s="28" t="s">
        <v>5271</v>
      </c>
      <c r="G14" s="28" t="s">
        <v>5272</v>
      </c>
      <c r="H14" s="28" t="s">
        <v>5273</v>
      </c>
      <c r="I14" s="28" t="s">
        <v>5274</v>
      </c>
      <c r="J14" s="28" t="s">
        <v>5275</v>
      </c>
      <c r="K14" s="28" t="s">
        <v>5276</v>
      </c>
    </row>
    <row r="15" spans="1:11">
      <c r="A15" s="28" t="s">
        <v>5094</v>
      </c>
      <c r="B15" s="28">
        <v>14134</v>
      </c>
      <c r="C15" s="28" t="s">
        <v>1013</v>
      </c>
      <c r="D15" s="28" t="s">
        <v>5277</v>
      </c>
      <c r="E15" s="28" t="s">
        <v>5278</v>
      </c>
      <c r="F15" s="28" t="s">
        <v>5279</v>
      </c>
      <c r="G15" s="28" t="s">
        <v>5280</v>
      </c>
      <c r="H15" s="28" t="s">
        <v>5281</v>
      </c>
      <c r="I15" s="28" t="s">
        <v>5282</v>
      </c>
      <c r="J15" s="28" t="s">
        <v>5283</v>
      </c>
      <c r="K15" s="28" t="s">
        <v>5284</v>
      </c>
    </row>
    <row r="16" spans="1:11">
      <c r="A16" s="28" t="s">
        <v>5095</v>
      </c>
      <c r="B16" s="28">
        <v>14133</v>
      </c>
      <c r="C16" s="28" t="s">
        <v>1021</v>
      </c>
      <c r="D16" s="28" t="s">
        <v>5285</v>
      </c>
      <c r="E16" s="28" t="s">
        <v>5286</v>
      </c>
      <c r="F16" s="28" t="s">
        <v>5287</v>
      </c>
      <c r="G16" s="28" t="s">
        <v>5288</v>
      </c>
      <c r="H16" s="28" t="s">
        <v>5289</v>
      </c>
      <c r="I16" s="28" t="s">
        <v>5290</v>
      </c>
      <c r="J16" s="28" t="s">
        <v>5291</v>
      </c>
      <c r="K16" s="28" t="s">
        <v>5292</v>
      </c>
    </row>
    <row r="17" spans="1:11">
      <c r="A17" s="28" t="s">
        <v>5096</v>
      </c>
      <c r="B17" s="28">
        <v>14132</v>
      </c>
      <c r="C17" s="28" t="s">
        <v>996</v>
      </c>
      <c r="D17" s="28" t="s">
        <v>5293</v>
      </c>
      <c r="E17" s="28" t="s">
        <v>5294</v>
      </c>
      <c r="F17" s="28" t="s">
        <v>5295</v>
      </c>
      <c r="G17" s="28" t="s">
        <v>5296</v>
      </c>
      <c r="H17" s="28" t="s">
        <v>5297</v>
      </c>
      <c r="I17" s="28" t="s">
        <v>5298</v>
      </c>
      <c r="J17" s="28" t="s">
        <v>5299</v>
      </c>
      <c r="K17" s="28" t="s">
        <v>5300</v>
      </c>
    </row>
    <row r="18" spans="1:11">
      <c r="A18" s="28" t="s">
        <v>5097</v>
      </c>
      <c r="B18" s="28">
        <v>14131</v>
      </c>
      <c r="C18" s="28" t="s">
        <v>1000</v>
      </c>
      <c r="D18" s="28" t="s">
        <v>5301</v>
      </c>
      <c r="E18" s="28" t="s">
        <v>5302</v>
      </c>
      <c r="F18" s="28" t="s">
        <v>5303</v>
      </c>
      <c r="G18" s="28" t="s">
        <v>5304</v>
      </c>
      <c r="H18" s="28" t="s">
        <v>5305</v>
      </c>
      <c r="I18" s="28" t="s">
        <v>5306</v>
      </c>
      <c r="J18" s="28" t="s">
        <v>5307</v>
      </c>
      <c r="K18" s="28" t="s">
        <v>5308</v>
      </c>
    </row>
    <row r="19" spans="1:11">
      <c r="A19" s="28" t="s">
        <v>5098</v>
      </c>
      <c r="B19" s="28">
        <v>14130</v>
      </c>
      <c r="C19" s="28" t="s">
        <v>996</v>
      </c>
      <c r="D19" s="28" t="s">
        <v>5309</v>
      </c>
      <c r="E19" s="28" t="s">
        <v>5310</v>
      </c>
      <c r="F19" s="28" t="s">
        <v>5311</v>
      </c>
      <c r="G19" s="28" t="s">
        <v>5312</v>
      </c>
      <c r="H19" s="28" t="s">
        <v>5313</v>
      </c>
      <c r="I19" s="28" t="s">
        <v>5314</v>
      </c>
      <c r="J19" s="28" t="s">
        <v>5315</v>
      </c>
      <c r="K19" s="28" t="s">
        <v>5316</v>
      </c>
    </row>
    <row r="20" spans="1:11">
      <c r="A20" s="28" t="s">
        <v>5099</v>
      </c>
      <c r="B20" s="28">
        <v>14129</v>
      </c>
      <c r="C20" s="28" t="s">
        <v>996</v>
      </c>
      <c r="D20" s="28" t="s">
        <v>5317</v>
      </c>
      <c r="E20" s="28" t="s">
        <v>5318</v>
      </c>
      <c r="F20" s="28" t="s">
        <v>5319</v>
      </c>
      <c r="G20" s="28" t="s">
        <v>5320</v>
      </c>
      <c r="H20" s="28" t="s">
        <v>5321</v>
      </c>
      <c r="I20" s="28" t="s">
        <v>5322</v>
      </c>
      <c r="J20" s="28" t="s">
        <v>5323</v>
      </c>
      <c r="K20" s="28" t="s">
        <v>5324</v>
      </c>
    </row>
    <row r="21" spans="1:11">
      <c r="A21" s="28" t="s">
        <v>5100</v>
      </c>
      <c r="B21" s="28">
        <v>14126</v>
      </c>
      <c r="C21" s="28" t="s">
        <v>1021</v>
      </c>
      <c r="D21" s="28" t="s">
        <v>5325</v>
      </c>
      <c r="E21" s="28" t="s">
        <v>5326</v>
      </c>
      <c r="F21" s="28" t="s">
        <v>5327</v>
      </c>
      <c r="G21" s="28" t="s">
        <v>5328</v>
      </c>
      <c r="H21" s="28" t="s">
        <v>5329</v>
      </c>
      <c r="I21" s="28" t="s">
        <v>5330</v>
      </c>
      <c r="J21" s="28" t="s">
        <v>5331</v>
      </c>
      <c r="K21" s="28" t="s">
        <v>5332</v>
      </c>
    </row>
    <row r="22" spans="1:11">
      <c r="A22" s="28" t="s">
        <v>5101</v>
      </c>
      <c r="B22" s="28">
        <v>14125</v>
      </c>
      <c r="C22" s="28" t="s">
        <v>989</v>
      </c>
      <c r="D22" s="28" t="s">
        <v>5333</v>
      </c>
      <c r="E22" s="28" t="s">
        <v>5334</v>
      </c>
      <c r="F22" s="28" t="s">
        <v>5335</v>
      </c>
      <c r="G22" s="28" t="s">
        <v>5336</v>
      </c>
      <c r="H22" s="28" t="s">
        <v>5337</v>
      </c>
      <c r="I22" s="28" t="s">
        <v>5338</v>
      </c>
      <c r="J22" s="28" t="s">
        <v>5339</v>
      </c>
      <c r="K22" s="28" t="s">
        <v>5340</v>
      </c>
    </row>
    <row r="23" spans="1:11">
      <c r="A23" s="28" t="s">
        <v>5102</v>
      </c>
      <c r="B23" s="28">
        <v>14124</v>
      </c>
      <c r="C23" s="28" t="s">
        <v>996</v>
      </c>
      <c r="D23" s="28" t="s">
        <v>5341</v>
      </c>
      <c r="E23" s="28" t="s">
        <v>5342</v>
      </c>
      <c r="F23" s="28" t="s">
        <v>5343</v>
      </c>
      <c r="G23" s="28" t="s">
        <v>5344</v>
      </c>
      <c r="H23" s="28" t="s">
        <v>5345</v>
      </c>
      <c r="I23" s="28" t="s">
        <v>5346</v>
      </c>
      <c r="J23" s="28" t="s">
        <v>5347</v>
      </c>
      <c r="K23" s="28" t="s">
        <v>5348</v>
      </c>
    </row>
    <row r="24" spans="1:11">
      <c r="A24" s="28" t="s">
        <v>5103</v>
      </c>
      <c r="B24" s="28">
        <v>14122</v>
      </c>
      <c r="C24" s="28" t="s">
        <v>1021</v>
      </c>
      <c r="D24" s="28" t="s">
        <v>5349</v>
      </c>
      <c r="E24" s="28" t="s">
        <v>5350</v>
      </c>
      <c r="F24" s="28" t="s">
        <v>5351</v>
      </c>
      <c r="G24" s="28" t="s">
        <v>5352</v>
      </c>
      <c r="H24" s="28" t="s">
        <v>5353</v>
      </c>
      <c r="I24" s="28" t="s">
        <v>5354</v>
      </c>
      <c r="J24" s="28" t="s">
        <v>5355</v>
      </c>
      <c r="K24" s="28" t="s">
        <v>5356</v>
      </c>
    </row>
    <row r="25" spans="1:11">
      <c r="A25" s="28" t="s">
        <v>5104</v>
      </c>
      <c r="B25" s="28">
        <v>14121</v>
      </c>
      <c r="C25" s="28" t="s">
        <v>1000</v>
      </c>
      <c r="D25" s="28" t="s">
        <v>5357</v>
      </c>
      <c r="E25" s="28" t="s">
        <v>5358</v>
      </c>
      <c r="F25" s="28" t="s">
        <v>5359</v>
      </c>
      <c r="G25" s="28" t="s">
        <v>5360</v>
      </c>
      <c r="H25" s="28" t="s">
        <v>5361</v>
      </c>
      <c r="I25" s="28" t="s">
        <v>5362</v>
      </c>
      <c r="J25" s="28" t="s">
        <v>5363</v>
      </c>
      <c r="K25" s="28" t="s">
        <v>5364</v>
      </c>
    </row>
    <row r="26" spans="1:11">
      <c r="A26" s="28" t="s">
        <v>5106</v>
      </c>
      <c r="B26" s="28">
        <v>14120</v>
      </c>
      <c r="C26" s="28" t="s">
        <v>996</v>
      </c>
      <c r="D26" s="28" t="s">
        <v>5365</v>
      </c>
      <c r="E26" s="28" t="s">
        <v>5366</v>
      </c>
      <c r="F26" s="28" t="s">
        <v>5367</v>
      </c>
      <c r="G26" s="28" t="s">
        <v>5368</v>
      </c>
      <c r="H26" s="28" t="s">
        <v>5369</v>
      </c>
      <c r="I26" s="28" t="s">
        <v>5370</v>
      </c>
      <c r="J26" s="28" t="s">
        <v>5371</v>
      </c>
      <c r="K26" s="28" t="s">
        <v>5372</v>
      </c>
    </row>
    <row r="27" spans="1:11">
      <c r="A27" s="28" t="s">
        <v>5107</v>
      </c>
      <c r="B27" s="28">
        <v>14119</v>
      </c>
      <c r="C27" s="28" t="s">
        <v>996</v>
      </c>
      <c r="D27" s="28" t="s">
        <v>5373</v>
      </c>
      <c r="E27" s="28" t="s">
        <v>5374</v>
      </c>
      <c r="F27" s="28" t="s">
        <v>5375</v>
      </c>
      <c r="G27" s="28" t="s">
        <v>5376</v>
      </c>
      <c r="H27" s="28" t="s">
        <v>5377</v>
      </c>
      <c r="I27" s="28" t="s">
        <v>5378</v>
      </c>
      <c r="J27" s="28" t="s">
        <v>5379</v>
      </c>
      <c r="K27" s="28" t="s">
        <v>5380</v>
      </c>
    </row>
    <row r="28" spans="1:11">
      <c r="A28" s="28" t="s">
        <v>5108</v>
      </c>
      <c r="B28" s="28">
        <v>14118</v>
      </c>
      <c r="C28" s="28" t="s">
        <v>1021</v>
      </c>
      <c r="D28" s="28" t="s">
        <v>5381</v>
      </c>
      <c r="E28" s="28" t="s">
        <v>5382</v>
      </c>
      <c r="F28" s="28" t="s">
        <v>5383</v>
      </c>
      <c r="G28" s="28" t="s">
        <v>5384</v>
      </c>
      <c r="H28" s="28" t="s">
        <v>5385</v>
      </c>
      <c r="I28" s="28" t="s">
        <v>5386</v>
      </c>
      <c r="J28" s="28" t="s">
        <v>5387</v>
      </c>
      <c r="K28" s="28" t="s">
        <v>5388</v>
      </c>
    </row>
    <row r="29" spans="1:11">
      <c r="A29" s="28" t="s">
        <v>5109</v>
      </c>
      <c r="B29" s="28">
        <v>14117</v>
      </c>
      <c r="C29" s="28" t="s">
        <v>1021</v>
      </c>
      <c r="D29" s="28" t="s">
        <v>5389</v>
      </c>
      <c r="E29" s="28" t="s">
        <v>5390</v>
      </c>
      <c r="F29" s="28" t="s">
        <v>5391</v>
      </c>
      <c r="G29" s="28" t="s">
        <v>5392</v>
      </c>
      <c r="H29" s="28" t="s">
        <v>5393</v>
      </c>
      <c r="I29" s="28" t="s">
        <v>5394</v>
      </c>
      <c r="J29" s="28" t="s">
        <v>5395</v>
      </c>
      <c r="K29" s="28" t="s">
        <v>5396</v>
      </c>
    </row>
    <row r="30" spans="1:11">
      <c r="A30" s="28" t="s">
        <v>5110</v>
      </c>
      <c r="B30" s="28">
        <v>14116</v>
      </c>
      <c r="C30" s="28" t="s">
        <v>989</v>
      </c>
      <c r="D30" s="28" t="s">
        <v>5397</v>
      </c>
      <c r="E30" s="28" t="s">
        <v>5398</v>
      </c>
      <c r="F30" s="28" t="s">
        <v>5399</v>
      </c>
      <c r="G30" s="28" t="s">
        <v>5400</v>
      </c>
      <c r="H30" s="28" t="s">
        <v>5401</v>
      </c>
      <c r="I30" s="28" t="s">
        <v>5402</v>
      </c>
      <c r="J30" s="28" t="s">
        <v>5403</v>
      </c>
      <c r="K30" s="28" t="s">
        <v>5404</v>
      </c>
    </row>
    <row r="31" spans="1:11">
      <c r="A31" s="28" t="s">
        <v>5111</v>
      </c>
      <c r="B31" s="28">
        <v>14114</v>
      </c>
      <c r="C31" s="28" t="s">
        <v>989</v>
      </c>
      <c r="D31" s="28" t="s">
        <v>5405</v>
      </c>
      <c r="E31" s="28" t="s">
        <v>5406</v>
      </c>
      <c r="F31" s="28" t="s">
        <v>5407</v>
      </c>
      <c r="G31" s="28" t="s">
        <v>5408</v>
      </c>
      <c r="H31" s="28" t="s">
        <v>5409</v>
      </c>
      <c r="I31" s="28" t="s">
        <v>5410</v>
      </c>
      <c r="J31" s="28" t="s">
        <v>5411</v>
      </c>
      <c r="K31" s="28" t="s">
        <v>5412</v>
      </c>
    </row>
    <row r="32" spans="1:11">
      <c r="A32" s="28" t="s">
        <v>5112</v>
      </c>
      <c r="B32" s="28">
        <v>14110</v>
      </c>
      <c r="C32" s="28" t="s">
        <v>989</v>
      </c>
      <c r="D32" s="28" t="s">
        <v>5413</v>
      </c>
      <c r="E32" s="28" t="s">
        <v>5414</v>
      </c>
      <c r="F32" s="28" t="s">
        <v>5415</v>
      </c>
      <c r="G32" s="28" t="s">
        <v>5416</v>
      </c>
      <c r="H32" s="28" t="s">
        <v>5417</v>
      </c>
      <c r="I32" s="28" t="s">
        <v>5418</v>
      </c>
      <c r="J32" s="28" t="s">
        <v>5419</v>
      </c>
      <c r="K32" s="28" t="s">
        <v>5420</v>
      </c>
    </row>
    <row r="33" spans="1:11">
      <c r="A33" s="28" t="s">
        <v>5113</v>
      </c>
      <c r="B33" s="28">
        <v>14109</v>
      </c>
      <c r="C33" s="28" t="s">
        <v>1021</v>
      </c>
      <c r="D33" s="28" t="s">
        <v>5421</v>
      </c>
      <c r="E33" s="28" t="s">
        <v>5422</v>
      </c>
      <c r="F33" s="28" t="s">
        <v>5423</v>
      </c>
      <c r="G33" s="28" t="s">
        <v>5424</v>
      </c>
      <c r="H33" s="28" t="s">
        <v>5425</v>
      </c>
      <c r="I33" s="28" t="s">
        <v>5426</v>
      </c>
      <c r="J33" s="28" t="s">
        <v>5427</v>
      </c>
      <c r="K33" s="28" t="s">
        <v>5428</v>
      </c>
    </row>
    <row r="34" spans="1:11">
      <c r="A34" s="28" t="s">
        <v>5114</v>
      </c>
      <c r="B34" s="28">
        <v>14107</v>
      </c>
      <c r="C34" s="28" t="s">
        <v>1013</v>
      </c>
      <c r="D34" s="28" t="s">
        <v>5429</v>
      </c>
      <c r="E34" s="28" t="s">
        <v>5430</v>
      </c>
      <c r="F34" s="28" t="s">
        <v>5431</v>
      </c>
      <c r="G34" s="28" t="s">
        <v>5432</v>
      </c>
      <c r="H34" s="28" t="s">
        <v>5433</v>
      </c>
      <c r="I34" s="28" t="s">
        <v>5434</v>
      </c>
      <c r="J34" s="28" t="s">
        <v>5435</v>
      </c>
      <c r="K34" s="28" t="s">
        <v>5436</v>
      </c>
    </row>
    <row r="35" spans="1:11">
      <c r="A35" s="28" t="s">
        <v>5115</v>
      </c>
      <c r="B35" s="28">
        <v>14105</v>
      </c>
      <c r="C35" s="28" t="s">
        <v>1007</v>
      </c>
      <c r="D35" s="28" t="s">
        <v>5437</v>
      </c>
      <c r="E35" s="28" t="s">
        <v>5438</v>
      </c>
      <c r="F35" s="28" t="s">
        <v>5439</v>
      </c>
      <c r="G35" s="28" t="s">
        <v>5440</v>
      </c>
      <c r="H35" s="28" t="s">
        <v>5441</v>
      </c>
      <c r="I35" s="28" t="s">
        <v>5442</v>
      </c>
      <c r="J35" s="28" t="s">
        <v>5443</v>
      </c>
      <c r="K35" s="28" t="s">
        <v>5444</v>
      </c>
    </row>
    <row r="36" spans="1:11">
      <c r="A36" s="28" t="s">
        <v>5116</v>
      </c>
      <c r="B36" s="28">
        <v>14104</v>
      </c>
      <c r="C36" s="28" t="s">
        <v>996</v>
      </c>
      <c r="D36" s="28" t="s">
        <v>5445</v>
      </c>
      <c r="E36" s="28" t="s">
        <v>5446</v>
      </c>
      <c r="F36" s="28" t="s">
        <v>5447</v>
      </c>
      <c r="G36" s="28" t="s">
        <v>5448</v>
      </c>
      <c r="H36" s="28" t="s">
        <v>5449</v>
      </c>
      <c r="I36" s="28" t="s">
        <v>5450</v>
      </c>
      <c r="J36" s="28" t="s">
        <v>5451</v>
      </c>
      <c r="K36" s="28" t="s">
        <v>5452</v>
      </c>
    </row>
    <row r="37" spans="1:11">
      <c r="A37" s="28" t="s">
        <v>5117</v>
      </c>
      <c r="B37" s="28">
        <v>14102</v>
      </c>
      <c r="C37" s="28" t="s">
        <v>996</v>
      </c>
      <c r="D37" s="28" t="s">
        <v>5453</v>
      </c>
      <c r="E37" s="28" t="s">
        <v>5454</v>
      </c>
      <c r="F37" s="28" t="s">
        <v>5455</v>
      </c>
      <c r="G37" s="28" t="s">
        <v>5456</v>
      </c>
      <c r="H37" s="28" t="s">
        <v>5457</v>
      </c>
      <c r="I37" s="28" t="s">
        <v>5458</v>
      </c>
      <c r="J37" s="28" t="s">
        <v>5459</v>
      </c>
      <c r="K37" s="28" t="s">
        <v>5460</v>
      </c>
    </row>
    <row r="38" spans="1:11">
      <c r="A38" s="28" t="s">
        <v>5118</v>
      </c>
      <c r="B38" s="28">
        <v>14003</v>
      </c>
      <c r="C38" s="28" t="s">
        <v>989</v>
      </c>
      <c r="D38" s="28" t="s">
        <v>5461</v>
      </c>
      <c r="E38" s="28" t="s">
        <v>5462</v>
      </c>
      <c r="F38" s="28" t="s">
        <v>5463</v>
      </c>
      <c r="G38" s="28" t="s">
        <v>5464</v>
      </c>
      <c r="H38" s="28" t="s">
        <v>5465</v>
      </c>
      <c r="I38" s="28" t="s">
        <v>5466</v>
      </c>
      <c r="J38" s="28" t="s">
        <v>5467</v>
      </c>
      <c r="K38" s="28" t="s">
        <v>5468</v>
      </c>
    </row>
    <row r="39" spans="1:11">
      <c r="A39" s="28" t="s">
        <v>5119</v>
      </c>
      <c r="B39" s="28">
        <v>14002</v>
      </c>
      <c r="C39" s="28" t="s">
        <v>1000</v>
      </c>
      <c r="D39" s="28" t="s">
        <v>5469</v>
      </c>
      <c r="E39" s="28" t="s">
        <v>5470</v>
      </c>
      <c r="F39" s="28" t="s">
        <v>5471</v>
      </c>
      <c r="G39" s="28" t="s">
        <v>5472</v>
      </c>
      <c r="H39" s="28" t="s">
        <v>5473</v>
      </c>
      <c r="I39" s="28" t="s">
        <v>5474</v>
      </c>
      <c r="J39" s="28" t="s">
        <v>5475</v>
      </c>
      <c r="K39" s="28" t="s">
        <v>5476</v>
      </c>
    </row>
    <row r="40" spans="1:11">
      <c r="A40" s="28" t="s">
        <v>5120</v>
      </c>
      <c r="B40" s="28">
        <v>14001</v>
      </c>
      <c r="C40" s="28" t="s">
        <v>996</v>
      </c>
      <c r="D40" s="28" t="s">
        <v>5477</v>
      </c>
      <c r="E40" s="28" t="s">
        <v>5478</v>
      </c>
      <c r="F40" s="28" t="s">
        <v>5479</v>
      </c>
      <c r="G40" s="28" t="s">
        <v>5480</v>
      </c>
      <c r="H40" s="28" t="s">
        <v>5481</v>
      </c>
      <c r="I40" s="28" t="s">
        <v>5482</v>
      </c>
      <c r="J40" s="28" t="s">
        <v>5483</v>
      </c>
      <c r="K40" s="28" t="s">
        <v>5484</v>
      </c>
    </row>
    <row r="41" spans="1:11">
      <c r="A41" s="28" t="s">
        <v>5121</v>
      </c>
      <c r="B41" s="28">
        <v>13144</v>
      </c>
      <c r="C41" s="28" t="s">
        <v>1007</v>
      </c>
      <c r="D41" s="28" t="s">
        <v>5485</v>
      </c>
      <c r="E41" s="28" t="s">
        <v>5486</v>
      </c>
      <c r="F41" s="28" t="s">
        <v>5487</v>
      </c>
      <c r="G41" s="28" t="s">
        <v>5488</v>
      </c>
      <c r="H41" s="28" t="s">
        <v>5489</v>
      </c>
      <c r="I41" s="28" t="s">
        <v>5490</v>
      </c>
      <c r="J41" s="28" t="s">
        <v>5491</v>
      </c>
      <c r="K41" s="28" t="s">
        <v>5492</v>
      </c>
    </row>
    <row r="42" spans="1:11">
      <c r="A42" s="28" t="s">
        <v>5122</v>
      </c>
      <c r="B42" s="28">
        <v>13142</v>
      </c>
      <c r="C42" s="28" t="s">
        <v>1013</v>
      </c>
      <c r="D42" s="28" t="s">
        <v>5493</v>
      </c>
      <c r="E42" s="28" t="s">
        <v>5494</v>
      </c>
      <c r="F42" s="28" t="s">
        <v>5495</v>
      </c>
      <c r="G42" s="28" t="s">
        <v>5496</v>
      </c>
      <c r="H42" s="28" t="s">
        <v>5497</v>
      </c>
      <c r="I42" s="28" t="s">
        <v>5498</v>
      </c>
      <c r="J42" s="28" t="s">
        <v>5499</v>
      </c>
      <c r="K42" s="28" t="s">
        <v>5500</v>
      </c>
    </row>
    <row r="43" spans="1:11">
      <c r="A43" s="28" t="s">
        <v>5123</v>
      </c>
      <c r="B43" s="28">
        <v>13135</v>
      </c>
      <c r="C43" s="28" t="s">
        <v>989</v>
      </c>
      <c r="D43" s="28" t="s">
        <v>5501</v>
      </c>
      <c r="E43" s="28" t="s">
        <v>5502</v>
      </c>
      <c r="F43" s="28" t="s">
        <v>5503</v>
      </c>
      <c r="G43" s="28" t="s">
        <v>5504</v>
      </c>
      <c r="H43" s="28" t="s">
        <v>5505</v>
      </c>
      <c r="I43" s="28" t="s">
        <v>5506</v>
      </c>
      <c r="J43" s="28" t="s">
        <v>5507</v>
      </c>
      <c r="K43" s="28" t="s">
        <v>5508</v>
      </c>
    </row>
    <row r="44" spans="1:11">
      <c r="A44" s="28" t="s">
        <v>5124</v>
      </c>
      <c r="B44" s="28">
        <v>13128</v>
      </c>
      <c r="C44" s="28" t="s">
        <v>1021</v>
      </c>
      <c r="D44" s="28" t="s">
        <v>5509</v>
      </c>
      <c r="E44" s="28" t="s">
        <v>5510</v>
      </c>
      <c r="F44" s="28" t="s">
        <v>5511</v>
      </c>
      <c r="G44" s="28" t="s">
        <v>5512</v>
      </c>
      <c r="H44" s="28" t="s">
        <v>5513</v>
      </c>
      <c r="I44" s="28" t="s">
        <v>5514</v>
      </c>
      <c r="J44" s="28" t="s">
        <v>5515</v>
      </c>
      <c r="K44" s="28" t="s">
        <v>5516</v>
      </c>
    </row>
    <row r="45" spans="1:11">
      <c r="A45" s="28" t="s">
        <v>5125</v>
      </c>
      <c r="B45" s="28">
        <v>13127</v>
      </c>
      <c r="C45" s="28" t="s">
        <v>1013</v>
      </c>
      <c r="D45" s="28" t="s">
        <v>5517</v>
      </c>
      <c r="E45" s="28" t="s">
        <v>5518</v>
      </c>
      <c r="F45" s="28" t="s">
        <v>5519</v>
      </c>
      <c r="G45" s="28" t="s">
        <v>5520</v>
      </c>
      <c r="H45" s="28" t="s">
        <v>5521</v>
      </c>
      <c r="I45" s="28" t="s">
        <v>5522</v>
      </c>
      <c r="J45" s="28" t="s">
        <v>5523</v>
      </c>
      <c r="K45" s="28" t="s">
        <v>5524</v>
      </c>
    </row>
    <row r="46" spans="1:11">
      <c r="A46" s="28" t="s">
        <v>5126</v>
      </c>
      <c r="B46" s="28">
        <v>13115</v>
      </c>
      <c r="C46" s="28" t="s">
        <v>1000</v>
      </c>
      <c r="D46" s="28" t="s">
        <v>5525</v>
      </c>
      <c r="E46" s="28" t="s">
        <v>5526</v>
      </c>
      <c r="F46" s="28" t="s">
        <v>5527</v>
      </c>
      <c r="G46" s="28" t="s">
        <v>5528</v>
      </c>
      <c r="H46" s="28" t="s">
        <v>5529</v>
      </c>
      <c r="I46" s="28" t="s">
        <v>5530</v>
      </c>
      <c r="J46" s="28" t="s">
        <v>5531</v>
      </c>
      <c r="K46" s="28" t="s">
        <v>5532</v>
      </c>
    </row>
    <row r="47" spans="1:11">
      <c r="A47" s="28" t="s">
        <v>5127</v>
      </c>
      <c r="B47" s="28">
        <v>13113</v>
      </c>
      <c r="C47" s="28" t="s">
        <v>1000</v>
      </c>
      <c r="D47" s="28" t="s">
        <v>5533</v>
      </c>
      <c r="E47" s="28" t="s">
        <v>5534</v>
      </c>
      <c r="F47" s="28" t="s">
        <v>5535</v>
      </c>
      <c r="G47" s="28" t="s">
        <v>5536</v>
      </c>
      <c r="H47" s="28" t="s">
        <v>5537</v>
      </c>
      <c r="I47" s="28" t="s">
        <v>5538</v>
      </c>
      <c r="J47" s="28" t="s">
        <v>5539</v>
      </c>
      <c r="K47" s="28" t="s">
        <v>5540</v>
      </c>
    </row>
    <row r="48" spans="1:11">
      <c r="A48" s="28" t="s">
        <v>5128</v>
      </c>
      <c r="B48" s="28">
        <v>13112</v>
      </c>
      <c r="C48" s="28" t="s">
        <v>1013</v>
      </c>
      <c r="D48" s="28" t="s">
        <v>5541</v>
      </c>
      <c r="E48" s="28" t="s">
        <v>5542</v>
      </c>
      <c r="F48" s="28" t="s">
        <v>5543</v>
      </c>
      <c r="G48" s="28" t="s">
        <v>5544</v>
      </c>
      <c r="H48" s="28" t="s">
        <v>5545</v>
      </c>
      <c r="I48" s="28" t="s">
        <v>5546</v>
      </c>
      <c r="J48" s="28" t="s">
        <v>5547</v>
      </c>
      <c r="K48" s="28" t="s">
        <v>5548</v>
      </c>
    </row>
    <row r="49" spans="1:11">
      <c r="A49" s="28" t="s">
        <v>5129</v>
      </c>
      <c r="B49" s="28">
        <v>13111</v>
      </c>
      <c r="C49" s="28" t="s">
        <v>996</v>
      </c>
      <c r="D49" s="28" t="s">
        <v>5549</v>
      </c>
      <c r="E49" s="28" t="s">
        <v>5550</v>
      </c>
      <c r="F49" s="28" t="s">
        <v>5551</v>
      </c>
      <c r="G49" s="28" t="s">
        <v>5552</v>
      </c>
      <c r="H49" s="28" t="s">
        <v>5553</v>
      </c>
      <c r="I49" s="28" t="s">
        <v>5554</v>
      </c>
      <c r="J49" s="28" t="s">
        <v>5555</v>
      </c>
      <c r="K49" s="28" t="s">
        <v>5556</v>
      </c>
    </row>
    <row r="50" spans="1:11">
      <c r="A50" s="28" t="s">
        <v>5130</v>
      </c>
      <c r="B50" s="28">
        <v>13108</v>
      </c>
      <c r="C50" s="28" t="s">
        <v>996</v>
      </c>
      <c r="D50" s="28" t="s">
        <v>5557</v>
      </c>
      <c r="E50" s="28" t="s">
        <v>5558</v>
      </c>
      <c r="F50" s="28" t="s">
        <v>5559</v>
      </c>
      <c r="G50" s="28" t="s">
        <v>5560</v>
      </c>
      <c r="H50" s="28" t="s">
        <v>5561</v>
      </c>
      <c r="I50" s="28" t="s">
        <v>5562</v>
      </c>
      <c r="J50" s="28" t="s">
        <v>5563</v>
      </c>
      <c r="K50" s="28" t="s">
        <v>5564</v>
      </c>
    </row>
    <row r="51" spans="1:11">
      <c r="A51" s="28" t="s">
        <v>5131</v>
      </c>
      <c r="B51" s="28">
        <v>13106</v>
      </c>
      <c r="C51" s="28" t="s">
        <v>996</v>
      </c>
      <c r="D51" s="28" t="s">
        <v>5565</v>
      </c>
      <c r="E51" s="28" t="s">
        <v>5566</v>
      </c>
      <c r="F51" s="28" t="s">
        <v>5567</v>
      </c>
      <c r="G51" s="28" t="s">
        <v>5568</v>
      </c>
      <c r="H51" s="28" t="s">
        <v>5569</v>
      </c>
      <c r="I51" s="28" t="s">
        <v>5570</v>
      </c>
      <c r="J51" s="28" t="s">
        <v>5571</v>
      </c>
      <c r="K51" s="28" t="s">
        <v>5572</v>
      </c>
    </row>
    <row r="52" spans="1:11">
      <c r="A52" s="28" t="s">
        <v>5132</v>
      </c>
      <c r="B52" s="28">
        <v>13103</v>
      </c>
      <c r="C52" s="28" t="s">
        <v>1000</v>
      </c>
      <c r="D52" s="28" t="s">
        <v>5573</v>
      </c>
      <c r="E52" s="28" t="s">
        <v>5574</v>
      </c>
      <c r="F52" s="28" t="s">
        <v>5575</v>
      </c>
      <c r="G52" s="28" t="s">
        <v>5576</v>
      </c>
      <c r="H52" s="28" t="s">
        <v>5577</v>
      </c>
      <c r="I52" s="28" t="s">
        <v>5578</v>
      </c>
      <c r="J52" s="28" t="s">
        <v>5579</v>
      </c>
      <c r="K52" s="28" t="s">
        <v>5580</v>
      </c>
    </row>
    <row r="53" spans="1:11">
      <c r="A53" s="28" t="s">
        <v>5133</v>
      </c>
      <c r="B53" s="28">
        <v>13101</v>
      </c>
      <c r="C53" s="28" t="s">
        <v>989</v>
      </c>
      <c r="D53" s="28" t="s">
        <v>5581</v>
      </c>
      <c r="E53" s="28" t="s">
        <v>5582</v>
      </c>
      <c r="F53" s="28" t="s">
        <v>5583</v>
      </c>
      <c r="G53" s="28" t="s">
        <v>5584</v>
      </c>
      <c r="H53" s="28" t="s">
        <v>5585</v>
      </c>
      <c r="I53" s="28" t="s">
        <v>5586</v>
      </c>
      <c r="J53" s="28" t="s">
        <v>5587</v>
      </c>
      <c r="K53" s="28" t="s">
        <v>5588</v>
      </c>
    </row>
    <row r="54" spans="1:11">
      <c r="A54" s="28" t="s">
        <v>5134</v>
      </c>
      <c r="B54" s="28">
        <v>13020</v>
      </c>
      <c r="C54" s="28" t="s">
        <v>989</v>
      </c>
      <c r="D54" s="28" t="s">
        <v>5589</v>
      </c>
      <c r="E54" s="28" t="s">
        <v>4423</v>
      </c>
      <c r="F54" s="28" t="s">
        <v>5590</v>
      </c>
      <c r="G54" s="28" t="s">
        <v>5591</v>
      </c>
      <c r="H54" s="28" t="s">
        <v>5592</v>
      </c>
      <c r="I54" s="28" t="s">
        <v>5593</v>
      </c>
      <c r="J54" s="28" t="s">
        <v>5594</v>
      </c>
      <c r="K54" s="28" t="s">
        <v>5595</v>
      </c>
    </row>
    <row r="55" spans="1:11">
      <c r="A55" s="28" t="s">
        <v>5135</v>
      </c>
      <c r="B55" s="28">
        <v>13019</v>
      </c>
      <c r="C55" s="28" t="s">
        <v>1007</v>
      </c>
      <c r="D55" s="28" t="s">
        <v>5596</v>
      </c>
      <c r="E55" s="28" t="s">
        <v>5597</v>
      </c>
      <c r="F55" s="28" t="s">
        <v>5598</v>
      </c>
      <c r="G55" s="28" t="s">
        <v>5599</v>
      </c>
      <c r="H55" s="28" t="s">
        <v>5600</v>
      </c>
      <c r="I55" s="28" t="s">
        <v>5601</v>
      </c>
      <c r="J55" s="28" t="s">
        <v>5602</v>
      </c>
      <c r="K55" s="28" t="s">
        <v>5603</v>
      </c>
    </row>
    <row r="56" spans="1:11">
      <c r="A56" s="28" t="s">
        <v>5136</v>
      </c>
      <c r="B56" s="28">
        <v>13016</v>
      </c>
      <c r="C56" s="28" t="s">
        <v>1013</v>
      </c>
      <c r="D56" s="28" t="s">
        <v>5604</v>
      </c>
      <c r="E56" s="28" t="s">
        <v>5605</v>
      </c>
      <c r="F56" s="28" t="s">
        <v>5606</v>
      </c>
      <c r="G56" s="28" t="s">
        <v>5607</v>
      </c>
      <c r="H56" s="28" t="s">
        <v>5608</v>
      </c>
      <c r="I56" s="28" t="s">
        <v>5609</v>
      </c>
      <c r="J56" s="28" t="s">
        <v>5610</v>
      </c>
      <c r="K56" s="28" t="s">
        <v>5611</v>
      </c>
    </row>
    <row r="57" spans="1:11">
      <c r="A57" s="28" t="s">
        <v>5137</v>
      </c>
      <c r="B57" s="28">
        <v>13015</v>
      </c>
      <c r="C57" s="28" t="s">
        <v>996</v>
      </c>
      <c r="D57" s="28" t="s">
        <v>5612</v>
      </c>
      <c r="E57" s="28" t="s">
        <v>5613</v>
      </c>
      <c r="F57" s="28" t="s">
        <v>5614</v>
      </c>
      <c r="G57" s="28" t="s">
        <v>5615</v>
      </c>
      <c r="H57" s="28" t="s">
        <v>5616</v>
      </c>
      <c r="I57" s="28" t="s">
        <v>5617</v>
      </c>
      <c r="J57" s="28" t="s">
        <v>5618</v>
      </c>
      <c r="K57" s="28" t="s">
        <v>5619</v>
      </c>
    </row>
    <row r="58" spans="1:11">
      <c r="A58" s="28" t="s">
        <v>5138</v>
      </c>
      <c r="B58" s="28">
        <v>13014</v>
      </c>
      <c r="C58" s="28" t="s">
        <v>1007</v>
      </c>
      <c r="D58" s="28" t="s">
        <v>5620</v>
      </c>
      <c r="E58" s="28" t="s">
        <v>5621</v>
      </c>
      <c r="F58" s="28" t="s">
        <v>5622</v>
      </c>
      <c r="G58" s="28" t="s">
        <v>5623</v>
      </c>
      <c r="H58" s="28" t="s">
        <v>5624</v>
      </c>
      <c r="I58" s="28" t="s">
        <v>5625</v>
      </c>
      <c r="J58" s="28" t="s">
        <v>5626</v>
      </c>
      <c r="K58" s="28" t="s">
        <v>5627</v>
      </c>
    </row>
    <row r="59" spans="1:11">
      <c r="A59" s="28" t="s">
        <v>5139</v>
      </c>
      <c r="B59" s="28">
        <v>13013</v>
      </c>
      <c r="C59" s="28" t="s">
        <v>996</v>
      </c>
      <c r="D59" s="28" t="s">
        <v>5628</v>
      </c>
      <c r="E59" s="28" t="s">
        <v>5629</v>
      </c>
      <c r="F59" s="28" t="s">
        <v>5630</v>
      </c>
      <c r="G59" s="28" t="s">
        <v>5631</v>
      </c>
      <c r="H59" s="28" t="s">
        <v>5632</v>
      </c>
      <c r="I59" s="28" t="s">
        <v>5633</v>
      </c>
      <c r="J59" s="28" t="s">
        <v>5634</v>
      </c>
      <c r="K59" s="28" t="s">
        <v>5635</v>
      </c>
    </row>
    <row r="60" spans="1:11">
      <c r="A60" s="28" t="s">
        <v>5140</v>
      </c>
      <c r="B60" s="28">
        <v>13012</v>
      </c>
      <c r="C60" s="28" t="s">
        <v>1007</v>
      </c>
      <c r="D60" s="28" t="s">
        <v>5636</v>
      </c>
      <c r="E60" s="28" t="s">
        <v>5637</v>
      </c>
      <c r="F60" s="28" t="s">
        <v>5638</v>
      </c>
      <c r="G60" s="28" t="s">
        <v>5639</v>
      </c>
      <c r="H60" s="28" t="s">
        <v>5640</v>
      </c>
      <c r="I60" s="28" t="s">
        <v>5641</v>
      </c>
      <c r="J60" s="28" t="s">
        <v>5642</v>
      </c>
      <c r="K60" s="28" t="s">
        <v>5643</v>
      </c>
    </row>
    <row r="61" spans="1:11">
      <c r="A61" s="28" t="s">
        <v>5141</v>
      </c>
      <c r="B61" s="28">
        <v>13011</v>
      </c>
      <c r="C61" s="28" t="s">
        <v>1013</v>
      </c>
      <c r="D61" s="28" t="s">
        <v>5644</v>
      </c>
      <c r="E61" s="28" t="s">
        <v>5645</v>
      </c>
      <c r="F61" s="28" t="s">
        <v>5646</v>
      </c>
      <c r="G61" s="28" t="s">
        <v>5647</v>
      </c>
      <c r="H61" s="28" t="s">
        <v>5648</v>
      </c>
      <c r="I61" s="28" t="s">
        <v>5649</v>
      </c>
      <c r="J61" s="28" t="s">
        <v>5650</v>
      </c>
      <c r="K61" s="28" t="s">
        <v>5651</v>
      </c>
    </row>
    <row r="62" spans="1:11">
      <c r="A62" s="28" t="s">
        <v>5142</v>
      </c>
      <c r="B62" s="28">
        <v>13010</v>
      </c>
      <c r="C62" s="28" t="s">
        <v>1013</v>
      </c>
      <c r="D62" s="28" t="s">
        <v>5652</v>
      </c>
      <c r="E62" s="28" t="s">
        <v>5653</v>
      </c>
      <c r="F62" s="28" t="s">
        <v>5654</v>
      </c>
      <c r="G62" s="28" t="s">
        <v>5655</v>
      </c>
      <c r="H62" s="28" t="s">
        <v>5656</v>
      </c>
      <c r="I62" s="28" t="s">
        <v>5657</v>
      </c>
      <c r="J62" s="28" t="s">
        <v>5658</v>
      </c>
      <c r="K62" s="28" t="s">
        <v>5659</v>
      </c>
    </row>
    <row r="63" spans="1:11">
      <c r="A63" s="28" t="s">
        <v>5143</v>
      </c>
      <c r="B63" s="28">
        <v>13009</v>
      </c>
      <c r="C63" s="28" t="s">
        <v>1021</v>
      </c>
      <c r="D63" s="28" t="s">
        <v>5660</v>
      </c>
      <c r="E63" s="28" t="s">
        <v>5661</v>
      </c>
      <c r="F63" s="28" t="s">
        <v>5662</v>
      </c>
      <c r="G63" s="28" t="s">
        <v>5663</v>
      </c>
      <c r="H63" s="28" t="s">
        <v>5664</v>
      </c>
      <c r="I63" s="28" t="s">
        <v>5665</v>
      </c>
      <c r="J63" s="28" t="s">
        <v>5666</v>
      </c>
      <c r="K63" s="28" t="s">
        <v>5667</v>
      </c>
    </row>
    <row r="64" spans="1:11">
      <c r="A64" s="28" t="s">
        <v>5144</v>
      </c>
      <c r="B64" s="28">
        <v>13008</v>
      </c>
      <c r="C64" s="28" t="s">
        <v>1021</v>
      </c>
      <c r="D64" s="28" t="s">
        <v>5668</v>
      </c>
      <c r="E64" s="28" t="s">
        <v>5669</v>
      </c>
      <c r="F64" s="28" t="s">
        <v>5670</v>
      </c>
      <c r="G64" s="28" t="s">
        <v>5671</v>
      </c>
      <c r="H64" s="28" t="s">
        <v>5672</v>
      </c>
      <c r="I64" s="28" t="s">
        <v>5673</v>
      </c>
      <c r="J64" s="28" t="s">
        <v>5674</v>
      </c>
      <c r="K64" s="28" t="s">
        <v>5675</v>
      </c>
    </row>
    <row r="65" spans="1:11">
      <c r="A65" s="28" t="s">
        <v>5145</v>
      </c>
      <c r="B65" s="28">
        <v>13007</v>
      </c>
      <c r="C65" s="28" t="s">
        <v>1013</v>
      </c>
      <c r="D65" s="28" t="s">
        <v>5676</v>
      </c>
      <c r="E65" s="28" t="s">
        <v>5677</v>
      </c>
      <c r="F65" s="28" t="s">
        <v>5678</v>
      </c>
      <c r="G65" s="28" t="s">
        <v>5679</v>
      </c>
      <c r="H65" s="28" t="s">
        <v>5680</v>
      </c>
      <c r="I65" s="28" t="s">
        <v>5681</v>
      </c>
      <c r="J65" s="28" t="s">
        <v>5682</v>
      </c>
      <c r="K65" s="28" t="s">
        <v>5683</v>
      </c>
    </row>
    <row r="66" spans="1:11">
      <c r="A66" s="28" t="s">
        <v>5146</v>
      </c>
      <c r="B66" s="28">
        <v>13006</v>
      </c>
      <c r="C66" s="28" t="s">
        <v>989</v>
      </c>
      <c r="D66" s="28" t="s">
        <v>5684</v>
      </c>
      <c r="E66" s="28" t="s">
        <v>5685</v>
      </c>
      <c r="F66" s="28" t="s">
        <v>5686</v>
      </c>
      <c r="G66" s="28" t="s">
        <v>5687</v>
      </c>
      <c r="H66" s="28" t="s">
        <v>5688</v>
      </c>
      <c r="I66" s="28" t="s">
        <v>5689</v>
      </c>
      <c r="J66" s="28" t="s">
        <v>5690</v>
      </c>
      <c r="K66" s="28" t="s">
        <v>5691</v>
      </c>
    </row>
    <row r="67" spans="1:11">
      <c r="A67" s="28" t="s">
        <v>5147</v>
      </c>
      <c r="B67" s="28">
        <v>13005</v>
      </c>
      <c r="C67" s="28" t="s">
        <v>989</v>
      </c>
      <c r="D67" s="28" t="s">
        <v>5692</v>
      </c>
      <c r="E67" s="28" t="s">
        <v>5693</v>
      </c>
      <c r="F67" s="28" t="s">
        <v>5694</v>
      </c>
      <c r="G67" s="28" t="s">
        <v>5695</v>
      </c>
      <c r="H67" s="28" t="s">
        <v>5696</v>
      </c>
      <c r="I67" s="28" t="s">
        <v>5697</v>
      </c>
      <c r="J67" s="28" t="s">
        <v>5698</v>
      </c>
      <c r="K67" s="28" t="s">
        <v>5699</v>
      </c>
    </row>
    <row r="68" spans="1:11">
      <c r="A68" s="28" t="s">
        <v>5148</v>
      </c>
      <c r="B68" s="28">
        <v>13004</v>
      </c>
      <c r="C68" s="28" t="s">
        <v>996</v>
      </c>
      <c r="D68" s="28" t="s">
        <v>5700</v>
      </c>
      <c r="E68" s="28" t="s">
        <v>5701</v>
      </c>
      <c r="F68" s="28" t="s">
        <v>5702</v>
      </c>
      <c r="G68" s="28" t="s">
        <v>5703</v>
      </c>
      <c r="H68" s="28" t="s">
        <v>5704</v>
      </c>
      <c r="I68" s="28" t="s">
        <v>5705</v>
      </c>
      <c r="J68" s="28" t="s">
        <v>5706</v>
      </c>
      <c r="K68" s="28" t="s">
        <v>5707</v>
      </c>
    </row>
    <row r="69" spans="1:11">
      <c r="A69" s="28" t="s">
        <v>5149</v>
      </c>
      <c r="B69" s="28">
        <v>13003</v>
      </c>
      <c r="C69" s="28" t="s">
        <v>1021</v>
      </c>
      <c r="D69" s="28" t="s">
        <v>5708</v>
      </c>
      <c r="E69" s="28" t="s">
        <v>5709</v>
      </c>
      <c r="F69" s="28" t="s">
        <v>5710</v>
      </c>
      <c r="G69" s="28" t="s">
        <v>5711</v>
      </c>
      <c r="H69" s="28" t="s">
        <v>5712</v>
      </c>
      <c r="I69" s="28" t="s">
        <v>5713</v>
      </c>
      <c r="J69" s="28" t="s">
        <v>5714</v>
      </c>
      <c r="K69" s="28" t="s">
        <v>5715</v>
      </c>
    </row>
    <row r="70" spans="1:11">
      <c r="A70" s="28" t="s">
        <v>5150</v>
      </c>
      <c r="B70" s="28">
        <v>13002</v>
      </c>
      <c r="C70" s="28" t="s">
        <v>1000</v>
      </c>
      <c r="D70" s="28" t="s">
        <v>5716</v>
      </c>
      <c r="E70" s="28" t="s">
        <v>5717</v>
      </c>
      <c r="F70" s="28" t="s">
        <v>5718</v>
      </c>
      <c r="G70" s="28" t="s">
        <v>5719</v>
      </c>
      <c r="H70" s="28" t="s">
        <v>5720</v>
      </c>
      <c r="I70" s="28" t="s">
        <v>5721</v>
      </c>
      <c r="J70" s="28" t="s">
        <v>5722</v>
      </c>
      <c r="K70" s="28" t="s">
        <v>5723</v>
      </c>
    </row>
    <row r="71" spans="1:11">
      <c r="A71" s="28" t="s">
        <v>5151</v>
      </c>
      <c r="B71" s="28">
        <v>13001</v>
      </c>
      <c r="C71" s="28" t="s">
        <v>996</v>
      </c>
      <c r="D71" s="28" t="s">
        <v>5724</v>
      </c>
      <c r="E71" s="28" t="s">
        <v>5725</v>
      </c>
      <c r="F71" s="28" t="s">
        <v>5726</v>
      </c>
      <c r="G71" s="28" t="s">
        <v>5727</v>
      </c>
      <c r="H71" s="28" t="s">
        <v>5728</v>
      </c>
      <c r="I71" s="28" t="s">
        <v>5729</v>
      </c>
      <c r="J71" s="28" t="s">
        <v>5730</v>
      </c>
      <c r="K71" s="28" t="s">
        <v>5731</v>
      </c>
    </row>
    <row r="72" spans="1:11">
      <c r="A72" s="28" t="s">
        <v>5152</v>
      </c>
      <c r="B72" s="28">
        <v>12015</v>
      </c>
      <c r="C72" s="28" t="s">
        <v>1007</v>
      </c>
      <c r="D72" s="28" t="s">
        <v>5732</v>
      </c>
      <c r="E72" s="28" t="s">
        <v>5733</v>
      </c>
      <c r="F72" s="28" t="s">
        <v>5734</v>
      </c>
      <c r="G72" s="28" t="s">
        <v>5735</v>
      </c>
      <c r="H72" s="28" t="s">
        <v>5736</v>
      </c>
      <c r="I72" s="28" t="s">
        <v>5737</v>
      </c>
      <c r="J72" s="28" t="s">
        <v>5738</v>
      </c>
      <c r="K72" s="28" t="s">
        <v>5739</v>
      </c>
    </row>
    <row r="73" spans="1:11" ht="107" customHeight="1">
      <c r="A73" s="28" t="s">
        <v>5153</v>
      </c>
      <c r="B73" s="28">
        <v>12014</v>
      </c>
      <c r="C73" s="28" t="s">
        <v>1013</v>
      </c>
      <c r="D73" s="28" t="s">
        <v>5740</v>
      </c>
      <c r="E73" s="28" t="s">
        <v>5741</v>
      </c>
      <c r="F73" s="28" t="s">
        <v>5742</v>
      </c>
      <c r="G73" s="28" t="s">
        <v>5743</v>
      </c>
      <c r="H73" s="28" t="s">
        <v>5744</v>
      </c>
      <c r="I73" s="28" t="s">
        <v>5745</v>
      </c>
      <c r="J73" s="28" t="s">
        <v>5746</v>
      </c>
      <c r="K73" s="28" t="s">
        <v>5747</v>
      </c>
    </row>
    <row r="74" spans="1:11">
      <c r="A74" s="28" t="s">
        <v>5154</v>
      </c>
      <c r="B74" s="28">
        <v>12013</v>
      </c>
      <c r="C74" s="28" t="s">
        <v>1013</v>
      </c>
      <c r="D74" s="28" t="s">
        <v>5748</v>
      </c>
      <c r="E74" s="28" t="s">
        <v>5749</v>
      </c>
      <c r="F74" s="28" t="s">
        <v>5750</v>
      </c>
      <c r="G74" s="28" t="s">
        <v>5751</v>
      </c>
      <c r="H74" s="28" t="s">
        <v>5752</v>
      </c>
      <c r="I74" s="28" t="s">
        <v>5753</v>
      </c>
      <c r="J74" s="28" t="s">
        <v>5754</v>
      </c>
      <c r="K74" s="28" t="s">
        <v>5755</v>
      </c>
    </row>
    <row r="75" spans="1:11">
      <c r="A75" s="28" t="s">
        <v>5155</v>
      </c>
      <c r="B75" s="28">
        <v>12012</v>
      </c>
      <c r="C75" s="28" t="s">
        <v>1021</v>
      </c>
      <c r="D75" s="28" t="s">
        <v>5756</v>
      </c>
      <c r="E75" s="28" t="s">
        <v>5757</v>
      </c>
      <c r="F75" s="28" t="s">
        <v>5758</v>
      </c>
      <c r="G75" s="28" t="s">
        <v>5759</v>
      </c>
      <c r="H75" s="28" t="s">
        <v>5760</v>
      </c>
      <c r="I75" s="28" t="s">
        <v>5761</v>
      </c>
      <c r="J75" s="28" t="s">
        <v>5762</v>
      </c>
      <c r="K75" s="28" t="s">
        <v>5763</v>
      </c>
    </row>
    <row r="76" spans="1:11">
      <c r="A76" s="28" t="s">
        <v>5156</v>
      </c>
      <c r="B76" s="28">
        <v>12011</v>
      </c>
      <c r="C76" s="28" t="s">
        <v>1021</v>
      </c>
      <c r="D76" s="28" t="s">
        <v>5764</v>
      </c>
      <c r="E76" s="28" t="s">
        <v>5765</v>
      </c>
      <c r="F76" s="28" t="s">
        <v>5766</v>
      </c>
      <c r="G76" s="28" t="s">
        <v>5767</v>
      </c>
      <c r="H76" s="28" t="s">
        <v>5768</v>
      </c>
      <c r="I76" s="28" t="s">
        <v>5769</v>
      </c>
      <c r="J76" s="28" t="s">
        <v>5770</v>
      </c>
      <c r="K76" s="28" t="s">
        <v>5771</v>
      </c>
    </row>
    <row r="77" spans="1:11">
      <c r="A77" s="28" t="s">
        <v>5157</v>
      </c>
      <c r="B77" s="28">
        <v>12010</v>
      </c>
      <c r="C77" s="28" t="s">
        <v>1021</v>
      </c>
      <c r="D77" s="28" t="s">
        <v>5772</v>
      </c>
      <c r="E77" s="28" t="s">
        <v>5773</v>
      </c>
      <c r="F77" s="28" t="s">
        <v>5774</v>
      </c>
      <c r="G77" s="28" t="s">
        <v>5775</v>
      </c>
      <c r="H77" s="28" t="s">
        <v>5776</v>
      </c>
      <c r="I77" s="28" t="s">
        <v>5777</v>
      </c>
      <c r="J77" s="28" t="s">
        <v>5778</v>
      </c>
      <c r="K77" s="28" t="s">
        <v>5779</v>
      </c>
    </row>
    <row r="78" spans="1:11">
      <c r="A78" s="28" t="s">
        <v>5158</v>
      </c>
      <c r="B78" s="28">
        <v>12009</v>
      </c>
      <c r="C78" s="28" t="s">
        <v>989</v>
      </c>
      <c r="D78" s="28" t="s">
        <v>5780</v>
      </c>
      <c r="E78" s="28" t="s">
        <v>5781</v>
      </c>
      <c r="F78" s="28" t="s">
        <v>5782</v>
      </c>
      <c r="G78" s="28" t="s">
        <v>5783</v>
      </c>
      <c r="H78" s="28" t="s">
        <v>5784</v>
      </c>
      <c r="I78" s="28" t="s">
        <v>5785</v>
      </c>
      <c r="J78" s="28" t="s">
        <v>5786</v>
      </c>
      <c r="K78" s="28" t="s">
        <v>5787</v>
      </c>
    </row>
    <row r="79" spans="1:11">
      <c r="A79" s="28" t="s">
        <v>5159</v>
      </c>
      <c r="B79" s="28">
        <v>12008</v>
      </c>
      <c r="C79" s="28" t="s">
        <v>989</v>
      </c>
      <c r="D79" s="28" t="s">
        <v>5788</v>
      </c>
      <c r="E79" s="28" t="s">
        <v>5789</v>
      </c>
      <c r="F79" s="28" t="s">
        <v>5790</v>
      </c>
      <c r="G79" s="28" t="s">
        <v>5791</v>
      </c>
      <c r="H79" s="28" t="s">
        <v>5792</v>
      </c>
      <c r="I79" s="28" t="s">
        <v>5793</v>
      </c>
      <c r="J79" s="28" t="s">
        <v>5794</v>
      </c>
      <c r="K79" s="28" t="s">
        <v>5795</v>
      </c>
    </row>
    <row r="80" spans="1:11">
      <c r="A80" s="28" t="s">
        <v>5160</v>
      </c>
      <c r="B80" s="28">
        <v>12007</v>
      </c>
      <c r="C80" s="28" t="s">
        <v>989</v>
      </c>
      <c r="D80" s="28" t="s">
        <v>5796</v>
      </c>
      <c r="E80" s="28" t="s">
        <v>5797</v>
      </c>
      <c r="F80" s="28" t="s">
        <v>5798</v>
      </c>
      <c r="G80" s="28" t="s">
        <v>5799</v>
      </c>
      <c r="H80" s="28" t="s">
        <v>5800</v>
      </c>
      <c r="I80" s="28" t="s">
        <v>5801</v>
      </c>
      <c r="J80" s="28" t="s">
        <v>5802</v>
      </c>
      <c r="K80" s="28" t="s">
        <v>5803</v>
      </c>
    </row>
    <row r="81" spans="1:11">
      <c r="A81" s="28" t="s">
        <v>5161</v>
      </c>
      <c r="B81" s="28">
        <v>12006</v>
      </c>
      <c r="C81" s="28" t="s">
        <v>1000</v>
      </c>
      <c r="D81" s="28" t="s">
        <v>5804</v>
      </c>
      <c r="E81" s="28" t="s">
        <v>5805</v>
      </c>
      <c r="F81" s="28" t="s">
        <v>5806</v>
      </c>
      <c r="G81" s="28" t="s">
        <v>5807</v>
      </c>
      <c r="H81" s="28" t="s">
        <v>5808</v>
      </c>
      <c r="I81" s="28" t="s">
        <v>5809</v>
      </c>
      <c r="J81" s="28" t="s">
        <v>5810</v>
      </c>
      <c r="K81" s="28" t="s">
        <v>5811</v>
      </c>
    </row>
    <row r="82" spans="1:11">
      <c r="A82" s="28" t="s">
        <v>5162</v>
      </c>
      <c r="B82" s="28">
        <v>12005</v>
      </c>
      <c r="C82" s="28" t="s">
        <v>1000</v>
      </c>
      <c r="D82" s="28" t="s">
        <v>5812</v>
      </c>
      <c r="E82" s="28" t="s">
        <v>5813</v>
      </c>
      <c r="F82" s="28" t="s">
        <v>5814</v>
      </c>
      <c r="G82" s="28" t="s">
        <v>5815</v>
      </c>
      <c r="H82" s="28" t="s">
        <v>5816</v>
      </c>
      <c r="I82" s="28" t="s">
        <v>5817</v>
      </c>
      <c r="J82" s="28" t="s">
        <v>5818</v>
      </c>
      <c r="K82" s="28" t="s">
        <v>5819</v>
      </c>
    </row>
    <row r="83" spans="1:11">
      <c r="A83" s="28" t="s">
        <v>5163</v>
      </c>
      <c r="B83" s="28">
        <v>12004</v>
      </c>
      <c r="C83" s="28" t="s">
        <v>1000</v>
      </c>
      <c r="D83" s="28" t="s">
        <v>5820</v>
      </c>
      <c r="E83" s="28" t="s">
        <v>5821</v>
      </c>
      <c r="F83" s="28" t="s">
        <v>5822</v>
      </c>
      <c r="G83" s="28" t="s">
        <v>5823</v>
      </c>
      <c r="H83" s="28" t="s">
        <v>5824</v>
      </c>
      <c r="I83" s="28" t="s">
        <v>5825</v>
      </c>
      <c r="J83" s="28" t="s">
        <v>5826</v>
      </c>
      <c r="K83" s="28" t="s">
        <v>5827</v>
      </c>
    </row>
    <row r="84" spans="1:11">
      <c r="A84" s="28" t="s">
        <v>5164</v>
      </c>
      <c r="B84" s="28">
        <v>12003</v>
      </c>
      <c r="C84" s="28" t="s">
        <v>996</v>
      </c>
      <c r="D84" s="28" t="s">
        <v>5828</v>
      </c>
      <c r="E84" s="28" t="s">
        <v>5829</v>
      </c>
      <c r="F84" s="28" t="s">
        <v>5830</v>
      </c>
      <c r="G84" s="28" t="s">
        <v>5831</v>
      </c>
      <c r="H84" s="28" t="s">
        <v>5832</v>
      </c>
      <c r="I84" s="28" t="s">
        <v>5833</v>
      </c>
      <c r="J84" s="28" t="s">
        <v>5834</v>
      </c>
      <c r="K84" s="28" t="s">
        <v>5835</v>
      </c>
    </row>
    <row r="85" spans="1:11">
      <c r="A85" s="28" t="s">
        <v>5165</v>
      </c>
      <c r="B85" s="28">
        <v>12002</v>
      </c>
      <c r="C85" s="28" t="s">
        <v>996</v>
      </c>
      <c r="D85" s="28" t="s">
        <v>5836</v>
      </c>
      <c r="E85" s="28" t="s">
        <v>5837</v>
      </c>
      <c r="F85" s="28" t="s">
        <v>5838</v>
      </c>
      <c r="G85" s="28" t="s">
        <v>5839</v>
      </c>
      <c r="H85" s="28" t="s">
        <v>5840</v>
      </c>
      <c r="I85" s="28" t="s">
        <v>5841</v>
      </c>
      <c r="J85" s="28" t="s">
        <v>5842</v>
      </c>
      <c r="K85" s="28" t="s">
        <v>5843</v>
      </c>
    </row>
    <row r="86" spans="1:11">
      <c r="A86" s="28" t="s">
        <v>5166</v>
      </c>
      <c r="B86" s="28">
        <v>12001</v>
      </c>
      <c r="C86" s="28" t="s">
        <v>996</v>
      </c>
      <c r="D86" s="28" t="s">
        <v>5844</v>
      </c>
      <c r="E86" s="28" t="s">
        <v>5845</v>
      </c>
      <c r="F86" s="28" t="s">
        <v>5846</v>
      </c>
      <c r="G86" s="28" t="s">
        <v>5847</v>
      </c>
      <c r="H86" s="28" t="s">
        <v>5848</v>
      </c>
      <c r="I86" s="28" t="s">
        <v>5849</v>
      </c>
      <c r="J86" s="28" t="s">
        <v>5850</v>
      </c>
      <c r="K86" s="28" t="s">
        <v>5851</v>
      </c>
    </row>
  </sheetData>
</worksheet>
</file>

<file path=xl/worksheets/sheet20.xml><?xml version="1.0" encoding="utf-8"?>
<worksheet xmlns="http://schemas.openxmlformats.org/spreadsheetml/2006/main">
  <sheetPr codeName="邦布属性">
    <tabColor/>
  </sheetPr>
  <dimension ref="J215"/>
  <sheetViews>
    <sheetView showGridLines="1" workbookViewId="0">
      <pane xSplit="1" ySplit="1" topLeftCell="B2" state="frozen"/>
    </sheetView>
  </sheetViews>
  <sheetFormatPr baseColWidth="13" defaultRowHeight="18" customHeight="1"/>
  <cols>
    <col min="1" max="2" width="12.0938" customWidth="1"/>
    <col min="3" max="3" width="10.1133" customWidth="1"/>
    <col min="4" max="4" width="18.0234" customWidth="1"/>
    <col min="5" max="5" width="10.1133" customWidth="1"/>
    <col min="6" max="6" width="18.0234" customWidth="1"/>
    <col min="7" max="7" width="10.1133" customWidth="1"/>
    <col min="8" max="8" width="12.0938" customWidth="1"/>
    <col min="9" max="9" width="10.1133" customWidth="1"/>
    <col min="10" max="10" width="18.0234" customWidth="1"/>
    <col min="11" max="11" width="10.1133" style="84" customWidth="1"/>
    <col min="12" max="12" width="12.0938" style="84" customWidth="1"/>
    <col min="13" max="15" width="14.293" style="90" hidden="1" customWidth="1"/>
    <col min="16" max="18" width="14.293" style="90" customWidth="1"/>
    <col min="19" max="19" width="14.293" customWidth="1"/>
    <col min="20" max="20" width="16.2617" customWidth="1"/>
  </cols>
  <sheetData>
    <row r="1" spans="1:20">
      <c r="A1" s="16" t="s">
        <v>5852</v>
      </c>
      <c r="B1" s="16" t="s">
        <v>956</v>
      </c>
      <c r="C1" s="16" t="s">
        <v>963</v>
      </c>
      <c r="D1" s="21" t="s">
        <v>964</v>
      </c>
      <c r="E1" s="16" t="s">
        <v>965</v>
      </c>
      <c r="F1" s="21" t="s">
        <v>966</v>
      </c>
      <c r="G1" s="16" t="s">
        <v>971</v>
      </c>
      <c r="H1" s="16" t="s">
        <v>972</v>
      </c>
      <c r="I1" s="16" t="s">
        <v>967</v>
      </c>
      <c r="J1" s="21" t="s">
        <v>968</v>
      </c>
      <c r="K1" s="22" t="s">
        <v>969</v>
      </c>
      <c r="L1" s="22" t="s">
        <v>970</v>
      </c>
      <c r="M1" s="59" t="s">
        <v>5853</v>
      </c>
      <c r="N1" s="59" t="s">
        <v>5854</v>
      </c>
      <c r="O1" s="59" t="s">
        <v>5855</v>
      </c>
      <c r="P1" s="59" t="s">
        <v>5856</v>
      </c>
      <c r="Q1" s="59" t="s">
        <v>5857</v>
      </c>
      <c r="R1" s="59" t="s">
        <v>5858</v>
      </c>
      <c r="S1" s="57" t="s">
        <v>5859</v>
      </c>
      <c r="T1" s="57" t="s">
        <v>5860</v>
      </c>
    </row>
    <row r="2" spans="1:20">
      <c r="A2" s="16" t="s"/>
      <c r="B2" s="16">
        <v>56001</v>
      </c>
      <c r="C2" s="16">
        <v>100</v>
      </c>
      <c r="D2" s="21">
        <v>0</v>
      </c>
      <c r="E2" s="16">
        <v>10000</v>
      </c>
      <c r="F2" s="21">
        <v>0</v>
      </c>
      <c r="G2" s="16">
        <v>100</v>
      </c>
      <c r="H2" s="16">
        <v>100</v>
      </c>
      <c r="I2" s="16">
        <v>0</v>
      </c>
      <c r="J2" s="21">
        <v>0</v>
      </c>
      <c r="K2" s="22">
        <v>0.05</v>
      </c>
      <c r="L2" s="22">
        <v>0.5</v>
      </c>
      <c r="M2" s="24">
        <v>0</v>
      </c>
      <c r="N2" s="24">
        <v>0</v>
      </c>
      <c r="O2" s="24">
        <v>0</v>
      </c>
      <c r="P2" s="60">
        <v>100</v>
      </c>
      <c r="Q2" s="60">
        <v>10000</v>
      </c>
      <c r="R2" s="61">
        <v>0</v>
      </c>
      <c r="S2" s="25">
        <v>0.5</v>
      </c>
      <c r="T2" s="25">
        <v>1</v>
      </c>
    </row>
    <row r="3" spans="1:20">
      <c r="A3" s="16" t="s"/>
      <c r="B3" s="16">
        <v>55002</v>
      </c>
      <c r="C3" s="16">
        <v>360</v>
      </c>
      <c r="D3" s="21">
        <v>42.8397</v>
      </c>
      <c r="E3" s="16">
        <v>50</v>
      </c>
      <c r="F3" s="21">
        <v>25.2034</v>
      </c>
      <c r="G3" s="16">
        <v>100</v>
      </c>
      <c r="H3" s="16">
        <v>100</v>
      </c>
      <c r="I3" s="16">
        <v>30</v>
      </c>
      <c r="J3" s="21">
        <v>8.5729</v>
      </c>
      <c r="K3" s="22">
        <v>0.05</v>
      </c>
      <c r="L3" s="22">
        <v>0.5</v>
      </c>
      <c r="M3" s="24">
        <v>940</v>
      </c>
      <c r="N3" s="24">
        <v>4661</v>
      </c>
      <c r="O3" s="24">
        <v>188</v>
      </c>
      <c r="P3" s="60">
        <v>3827.5423</v>
      </c>
      <c r="Q3" s="60">
        <v>6198.0006</v>
      </c>
      <c r="R3" s="61">
        <v>723.8011</v>
      </c>
      <c r="S3" s="25">
        <v>0.5</v>
      </c>
      <c r="T3" s="25">
        <v>1</v>
      </c>
    </row>
    <row r="4" spans="1:20">
      <c r="A4" s="16" t="s"/>
      <c r="B4" s="16">
        <v>55001</v>
      </c>
      <c r="C4" s="16">
        <v>15000</v>
      </c>
      <c r="D4" s="21">
        <v>0</v>
      </c>
      <c r="E4" s="16">
        <v>10000</v>
      </c>
      <c r="F4" s="21">
        <v>0</v>
      </c>
      <c r="G4" s="16">
        <v>50</v>
      </c>
      <c r="H4" s="16">
        <v>100</v>
      </c>
      <c r="I4" s="16">
        <v>1000</v>
      </c>
      <c r="J4" s="21">
        <v>0</v>
      </c>
      <c r="K4" s="22">
        <v>0.05</v>
      </c>
      <c r="L4" s="22">
        <v>0.5</v>
      </c>
      <c r="M4" s="24">
        <v>940</v>
      </c>
      <c r="N4" s="24">
        <v>4661</v>
      </c>
      <c r="O4" s="24">
        <v>188</v>
      </c>
      <c r="P4" s="60">
        <v>15940</v>
      </c>
      <c r="Q4" s="60">
        <v>14661</v>
      </c>
      <c r="R4" s="61">
        <v>1188</v>
      </c>
      <c r="S4" s="25">
        <v>0.5</v>
      </c>
      <c r="T4" s="25">
        <v>1</v>
      </c>
    </row>
    <row r="5" spans="1:20">
      <c r="A5" s="26" t="s">
        <v>5861</v>
      </c>
      <c r="B5" s="16">
        <v>54021</v>
      </c>
      <c r="C5" s="16">
        <v>396</v>
      </c>
      <c r="D5" s="21">
        <v>47.1237</v>
      </c>
      <c r="E5" s="16">
        <v>72</v>
      </c>
      <c r="F5" s="21">
        <v>36.0408</v>
      </c>
      <c r="G5" s="16">
        <v>103</v>
      </c>
      <c r="H5" s="16">
        <v>110</v>
      </c>
      <c r="I5" s="16">
        <v>28</v>
      </c>
      <c r="J5" s="21">
        <v>7.8871</v>
      </c>
      <c r="K5" s="22">
        <v>0.05</v>
      </c>
      <c r="L5" s="22">
        <v>0.5</v>
      </c>
      <c r="M5" s="24">
        <v>1034</v>
      </c>
      <c r="N5" s="24">
        <v>6665</v>
      </c>
      <c r="O5" s="24">
        <v>173</v>
      </c>
      <c r="P5" s="60">
        <v>4210.2983</v>
      </c>
      <c r="Q5" s="60">
        <v>8863.4072</v>
      </c>
      <c r="R5" s="61">
        <v>666.3389</v>
      </c>
      <c r="S5" s="25">
        <v>0.5</v>
      </c>
      <c r="T5" s="25">
        <v>1</v>
      </c>
    </row>
    <row r="6" spans="1:20">
      <c r="A6" s="26" t="s">
        <v>5862</v>
      </c>
      <c r="B6" s="16">
        <v>54020</v>
      </c>
      <c r="C6" s="16">
        <v>396</v>
      </c>
      <c r="D6" s="21">
        <v>47.1237</v>
      </c>
      <c r="E6" s="16">
        <v>64</v>
      </c>
      <c r="F6" s="21">
        <v>32.1091</v>
      </c>
      <c r="G6" s="16">
        <v>123</v>
      </c>
      <c r="H6" s="16">
        <v>97</v>
      </c>
      <c r="I6" s="16">
        <v>28</v>
      </c>
      <c r="J6" s="21">
        <v>7.8871</v>
      </c>
      <c r="K6" s="22">
        <v>0.05</v>
      </c>
      <c r="L6" s="22">
        <v>0.5</v>
      </c>
      <c r="M6" s="24">
        <v>1034</v>
      </c>
      <c r="N6" s="24">
        <v>5938</v>
      </c>
      <c r="O6" s="24">
        <v>173</v>
      </c>
      <c r="P6" s="60">
        <v>4210.2983</v>
      </c>
      <c r="Q6" s="60">
        <v>7896.4369</v>
      </c>
      <c r="R6" s="61">
        <v>666.3389</v>
      </c>
      <c r="S6" s="25">
        <v>0.5</v>
      </c>
      <c r="T6" s="25">
        <v>1</v>
      </c>
    </row>
    <row r="7" spans="1:20">
      <c r="A7" s="16" t="s">
        <v>5863</v>
      </c>
      <c r="B7" s="16">
        <v>54019</v>
      </c>
      <c r="C7" s="16">
        <v>396</v>
      </c>
      <c r="D7" s="21">
        <v>47.1237</v>
      </c>
      <c r="E7" s="16">
        <v>72</v>
      </c>
      <c r="F7" s="21">
        <v>36.0408</v>
      </c>
      <c r="G7" s="16">
        <v>103</v>
      </c>
      <c r="H7" s="16">
        <v>110</v>
      </c>
      <c r="I7" s="16">
        <v>28</v>
      </c>
      <c r="J7" s="21">
        <v>7.8871</v>
      </c>
      <c r="K7" s="22">
        <v>0.05</v>
      </c>
      <c r="L7" s="22">
        <v>0.5</v>
      </c>
      <c r="M7" s="24">
        <v>1034</v>
      </c>
      <c r="N7" s="24">
        <v>6665</v>
      </c>
      <c r="O7" s="24">
        <v>173</v>
      </c>
      <c r="P7" s="60">
        <v>4210.2983</v>
      </c>
      <c r="Q7" s="60">
        <v>8863.4072</v>
      </c>
      <c r="R7" s="61">
        <v>666.3389</v>
      </c>
      <c r="S7" s="25">
        <v>0.5</v>
      </c>
      <c r="T7" s="25">
        <v>1</v>
      </c>
    </row>
    <row r="8" spans="1:20">
      <c r="A8" s="16" t="s">
        <v>5864</v>
      </c>
      <c r="B8" s="16">
        <v>54018</v>
      </c>
      <c r="C8" s="16">
        <v>479</v>
      </c>
      <c r="D8" s="21">
        <v>57.0196</v>
      </c>
      <c r="E8" s="16">
        <v>64</v>
      </c>
      <c r="F8" s="21">
        <v>32.1091</v>
      </c>
      <c r="G8" s="16">
        <v>110</v>
      </c>
      <c r="H8" s="16">
        <v>110</v>
      </c>
      <c r="I8" s="16">
        <v>28</v>
      </c>
      <c r="J8" s="21">
        <v>7.8871</v>
      </c>
      <c r="K8" s="22">
        <v>0.05</v>
      </c>
      <c r="L8" s="22">
        <v>0.5</v>
      </c>
      <c r="M8" s="24">
        <v>1252</v>
      </c>
      <c r="N8" s="24">
        <v>5938</v>
      </c>
      <c r="O8" s="24">
        <v>173</v>
      </c>
      <c r="P8" s="60">
        <v>5095.1564</v>
      </c>
      <c r="Q8" s="60">
        <v>7896.4369</v>
      </c>
      <c r="R8" s="61">
        <v>666.3389</v>
      </c>
      <c r="S8" s="25">
        <v>0.5</v>
      </c>
      <c r="T8" s="25">
        <v>1</v>
      </c>
    </row>
    <row r="9" spans="1:20">
      <c r="A9" s="16" t="s">
        <v>5865</v>
      </c>
      <c r="B9" s="16">
        <v>54017</v>
      </c>
      <c r="C9" s="16">
        <v>396</v>
      </c>
      <c r="D9" s="21">
        <v>47.1237</v>
      </c>
      <c r="E9" s="16">
        <v>72</v>
      </c>
      <c r="F9" s="21">
        <v>36.0408</v>
      </c>
      <c r="G9" s="16">
        <v>103</v>
      </c>
      <c r="H9" s="16">
        <v>110</v>
      </c>
      <c r="I9" s="16">
        <v>28</v>
      </c>
      <c r="J9" s="21">
        <v>7.8871</v>
      </c>
      <c r="K9" s="22">
        <v>0.05</v>
      </c>
      <c r="L9" s="22">
        <v>0.5</v>
      </c>
      <c r="M9" s="24">
        <v>1034</v>
      </c>
      <c r="N9" s="24">
        <v>6665</v>
      </c>
      <c r="O9" s="24">
        <v>173</v>
      </c>
      <c r="P9" s="60">
        <v>4210.2983</v>
      </c>
      <c r="Q9" s="60">
        <v>8863.4072</v>
      </c>
      <c r="R9" s="61">
        <v>666.3389</v>
      </c>
      <c r="S9" s="25">
        <v>0.5</v>
      </c>
      <c r="T9" s="25">
        <v>1</v>
      </c>
    </row>
    <row r="10" spans="1:20">
      <c r="A10" s="16" t="s">
        <v>5866</v>
      </c>
      <c r="B10" s="16">
        <v>54016</v>
      </c>
      <c r="C10" s="16">
        <v>396</v>
      </c>
      <c r="D10" s="21">
        <v>47.1237</v>
      </c>
      <c r="E10" s="16">
        <v>70</v>
      </c>
      <c r="F10" s="21">
        <v>35.0579</v>
      </c>
      <c r="G10" s="16">
        <v>117</v>
      </c>
      <c r="H10" s="16">
        <v>117</v>
      </c>
      <c r="I10" s="16">
        <v>28</v>
      </c>
      <c r="J10" s="21">
        <v>7.8871</v>
      </c>
      <c r="K10" s="22">
        <v>0.05</v>
      </c>
      <c r="L10" s="22">
        <v>0.5</v>
      </c>
      <c r="M10" s="24">
        <v>1034</v>
      </c>
      <c r="N10" s="24">
        <v>6483</v>
      </c>
      <c r="O10" s="24">
        <v>173</v>
      </c>
      <c r="P10" s="60">
        <v>4210.2983</v>
      </c>
      <c r="Q10" s="60">
        <v>8621.4161</v>
      </c>
      <c r="R10" s="61">
        <v>666.3389</v>
      </c>
      <c r="S10" s="25">
        <v>0.5</v>
      </c>
      <c r="T10" s="25">
        <v>1</v>
      </c>
    </row>
    <row r="11" spans="1:20">
      <c r="A11" s="16" t="s">
        <v>5867</v>
      </c>
      <c r="B11" s="16">
        <v>54015</v>
      </c>
      <c r="C11" s="16">
        <v>479</v>
      </c>
      <c r="D11" s="21">
        <v>57.0196</v>
      </c>
      <c r="E11" s="16">
        <v>64</v>
      </c>
      <c r="F11" s="21">
        <v>32.1091</v>
      </c>
      <c r="G11" s="16">
        <v>110</v>
      </c>
      <c r="H11" s="16">
        <v>110</v>
      </c>
      <c r="I11" s="16">
        <v>28</v>
      </c>
      <c r="J11" s="21">
        <v>7.8871</v>
      </c>
      <c r="K11" s="22">
        <v>0.05</v>
      </c>
      <c r="L11" s="22">
        <v>0.5</v>
      </c>
      <c r="M11" s="24">
        <v>1252</v>
      </c>
      <c r="N11" s="24">
        <v>5938</v>
      </c>
      <c r="O11" s="24">
        <v>173</v>
      </c>
      <c r="P11" s="60">
        <v>5095.1564</v>
      </c>
      <c r="Q11" s="60">
        <v>7896.4369</v>
      </c>
      <c r="R11" s="61">
        <v>666.3389</v>
      </c>
      <c r="S11" s="25">
        <v>0.5</v>
      </c>
      <c r="T11" s="25">
        <v>1</v>
      </c>
    </row>
    <row r="12" spans="1:20">
      <c r="A12" s="16" t="s">
        <v>5868</v>
      </c>
      <c r="B12" s="16">
        <v>54014</v>
      </c>
      <c r="C12" s="16">
        <v>396</v>
      </c>
      <c r="D12" s="21">
        <v>47.1237</v>
      </c>
      <c r="E12" s="16">
        <v>68</v>
      </c>
      <c r="F12" s="21">
        <v>34.075</v>
      </c>
      <c r="G12" s="16">
        <v>103</v>
      </c>
      <c r="H12" s="16">
        <v>123</v>
      </c>
      <c r="I12" s="16">
        <v>28</v>
      </c>
      <c r="J12" s="21">
        <v>7.8871</v>
      </c>
      <c r="K12" s="22">
        <v>0.05</v>
      </c>
      <c r="L12" s="22">
        <v>0.5</v>
      </c>
      <c r="M12" s="24">
        <v>1034</v>
      </c>
      <c r="N12" s="24">
        <v>6302</v>
      </c>
      <c r="O12" s="24">
        <v>173</v>
      </c>
      <c r="P12" s="60">
        <v>4210.2983</v>
      </c>
      <c r="Q12" s="60">
        <v>8380.425</v>
      </c>
      <c r="R12" s="61">
        <v>666.3389</v>
      </c>
      <c r="S12" s="25">
        <v>0.5</v>
      </c>
      <c r="T12" s="25">
        <v>1</v>
      </c>
    </row>
    <row r="13" spans="1:20">
      <c r="A13" s="16" t="s">
        <v>5869</v>
      </c>
      <c r="B13" s="16">
        <v>54013</v>
      </c>
      <c r="C13" s="16">
        <v>396</v>
      </c>
      <c r="D13" s="21">
        <v>47.1237</v>
      </c>
      <c r="E13" s="16">
        <v>65</v>
      </c>
      <c r="F13" s="21">
        <v>32.7644</v>
      </c>
      <c r="G13" s="16">
        <v>103</v>
      </c>
      <c r="H13" s="16">
        <v>123</v>
      </c>
      <c r="I13" s="16">
        <v>32</v>
      </c>
      <c r="J13" s="21">
        <v>9.2587</v>
      </c>
      <c r="K13" s="22">
        <v>0.05</v>
      </c>
      <c r="L13" s="22">
        <v>0.5</v>
      </c>
      <c r="M13" s="24">
        <v>1034</v>
      </c>
      <c r="N13" s="24">
        <v>6059</v>
      </c>
      <c r="O13" s="24">
        <v>203</v>
      </c>
      <c r="P13" s="60">
        <v>4210.2983</v>
      </c>
      <c r="Q13" s="60">
        <v>8057.0996</v>
      </c>
      <c r="R13" s="61">
        <v>781.2633</v>
      </c>
      <c r="S13" s="25">
        <v>0.5</v>
      </c>
      <c r="T13" s="25">
        <v>1</v>
      </c>
    </row>
    <row r="14" spans="1:20">
      <c r="A14" s="16" t="s">
        <v>5870</v>
      </c>
      <c r="B14" s="16">
        <v>54012</v>
      </c>
      <c r="C14" s="16">
        <v>396</v>
      </c>
      <c r="D14" s="21">
        <v>47.1237</v>
      </c>
      <c r="E14" s="16">
        <v>72</v>
      </c>
      <c r="F14" s="21">
        <v>36.0408</v>
      </c>
      <c r="G14" s="16">
        <v>103</v>
      </c>
      <c r="H14" s="16">
        <v>110</v>
      </c>
      <c r="I14" s="16">
        <v>28</v>
      </c>
      <c r="J14" s="21">
        <v>7.8871</v>
      </c>
      <c r="K14" s="22">
        <v>0.05</v>
      </c>
      <c r="L14" s="22">
        <v>0.5</v>
      </c>
      <c r="M14" s="24">
        <v>1034</v>
      </c>
      <c r="N14" s="24">
        <v>6665</v>
      </c>
      <c r="O14" s="24">
        <v>173</v>
      </c>
      <c r="P14" s="60">
        <v>4210.2983</v>
      </c>
      <c r="Q14" s="60">
        <v>8863.4072</v>
      </c>
      <c r="R14" s="61">
        <v>666.3389</v>
      </c>
      <c r="S14" s="25">
        <v>0.5</v>
      </c>
      <c r="T14" s="25">
        <v>1</v>
      </c>
    </row>
    <row r="15" spans="1:20">
      <c r="A15" s="16" t="s">
        <v>5871</v>
      </c>
      <c r="B15" s="16">
        <v>54011</v>
      </c>
      <c r="C15" s="16">
        <v>396</v>
      </c>
      <c r="D15" s="21">
        <v>47.1237</v>
      </c>
      <c r="E15" s="16">
        <v>72</v>
      </c>
      <c r="F15" s="21">
        <v>36.0408</v>
      </c>
      <c r="G15" s="16">
        <v>103</v>
      </c>
      <c r="H15" s="16">
        <v>110</v>
      </c>
      <c r="I15" s="16">
        <v>28</v>
      </c>
      <c r="J15" s="21">
        <v>7.8871</v>
      </c>
      <c r="K15" s="22">
        <v>0.05</v>
      </c>
      <c r="L15" s="22">
        <v>0.5</v>
      </c>
      <c r="M15" s="24">
        <v>1034</v>
      </c>
      <c r="N15" s="24">
        <v>6665</v>
      </c>
      <c r="O15" s="24">
        <v>173</v>
      </c>
      <c r="P15" s="60">
        <v>4210.2983</v>
      </c>
      <c r="Q15" s="60">
        <v>8863.4072</v>
      </c>
      <c r="R15" s="61">
        <v>666.3389</v>
      </c>
      <c r="S15" s="25">
        <v>0.5</v>
      </c>
      <c r="T15" s="25">
        <v>1</v>
      </c>
    </row>
    <row r="16" spans="1:20">
      <c r="A16" s="16" t="s">
        <v>5872</v>
      </c>
      <c r="B16" s="16">
        <v>54010</v>
      </c>
      <c r="C16" s="16">
        <v>479</v>
      </c>
      <c r="D16" s="21">
        <v>57.0196</v>
      </c>
      <c r="E16" s="16">
        <v>64</v>
      </c>
      <c r="F16" s="21">
        <v>32.1091</v>
      </c>
      <c r="G16" s="16">
        <v>110</v>
      </c>
      <c r="H16" s="16">
        <v>110</v>
      </c>
      <c r="I16" s="16">
        <v>28</v>
      </c>
      <c r="J16" s="21">
        <v>7.8871</v>
      </c>
      <c r="K16" s="22">
        <v>0.05</v>
      </c>
      <c r="L16" s="22">
        <v>0.5</v>
      </c>
      <c r="M16" s="24">
        <v>1252</v>
      </c>
      <c r="N16" s="24">
        <v>5938</v>
      </c>
      <c r="O16" s="24">
        <v>173</v>
      </c>
      <c r="P16" s="60">
        <v>5095.1564</v>
      </c>
      <c r="Q16" s="60">
        <v>7896.4369</v>
      </c>
      <c r="R16" s="61">
        <v>666.3389</v>
      </c>
      <c r="S16" s="25">
        <v>0.5</v>
      </c>
      <c r="T16" s="25">
        <v>1</v>
      </c>
    </row>
    <row r="17" spans="1:20">
      <c r="A17" s="16" t="s">
        <v>5873</v>
      </c>
      <c r="B17" s="16">
        <v>54009</v>
      </c>
      <c r="C17" s="16">
        <v>396</v>
      </c>
      <c r="D17" s="21">
        <v>47.1237</v>
      </c>
      <c r="E17" s="16">
        <v>65</v>
      </c>
      <c r="F17" s="21">
        <v>32.7644</v>
      </c>
      <c r="G17" s="16">
        <v>99</v>
      </c>
      <c r="H17" s="16">
        <v>132</v>
      </c>
      <c r="I17" s="16">
        <v>30</v>
      </c>
      <c r="J17" s="21">
        <v>8.5729</v>
      </c>
      <c r="K17" s="22">
        <v>0.05</v>
      </c>
      <c r="L17" s="22">
        <v>0.5</v>
      </c>
      <c r="M17" s="24">
        <v>1034</v>
      </c>
      <c r="N17" s="24">
        <v>6059</v>
      </c>
      <c r="O17" s="24">
        <v>188</v>
      </c>
      <c r="P17" s="60">
        <v>4210.2983</v>
      </c>
      <c r="Q17" s="60">
        <v>8057.0996</v>
      </c>
      <c r="R17" s="61">
        <v>723.8011</v>
      </c>
      <c r="S17" s="25">
        <v>0.5</v>
      </c>
      <c r="T17" s="25">
        <v>1</v>
      </c>
    </row>
    <row r="18" spans="1:20">
      <c r="A18" s="16" t="s">
        <v>5874</v>
      </c>
      <c r="B18" s="16">
        <v>54008</v>
      </c>
      <c r="C18" s="16">
        <v>396</v>
      </c>
      <c r="D18" s="21">
        <v>47.1237</v>
      </c>
      <c r="E18" s="16">
        <v>65</v>
      </c>
      <c r="F18" s="21">
        <v>32.7644</v>
      </c>
      <c r="G18" s="16">
        <v>99</v>
      </c>
      <c r="H18" s="16">
        <v>132</v>
      </c>
      <c r="I18" s="16">
        <v>30</v>
      </c>
      <c r="J18" s="21">
        <v>8.5729</v>
      </c>
      <c r="K18" s="22">
        <v>0.05</v>
      </c>
      <c r="L18" s="22">
        <v>0.5</v>
      </c>
      <c r="M18" s="24">
        <v>1034</v>
      </c>
      <c r="N18" s="24">
        <v>6059</v>
      </c>
      <c r="O18" s="24">
        <v>188</v>
      </c>
      <c r="P18" s="60">
        <v>4210.2983</v>
      </c>
      <c r="Q18" s="60">
        <v>8057.0996</v>
      </c>
      <c r="R18" s="61">
        <v>723.8011</v>
      </c>
      <c r="S18" s="25">
        <v>0.5</v>
      </c>
      <c r="T18" s="25">
        <v>1</v>
      </c>
    </row>
    <row r="19" spans="1:20">
      <c r="A19" s="16" t="s">
        <v>5875</v>
      </c>
      <c r="B19" s="16">
        <v>54006</v>
      </c>
      <c r="C19" s="16">
        <v>396</v>
      </c>
      <c r="D19" s="21">
        <v>47.1237</v>
      </c>
      <c r="E19" s="16">
        <v>69</v>
      </c>
      <c r="F19" s="21">
        <v>34.7303</v>
      </c>
      <c r="G19" s="16">
        <v>99</v>
      </c>
      <c r="H19" s="16">
        <v>119</v>
      </c>
      <c r="I19" s="16">
        <v>30</v>
      </c>
      <c r="J19" s="21">
        <v>8.5729</v>
      </c>
      <c r="K19" s="22">
        <v>0.05</v>
      </c>
      <c r="L19" s="22">
        <v>0.5</v>
      </c>
      <c r="M19" s="24">
        <v>1034</v>
      </c>
      <c r="N19" s="24">
        <v>6423</v>
      </c>
      <c r="O19" s="24">
        <v>188</v>
      </c>
      <c r="P19" s="60">
        <v>4210.2983</v>
      </c>
      <c r="Q19" s="60">
        <v>8541.0877</v>
      </c>
      <c r="R19" s="61">
        <v>723.8011</v>
      </c>
      <c r="S19" s="25">
        <v>0.5</v>
      </c>
      <c r="T19" s="25">
        <v>1</v>
      </c>
    </row>
    <row r="20" spans="1:20">
      <c r="A20" s="16" t="s">
        <v>5876</v>
      </c>
      <c r="B20" s="16">
        <v>54005</v>
      </c>
      <c r="C20" s="16">
        <v>396</v>
      </c>
      <c r="D20" s="21">
        <v>47.1237</v>
      </c>
      <c r="E20" s="16">
        <v>72</v>
      </c>
      <c r="F20" s="21">
        <v>36.0408</v>
      </c>
      <c r="G20" s="16">
        <v>103</v>
      </c>
      <c r="H20" s="16">
        <v>110</v>
      </c>
      <c r="I20" s="16">
        <v>28</v>
      </c>
      <c r="J20" s="21">
        <v>7.8871</v>
      </c>
      <c r="K20" s="22">
        <v>0.05</v>
      </c>
      <c r="L20" s="22">
        <v>0.5</v>
      </c>
      <c r="M20" s="24">
        <v>1034</v>
      </c>
      <c r="N20" s="24">
        <v>6665</v>
      </c>
      <c r="O20" s="24">
        <v>173</v>
      </c>
      <c r="P20" s="60">
        <v>4210.2983</v>
      </c>
      <c r="Q20" s="60">
        <v>8863.4072</v>
      </c>
      <c r="R20" s="61">
        <v>666.3389</v>
      </c>
      <c r="S20" s="25">
        <v>0.5</v>
      </c>
      <c r="T20" s="25">
        <v>1</v>
      </c>
    </row>
    <row r="21" spans="1:20">
      <c r="A21" s="16" t="s">
        <v>5877</v>
      </c>
      <c r="B21" s="16">
        <v>54004</v>
      </c>
      <c r="C21" s="16">
        <v>479</v>
      </c>
      <c r="D21" s="21">
        <v>57.0196</v>
      </c>
      <c r="E21" s="16">
        <v>64</v>
      </c>
      <c r="F21" s="21">
        <v>32.1091</v>
      </c>
      <c r="G21" s="16">
        <v>110</v>
      </c>
      <c r="H21" s="16">
        <v>110</v>
      </c>
      <c r="I21" s="16">
        <v>28</v>
      </c>
      <c r="J21" s="21">
        <v>7.8871</v>
      </c>
      <c r="K21" s="22">
        <v>0.05</v>
      </c>
      <c r="L21" s="22">
        <v>0.5</v>
      </c>
      <c r="M21" s="24">
        <v>1252</v>
      </c>
      <c r="N21" s="24">
        <v>5938</v>
      </c>
      <c r="O21" s="24">
        <v>173</v>
      </c>
      <c r="P21" s="60">
        <v>5095.1564</v>
      </c>
      <c r="Q21" s="60">
        <v>7896.4369</v>
      </c>
      <c r="R21" s="61">
        <v>666.3389</v>
      </c>
      <c r="S21" s="25">
        <v>0.5</v>
      </c>
      <c r="T21" s="25">
        <v>1</v>
      </c>
    </row>
    <row r="22" spans="1:20">
      <c r="A22" s="16" t="s">
        <v>5878</v>
      </c>
      <c r="B22" s="16">
        <v>54003</v>
      </c>
      <c r="C22" s="16">
        <v>360</v>
      </c>
      <c r="D22" s="21">
        <v>42.8397</v>
      </c>
      <c r="E22" s="16">
        <v>53</v>
      </c>
      <c r="F22" s="21">
        <v>26.7156</v>
      </c>
      <c r="G22" s="16">
        <v>90</v>
      </c>
      <c r="H22" s="16">
        <v>108</v>
      </c>
      <c r="I22" s="16">
        <v>30</v>
      </c>
      <c r="J22" s="21">
        <v>8.5729</v>
      </c>
      <c r="K22" s="22">
        <v>0.05</v>
      </c>
      <c r="L22" s="22">
        <v>0.5</v>
      </c>
      <c r="M22" s="24">
        <v>940</v>
      </c>
      <c r="N22" s="24">
        <v>4941</v>
      </c>
      <c r="O22" s="24">
        <v>188</v>
      </c>
      <c r="P22" s="60">
        <v>3827.5423</v>
      </c>
      <c r="Q22" s="60">
        <v>6570.2204</v>
      </c>
      <c r="R22" s="61">
        <v>723.8011</v>
      </c>
      <c r="S22" s="25">
        <v>0.5</v>
      </c>
      <c r="T22" s="25">
        <v>1</v>
      </c>
    </row>
    <row r="23" spans="1:20">
      <c r="A23" s="16" t="s">
        <v>5879</v>
      </c>
      <c r="B23" s="16">
        <v>54002</v>
      </c>
      <c r="C23" s="16">
        <v>396</v>
      </c>
      <c r="D23" s="21">
        <v>47.1237</v>
      </c>
      <c r="E23" s="16">
        <v>72</v>
      </c>
      <c r="F23" s="21">
        <v>36.0408</v>
      </c>
      <c r="G23" s="16">
        <v>103</v>
      </c>
      <c r="H23" s="16">
        <v>110</v>
      </c>
      <c r="I23" s="16">
        <v>28</v>
      </c>
      <c r="J23" s="21">
        <v>7.8871</v>
      </c>
      <c r="K23" s="22">
        <v>0.05</v>
      </c>
      <c r="L23" s="22">
        <v>0.5</v>
      </c>
      <c r="M23" s="24">
        <v>1034</v>
      </c>
      <c r="N23" s="24">
        <v>6665</v>
      </c>
      <c r="O23" s="24">
        <v>173</v>
      </c>
      <c r="P23" s="60">
        <v>4210.2983</v>
      </c>
      <c r="Q23" s="60">
        <v>8863.4072</v>
      </c>
      <c r="R23" s="61">
        <v>666.3389</v>
      </c>
      <c r="S23" s="25">
        <v>0.5</v>
      </c>
      <c r="T23" s="25">
        <v>1</v>
      </c>
    </row>
    <row r="24" spans="1:20">
      <c r="A24" s="16" t="s">
        <v>5880</v>
      </c>
      <c r="B24" s="16">
        <v>54001</v>
      </c>
      <c r="C24" s="16">
        <v>396</v>
      </c>
      <c r="D24" s="21">
        <v>47.1237</v>
      </c>
      <c r="E24" s="16">
        <v>65</v>
      </c>
      <c r="F24" s="21">
        <v>32.7644</v>
      </c>
      <c r="G24" s="16">
        <v>99</v>
      </c>
      <c r="H24" s="16">
        <v>132</v>
      </c>
      <c r="I24" s="16">
        <v>30</v>
      </c>
      <c r="J24" s="21">
        <v>8.5729</v>
      </c>
      <c r="K24" s="22">
        <v>0.05</v>
      </c>
      <c r="L24" s="22">
        <v>0.5</v>
      </c>
      <c r="M24" s="24">
        <v>1034</v>
      </c>
      <c r="N24" s="24">
        <v>6059</v>
      </c>
      <c r="O24" s="24">
        <v>188</v>
      </c>
      <c r="P24" s="60">
        <v>4210.2983</v>
      </c>
      <c r="Q24" s="60">
        <v>8057.0996</v>
      </c>
      <c r="R24" s="61">
        <v>723.8011</v>
      </c>
      <c r="S24" s="25">
        <v>0.5</v>
      </c>
      <c r="T24" s="25">
        <v>1</v>
      </c>
    </row>
    <row r="25" spans="1:20">
      <c r="A25" s="16" t="s">
        <v>5881</v>
      </c>
      <c r="B25" s="16">
        <v>53019</v>
      </c>
      <c r="C25" s="16">
        <v>360</v>
      </c>
      <c r="D25" s="21">
        <v>42.8397</v>
      </c>
      <c r="E25" s="16">
        <v>53</v>
      </c>
      <c r="F25" s="21">
        <v>26.7156</v>
      </c>
      <c r="G25" s="16">
        <v>94</v>
      </c>
      <c r="H25" s="16">
        <v>100</v>
      </c>
      <c r="I25" s="16">
        <v>32</v>
      </c>
      <c r="J25" s="21">
        <v>9.2587</v>
      </c>
      <c r="K25" s="22">
        <v>0.05</v>
      </c>
      <c r="L25" s="22">
        <v>0.5</v>
      </c>
      <c r="M25" s="24">
        <v>940</v>
      </c>
      <c r="N25" s="24">
        <v>4941</v>
      </c>
      <c r="O25" s="24">
        <v>203</v>
      </c>
      <c r="P25" s="60">
        <v>3827.5423</v>
      </c>
      <c r="Q25" s="60">
        <v>6570.2204</v>
      </c>
      <c r="R25" s="61">
        <v>781.2633</v>
      </c>
      <c r="S25" s="25">
        <v>0.5</v>
      </c>
      <c r="T25" s="25">
        <v>1</v>
      </c>
    </row>
    <row r="26" spans="1:20">
      <c r="A26" s="16" t="s">
        <v>5882</v>
      </c>
      <c r="B26" s="16">
        <v>53017</v>
      </c>
      <c r="C26" s="16">
        <v>436</v>
      </c>
      <c r="D26" s="21">
        <v>51.836</v>
      </c>
      <c r="E26" s="16">
        <v>47</v>
      </c>
      <c r="F26" s="21">
        <v>23.6912</v>
      </c>
      <c r="G26" s="16">
        <v>100</v>
      </c>
      <c r="H26" s="16">
        <v>100</v>
      </c>
      <c r="I26" s="16">
        <v>32</v>
      </c>
      <c r="J26" s="21">
        <v>9.2587</v>
      </c>
      <c r="K26" s="22">
        <v>0.05</v>
      </c>
      <c r="L26" s="22">
        <v>0.5</v>
      </c>
      <c r="M26" s="24">
        <v>1138</v>
      </c>
      <c r="N26" s="24">
        <v>4381</v>
      </c>
      <c r="O26" s="24">
        <v>203</v>
      </c>
      <c r="P26" s="60">
        <v>4632.324</v>
      </c>
      <c r="Q26" s="60">
        <v>5825.7808</v>
      </c>
      <c r="R26" s="61">
        <v>781.2633</v>
      </c>
      <c r="S26" s="25">
        <v>0.5</v>
      </c>
      <c r="T26" s="25">
        <v>1</v>
      </c>
    </row>
    <row r="27" spans="1:20">
      <c r="A27" s="16" t="s">
        <v>5883</v>
      </c>
      <c r="B27" s="16">
        <v>53016</v>
      </c>
      <c r="C27" s="16">
        <v>360</v>
      </c>
      <c r="D27" s="21">
        <v>42.8397</v>
      </c>
      <c r="E27" s="16">
        <v>53</v>
      </c>
      <c r="F27" s="21">
        <v>26.7156</v>
      </c>
      <c r="G27" s="16">
        <v>94</v>
      </c>
      <c r="H27" s="16">
        <v>100</v>
      </c>
      <c r="I27" s="16">
        <v>32</v>
      </c>
      <c r="J27" s="21">
        <v>9.2587</v>
      </c>
      <c r="K27" s="22">
        <v>0.05</v>
      </c>
      <c r="L27" s="22">
        <v>0.5</v>
      </c>
      <c r="M27" s="24">
        <v>940</v>
      </c>
      <c r="N27" s="24">
        <v>4941</v>
      </c>
      <c r="O27" s="24">
        <v>203</v>
      </c>
      <c r="P27" s="60">
        <v>3827.5423</v>
      </c>
      <c r="Q27" s="60">
        <v>6570.2204</v>
      </c>
      <c r="R27" s="61">
        <v>781.2633</v>
      </c>
      <c r="S27" s="25">
        <v>0.5</v>
      </c>
      <c r="T27" s="25">
        <v>1</v>
      </c>
    </row>
    <row r="28" spans="1:20">
      <c r="A28" s="16" t="s">
        <v>5884</v>
      </c>
      <c r="B28" s="16">
        <v>53015</v>
      </c>
      <c r="C28" s="16">
        <v>360</v>
      </c>
      <c r="D28" s="21">
        <v>42.8397</v>
      </c>
      <c r="E28" s="16">
        <v>53</v>
      </c>
      <c r="F28" s="21">
        <v>26.7156</v>
      </c>
      <c r="G28" s="16">
        <v>94</v>
      </c>
      <c r="H28" s="16">
        <v>100</v>
      </c>
      <c r="I28" s="16">
        <v>32</v>
      </c>
      <c r="J28" s="21">
        <v>9.2587</v>
      </c>
      <c r="K28" s="22">
        <v>0.05</v>
      </c>
      <c r="L28" s="22">
        <v>0.5</v>
      </c>
      <c r="M28" s="24">
        <v>940</v>
      </c>
      <c r="N28" s="24">
        <v>4941</v>
      </c>
      <c r="O28" s="24">
        <v>203</v>
      </c>
      <c r="P28" s="60">
        <v>3827.5423</v>
      </c>
      <c r="Q28" s="60">
        <v>6570.2204</v>
      </c>
      <c r="R28" s="61">
        <v>781.2633</v>
      </c>
      <c r="S28" s="25">
        <v>0.5</v>
      </c>
      <c r="T28" s="25">
        <v>1</v>
      </c>
    </row>
    <row r="29" spans="1:20">
      <c r="A29" s="16" t="s">
        <v>5885</v>
      </c>
      <c r="B29" s="16">
        <v>53014</v>
      </c>
      <c r="C29" s="16">
        <v>360</v>
      </c>
      <c r="D29" s="21">
        <v>42.8397</v>
      </c>
      <c r="E29" s="16">
        <v>53</v>
      </c>
      <c r="F29" s="21">
        <v>26.7156</v>
      </c>
      <c r="G29" s="16">
        <v>94</v>
      </c>
      <c r="H29" s="16">
        <v>100</v>
      </c>
      <c r="I29" s="16">
        <v>32</v>
      </c>
      <c r="J29" s="21">
        <v>9.2587</v>
      </c>
      <c r="K29" s="22">
        <v>0.05</v>
      </c>
      <c r="L29" s="22">
        <v>0.5</v>
      </c>
      <c r="M29" s="24">
        <v>940</v>
      </c>
      <c r="N29" s="24">
        <v>4941</v>
      </c>
      <c r="O29" s="24">
        <v>203</v>
      </c>
      <c r="P29" s="60">
        <v>3827.5423</v>
      </c>
      <c r="Q29" s="60">
        <v>6570.2204</v>
      </c>
      <c r="R29" s="61">
        <v>781.2633</v>
      </c>
      <c r="S29" s="25">
        <v>0.5</v>
      </c>
      <c r="T29" s="25">
        <v>1</v>
      </c>
    </row>
    <row r="30" spans="1:20">
      <c r="A30" s="16" t="s">
        <v>5886</v>
      </c>
      <c r="B30" s="16">
        <v>53013</v>
      </c>
      <c r="C30" s="16">
        <v>360</v>
      </c>
      <c r="D30" s="21">
        <v>42.8397</v>
      </c>
      <c r="E30" s="16">
        <v>53</v>
      </c>
      <c r="F30" s="21">
        <v>26.7156</v>
      </c>
      <c r="G30" s="16">
        <v>94</v>
      </c>
      <c r="H30" s="16">
        <v>100</v>
      </c>
      <c r="I30" s="16">
        <v>32</v>
      </c>
      <c r="J30" s="21">
        <v>9.2587</v>
      </c>
      <c r="K30" s="22">
        <v>0.05</v>
      </c>
      <c r="L30" s="22">
        <v>0.5</v>
      </c>
      <c r="M30" s="24">
        <v>940</v>
      </c>
      <c r="N30" s="24">
        <v>4941</v>
      </c>
      <c r="O30" s="24">
        <v>203</v>
      </c>
      <c r="P30" s="60">
        <v>3827.5423</v>
      </c>
      <c r="Q30" s="60">
        <v>6570.2204</v>
      </c>
      <c r="R30" s="61">
        <v>781.2633</v>
      </c>
      <c r="S30" s="25">
        <v>0.5</v>
      </c>
      <c r="T30" s="25">
        <v>1</v>
      </c>
    </row>
    <row r="31" spans="1:20">
      <c r="A31" s="16" t="s">
        <v>5887</v>
      </c>
      <c r="B31" s="16">
        <v>53012</v>
      </c>
      <c r="C31" s="16">
        <v>436</v>
      </c>
      <c r="D31" s="21">
        <v>51.836</v>
      </c>
      <c r="E31" s="16">
        <v>47</v>
      </c>
      <c r="F31" s="21">
        <v>23.6912</v>
      </c>
      <c r="G31" s="16">
        <v>100</v>
      </c>
      <c r="H31" s="16">
        <v>100</v>
      </c>
      <c r="I31" s="16">
        <v>32</v>
      </c>
      <c r="J31" s="21">
        <v>9.2587</v>
      </c>
      <c r="K31" s="22">
        <v>0.05</v>
      </c>
      <c r="L31" s="22">
        <v>0.5</v>
      </c>
      <c r="M31" s="24">
        <v>1138</v>
      </c>
      <c r="N31" s="24">
        <v>4381</v>
      </c>
      <c r="O31" s="24">
        <v>203</v>
      </c>
      <c r="P31" s="60">
        <v>4632.324</v>
      </c>
      <c r="Q31" s="60">
        <v>5825.7808</v>
      </c>
      <c r="R31" s="61">
        <v>781.2633</v>
      </c>
      <c r="S31" s="25">
        <v>0.5</v>
      </c>
      <c r="T31" s="25">
        <v>1</v>
      </c>
    </row>
    <row r="32" spans="1:20">
      <c r="A32" s="16" t="s">
        <v>5888</v>
      </c>
      <c r="B32" s="16">
        <v>53011</v>
      </c>
      <c r="C32" s="16">
        <v>360</v>
      </c>
      <c r="D32" s="21">
        <v>42.8397</v>
      </c>
      <c r="E32" s="16">
        <v>53</v>
      </c>
      <c r="F32" s="21">
        <v>26.7156</v>
      </c>
      <c r="G32" s="16">
        <v>94</v>
      </c>
      <c r="H32" s="16">
        <v>100</v>
      </c>
      <c r="I32" s="16">
        <v>32</v>
      </c>
      <c r="J32" s="21">
        <v>9.2587</v>
      </c>
      <c r="K32" s="22">
        <v>0.05</v>
      </c>
      <c r="L32" s="22">
        <v>0.5</v>
      </c>
      <c r="M32" s="24">
        <v>940</v>
      </c>
      <c r="N32" s="24">
        <v>4941</v>
      </c>
      <c r="O32" s="24">
        <v>203</v>
      </c>
      <c r="P32" s="60">
        <v>3827.5423</v>
      </c>
      <c r="Q32" s="60">
        <v>6570.2204</v>
      </c>
      <c r="R32" s="61">
        <v>781.2633</v>
      </c>
      <c r="S32" s="25">
        <v>0.5</v>
      </c>
      <c r="T32" s="25">
        <v>1</v>
      </c>
    </row>
    <row r="33" spans="1:20">
      <c r="A33" s="16" t="s">
        <v>5889</v>
      </c>
      <c r="B33" s="16">
        <v>53010</v>
      </c>
      <c r="C33" s="16">
        <v>360</v>
      </c>
      <c r="D33" s="21">
        <v>42.8397</v>
      </c>
      <c r="E33" s="16">
        <v>50</v>
      </c>
      <c r="F33" s="21">
        <v>25.2034</v>
      </c>
      <c r="G33" s="16">
        <v>90</v>
      </c>
      <c r="H33" s="16">
        <v>120</v>
      </c>
      <c r="I33" s="16">
        <v>30</v>
      </c>
      <c r="J33" s="21">
        <v>8.5729</v>
      </c>
      <c r="K33" s="22">
        <v>0.05</v>
      </c>
      <c r="L33" s="22">
        <v>0.5</v>
      </c>
      <c r="M33" s="24">
        <v>940</v>
      </c>
      <c r="N33" s="24">
        <v>4661</v>
      </c>
      <c r="O33" s="24">
        <v>188</v>
      </c>
      <c r="P33" s="60">
        <v>3827.5423</v>
      </c>
      <c r="Q33" s="60">
        <v>6198.0006</v>
      </c>
      <c r="R33" s="61">
        <v>723.8011</v>
      </c>
      <c r="S33" s="25">
        <v>0.05</v>
      </c>
      <c r="T33" s="25">
        <v>0.5</v>
      </c>
    </row>
    <row r="34" spans="1:20">
      <c r="A34" s="16" t="s">
        <v>5890</v>
      </c>
      <c r="B34" s="16">
        <v>53009</v>
      </c>
      <c r="C34" s="16">
        <v>360</v>
      </c>
      <c r="D34" s="21">
        <v>42.8397</v>
      </c>
      <c r="E34" s="16">
        <v>53</v>
      </c>
      <c r="F34" s="21">
        <v>26.7156</v>
      </c>
      <c r="G34" s="16">
        <v>94</v>
      </c>
      <c r="H34" s="16">
        <v>100</v>
      </c>
      <c r="I34" s="16">
        <v>32</v>
      </c>
      <c r="J34" s="21">
        <v>9.2587</v>
      </c>
      <c r="K34" s="22">
        <v>0.05</v>
      </c>
      <c r="L34" s="22">
        <v>0.5</v>
      </c>
      <c r="M34" s="24">
        <v>940</v>
      </c>
      <c r="N34" s="24">
        <v>4941</v>
      </c>
      <c r="O34" s="24">
        <v>203</v>
      </c>
      <c r="P34" s="60">
        <v>3827.5423</v>
      </c>
      <c r="Q34" s="60">
        <v>6570.2204</v>
      </c>
      <c r="R34" s="61">
        <v>781.2633</v>
      </c>
      <c r="S34" s="25">
        <v>0.5</v>
      </c>
      <c r="T34" s="25">
        <v>1</v>
      </c>
    </row>
    <row r="35" spans="1:20">
      <c r="A35" s="16" t="s">
        <v>5891</v>
      </c>
      <c r="B35" s="16">
        <v>53008</v>
      </c>
      <c r="C35" s="16">
        <v>436</v>
      </c>
      <c r="D35" s="21">
        <v>51.836</v>
      </c>
      <c r="E35" s="16">
        <v>47</v>
      </c>
      <c r="F35" s="21">
        <v>23.6912</v>
      </c>
      <c r="G35" s="16">
        <v>100</v>
      </c>
      <c r="H35" s="16">
        <v>100</v>
      </c>
      <c r="I35" s="16">
        <v>32</v>
      </c>
      <c r="J35" s="21">
        <v>9.2587</v>
      </c>
      <c r="K35" s="22">
        <v>0.05</v>
      </c>
      <c r="L35" s="22">
        <v>0.5</v>
      </c>
      <c r="M35" s="24">
        <v>1138</v>
      </c>
      <c r="N35" s="24">
        <v>4381</v>
      </c>
      <c r="O35" s="24">
        <v>203</v>
      </c>
      <c r="P35" s="60">
        <v>4632.324</v>
      </c>
      <c r="Q35" s="60">
        <v>5825.7808</v>
      </c>
      <c r="R35" s="61">
        <v>781.2633</v>
      </c>
      <c r="S35" s="25">
        <v>0.05</v>
      </c>
      <c r="T35" s="25">
        <v>0.5</v>
      </c>
    </row>
    <row r="36" spans="1:20">
      <c r="A36" s="16" t="s">
        <v>5892</v>
      </c>
      <c r="B36" s="16">
        <v>53007</v>
      </c>
      <c r="C36" s="16">
        <v>360</v>
      </c>
      <c r="D36" s="21">
        <v>42.8397</v>
      </c>
      <c r="E36" s="16">
        <v>50</v>
      </c>
      <c r="F36" s="21">
        <v>25.2034</v>
      </c>
      <c r="G36" s="16">
        <v>90</v>
      </c>
      <c r="H36" s="16">
        <v>120</v>
      </c>
      <c r="I36" s="16">
        <v>30</v>
      </c>
      <c r="J36" s="21">
        <v>8.5729</v>
      </c>
      <c r="K36" s="22">
        <v>0.05</v>
      </c>
      <c r="L36" s="22">
        <v>0.5</v>
      </c>
      <c r="M36" s="24">
        <v>940</v>
      </c>
      <c r="N36" s="24">
        <v>4661</v>
      </c>
      <c r="O36" s="24">
        <v>188</v>
      </c>
      <c r="P36" s="60">
        <v>3827.5423</v>
      </c>
      <c r="Q36" s="60">
        <v>6198.0006</v>
      </c>
      <c r="R36" s="61">
        <v>723.8011</v>
      </c>
      <c r="S36" s="25">
        <v>0.5</v>
      </c>
      <c r="T36" s="25">
        <v>1</v>
      </c>
    </row>
    <row r="37" spans="1:20">
      <c r="A37" s="16" t="s">
        <v>5893</v>
      </c>
      <c r="B37" s="16">
        <v>53006</v>
      </c>
      <c r="C37" s="16">
        <v>360</v>
      </c>
      <c r="D37" s="21">
        <v>42.8397</v>
      </c>
      <c r="E37" s="16">
        <v>53</v>
      </c>
      <c r="F37" s="21">
        <v>26.7156</v>
      </c>
      <c r="G37" s="16">
        <v>94</v>
      </c>
      <c r="H37" s="16">
        <v>100</v>
      </c>
      <c r="I37" s="16">
        <v>32</v>
      </c>
      <c r="J37" s="21">
        <v>9.2587</v>
      </c>
      <c r="K37" s="22">
        <v>0.05</v>
      </c>
      <c r="L37" s="22">
        <v>0.5</v>
      </c>
      <c r="M37" s="24">
        <v>940</v>
      </c>
      <c r="N37" s="24">
        <v>4941</v>
      </c>
      <c r="O37" s="24">
        <v>203</v>
      </c>
      <c r="P37" s="60">
        <v>3827.5423</v>
      </c>
      <c r="Q37" s="60">
        <v>6570.2204</v>
      </c>
      <c r="R37" s="61">
        <v>781.2633</v>
      </c>
      <c r="S37" s="25">
        <v>0.5</v>
      </c>
      <c r="T37" s="25">
        <v>1</v>
      </c>
    </row>
    <row r="38" spans="1:20">
      <c r="A38" s="16" t="s">
        <v>5894</v>
      </c>
      <c r="B38" s="16">
        <v>53005</v>
      </c>
      <c r="C38" s="16">
        <v>436</v>
      </c>
      <c r="D38" s="21">
        <v>51.836</v>
      </c>
      <c r="E38" s="16">
        <v>47</v>
      </c>
      <c r="F38" s="21">
        <v>23.6912</v>
      </c>
      <c r="G38" s="16">
        <v>100</v>
      </c>
      <c r="H38" s="16">
        <v>100</v>
      </c>
      <c r="I38" s="16">
        <v>32</v>
      </c>
      <c r="J38" s="21">
        <v>9.2587</v>
      </c>
      <c r="K38" s="22">
        <v>0.05</v>
      </c>
      <c r="L38" s="22">
        <v>0.5</v>
      </c>
      <c r="M38" s="24">
        <v>1138</v>
      </c>
      <c r="N38" s="24">
        <v>4381</v>
      </c>
      <c r="O38" s="24">
        <v>203</v>
      </c>
      <c r="P38" s="60">
        <v>4632.324</v>
      </c>
      <c r="Q38" s="60">
        <v>5825.7808</v>
      </c>
      <c r="R38" s="61">
        <v>781.2633</v>
      </c>
      <c r="S38" s="25">
        <v>0.5</v>
      </c>
      <c r="T38" s="25">
        <v>1</v>
      </c>
    </row>
    <row r="39" spans="1:20">
      <c r="A39" s="16" t="s">
        <v>5895</v>
      </c>
      <c r="B39" s="16">
        <v>53004</v>
      </c>
      <c r="C39" s="16">
        <v>360</v>
      </c>
      <c r="D39" s="21">
        <v>42.8397</v>
      </c>
      <c r="E39" s="16">
        <v>47</v>
      </c>
      <c r="F39" s="21">
        <v>23.6912</v>
      </c>
      <c r="G39" s="16">
        <v>112</v>
      </c>
      <c r="H39" s="16">
        <v>88</v>
      </c>
      <c r="I39" s="16">
        <v>32</v>
      </c>
      <c r="J39" s="21">
        <v>9.2587</v>
      </c>
      <c r="K39" s="22">
        <v>0.05</v>
      </c>
      <c r="L39" s="22">
        <v>0.5</v>
      </c>
      <c r="M39" s="24">
        <v>940</v>
      </c>
      <c r="N39" s="24">
        <v>4381</v>
      </c>
      <c r="O39" s="24">
        <v>203</v>
      </c>
      <c r="P39" s="60">
        <v>3827.5423</v>
      </c>
      <c r="Q39" s="60">
        <v>5825.7808</v>
      </c>
      <c r="R39" s="61">
        <v>781.2633</v>
      </c>
      <c r="S39" s="25">
        <v>0.5</v>
      </c>
      <c r="T39" s="25">
        <v>1</v>
      </c>
    </row>
    <row r="40" spans="1:20">
      <c r="A40" s="16" t="s">
        <v>5896</v>
      </c>
      <c r="B40" s="16">
        <v>53003</v>
      </c>
      <c r="C40" s="16">
        <v>436</v>
      </c>
      <c r="D40" s="21">
        <v>51.836</v>
      </c>
      <c r="E40" s="16">
        <v>49</v>
      </c>
      <c r="F40" s="21">
        <v>24.6993</v>
      </c>
      <c r="G40" s="16">
        <v>100</v>
      </c>
      <c r="H40" s="16">
        <v>100</v>
      </c>
      <c r="I40" s="16">
        <v>28</v>
      </c>
      <c r="J40" s="21">
        <v>7.8871</v>
      </c>
      <c r="K40" s="22">
        <v>0.05</v>
      </c>
      <c r="L40" s="22">
        <v>0.5</v>
      </c>
      <c r="M40" s="24">
        <v>1138</v>
      </c>
      <c r="N40" s="24">
        <v>4568</v>
      </c>
      <c r="O40" s="24">
        <v>173</v>
      </c>
      <c r="P40" s="60">
        <v>4632.324</v>
      </c>
      <c r="Q40" s="60">
        <v>6074.2587</v>
      </c>
      <c r="R40" s="61">
        <v>666.3389</v>
      </c>
      <c r="S40" s="25">
        <v>0.05</v>
      </c>
      <c r="T40" s="25">
        <v>0.5</v>
      </c>
    </row>
    <row r="41" spans="1:20">
      <c r="A41" s="16" t="s">
        <v>5897</v>
      </c>
      <c r="B41" s="16">
        <v>53002</v>
      </c>
      <c r="C41" s="16">
        <v>360</v>
      </c>
      <c r="D41" s="21">
        <v>42.8397</v>
      </c>
      <c r="E41" s="16">
        <v>50</v>
      </c>
      <c r="F41" s="21">
        <v>25.2034</v>
      </c>
      <c r="G41" s="16">
        <v>94</v>
      </c>
      <c r="H41" s="16">
        <v>112</v>
      </c>
      <c r="I41" s="16">
        <v>32</v>
      </c>
      <c r="J41" s="21">
        <v>9.2587</v>
      </c>
      <c r="K41" s="22">
        <v>0.05</v>
      </c>
      <c r="L41" s="22">
        <v>0.5</v>
      </c>
      <c r="M41" s="24">
        <v>940</v>
      </c>
      <c r="N41" s="24">
        <v>4661</v>
      </c>
      <c r="O41" s="24">
        <v>203</v>
      </c>
      <c r="P41" s="60">
        <v>3827.5423</v>
      </c>
      <c r="Q41" s="60">
        <v>6198.0006</v>
      </c>
      <c r="R41" s="61">
        <v>781.2633</v>
      </c>
      <c r="S41" s="25">
        <v>0.5</v>
      </c>
      <c r="T41" s="25">
        <v>1</v>
      </c>
    </row>
    <row r="42" spans="1:20">
      <c r="A42" s="16" t="s">
        <v>5898</v>
      </c>
      <c r="B42" s="16">
        <v>53001</v>
      </c>
      <c r="C42" s="16">
        <v>360</v>
      </c>
      <c r="D42" s="21">
        <v>42.8397</v>
      </c>
      <c r="E42" s="16">
        <v>50</v>
      </c>
      <c r="F42" s="21">
        <v>25.2034</v>
      </c>
      <c r="G42" s="16">
        <v>90</v>
      </c>
      <c r="H42" s="16">
        <v>120</v>
      </c>
      <c r="I42" s="16">
        <v>30</v>
      </c>
      <c r="J42" s="21">
        <v>8.5729</v>
      </c>
      <c r="K42" s="22">
        <v>0.05</v>
      </c>
      <c r="L42" s="22">
        <v>0.5</v>
      </c>
      <c r="M42" s="62">
        <v>940</v>
      </c>
      <c r="N42" s="62">
        <v>4661</v>
      </c>
      <c r="O42" s="62">
        <v>188</v>
      </c>
      <c r="P42" s="60">
        <v>3827.5423</v>
      </c>
      <c r="Q42" s="60">
        <v>6198.0006</v>
      </c>
      <c r="R42" s="61">
        <v>723.8011</v>
      </c>
      <c r="S42" s="25">
        <v>0.5</v>
      </c>
      <c r="T42" s="25">
        <v>1</v>
      </c>
    </row>
    <row r="43" spans="1:20">
      <c r="A43" s="16" t="s">
        <v>5899</v>
      </c>
      <c r="B43" s="16">
        <v>50001</v>
      </c>
      <c r="C43" s="16">
        <v>360</v>
      </c>
      <c r="D43" s="21">
        <v>42.8397</v>
      </c>
      <c r="E43" s="16">
        <v>50</v>
      </c>
      <c r="F43" s="21">
        <v>25.2034</v>
      </c>
      <c r="G43" s="16">
        <v>100</v>
      </c>
      <c r="H43" s="16">
        <v>100</v>
      </c>
      <c r="I43" s="16">
        <v>30</v>
      </c>
      <c r="J43" s="21">
        <v>8.5729</v>
      </c>
      <c r="K43" s="22">
        <v>0.05</v>
      </c>
      <c r="L43" s="22">
        <v>0.5</v>
      </c>
      <c r="M43" s="62">
        <v>940</v>
      </c>
      <c r="N43" s="62">
        <v>4661</v>
      </c>
      <c r="O43" s="62">
        <v>188</v>
      </c>
      <c r="P43" s="60">
        <v>3827.5423</v>
      </c>
      <c r="Q43" s="60">
        <v>6198.0006</v>
      </c>
      <c r="R43" s="61">
        <v>723.8011</v>
      </c>
      <c r="S43" s="25">
        <v>0.5</v>
      </c>
      <c r="T43" s="25">
        <v>1</v>
      </c>
    </row>
    <row r="44" spans="4:10">
      <c r="D44" s="63" t="s"/>
      <c r="F44" s="63" t="s"/>
      <c r="J44" s="63" t="s"/>
    </row>
    <row r="45" spans="4:10">
      <c r="D45" s="63" t="s"/>
      <c r="F45" s="63" t="s"/>
      <c r="J45" s="63" t="s"/>
    </row>
    <row r="46" spans="4:10">
      <c r="D46" s="63" t="s"/>
      <c r="F46" s="63" t="s"/>
      <c r="J46" s="63" t="s"/>
    </row>
    <row r="47" spans="4:10">
      <c r="D47" s="63" t="s"/>
      <c r="F47" s="63" t="s"/>
      <c r="J47" s="63" t="s"/>
    </row>
    <row r="48" spans="4:10">
      <c r="D48" s="63" t="s"/>
      <c r="F48" s="63" t="s"/>
      <c r="J48" s="63" t="s"/>
    </row>
    <row r="49" spans="4:10">
      <c r="D49" s="63" t="s"/>
      <c r="F49" s="63" t="s"/>
      <c r="J49" s="63" t="s"/>
    </row>
    <row r="50" spans="4:10">
      <c r="D50" s="63" t="s"/>
      <c r="F50" s="63" t="s"/>
      <c r="J50" s="63" t="s"/>
    </row>
    <row r="51" spans="4:10">
      <c r="D51" s="63" t="s"/>
      <c r="F51" s="63" t="s"/>
      <c r="J51" s="63" t="s"/>
    </row>
    <row r="52" spans="4:10">
      <c r="D52" s="63" t="s"/>
      <c r="F52" s="63" t="s"/>
      <c r="J52" s="63" t="s"/>
    </row>
    <row r="53" spans="4:10">
      <c r="D53" s="63" t="s"/>
      <c r="F53" s="63" t="s"/>
      <c r="J53" s="63" t="s"/>
    </row>
    <row r="54" spans="4:10">
      <c r="D54" s="63" t="s"/>
      <c r="F54" s="63" t="s"/>
      <c r="J54" s="63" t="s"/>
    </row>
    <row r="55" spans="4:10">
      <c r="D55" s="63" t="s"/>
      <c r="F55" s="63" t="s"/>
      <c r="J55" s="63" t="s"/>
    </row>
    <row r="56" spans="4:10">
      <c r="D56" s="63" t="s"/>
      <c r="F56" s="63" t="s"/>
      <c r="J56" s="63" t="s"/>
    </row>
    <row r="57" spans="4:10">
      <c r="D57" s="63" t="s"/>
      <c r="F57" s="63" t="s"/>
      <c r="J57" s="63" t="s"/>
    </row>
    <row r="58" spans="4:10">
      <c r="D58" s="63" t="s"/>
      <c r="F58" s="63" t="s"/>
      <c r="J58" s="63" t="s"/>
    </row>
    <row r="59" spans="4:10">
      <c r="D59" s="63" t="s"/>
      <c r="F59" s="63" t="s"/>
      <c r="J59" s="63" t="s"/>
    </row>
    <row r="60" spans="4:10">
      <c r="D60" s="63" t="s"/>
      <c r="F60" s="63" t="s"/>
      <c r="J60" s="63" t="s"/>
    </row>
    <row r="61" spans="4:10">
      <c r="D61" s="63" t="s"/>
      <c r="F61" s="63" t="s"/>
      <c r="J61" s="63" t="s"/>
    </row>
    <row r="62" spans="4:10">
      <c r="D62" s="63" t="s"/>
      <c r="F62" s="63" t="s"/>
      <c r="J62" s="63" t="s"/>
    </row>
    <row r="63" spans="4:10">
      <c r="D63" s="63" t="s"/>
      <c r="F63" s="63" t="s"/>
      <c r="J63" s="63" t="s"/>
    </row>
    <row r="64" spans="4:10">
      <c r="D64" s="63" t="s"/>
      <c r="F64" s="63" t="s"/>
      <c r="J64" s="63" t="s"/>
    </row>
    <row r="65" spans="4:10">
      <c r="D65" s="63" t="s"/>
      <c r="F65" s="63" t="s"/>
      <c r="J65" s="63" t="s"/>
    </row>
    <row r="66" spans="4:10">
      <c r="D66" s="63" t="s"/>
      <c r="F66" s="63" t="s"/>
      <c r="J66" s="63" t="s"/>
    </row>
    <row r="67" spans="4:10">
      <c r="D67" s="63" t="s"/>
      <c r="F67" s="63" t="s"/>
      <c r="J67" s="63" t="s"/>
    </row>
    <row r="68" spans="4:10">
      <c r="D68" s="63" t="s"/>
      <c r="F68" s="63" t="s"/>
      <c r="J68" s="63" t="s"/>
    </row>
    <row r="69" spans="4:10">
      <c r="D69" s="63" t="s"/>
      <c r="F69" s="63" t="s"/>
      <c r="J69" s="63" t="s"/>
    </row>
    <row r="70" spans="4:10">
      <c r="D70" s="63" t="s"/>
      <c r="F70" s="63" t="s"/>
      <c r="J70" s="63" t="s"/>
    </row>
    <row r="71" spans="4:10">
      <c r="D71" s="63" t="s"/>
      <c r="F71" s="63" t="s"/>
      <c r="J71" s="63" t="s"/>
    </row>
    <row r="72" spans="4:10">
      <c r="D72" s="63" t="s"/>
      <c r="F72" s="63" t="s"/>
      <c r="J72" s="63" t="s"/>
    </row>
    <row r="73" spans="4:10">
      <c r="D73" s="63" t="s"/>
      <c r="F73" s="63" t="s"/>
      <c r="J73" s="63" t="s"/>
    </row>
    <row r="74" spans="4:10">
      <c r="D74" s="63" t="s"/>
      <c r="F74" s="63" t="s"/>
      <c r="J74" s="63" t="s"/>
    </row>
    <row r="75" spans="4:10">
      <c r="D75" s="63" t="s"/>
      <c r="F75" s="63" t="s"/>
      <c r="J75" s="63" t="s"/>
    </row>
    <row r="76" spans="4:10">
      <c r="D76" s="63" t="s"/>
      <c r="F76" s="63" t="s"/>
      <c r="J76" s="63" t="s"/>
    </row>
    <row r="77" spans="4:10">
      <c r="D77" s="63" t="s"/>
      <c r="F77" s="63" t="s"/>
      <c r="J77" s="63" t="s"/>
    </row>
    <row r="78" spans="4:10">
      <c r="D78" s="63" t="s"/>
      <c r="F78" s="63" t="s"/>
      <c r="J78" s="63" t="s"/>
    </row>
    <row r="79" spans="4:10">
      <c r="D79" s="63" t="s"/>
      <c r="F79" s="63" t="s"/>
      <c r="J79" s="63" t="s"/>
    </row>
    <row r="80" spans="4:10">
      <c r="D80" s="63" t="s"/>
      <c r="F80" s="63" t="s"/>
      <c r="J80" s="63" t="s"/>
    </row>
    <row r="81" spans="4:10">
      <c r="D81" s="63" t="s"/>
      <c r="F81" s="63" t="s"/>
      <c r="J81" s="63" t="s"/>
    </row>
    <row r="82" spans="4:10">
      <c r="D82" s="63" t="s"/>
      <c r="F82" s="63" t="s"/>
      <c r="J82" s="63" t="s"/>
    </row>
    <row r="83" spans="4:10">
      <c r="D83" s="63" t="s"/>
      <c r="F83" s="63" t="s"/>
      <c r="J83" s="63" t="s"/>
    </row>
    <row r="84" spans="4:10">
      <c r="D84" s="63" t="s"/>
      <c r="F84" s="63" t="s"/>
      <c r="J84" s="63" t="s"/>
    </row>
    <row r="85" spans="4:10">
      <c r="D85" s="63" t="s"/>
      <c r="F85" s="63" t="s"/>
      <c r="J85" s="63" t="s"/>
    </row>
    <row r="86" spans="4:10">
      <c r="D86" s="63" t="s"/>
      <c r="F86" s="63" t="s"/>
      <c r="J86" s="63" t="s"/>
    </row>
    <row r="87" spans="4:10">
      <c r="D87" s="63" t="s"/>
      <c r="F87" s="63" t="s"/>
      <c r="J87" s="63" t="s"/>
    </row>
    <row r="88" spans="4:10">
      <c r="D88" s="63" t="s"/>
      <c r="F88" s="63" t="s"/>
      <c r="J88" s="63" t="s"/>
    </row>
    <row r="89" spans="4:10">
      <c r="D89" s="63" t="s"/>
      <c r="F89" s="63" t="s"/>
      <c r="J89" s="63" t="s"/>
    </row>
    <row r="90" spans="4:10">
      <c r="D90" s="63" t="s"/>
      <c r="F90" s="63" t="s"/>
      <c r="J90" s="63" t="s"/>
    </row>
    <row r="91" spans="4:10">
      <c r="D91" s="63" t="s"/>
      <c r="F91" s="63" t="s"/>
      <c r="J91" s="63" t="s"/>
    </row>
    <row r="92" spans="4:10">
      <c r="D92" s="63" t="s"/>
      <c r="F92" s="63" t="s"/>
      <c r="J92" s="63" t="s"/>
    </row>
    <row r="93" spans="4:10">
      <c r="D93" s="63" t="s"/>
      <c r="F93" s="63" t="s"/>
      <c r="J93" s="63" t="s"/>
    </row>
    <row r="94" spans="4:10">
      <c r="D94" s="63" t="s"/>
      <c r="F94" s="63" t="s"/>
      <c r="J94" s="63" t="s"/>
    </row>
    <row r="95" spans="4:10">
      <c r="D95" s="63" t="s"/>
      <c r="F95" s="63" t="s"/>
      <c r="J95" s="63" t="s"/>
    </row>
    <row r="96" spans="4:10">
      <c r="D96" s="63" t="s"/>
      <c r="F96" s="63" t="s"/>
      <c r="J96" s="63" t="s"/>
    </row>
    <row r="97" spans="4:10">
      <c r="D97" s="63" t="s"/>
      <c r="F97" s="63" t="s"/>
      <c r="J97" s="63" t="s"/>
    </row>
    <row r="98" spans="4:10">
      <c r="D98" s="63" t="s"/>
      <c r="F98" s="63" t="s"/>
      <c r="J98" s="63" t="s"/>
    </row>
    <row r="99" spans="4:10">
      <c r="D99" s="63" t="s"/>
      <c r="F99" s="63" t="s"/>
      <c r="J99" s="63" t="s"/>
    </row>
    <row r="100" spans="4:10">
      <c r="D100" s="63" t="s"/>
      <c r="F100" s="63" t="s"/>
      <c r="J100" s="63" t="s"/>
    </row>
    <row r="101" spans="4:10">
      <c r="D101" s="63" t="s"/>
      <c r="F101" s="63" t="s"/>
      <c r="J101" s="63" t="s"/>
    </row>
    <row r="102" spans="4:10">
      <c r="D102" s="63" t="s"/>
      <c r="F102" s="63" t="s"/>
      <c r="J102" s="63" t="s"/>
    </row>
    <row r="103" spans="4:10">
      <c r="D103" s="63" t="s"/>
      <c r="F103" s="63" t="s"/>
      <c r="J103" s="63" t="s"/>
    </row>
    <row r="104" spans="4:10">
      <c r="D104" s="63" t="s"/>
      <c r="F104" s="63" t="s"/>
      <c r="J104" s="63" t="s"/>
    </row>
    <row r="105" spans="4:10">
      <c r="D105" s="63" t="s"/>
      <c r="F105" s="63" t="s"/>
      <c r="J105" s="63" t="s"/>
    </row>
    <row r="106" spans="4:10">
      <c r="D106" s="63" t="s"/>
      <c r="F106" s="63" t="s"/>
      <c r="J106" s="63" t="s"/>
    </row>
    <row r="107" spans="4:10">
      <c r="D107" s="63" t="s"/>
      <c r="F107" s="63" t="s"/>
      <c r="J107" s="63" t="s"/>
    </row>
    <row r="108" spans="4:10">
      <c r="D108" s="63" t="s"/>
      <c r="F108" s="63" t="s"/>
      <c r="J108" s="63" t="s"/>
    </row>
    <row r="109" spans="4:10">
      <c r="D109" s="63" t="s"/>
      <c r="F109" s="63" t="s"/>
      <c r="J109" s="63" t="s"/>
    </row>
    <row r="110" spans="4:10">
      <c r="D110" s="63" t="s"/>
      <c r="F110" s="63" t="s"/>
      <c r="J110" s="63" t="s"/>
    </row>
    <row r="111" spans="4:10">
      <c r="D111" s="63" t="s"/>
      <c r="F111" s="63" t="s"/>
      <c r="J111" s="63" t="s"/>
    </row>
    <row r="112" spans="4:10">
      <c r="D112" s="63" t="s"/>
      <c r="F112" s="63" t="s"/>
      <c r="J112" s="63" t="s"/>
    </row>
    <row r="113" spans="4:10">
      <c r="D113" s="63" t="s"/>
      <c r="F113" s="63" t="s"/>
      <c r="J113" s="63" t="s"/>
    </row>
    <row r="114" spans="4:10">
      <c r="D114" s="63" t="s"/>
      <c r="F114" s="63" t="s"/>
      <c r="J114" s="63" t="s"/>
    </row>
    <row r="115" spans="4:10">
      <c r="D115" s="63" t="s"/>
      <c r="F115" s="63" t="s"/>
      <c r="J115" s="63" t="s"/>
    </row>
    <row r="116" spans="4:10">
      <c r="D116" s="63" t="s"/>
      <c r="F116" s="63" t="s"/>
      <c r="J116" s="63" t="s"/>
    </row>
    <row r="117" spans="4:10">
      <c r="D117" s="63" t="s"/>
      <c r="F117" s="63" t="s"/>
      <c r="J117" s="63" t="s"/>
    </row>
    <row r="118" spans="4:10">
      <c r="D118" s="63" t="s"/>
      <c r="F118" s="63" t="s"/>
      <c r="J118" s="63" t="s"/>
    </row>
    <row r="119" spans="4:10">
      <c r="D119" s="63" t="s"/>
      <c r="F119" s="63" t="s"/>
      <c r="J119" s="63" t="s"/>
    </row>
    <row r="120" spans="4:10">
      <c r="D120" s="63" t="s"/>
      <c r="F120" s="63" t="s"/>
      <c r="J120" s="63" t="s"/>
    </row>
    <row r="121" spans="4:10">
      <c r="D121" s="63" t="s"/>
      <c r="F121" s="63" t="s"/>
      <c r="J121" s="63" t="s"/>
    </row>
    <row r="122" spans="4:10">
      <c r="D122" s="63" t="s"/>
      <c r="F122" s="63" t="s"/>
      <c r="J122" s="63" t="s"/>
    </row>
    <row r="123" spans="4:10">
      <c r="D123" s="63" t="s"/>
      <c r="F123" s="63" t="s"/>
      <c r="J123" s="63" t="s"/>
    </row>
    <row r="124" spans="4:10">
      <c r="D124" s="63" t="s"/>
      <c r="F124" s="63" t="s"/>
      <c r="J124" s="63" t="s"/>
    </row>
    <row r="125" spans="4:10">
      <c r="D125" s="63" t="s"/>
      <c r="F125" s="63" t="s"/>
      <c r="J125" s="63" t="s"/>
    </row>
    <row r="126" spans="4:10">
      <c r="D126" s="63" t="s"/>
      <c r="F126" s="63" t="s"/>
      <c r="J126" s="63" t="s"/>
    </row>
    <row r="127" spans="4:10">
      <c r="D127" s="63" t="s"/>
      <c r="F127" s="63" t="s"/>
      <c r="J127" s="63" t="s"/>
    </row>
    <row r="128" spans="4:10">
      <c r="D128" s="63" t="s"/>
      <c r="F128" s="63" t="s"/>
      <c r="J128" s="63" t="s"/>
    </row>
    <row r="129" spans="4:10">
      <c r="D129" s="63" t="s"/>
      <c r="F129" s="63" t="s"/>
      <c r="J129" s="63" t="s"/>
    </row>
    <row r="130" spans="4:10">
      <c r="D130" s="63" t="s"/>
      <c r="F130" s="63" t="s"/>
      <c r="J130" s="63" t="s"/>
    </row>
    <row r="131" spans="4:10">
      <c r="D131" s="63" t="s"/>
      <c r="F131" s="63" t="s"/>
      <c r="J131" s="63" t="s"/>
    </row>
    <row r="132" spans="4:10">
      <c r="D132" s="63" t="s"/>
      <c r="F132" s="63" t="s"/>
      <c r="J132" s="63" t="s"/>
    </row>
    <row r="133" spans="4:10">
      <c r="D133" s="63" t="s"/>
      <c r="F133" s="63" t="s"/>
      <c r="J133" s="63" t="s"/>
    </row>
    <row r="134" spans="4:10">
      <c r="D134" s="63" t="s"/>
      <c r="F134" s="63" t="s"/>
      <c r="J134" s="63" t="s"/>
    </row>
    <row r="135" spans="4:10">
      <c r="D135" s="63" t="s"/>
      <c r="F135" s="63" t="s"/>
      <c r="J135" s="63" t="s"/>
    </row>
    <row r="136" spans="4:10">
      <c r="D136" s="63" t="s"/>
      <c r="F136" s="63" t="s"/>
      <c r="J136" s="63" t="s"/>
    </row>
    <row r="137" spans="4:10">
      <c r="D137" s="63" t="s"/>
      <c r="F137" s="63" t="s"/>
      <c r="J137" s="63" t="s"/>
    </row>
    <row r="138" spans="4:10">
      <c r="D138" s="63" t="s"/>
      <c r="F138" s="63" t="s"/>
      <c r="J138" s="63" t="s"/>
    </row>
    <row r="139" spans="4:10">
      <c r="D139" s="63" t="s"/>
      <c r="F139" s="63" t="s"/>
      <c r="J139" s="63" t="s"/>
    </row>
    <row r="140" spans="4:10">
      <c r="D140" s="63" t="s"/>
      <c r="F140" s="63" t="s"/>
      <c r="J140" s="63" t="s"/>
    </row>
    <row r="141" spans="4:10">
      <c r="D141" s="63" t="s"/>
      <c r="F141" s="63" t="s"/>
      <c r="J141" s="63" t="s"/>
    </row>
    <row r="142" spans="4:10">
      <c r="D142" s="63" t="s"/>
      <c r="F142" s="63" t="s"/>
      <c r="J142" s="63" t="s"/>
    </row>
    <row r="143" spans="4:10">
      <c r="D143" s="63" t="s"/>
      <c r="F143" s="63" t="s"/>
      <c r="J143" s="63" t="s"/>
    </row>
    <row r="144" spans="4:10">
      <c r="D144" s="63" t="s"/>
      <c r="F144" s="63" t="s"/>
      <c r="J144" s="63" t="s"/>
    </row>
    <row r="145" spans="4:10">
      <c r="D145" s="63" t="s"/>
      <c r="F145" s="63" t="s"/>
      <c r="J145" s="63" t="s"/>
    </row>
    <row r="146" spans="4:10">
      <c r="D146" s="63" t="s"/>
      <c r="F146" s="63" t="s"/>
      <c r="J146" s="63" t="s"/>
    </row>
    <row r="147" spans="4:10">
      <c r="D147" s="63" t="s"/>
      <c r="F147" s="63" t="s"/>
      <c r="J147" s="63" t="s"/>
    </row>
    <row r="148" spans="4:10">
      <c r="D148" s="63" t="s"/>
      <c r="F148" s="63" t="s"/>
      <c r="J148" s="63" t="s"/>
    </row>
    <row r="149" spans="4:10">
      <c r="D149" s="63" t="s"/>
      <c r="F149" s="63" t="s"/>
      <c r="J149" s="63" t="s"/>
    </row>
    <row r="150" spans="4:10">
      <c r="D150" s="63" t="s"/>
      <c r="F150" s="63" t="s"/>
      <c r="J150" s="63" t="s"/>
    </row>
    <row r="151" spans="4:10">
      <c r="D151" s="63" t="s"/>
      <c r="F151" s="63" t="s"/>
      <c r="J151" s="63" t="s"/>
    </row>
    <row r="152" spans="4:10">
      <c r="D152" s="63" t="s"/>
      <c r="F152" s="63" t="s"/>
      <c r="J152" s="63" t="s"/>
    </row>
    <row r="153" spans="4:10">
      <c r="D153" s="63" t="s"/>
      <c r="F153" s="63" t="s"/>
      <c r="J153" s="63" t="s"/>
    </row>
    <row r="154" spans="4:10">
      <c r="D154" s="63" t="s"/>
      <c r="F154" s="63" t="s"/>
      <c r="J154" s="63" t="s"/>
    </row>
    <row r="155" spans="4:10">
      <c r="D155" s="63" t="s"/>
      <c r="F155" s="63" t="s"/>
      <c r="J155" s="63" t="s"/>
    </row>
    <row r="156" spans="4:10">
      <c r="D156" s="63" t="s"/>
      <c r="F156" s="63" t="s"/>
      <c r="J156" s="63" t="s"/>
    </row>
    <row r="157" spans="4:10">
      <c r="D157" s="63" t="s"/>
      <c r="F157" s="63" t="s"/>
      <c r="J157" s="63" t="s"/>
    </row>
    <row r="158" spans="4:10">
      <c r="D158" s="63" t="s"/>
      <c r="F158" s="63" t="s"/>
      <c r="J158" s="63" t="s"/>
    </row>
    <row r="159" spans="4:10">
      <c r="D159" s="63" t="s"/>
      <c r="F159" s="63" t="s"/>
      <c r="J159" s="63" t="s"/>
    </row>
    <row r="160" spans="4:10">
      <c r="D160" s="63" t="s"/>
      <c r="F160" s="63" t="s"/>
      <c r="J160" s="63" t="s"/>
    </row>
    <row r="161" spans="4:10">
      <c r="D161" s="63" t="s"/>
      <c r="F161" s="63" t="s"/>
      <c r="J161" s="63" t="s"/>
    </row>
    <row r="162" spans="4:10">
      <c r="D162" s="63" t="s"/>
      <c r="F162" s="63" t="s"/>
      <c r="J162" s="63" t="s"/>
    </row>
    <row r="163" spans="4:10">
      <c r="D163" s="63" t="s"/>
      <c r="F163" s="63" t="s"/>
      <c r="J163" s="63" t="s"/>
    </row>
    <row r="164" spans="4:10">
      <c r="D164" s="63" t="s"/>
      <c r="F164" s="63" t="s"/>
      <c r="J164" s="63" t="s"/>
    </row>
    <row r="165" spans="4:10">
      <c r="D165" s="63" t="s"/>
      <c r="F165" s="63" t="s"/>
      <c r="J165" s="63" t="s"/>
    </row>
    <row r="166" spans="4:10">
      <c r="D166" s="63" t="s"/>
      <c r="F166" s="63" t="s"/>
      <c r="J166" s="63" t="s"/>
    </row>
    <row r="167" spans="4:10">
      <c r="D167" s="63" t="s"/>
      <c r="F167" s="63" t="s"/>
      <c r="J167" s="63" t="s"/>
    </row>
    <row r="168" spans="4:10">
      <c r="D168" s="63" t="s"/>
      <c r="F168" s="63" t="s"/>
      <c r="J168" s="63" t="s"/>
    </row>
    <row r="169" spans="4:10">
      <c r="D169" s="63" t="s"/>
      <c r="F169" s="63" t="s"/>
      <c r="J169" s="63" t="s"/>
    </row>
    <row r="170" spans="4:10">
      <c r="D170" s="63" t="s"/>
      <c r="F170" s="63" t="s"/>
      <c r="J170" s="63" t="s"/>
    </row>
    <row r="171" spans="4:10">
      <c r="D171" s="63" t="s"/>
      <c r="F171" s="63" t="s"/>
      <c r="J171" s="63" t="s"/>
    </row>
    <row r="172" spans="4:10">
      <c r="D172" s="63" t="s"/>
      <c r="F172" s="63" t="s"/>
      <c r="J172" s="63" t="s"/>
    </row>
    <row r="173" spans="4:10">
      <c r="D173" s="63" t="s"/>
      <c r="F173" s="63" t="s"/>
      <c r="J173" s="63" t="s"/>
    </row>
    <row r="174" spans="4:10">
      <c r="D174" s="63" t="s"/>
      <c r="F174" s="63" t="s"/>
      <c r="J174" s="63" t="s"/>
    </row>
    <row r="175" spans="4:10">
      <c r="D175" s="63" t="s"/>
      <c r="F175" s="63" t="s"/>
      <c r="J175" s="63" t="s"/>
    </row>
    <row r="176" spans="4:10">
      <c r="D176" s="63" t="s"/>
      <c r="F176" s="63" t="s"/>
      <c r="J176" s="63" t="s"/>
    </row>
    <row r="177" spans="4:10">
      <c r="D177" s="63" t="s"/>
      <c r="F177" s="63" t="s"/>
      <c r="J177" s="63" t="s"/>
    </row>
    <row r="178" spans="4:10">
      <c r="D178" s="63" t="s"/>
      <c r="F178" s="63" t="s"/>
      <c r="J178" s="63" t="s"/>
    </row>
    <row r="179" spans="4:10">
      <c r="D179" s="63" t="s"/>
      <c r="F179" s="63" t="s"/>
      <c r="J179" s="63" t="s"/>
    </row>
    <row r="180" spans="4:10">
      <c r="D180" s="63" t="s"/>
      <c r="F180" s="63" t="s"/>
      <c r="J180" s="63" t="s"/>
    </row>
    <row r="181" spans="4:10">
      <c r="D181" s="63" t="s"/>
      <c r="F181" s="63" t="s"/>
      <c r="J181" s="63" t="s"/>
    </row>
    <row r="182" spans="4:10">
      <c r="D182" s="63" t="s"/>
      <c r="F182" s="63" t="s"/>
      <c r="J182" s="63" t="s"/>
    </row>
    <row r="183" spans="4:10">
      <c r="D183" s="63" t="s"/>
      <c r="F183" s="63" t="s"/>
      <c r="J183" s="63" t="s"/>
    </row>
    <row r="184" spans="4:10">
      <c r="D184" s="63" t="s"/>
      <c r="F184" s="63" t="s"/>
      <c r="J184" s="63" t="s"/>
    </row>
    <row r="185" spans="4:10">
      <c r="D185" s="63" t="s"/>
      <c r="F185" s="63" t="s"/>
      <c r="J185" s="63" t="s"/>
    </row>
    <row r="186" spans="4:10">
      <c r="D186" s="63" t="s"/>
      <c r="F186" s="63" t="s"/>
      <c r="J186" s="63" t="s"/>
    </row>
    <row r="187" spans="4:10">
      <c r="D187" s="63" t="s"/>
      <c r="F187" s="63" t="s"/>
      <c r="J187" s="63" t="s"/>
    </row>
    <row r="188" spans="4:10">
      <c r="D188" s="63" t="s"/>
      <c r="F188" s="63" t="s"/>
      <c r="J188" s="63" t="s"/>
    </row>
    <row r="189" spans="4:10">
      <c r="D189" s="63" t="s"/>
      <c r="F189" s="63" t="s"/>
      <c r="J189" s="63" t="s"/>
    </row>
    <row r="190" spans="4:10">
      <c r="D190" s="63" t="s"/>
      <c r="F190" s="63" t="s"/>
      <c r="J190" s="63" t="s"/>
    </row>
    <row r="191" spans="4:10">
      <c r="D191" s="63" t="s"/>
      <c r="F191" s="63" t="s"/>
      <c r="J191" s="63" t="s"/>
    </row>
    <row r="192" spans="4:10">
      <c r="D192" s="63" t="s"/>
      <c r="F192" s="63" t="s"/>
      <c r="J192" s="63" t="s"/>
    </row>
    <row r="193" spans="4:10">
      <c r="D193" s="63" t="s"/>
      <c r="F193" s="63" t="s"/>
      <c r="J193" s="63" t="s"/>
    </row>
    <row r="194" spans="4:10">
      <c r="D194" s="63" t="s"/>
      <c r="F194" s="63" t="s"/>
      <c r="J194" s="63" t="s"/>
    </row>
    <row r="195" spans="4:10">
      <c r="D195" s="63" t="s"/>
      <c r="F195" s="63" t="s"/>
      <c r="J195" s="63" t="s"/>
    </row>
    <row r="196" spans="4:10">
      <c r="D196" s="63" t="s"/>
      <c r="F196" s="63" t="s"/>
      <c r="J196" s="63" t="s"/>
    </row>
    <row r="197" spans="4:10">
      <c r="D197" s="63" t="s"/>
      <c r="F197" s="63" t="s"/>
      <c r="J197" s="63" t="s"/>
    </row>
    <row r="198" spans="4:10">
      <c r="D198" s="63" t="s"/>
      <c r="F198" s="63" t="s"/>
      <c r="J198" s="63" t="s"/>
    </row>
    <row r="199" spans="4:10">
      <c r="D199" s="63" t="s"/>
      <c r="F199" s="63" t="s"/>
      <c r="J199" s="63" t="s"/>
    </row>
    <row r="200" spans="4:10">
      <c r="D200" s="63" t="s"/>
      <c r="F200" s="63" t="s"/>
      <c r="J200" s="63" t="s"/>
    </row>
    <row r="201" spans="4:10">
      <c r="D201" s="63" t="s"/>
      <c r="F201" s="63" t="s"/>
      <c r="J201" s="63" t="s"/>
    </row>
    <row r="202" spans="4:10">
      <c r="D202" s="63" t="s"/>
      <c r="F202" s="63" t="s"/>
      <c r="J202" s="63" t="s"/>
    </row>
    <row r="203" spans="4:10">
      <c r="D203" s="63" t="s"/>
      <c r="F203" s="63" t="s"/>
      <c r="J203" s="63" t="s"/>
    </row>
    <row r="204" spans="4:10">
      <c r="D204" s="63" t="s"/>
      <c r="F204" s="63" t="s"/>
      <c r="J204" s="63" t="s"/>
    </row>
    <row r="205" spans="4:10">
      <c r="D205" s="63" t="s"/>
      <c r="F205" s="63" t="s"/>
      <c r="J205" s="63" t="s"/>
    </row>
    <row r="206" spans="4:10">
      <c r="D206" s="63" t="s"/>
      <c r="F206" s="63" t="s"/>
      <c r="J206" s="63" t="s"/>
    </row>
    <row r="207" spans="4:10">
      <c r="D207" s="63" t="s"/>
      <c r="F207" s="63" t="s"/>
      <c r="J207" s="63" t="s"/>
    </row>
    <row r="208" spans="4:10">
      <c r="D208" s="63" t="s"/>
      <c r="F208" s="63" t="s"/>
      <c r="J208" s="63" t="s"/>
    </row>
    <row r="209" spans="4:10">
      <c r="D209" s="63" t="s"/>
      <c r="F209" s="63" t="s"/>
      <c r="J209" s="63" t="s"/>
    </row>
    <row r="210" spans="4:10">
      <c r="D210" s="63" t="s"/>
      <c r="F210" s="63" t="s"/>
      <c r="J210" s="63" t="s"/>
    </row>
    <row r="211" spans="4:10">
      <c r="D211" s="63" t="s"/>
      <c r="F211" s="63" t="s"/>
      <c r="J211" s="63" t="s"/>
    </row>
    <row r="212" spans="4:10">
      <c r="D212" s="63" t="s"/>
      <c r="F212" s="63" t="s"/>
      <c r="J212" s="63" t="s"/>
    </row>
    <row r="213" spans="4:10">
      <c r="D213" s="63" t="s"/>
      <c r="F213" s="63" t="s"/>
      <c r="J213" s="63" t="s"/>
    </row>
    <row r="214" spans="4:10">
      <c r="D214" s="63" t="s"/>
      <c r="F214" s="63" t="s"/>
      <c r="J214" s="63" t="s"/>
    </row>
    <row r="215" spans="4:10">
      <c r="D215" s="63" t="s"/>
      <c r="F215" s="63" t="s"/>
      <c r="J215" s="63" t="s"/>
    </row>
  </sheetData>
</worksheet>
</file>

<file path=xl/worksheets/sheet21.xml><?xml version="1.0" encoding="utf-8"?>
<worksheet xmlns:r="http://schemas.openxmlformats.org/officeDocument/2006/relationships" xmlns="http://schemas.openxmlformats.org/spreadsheetml/2006/main">
  <sheetPr codeName="邦布技能">
    <tabColor/>
  </sheetPr>
  <dimension ref="G72"/>
  <sheetViews>
    <sheetView showGridLines="1" workbookViewId="0">
      <pane xSplit="1" ySplit="1" topLeftCell="B2" state="frozen"/>
    </sheetView>
  </sheetViews>
  <sheetFormatPr baseColWidth="13" defaultRowHeight="18" customHeight="1"/>
  <cols>
    <col min="1" max="1" width="11.1016" customWidth="1"/>
    <col min="2" max="2" width="30.8711" customWidth="1"/>
    <col min="3" max="3" width="12.0938" customWidth="1"/>
    <col min="4" max="4" width="16.043" customWidth="1"/>
    <col min="5" max="5" width="12.0938" customWidth="1"/>
    <col min="6" max="6" width="16.043" customWidth="1"/>
    <col min="7" max="7" width="12.0938" customWidth="1"/>
  </cols>
  <sheetData>
    <row r="1" spans="1:7">
      <c r="A1" s="16" t="s">
        <v>4144</v>
      </c>
      <c r="B1" s="16" t="s">
        <v>46</v>
      </c>
      <c r="C1" s="22" t="s">
        <v>48</v>
      </c>
      <c r="D1" s="22" t="s">
        <v>49</v>
      </c>
      <c r="E1" s="22" t="s">
        <v>50</v>
      </c>
      <c r="F1" s="22" t="s">
        <v>51</v>
      </c>
      <c r="G1" s="16" t="s">
        <v>53</v>
      </c>
    </row>
    <row r="2" spans="1:7">
      <c r="A2" s="16" t="s">
        <v>5898</v>
      </c>
      <c r="B2" s="16" t="s">
        <v>5900</v>
      </c>
      <c r="C2" s="22">
        <v>4.62</v>
      </c>
      <c r="D2" s="22">
        <v>0.462</v>
      </c>
      <c r="E2" s="22">
        <v>2.7</v>
      </c>
      <c r="F2" s="22">
        <v>0.27</v>
      </c>
      <c r="G2" s="16">
        <v>346</v>
      </c>
    </row>
    <row r="3" spans="1:7">
      <c r="A3" s="16" t="s">
        <v>5898</v>
      </c>
      <c r="B3" s="16" t="s">
        <v>5901</v>
      </c>
      <c r="C3" s="22">
        <v>9.57</v>
      </c>
      <c r="D3" s="22">
        <v>0.957</v>
      </c>
      <c r="E3" s="22">
        <v>1.37</v>
      </c>
      <c r="F3" s="22">
        <v>0.137</v>
      </c>
      <c r="G3" s="16">
        <v>410</v>
      </c>
    </row>
    <row r="4" spans="1:7">
      <c r="A4" s="16" t="s">
        <v>5897</v>
      </c>
      <c r="B4" s="16" t="s">
        <v>5902</v>
      </c>
      <c r="C4" s="22">
        <v>4.4</v>
      </c>
      <c r="D4" s="22">
        <v>0.44</v>
      </c>
      <c r="E4" s="22">
        <v>2.57</v>
      </c>
      <c r="F4" s="22">
        <v>0.257</v>
      </c>
      <c r="G4" s="16">
        <v>330</v>
      </c>
    </row>
    <row r="5" spans="1:7">
      <c r="A5" s="16" t="s">
        <v>5895</v>
      </c>
      <c r="B5" s="16" t="s">
        <v>14628</v>
      </c>
      <c r="C5" s="22">
        <v>3.23</v>
      </c>
      <c r="D5" s="22">
        <v>0.323</v>
      </c>
      <c r="E5" s="22">
        <v>1.89</v>
      </c>
      <c r="F5" s="22">
        <v>0.189</v>
      </c>
      <c r="G5" s="16">
        <v>242</v>
      </c>
    </row>
    <row r="6" spans="1:7">
      <c r="A6" s="16" t="s">
        <v>5894</v>
      </c>
      <c r="B6" s="16" t="s">
        <v>5903</v>
      </c>
      <c r="C6" s="22">
        <v>4.62</v>
      </c>
      <c r="D6" s="22">
        <v>0.462</v>
      </c>
      <c r="E6" s="22">
        <v>2.7</v>
      </c>
      <c r="F6" s="22">
        <v>0.27</v>
      </c>
      <c r="G6" s="16">
        <v>346</v>
      </c>
    </row>
    <row r="7" spans="1:7">
      <c r="A7" s="16" t="s">
        <v>5894</v>
      </c>
      <c r="B7" s="16" t="s">
        <v>14629</v>
      </c>
      <c r="C7" s="22">
        <v>6.65</v>
      </c>
      <c r="D7" s="22">
        <v>0.665</v>
      </c>
      <c r="E7" s="22">
        <v>0.95</v>
      </c>
      <c r="F7" s="22">
        <v>0.095</v>
      </c>
      <c r="G7" s="16">
        <v>285</v>
      </c>
    </row>
    <row r="8" spans="1:7">
      <c r="A8" s="16" t="s">
        <v>5893</v>
      </c>
      <c r="B8" s="16" t="s">
        <v>5904</v>
      </c>
      <c r="C8" s="22">
        <v>3.6</v>
      </c>
      <c r="D8" s="22">
        <v>0.36</v>
      </c>
      <c r="E8" s="22">
        <v>2.11</v>
      </c>
      <c r="F8" s="22">
        <v>0.211</v>
      </c>
      <c r="G8" s="16">
        <v>270</v>
      </c>
    </row>
    <row r="9" spans="1:7">
      <c r="A9" s="16" t="s">
        <v>5893</v>
      </c>
      <c r="B9" s="16" t="s">
        <v>5905</v>
      </c>
      <c r="C9" s="22">
        <v>7.64</v>
      </c>
      <c r="D9" s="22">
        <v>0.764</v>
      </c>
      <c r="E9" s="22">
        <v>1.09</v>
      </c>
      <c r="F9" s="22">
        <v>0.109</v>
      </c>
      <c r="G9" s="16">
        <v>328</v>
      </c>
    </row>
    <row r="10" spans="1:7">
      <c r="A10" s="16" t="s">
        <v>5892</v>
      </c>
      <c r="B10" s="16" t="s">
        <v>5906</v>
      </c>
      <c r="C10" s="22">
        <v>2.8</v>
      </c>
      <c r="D10" s="22">
        <v>0.28</v>
      </c>
      <c r="E10" s="22">
        <v>1.64</v>
      </c>
      <c r="F10" s="22">
        <v>0.164</v>
      </c>
      <c r="G10" s="16">
        <v>210</v>
      </c>
    </row>
    <row r="11" spans="1:7">
      <c r="A11" s="16" t="s">
        <v>5892</v>
      </c>
      <c r="B11" s="16" t="s">
        <v>5907</v>
      </c>
      <c r="C11" s="22">
        <v>6.94</v>
      </c>
      <c r="D11" s="22">
        <v>0.694</v>
      </c>
      <c r="E11" s="22">
        <v>0.99</v>
      </c>
      <c r="F11" s="22">
        <v>0.099</v>
      </c>
      <c r="G11" s="16">
        <v>298</v>
      </c>
    </row>
    <row r="12" spans="1:7">
      <c r="A12" s="16" t="s">
        <v>5890</v>
      </c>
      <c r="B12" s="16" t="s">
        <v>5908</v>
      </c>
      <c r="C12" s="22">
        <v>3.2</v>
      </c>
      <c r="D12" s="22">
        <v>0.32</v>
      </c>
      <c r="E12" s="22">
        <v>1.87</v>
      </c>
      <c r="F12" s="22">
        <v>0.187</v>
      </c>
      <c r="G12" s="16">
        <v>240</v>
      </c>
    </row>
    <row r="13" spans="1:7">
      <c r="A13" s="16" t="s">
        <v>5890</v>
      </c>
      <c r="B13" s="16" t="s">
        <v>5909</v>
      </c>
      <c r="C13" s="22">
        <v>8.75</v>
      </c>
      <c r="D13" s="22">
        <v>0.875</v>
      </c>
      <c r="E13" s="22">
        <v>1.25</v>
      </c>
      <c r="F13" s="22">
        <v>0.125</v>
      </c>
      <c r="G13" s="16">
        <v>375</v>
      </c>
    </row>
    <row r="14" spans="1:7">
      <c r="A14" s="16" t="s">
        <v>5889</v>
      </c>
      <c r="B14" s="16" t="s">
        <v>5910</v>
      </c>
      <c r="C14" s="22">
        <v>3.6</v>
      </c>
      <c r="D14" s="22">
        <v>0.36</v>
      </c>
      <c r="E14" s="22">
        <v>2.11</v>
      </c>
      <c r="F14" s="22">
        <v>0.211</v>
      </c>
      <c r="G14" s="16">
        <v>270</v>
      </c>
    </row>
    <row r="15" spans="1:7">
      <c r="A15" s="16" t="s">
        <v>5889</v>
      </c>
      <c r="B15" s="16" t="s">
        <v>5911</v>
      </c>
      <c r="C15" s="22">
        <v>7.12</v>
      </c>
      <c r="D15" s="22">
        <v>0.712</v>
      </c>
      <c r="E15" s="22">
        <v>1.02</v>
      </c>
      <c r="F15" s="22">
        <v>0.102</v>
      </c>
      <c r="G15" s="16">
        <v>305</v>
      </c>
    </row>
    <row r="16" spans="1:7">
      <c r="A16" s="16" t="s">
        <v>5888</v>
      </c>
      <c r="B16" s="16" t="s">
        <v>5912</v>
      </c>
      <c r="C16" s="22">
        <v>4.8</v>
      </c>
      <c r="D16" s="22">
        <v>0.48</v>
      </c>
      <c r="E16" s="22">
        <v>2.81</v>
      </c>
      <c r="F16" s="22">
        <v>0.281</v>
      </c>
      <c r="G16" s="16">
        <v>360</v>
      </c>
    </row>
    <row r="17" spans="1:7">
      <c r="A17" s="16" t="s">
        <v>5880</v>
      </c>
      <c r="B17" s="16" t="s">
        <v>5913</v>
      </c>
      <c r="C17" s="22">
        <v>3.84</v>
      </c>
      <c r="D17" s="22">
        <v>0.384</v>
      </c>
      <c r="E17" s="22">
        <v>1.4</v>
      </c>
      <c r="F17" s="22">
        <v>0.14</v>
      </c>
      <c r="G17" s="16">
        <v>180</v>
      </c>
    </row>
    <row r="18" spans="1:7">
      <c r="A18" s="16" t="s">
        <v>5880</v>
      </c>
      <c r="B18" s="16" t="s">
        <v>5914</v>
      </c>
      <c r="C18" s="22">
        <v>4.61</v>
      </c>
      <c r="D18" s="22">
        <v>0.461</v>
      </c>
      <c r="E18" s="22">
        <v>0.93</v>
      </c>
      <c r="F18" s="22">
        <v>0.093</v>
      </c>
      <c r="G18" s="16">
        <v>190</v>
      </c>
    </row>
    <row r="19" spans="1:7">
      <c r="A19" s="16" t="s">
        <v>5879</v>
      </c>
      <c r="B19" s="16" t="s">
        <v>5915</v>
      </c>
      <c r="C19" s="22">
        <v>5.76</v>
      </c>
      <c r="D19" s="22">
        <v>0.576</v>
      </c>
      <c r="E19" s="22">
        <v>2.11</v>
      </c>
      <c r="F19" s="22">
        <v>0.211</v>
      </c>
      <c r="G19" s="16">
        <v>270</v>
      </c>
    </row>
    <row r="20" spans="1:7">
      <c r="A20" s="16" t="s">
        <v>5879</v>
      </c>
      <c r="B20" s="16" t="s">
        <v>5916</v>
      </c>
      <c r="C20" s="22">
        <v>6.65</v>
      </c>
      <c r="D20" s="22">
        <v>0.665</v>
      </c>
      <c r="E20" s="22">
        <v>0.95</v>
      </c>
      <c r="F20" s="22">
        <v>0.095</v>
      </c>
      <c r="G20" s="16">
        <v>285</v>
      </c>
    </row>
    <row r="21" spans="1:7">
      <c r="A21" s="16" t="s">
        <v>5878</v>
      </c>
      <c r="B21" s="16" t="s">
        <v>5917</v>
      </c>
      <c r="C21" s="22">
        <v>2</v>
      </c>
      <c r="D21" s="22">
        <v>0.2</v>
      </c>
      <c r="E21" s="22">
        <v>1.17</v>
      </c>
      <c r="F21" s="22">
        <v>0.117</v>
      </c>
      <c r="G21" s="16">
        <v>150</v>
      </c>
    </row>
    <row r="22" spans="1:7">
      <c r="A22" s="16" t="s">
        <v>5878</v>
      </c>
      <c r="B22" s="16" t="s">
        <v>5918</v>
      </c>
      <c r="C22" s="22">
        <v>3.27</v>
      </c>
      <c r="D22" s="22">
        <v>0.327</v>
      </c>
      <c r="E22" s="22">
        <v>0.47</v>
      </c>
      <c r="F22" s="22">
        <v>0.047</v>
      </c>
      <c r="G22" s="16">
        <v>140</v>
      </c>
    </row>
    <row r="23" spans="1:7">
      <c r="A23" s="16" t="s">
        <v>5878</v>
      </c>
      <c r="B23" s="16" t="s">
        <v>5918</v>
      </c>
      <c r="C23" s="22">
        <v>0.74</v>
      </c>
      <c r="D23" s="22">
        <v>0.074</v>
      </c>
      <c r="E23" s="22">
        <v>0.11</v>
      </c>
      <c r="F23" s="22">
        <v>0.011</v>
      </c>
      <c r="G23" s="16">
        <v>32</v>
      </c>
    </row>
    <row r="24" spans="1:7">
      <c r="A24" s="16" t="s">
        <v>5877</v>
      </c>
      <c r="B24" s="16" t="s">
        <v>5919</v>
      </c>
      <c r="C24" s="22">
        <v>6.83</v>
      </c>
      <c r="D24" s="22">
        <v>0.683</v>
      </c>
      <c r="E24" s="22">
        <v>0.98</v>
      </c>
      <c r="F24" s="22">
        <v>0.098</v>
      </c>
      <c r="G24" s="16">
        <v>293</v>
      </c>
    </row>
    <row r="25" spans="1:7">
      <c r="A25" s="16" t="s">
        <v>5876</v>
      </c>
      <c r="B25" s="16" t="s">
        <v>5920</v>
      </c>
      <c r="C25" s="22">
        <v>8.1</v>
      </c>
      <c r="D25" s="22">
        <v>0.81</v>
      </c>
      <c r="E25" s="22">
        <v>0</v>
      </c>
      <c r="F25" s="22">
        <v>0</v>
      </c>
      <c r="G25" s="16">
        <v>330</v>
      </c>
    </row>
    <row r="26" spans="1:7">
      <c r="A26" s="16" t="s">
        <v>5876</v>
      </c>
      <c r="B26" s="16" t="s">
        <v>14630</v>
      </c>
      <c r="C26" s="22">
        <v>8.4</v>
      </c>
      <c r="D26" s="22">
        <v>0.84</v>
      </c>
      <c r="E26" s="22">
        <v>1.2</v>
      </c>
      <c r="F26" s="22">
        <v>0.12</v>
      </c>
      <c r="G26" s="16">
        <v>360</v>
      </c>
    </row>
    <row r="27" spans="1:7">
      <c r="A27" s="16" t="s">
        <v>5875</v>
      </c>
      <c r="B27" s="16" t="s">
        <v>14631</v>
      </c>
      <c r="C27" s="22">
        <v>5.76</v>
      </c>
      <c r="D27" s="22">
        <v>0.576</v>
      </c>
      <c r="E27" s="22">
        <v>2.11</v>
      </c>
      <c r="F27" s="22">
        <v>0.211</v>
      </c>
      <c r="G27" s="16">
        <v>270</v>
      </c>
    </row>
    <row r="28" spans="1:7">
      <c r="A28" s="16" t="s">
        <v>5875</v>
      </c>
      <c r="B28" s="16" t="s">
        <v>5921</v>
      </c>
      <c r="C28" s="22">
        <v>5.43</v>
      </c>
      <c r="D28" s="22">
        <v>0.543</v>
      </c>
      <c r="E28" s="22">
        <v>0.78</v>
      </c>
      <c r="F28" s="22">
        <v>0.078</v>
      </c>
      <c r="G28" s="16">
        <v>233</v>
      </c>
    </row>
    <row r="29" spans="1:7">
      <c r="A29" s="16" t="s">
        <v>5874</v>
      </c>
      <c r="B29" s="16" t="s">
        <v>5922</v>
      </c>
      <c r="C29" s="22">
        <v>5.12</v>
      </c>
      <c r="D29" s="22">
        <v>0.512</v>
      </c>
      <c r="E29" s="22">
        <v>1.87</v>
      </c>
      <c r="F29" s="22">
        <v>0.187</v>
      </c>
      <c r="G29" s="16">
        <v>240</v>
      </c>
    </row>
    <row r="30" spans="1:7">
      <c r="A30" s="16" t="s">
        <v>5874</v>
      </c>
      <c r="B30" s="16" t="s">
        <v>5923</v>
      </c>
      <c r="C30" s="22">
        <v>6.88</v>
      </c>
      <c r="D30" s="22">
        <v>0.688</v>
      </c>
      <c r="E30" s="22">
        <v>0.98</v>
      </c>
      <c r="F30" s="22">
        <v>0.098</v>
      </c>
      <c r="G30" s="16">
        <v>295</v>
      </c>
    </row>
    <row r="31" spans="1:7">
      <c r="A31" s="16" t="s">
        <v>5873</v>
      </c>
      <c r="B31" s="16" t="s">
        <v>5924</v>
      </c>
      <c r="C31" s="22">
        <v>8.96</v>
      </c>
      <c r="D31" s="22">
        <v>0.896</v>
      </c>
      <c r="E31" s="22">
        <v>3.28</v>
      </c>
      <c r="F31" s="22">
        <v>0.328</v>
      </c>
      <c r="G31" s="16">
        <v>420</v>
      </c>
    </row>
    <row r="32" spans="1:7">
      <c r="A32" s="16" t="s">
        <v>5873</v>
      </c>
      <c r="B32" s="16" t="s">
        <v>5925</v>
      </c>
      <c r="C32" s="22">
        <v>6.53</v>
      </c>
      <c r="D32" s="22">
        <v>0.653</v>
      </c>
      <c r="E32" s="22">
        <v>0.93</v>
      </c>
      <c r="F32" s="22">
        <v>0.093</v>
      </c>
      <c r="G32" s="16">
        <v>280</v>
      </c>
    </row>
    <row r="33" spans="1:7">
      <c r="A33" s="16" t="s">
        <v>5869</v>
      </c>
      <c r="B33" s="16" t="s">
        <v>5926</v>
      </c>
      <c r="C33" s="22">
        <v>5.76</v>
      </c>
      <c r="D33" s="22">
        <v>0.576</v>
      </c>
      <c r="E33" s="22">
        <v>2.11</v>
      </c>
      <c r="F33" s="22">
        <v>0.211</v>
      </c>
      <c r="G33" s="16">
        <v>270</v>
      </c>
    </row>
    <row r="34" spans="1:7">
      <c r="A34" s="16" t="s">
        <v>5869</v>
      </c>
      <c r="B34" s="16" t="s">
        <v>5927</v>
      </c>
      <c r="C34" s="22">
        <v>7.76</v>
      </c>
      <c r="D34" s="22">
        <v>0.776</v>
      </c>
      <c r="E34" s="22">
        <v>1.11</v>
      </c>
      <c r="F34" s="22">
        <v>0.111</v>
      </c>
      <c r="G34" s="16">
        <v>333</v>
      </c>
    </row>
    <row r="35" spans="1:7">
      <c r="A35" s="16" t="s">
        <v>5869</v>
      </c>
      <c r="B35" s="16" t="s">
        <v>5926</v>
      </c>
      <c r="C35" s="22">
        <v>11.52</v>
      </c>
      <c r="D35" s="22">
        <v>1.152</v>
      </c>
      <c r="E35" s="22">
        <v>4.21</v>
      </c>
      <c r="F35" s="22">
        <v>0.421</v>
      </c>
      <c r="G35" s="16">
        <v>540</v>
      </c>
    </row>
    <row r="36" spans="1:7">
      <c r="A36" s="16" t="s">
        <v>5870</v>
      </c>
      <c r="B36" s="16" t="s">
        <v>5928</v>
      </c>
      <c r="C36" s="22">
        <v>2.77</v>
      </c>
      <c r="D36" s="22">
        <v>0.277</v>
      </c>
      <c r="E36" s="22">
        <v>1.01</v>
      </c>
      <c r="F36" s="22">
        <v>0.101</v>
      </c>
      <c r="G36" s="16">
        <v>130</v>
      </c>
    </row>
    <row r="37" spans="1:7">
      <c r="A37" s="16" t="s">
        <v>5870</v>
      </c>
      <c r="B37" s="16" t="s">
        <v>5929</v>
      </c>
      <c r="C37" s="22">
        <v>8.34</v>
      </c>
      <c r="D37" s="22">
        <v>0.834</v>
      </c>
      <c r="E37" s="22">
        <v>1.19</v>
      </c>
      <c r="F37" s="22">
        <v>0.119</v>
      </c>
      <c r="G37" s="16">
        <v>358</v>
      </c>
    </row>
    <row r="38" spans="1:7">
      <c r="A38" s="16" t="s">
        <v>5871</v>
      </c>
      <c r="B38" s="16" t="s">
        <v>5930</v>
      </c>
      <c r="C38" s="22">
        <v>9.6</v>
      </c>
      <c r="D38" s="22">
        <v>0.96</v>
      </c>
      <c r="E38" s="22">
        <v>3.51</v>
      </c>
      <c r="F38" s="22">
        <v>0.351</v>
      </c>
      <c r="G38" s="16">
        <v>450</v>
      </c>
    </row>
    <row r="39" spans="1:7">
      <c r="A39" s="16" t="s">
        <v>5871</v>
      </c>
      <c r="B39" s="16" t="s">
        <v>5931</v>
      </c>
      <c r="C39" s="22">
        <v>7.53</v>
      </c>
      <c r="D39" s="22">
        <v>0.753</v>
      </c>
      <c r="E39" s="22">
        <v>1.08</v>
      </c>
      <c r="F39" s="22">
        <v>0.108</v>
      </c>
      <c r="G39" s="16">
        <v>323</v>
      </c>
    </row>
    <row r="40" spans="1:7">
      <c r="A40" s="16" t="s">
        <v>5882</v>
      </c>
      <c r="B40" s="16" t="s">
        <v>5932</v>
      </c>
      <c r="C40" s="22">
        <v>0.86</v>
      </c>
      <c r="D40" s="22">
        <v>0.086</v>
      </c>
      <c r="E40" s="22">
        <v>0.12</v>
      </c>
      <c r="F40" s="22">
        <v>0.012</v>
      </c>
      <c r="G40" s="16">
        <v>37</v>
      </c>
    </row>
    <row r="41" spans="1:7">
      <c r="A41" s="16" t="s">
        <v>5886</v>
      </c>
      <c r="B41" s="16" t="s">
        <v>5933</v>
      </c>
      <c r="C41" s="22">
        <v>4</v>
      </c>
      <c r="D41" s="22">
        <v>0.4</v>
      </c>
      <c r="E41" s="22">
        <v>2.34</v>
      </c>
      <c r="F41" s="22">
        <v>0.234</v>
      </c>
      <c r="G41" s="16">
        <v>300</v>
      </c>
    </row>
    <row r="42" spans="1:7">
      <c r="A42" s="16" t="s">
        <v>5886</v>
      </c>
      <c r="B42" s="16" t="s">
        <v>5934</v>
      </c>
      <c r="C42" s="22">
        <v>6.83</v>
      </c>
      <c r="D42" s="22">
        <v>0.683</v>
      </c>
      <c r="E42" s="22">
        <v>0.98</v>
      </c>
      <c r="F42" s="22">
        <v>0.098</v>
      </c>
      <c r="G42" s="16">
        <v>293</v>
      </c>
    </row>
    <row r="43" spans="1:7">
      <c r="A43" s="16" t="s">
        <v>5868</v>
      </c>
      <c r="B43" s="16" t="s">
        <v>5935</v>
      </c>
      <c r="C43" s="22">
        <v>6.4</v>
      </c>
      <c r="D43" s="22">
        <v>0.64</v>
      </c>
      <c r="E43" s="22">
        <v>2.34</v>
      </c>
      <c r="F43" s="22">
        <v>0.234</v>
      </c>
      <c r="G43" s="16">
        <v>300</v>
      </c>
    </row>
    <row r="44" spans="1:7">
      <c r="A44" s="16" t="s">
        <v>5868</v>
      </c>
      <c r="B44" s="16" t="s">
        <v>5936</v>
      </c>
      <c r="C44" s="22">
        <v>7.99</v>
      </c>
      <c r="D44" s="22">
        <v>0.799</v>
      </c>
      <c r="E44" s="22">
        <v>1.14</v>
      </c>
      <c r="F44" s="22">
        <v>0.114</v>
      </c>
      <c r="G44" s="16">
        <v>343</v>
      </c>
    </row>
    <row r="45" spans="1:7">
      <c r="A45" s="16" t="s">
        <v>5884</v>
      </c>
      <c r="B45" s="16" t="s">
        <v>5937</v>
      </c>
      <c r="C45" s="22">
        <v>5.6</v>
      </c>
      <c r="D45" s="22">
        <v>0.56</v>
      </c>
      <c r="E45" s="22">
        <v>3.28</v>
      </c>
      <c r="F45" s="22">
        <v>0.328</v>
      </c>
      <c r="G45" s="16">
        <v>420</v>
      </c>
    </row>
    <row r="46" spans="1:7">
      <c r="A46" s="16" t="s">
        <v>5884</v>
      </c>
      <c r="B46" s="16" t="s">
        <v>5938</v>
      </c>
      <c r="C46" s="22">
        <v>8.46</v>
      </c>
      <c r="D46" s="22">
        <v>0.846</v>
      </c>
      <c r="E46" s="22">
        <v>1.21</v>
      </c>
      <c r="F46" s="22">
        <v>0.121</v>
      </c>
      <c r="G46" s="16">
        <v>363</v>
      </c>
    </row>
    <row r="47" spans="1:7">
      <c r="A47" s="16" t="s">
        <v>5867</v>
      </c>
      <c r="B47" s="16" t="s">
        <v>5939</v>
      </c>
      <c r="C47" s="22">
        <v>0</v>
      </c>
      <c r="D47" s="22">
        <v>0</v>
      </c>
      <c r="E47" s="22">
        <v>0</v>
      </c>
      <c r="F47" s="22">
        <v>0</v>
      </c>
      <c r="G47" s="16">
        <v>0</v>
      </c>
    </row>
    <row r="48" spans="1:7">
      <c r="A48" s="16" t="s">
        <v>5867</v>
      </c>
      <c r="B48" s="16" t="s">
        <v>5940</v>
      </c>
      <c r="C48" s="22">
        <v>7.47</v>
      </c>
      <c r="D48" s="22">
        <v>0.747</v>
      </c>
      <c r="E48" s="22">
        <v>1.07</v>
      </c>
      <c r="F48" s="22">
        <v>0.107</v>
      </c>
      <c r="G48" s="16">
        <v>320</v>
      </c>
    </row>
    <row r="49" spans="1:7">
      <c r="A49" s="16" t="s">
        <v>5866</v>
      </c>
      <c r="B49" s="16" t="s">
        <v>5941</v>
      </c>
      <c r="C49" s="22">
        <v>8.55</v>
      </c>
      <c r="D49" s="22">
        <v>0.855</v>
      </c>
      <c r="E49" s="22">
        <v>2.13</v>
      </c>
      <c r="F49" s="22">
        <v>0.213</v>
      </c>
      <c r="G49" s="16">
        <v>312</v>
      </c>
    </row>
    <row r="50" spans="1:7">
      <c r="A50" s="16" t="s">
        <v>5866</v>
      </c>
      <c r="B50" s="16" t="s">
        <v>5942</v>
      </c>
      <c r="C50" s="22">
        <v>5.82</v>
      </c>
      <c r="D50" s="22">
        <v>0.582</v>
      </c>
      <c r="E50" s="22">
        <v>3.22</v>
      </c>
      <c r="F50" s="22">
        <v>0.322</v>
      </c>
      <c r="G50" s="16">
        <v>273</v>
      </c>
    </row>
    <row r="51" spans="1:7">
      <c r="A51" s="16" t="s">
        <v>5866</v>
      </c>
      <c r="B51" s="16" t="s">
        <v>5943</v>
      </c>
      <c r="C51" s="22">
        <v>6.66</v>
      </c>
      <c r="D51" s="22">
        <v>0.666</v>
      </c>
      <c r="E51" s="22">
        <v>2.13</v>
      </c>
      <c r="F51" s="22">
        <v>0.213</v>
      </c>
      <c r="G51" s="16">
        <v>412</v>
      </c>
    </row>
    <row r="52" spans="1:7">
      <c r="A52" s="16" t="s">
        <v>5866</v>
      </c>
      <c r="B52" s="16" t="s">
        <v>5944</v>
      </c>
      <c r="C52" s="22">
        <v>6.88</v>
      </c>
      <c r="D52" s="22">
        <v>0.688</v>
      </c>
      <c r="E52" s="22">
        <v>0.98</v>
      </c>
      <c r="F52" s="22">
        <v>0.098</v>
      </c>
      <c r="G52" s="16">
        <v>295</v>
      </c>
    </row>
    <row r="53" spans="1:7">
      <c r="A53" s="16" t="s">
        <v>5885</v>
      </c>
      <c r="B53" s="16" t="s">
        <v>5945</v>
      </c>
      <c r="C53" s="22">
        <v>3.36</v>
      </c>
      <c r="D53" s="22">
        <v>0.336</v>
      </c>
      <c r="E53" s="22">
        <v>2.81</v>
      </c>
      <c r="F53" s="22">
        <v>0.281</v>
      </c>
      <c r="G53" s="16">
        <v>360</v>
      </c>
    </row>
    <row r="54" spans="1:7">
      <c r="A54" s="16" t="s">
        <v>5865</v>
      </c>
      <c r="B54" s="16" t="s">
        <v>5946</v>
      </c>
      <c r="C54" s="22">
        <v>9.6</v>
      </c>
      <c r="D54" s="22">
        <v>0.96</v>
      </c>
      <c r="E54" s="22">
        <v>3.51</v>
      </c>
      <c r="F54" s="22">
        <v>0.351</v>
      </c>
      <c r="G54" s="16">
        <v>450</v>
      </c>
    </row>
    <row r="55" spans="1:7">
      <c r="A55" s="16" t="s">
        <v>5865</v>
      </c>
      <c r="B55" s="16" t="s">
        <v>5947</v>
      </c>
      <c r="C55" s="22">
        <v>9.1</v>
      </c>
      <c r="D55" s="22">
        <v>0.91</v>
      </c>
      <c r="E55" s="22">
        <v>1.3</v>
      </c>
      <c r="F55" s="22">
        <v>0.13</v>
      </c>
      <c r="G55" s="16">
        <v>390</v>
      </c>
    </row>
    <row r="56" spans="1:7">
      <c r="A56" s="16" t="s">
        <v>5864</v>
      </c>
      <c r="B56" s="16" t="s">
        <v>5948</v>
      </c>
      <c r="C56" s="22">
        <v>8.63</v>
      </c>
      <c r="D56" s="22">
        <v>0.863</v>
      </c>
      <c r="E56" s="22">
        <v>1.23</v>
      </c>
      <c r="F56" s="22">
        <v>0.123</v>
      </c>
      <c r="G56" s="16">
        <v>370</v>
      </c>
    </row>
    <row r="57" spans="1:7">
      <c r="A57" s="16" t="s">
        <v>5863</v>
      </c>
      <c r="B57" s="16" t="s">
        <v>5949</v>
      </c>
      <c r="C57" s="22">
        <v>8</v>
      </c>
      <c r="D57" s="22">
        <v>0.8</v>
      </c>
      <c r="E57" s="22">
        <v>2.93</v>
      </c>
      <c r="F57" s="22">
        <v>0.293</v>
      </c>
      <c r="G57" s="16">
        <v>375</v>
      </c>
    </row>
    <row r="58" spans="1:7">
      <c r="A58" s="16" t="s">
        <v>5863</v>
      </c>
      <c r="B58" s="16" t="s">
        <v>5950</v>
      </c>
      <c r="C58" s="22">
        <v>8.46</v>
      </c>
      <c r="D58" s="22">
        <v>0.846</v>
      </c>
      <c r="E58" s="22">
        <v>1.21</v>
      </c>
      <c r="F58" s="22">
        <v>0.121</v>
      </c>
      <c r="G58" s="16">
        <v>363</v>
      </c>
    </row>
    <row r="59" spans="1:7">
      <c r="A59" s="16" t="s">
        <v>5883</v>
      </c>
      <c r="B59" s="16" t="s">
        <v>5951</v>
      </c>
      <c r="C59" s="22">
        <v>4.8</v>
      </c>
      <c r="D59" s="22">
        <v>0.48</v>
      </c>
      <c r="E59" s="22">
        <v>2.81</v>
      </c>
      <c r="F59" s="22">
        <v>0.281</v>
      </c>
      <c r="G59" s="16">
        <v>360</v>
      </c>
    </row>
    <row r="60" spans="1:7">
      <c r="A60" s="16" t="s">
        <v>5883</v>
      </c>
      <c r="B60" s="16" t="s">
        <v>5952</v>
      </c>
      <c r="C60" s="22">
        <v>3.84</v>
      </c>
      <c r="D60" s="22">
        <v>0.384</v>
      </c>
      <c r="E60" s="22">
        <v>2.81</v>
      </c>
      <c r="F60" s="22">
        <v>0.281</v>
      </c>
      <c r="G60" s="16">
        <v>360</v>
      </c>
    </row>
    <row r="61" spans="1:7">
      <c r="A61" s="16" t="s">
        <v>5883</v>
      </c>
      <c r="B61" s="16" t="s">
        <v>5953</v>
      </c>
      <c r="C61" s="22">
        <v>9.63</v>
      </c>
      <c r="D61" s="22">
        <v>0.963</v>
      </c>
      <c r="E61" s="22">
        <v>1.38</v>
      </c>
      <c r="F61" s="22">
        <v>0.138</v>
      </c>
      <c r="G61" s="16">
        <v>413</v>
      </c>
    </row>
    <row r="62" spans="1:7" ht="20" customHeight="1">
      <c r="A62" s="26" t="s">
        <v>5862</v>
      </c>
      <c r="B62" s="16" t="s">
        <v>5954</v>
      </c>
      <c r="C62" s="22">
        <v>2.69</v>
      </c>
      <c r="D62" s="22">
        <v>0.269</v>
      </c>
      <c r="E62" s="22">
        <v>0.98</v>
      </c>
      <c r="F62" s="22">
        <v>0.098</v>
      </c>
      <c r="G62" s="16">
        <v>126</v>
      </c>
    </row>
    <row r="63" spans="1:7" ht="20" customHeight="1">
      <c r="A63" s="26" t="s">
        <v>5862</v>
      </c>
      <c r="B63" s="16" t="s">
        <v>5955</v>
      </c>
      <c r="C63" s="22">
        <v>3.58</v>
      </c>
      <c r="D63" s="22">
        <v>0.358</v>
      </c>
      <c r="E63" s="22">
        <v>1.31</v>
      </c>
      <c r="F63" s="22">
        <v>0.131</v>
      </c>
      <c r="G63" s="16">
        <v>168</v>
      </c>
    </row>
    <row r="64" spans="1:7" ht="20" customHeight="1">
      <c r="A64" s="26" t="s">
        <v>5862</v>
      </c>
      <c r="B64" s="16" t="s">
        <v>5956</v>
      </c>
      <c r="C64" s="22">
        <v>9.45</v>
      </c>
      <c r="D64" s="22">
        <v>0.945</v>
      </c>
      <c r="E64" s="22">
        <v>1.35</v>
      </c>
      <c r="F64" s="22">
        <v>0.135</v>
      </c>
      <c r="G64" s="16">
        <v>405</v>
      </c>
    </row>
    <row r="65" spans="1:7" ht="20" customHeight="1">
      <c r="A65" s="16" t="s">
        <v>5881</v>
      </c>
      <c r="B65" s="16" t="s">
        <v>5957</v>
      </c>
      <c r="C65" s="22">
        <v>4</v>
      </c>
      <c r="D65" s="22">
        <v>0.4</v>
      </c>
      <c r="E65" s="22">
        <v>2.34</v>
      </c>
      <c r="F65" s="22">
        <v>0.234</v>
      </c>
      <c r="G65" s="16">
        <v>300</v>
      </c>
    </row>
    <row r="66" spans="1:7" ht="20" customHeight="1">
      <c r="A66" s="16" t="s">
        <v>5881</v>
      </c>
      <c r="B66" s="16" t="s">
        <v>5958</v>
      </c>
      <c r="C66" s="22">
        <v>8.58</v>
      </c>
      <c r="D66" s="22">
        <v>0.858</v>
      </c>
      <c r="E66" s="22">
        <v>1.23</v>
      </c>
      <c r="F66" s="22">
        <v>0.123</v>
      </c>
      <c r="G66" s="16">
        <v>368</v>
      </c>
    </row>
    <row r="67" spans="1:7" ht="20" customHeight="1">
      <c r="A67" s="16" t="s">
        <v>5861</v>
      </c>
      <c r="B67" s="16" t="s">
        <v>5959</v>
      </c>
      <c r="C67" s="22">
        <v>7.17</v>
      </c>
      <c r="D67" s="22">
        <v>0.717</v>
      </c>
      <c r="E67" s="22">
        <v>3.28</v>
      </c>
      <c r="F67" s="22">
        <v>0.328</v>
      </c>
      <c r="G67" s="16">
        <v>420</v>
      </c>
    </row>
    <row r="68" spans="1:7" ht="20" customHeight="1">
      <c r="A68" s="16" t="s">
        <v>5861</v>
      </c>
      <c r="B68" s="16" t="s">
        <v>5960</v>
      </c>
      <c r="C68" s="22">
        <v>9.86</v>
      </c>
      <c r="D68" s="22">
        <v>0.986</v>
      </c>
      <c r="E68" s="22">
        <v>3.28</v>
      </c>
      <c r="F68" s="22">
        <v>0.328</v>
      </c>
      <c r="G68" s="16">
        <v>420</v>
      </c>
    </row>
    <row r="69" spans="1:7" ht="20" customHeight="1">
      <c r="A69" s="16" t="s">
        <v>5861</v>
      </c>
      <c r="B69" s="28" t="s">
        <v>5961</v>
      </c>
      <c r="C69" s="22">
        <v>8.46</v>
      </c>
      <c r="D69" s="22">
        <v>0.846</v>
      </c>
      <c r="E69" s="22">
        <v>1.21</v>
      </c>
      <c r="F69" s="22">
        <v>0.121</v>
      </c>
      <c r="G69" s="16">
        <v>363</v>
      </c>
    </row>
    <row r="70" spans="1:7">
      <c r="A70" s="16" t="s">
        <v>5872</v>
      </c>
      <c r="B70" s="16" t="s">
        <v>5962</v>
      </c>
      <c r="C70" s="22">
        <v>10.79</v>
      </c>
      <c r="D70" s="22">
        <v>1.079</v>
      </c>
      <c r="E70" s="22">
        <v>1.54</v>
      </c>
      <c r="F70" s="22">
        <v>0.154</v>
      </c>
      <c r="G70" s="16">
        <v>370</v>
      </c>
    </row>
    <row r="71" spans="1:7">
      <c r="A71" s="16" t="s"/>
      <c r="B71" s="16" t="s"/>
      <c r="C71" s="16" t="s"/>
      <c r="D71" s="16" t="s"/>
      <c r="E71" s="16" t="s"/>
      <c r="F71" s="16" t="s"/>
      <c r="G71" s="16" t="s"/>
    </row>
    <row r="72" spans="1:7">
      <c r="A72" s="16" t="s"/>
      <c r="B72" s="16" t="s"/>
      <c r="C72" s="16" t="s"/>
      <c r="D72" s="16" t="s"/>
      <c r="E72" s="16" t="s"/>
      <c r="F72" s="16" t="s"/>
      <c r="G72" s="16" t="s"/>
    </row>
  </sheetData>
  <legacyDrawing r:id="rId2"/>
</worksheet>
</file>

<file path=xl/worksheets/sheet22.xml><?xml version="1.0" encoding="utf-8"?>
<worksheet xmlns="http://schemas.openxmlformats.org/spreadsheetml/2006/main">
  <sheetPr codeName="驱动盘描述">
    <tabColor/>
  </sheetPr>
  <dimension ref="G25"/>
  <sheetViews>
    <sheetView workbookViewId="0">
      <pane xSplit="1" ySplit="1" topLeftCell="B2" state="frozen"/>
    </sheetView>
  </sheetViews>
  <sheetFormatPr baseColWidth="13" defaultRowHeight="18" customHeight="1"/>
  <cols>
    <col min="1" max="1" width="10.7109" customWidth="1"/>
    <col min="2" max="2" width="19.9922" customWidth="1"/>
    <col min="3" max="3" width="40.6719" customWidth="1"/>
    <col min="4" max="5" width="48.5625" style="88" customWidth="1"/>
    <col min="6" max="6" width="24.2344" customWidth="1"/>
    <col min="7" max="7" width="29.3438" customWidth="1"/>
  </cols>
  <sheetData>
    <row r="1" spans="1:7">
      <c r="A1" s="16" t="s">
        <v>956</v>
      </c>
      <c r="B1" s="16" t="s">
        <v>4144</v>
      </c>
      <c r="C1" s="16" t="s">
        <v>5963</v>
      </c>
      <c r="D1" s="28" t="s">
        <v>5964</v>
      </c>
      <c r="E1" s="28" t="s">
        <v>5965</v>
      </c>
      <c r="F1" s="16" t="s">
        <v>5966</v>
      </c>
      <c r="G1" s="16" t="s">
        <v>5967</v>
      </c>
    </row>
    <row r="2" spans="1:7">
      <c r="A2" s="16">
        <v>31000</v>
      </c>
      <c r="B2" s="16" t="s">
        <v>5968</v>
      </c>
      <c r="C2" s="16" t="s">
        <v>5969</v>
      </c>
      <c r="D2" s="28" t="s">
        <v>5970</v>
      </c>
      <c r="E2" s="28" t="s">
        <v>5971</v>
      </c>
      <c r="F2" s="16" t="s">
        <v>5972</v>
      </c>
      <c r="G2" s="16" t="s">
        <v>5973</v>
      </c>
    </row>
    <row r="3" spans="1:7">
      <c r="A3" s="16">
        <v>31100</v>
      </c>
      <c r="B3" s="16" t="s">
        <v>5974</v>
      </c>
      <c r="C3" s="16" t="s">
        <v>5975</v>
      </c>
      <c r="D3" s="28" t="s">
        <v>5976</v>
      </c>
      <c r="E3" s="28" t="s">
        <v>5977</v>
      </c>
      <c r="F3" s="16" t="s">
        <v>5978</v>
      </c>
      <c r="G3" s="16" t="s">
        <v>5979</v>
      </c>
    </row>
    <row r="4" spans="1:7">
      <c r="A4" s="16">
        <v>31200</v>
      </c>
      <c r="B4" s="16" t="s">
        <v>5980</v>
      </c>
      <c r="C4" s="16" t="s">
        <v>5981</v>
      </c>
      <c r="D4" s="28" t="s">
        <v>5982</v>
      </c>
      <c r="E4" s="28" t="s">
        <v>5983</v>
      </c>
      <c r="F4" s="16" t="s">
        <v>5984</v>
      </c>
      <c r="G4" s="16" t="s">
        <v>5985</v>
      </c>
    </row>
    <row r="5" spans="1:7">
      <c r="A5" s="16">
        <v>31300</v>
      </c>
      <c r="B5" s="16" t="s">
        <v>5986</v>
      </c>
      <c r="C5" s="16" t="s">
        <v>5987</v>
      </c>
      <c r="D5" s="28" t="s">
        <v>5988</v>
      </c>
      <c r="E5" s="28" t="s">
        <v>5989</v>
      </c>
      <c r="F5" s="16" t="s">
        <v>5990</v>
      </c>
      <c r="G5" s="16" t="s">
        <v>5991</v>
      </c>
    </row>
    <row r="6" spans="1:7">
      <c r="A6" s="16">
        <v>31400</v>
      </c>
      <c r="B6" s="16" t="s">
        <v>5992</v>
      </c>
      <c r="C6" s="16" t="s">
        <v>5993</v>
      </c>
      <c r="D6" s="28" t="s">
        <v>5994</v>
      </c>
      <c r="E6" s="28" t="s">
        <v>5995</v>
      </c>
      <c r="F6" s="16" t="s">
        <v>5996</v>
      </c>
      <c r="G6" s="16" t="s">
        <v>5997</v>
      </c>
    </row>
    <row r="7" spans="1:7">
      <c r="A7" s="16">
        <v>31500</v>
      </c>
      <c r="B7" s="16" t="s">
        <v>5998</v>
      </c>
      <c r="C7" s="16" t="s">
        <v>5999</v>
      </c>
      <c r="D7" s="28" t="s">
        <v>6000</v>
      </c>
      <c r="E7" s="28" t="s">
        <v>6001</v>
      </c>
      <c r="F7" s="16" t="s">
        <v>6002</v>
      </c>
      <c r="G7" s="16" t="s">
        <v>6003</v>
      </c>
    </row>
    <row r="8" spans="1:7">
      <c r="A8" s="16">
        <v>31600</v>
      </c>
      <c r="B8" s="16" t="s">
        <v>6004</v>
      </c>
      <c r="C8" s="16" t="s">
        <v>6005</v>
      </c>
      <c r="D8" s="28" t="s">
        <v>6006</v>
      </c>
      <c r="E8" s="28" t="s">
        <v>6007</v>
      </c>
      <c r="F8" s="16" t="s">
        <v>6008</v>
      </c>
      <c r="G8" s="16" t="s">
        <v>6009</v>
      </c>
    </row>
    <row r="9" spans="1:7">
      <c r="A9" s="16">
        <v>31800</v>
      </c>
      <c r="B9" s="16" t="s">
        <v>6010</v>
      </c>
      <c r="C9" s="16" t="s">
        <v>5987</v>
      </c>
      <c r="D9" s="28" t="s">
        <v>6011</v>
      </c>
      <c r="E9" s="28" t="s">
        <v>6012</v>
      </c>
      <c r="F9" s="16" t="s">
        <v>6013</v>
      </c>
      <c r="G9" s="16" t="s">
        <v>5991</v>
      </c>
    </row>
    <row r="10" spans="1:7">
      <c r="A10" s="16">
        <v>31900</v>
      </c>
      <c r="B10" s="16" t="s">
        <v>6014</v>
      </c>
      <c r="C10" s="16" t="s">
        <v>6015</v>
      </c>
      <c r="D10" s="28" t="s">
        <v>6016</v>
      </c>
      <c r="E10" s="28" t="s">
        <v>6017</v>
      </c>
      <c r="F10" s="16" t="s">
        <v>6018</v>
      </c>
      <c r="G10" s="16" t="s">
        <v>6019</v>
      </c>
    </row>
    <row r="11" spans="1:7">
      <c r="A11" s="16">
        <v>32200</v>
      </c>
      <c r="B11" s="16" t="s">
        <v>6020</v>
      </c>
      <c r="C11" s="16" t="s">
        <v>6021</v>
      </c>
      <c r="D11" s="28" t="s">
        <v>6022</v>
      </c>
      <c r="E11" s="28" t="s">
        <v>6023</v>
      </c>
      <c r="F11" s="16" t="s">
        <v>6024</v>
      </c>
      <c r="G11" s="16" t="s">
        <v>6025</v>
      </c>
    </row>
    <row r="12" spans="1:7">
      <c r="A12" s="16">
        <v>32300</v>
      </c>
      <c r="B12" s="16" t="s">
        <v>6026</v>
      </c>
      <c r="C12" s="16" t="s">
        <v>6027</v>
      </c>
      <c r="D12" s="28" t="s">
        <v>6028</v>
      </c>
      <c r="E12" s="28" t="s">
        <v>6023</v>
      </c>
      <c r="F12" s="16" t="s">
        <v>6029</v>
      </c>
      <c r="G12" s="16" t="s">
        <v>6030</v>
      </c>
    </row>
    <row r="13" spans="1:7">
      <c r="A13" s="16">
        <v>32400</v>
      </c>
      <c r="B13" s="16" t="s">
        <v>6031</v>
      </c>
      <c r="C13" s="16" t="s">
        <v>6032</v>
      </c>
      <c r="D13" s="28" t="s">
        <v>6033</v>
      </c>
      <c r="E13" s="28" t="s">
        <v>6023</v>
      </c>
      <c r="F13" s="16" t="s">
        <v>6034</v>
      </c>
      <c r="G13" s="16" t="s">
        <v>6035</v>
      </c>
    </row>
    <row r="14" spans="1:7">
      <c r="A14" s="16">
        <v>32500</v>
      </c>
      <c r="B14" s="16" t="s">
        <v>6036</v>
      </c>
      <c r="C14" s="16" t="s">
        <v>6037</v>
      </c>
      <c r="D14" s="28" t="s">
        <v>6038</v>
      </c>
      <c r="E14" s="28" t="s">
        <v>6023</v>
      </c>
      <c r="F14" s="16" t="s">
        <v>6039</v>
      </c>
      <c r="G14" s="16" t="s">
        <v>6040</v>
      </c>
    </row>
    <row r="15" spans="1:7">
      <c r="A15" s="16">
        <v>32600</v>
      </c>
      <c r="B15" s="16" t="s">
        <v>6041</v>
      </c>
      <c r="C15" s="16" t="s">
        <v>6042</v>
      </c>
      <c r="D15" s="28" t="s">
        <v>6043</v>
      </c>
      <c r="E15" s="28" t="s">
        <v>6023</v>
      </c>
      <c r="F15" s="16" t="s">
        <v>6044</v>
      </c>
      <c r="G15" s="16" t="s">
        <v>6045</v>
      </c>
    </row>
    <row r="16" spans="1:7">
      <c r="A16" s="16">
        <v>32700</v>
      </c>
      <c r="B16" s="16" t="s">
        <v>6046</v>
      </c>
      <c r="C16" s="16" t="s">
        <v>6047</v>
      </c>
      <c r="D16" s="28" t="s">
        <v>6048</v>
      </c>
      <c r="E16" s="28" t="s">
        <v>6049</v>
      </c>
      <c r="F16" s="16" t="s">
        <v>6050</v>
      </c>
      <c r="G16" s="16" t="s">
        <v>6051</v>
      </c>
    </row>
    <row r="17" spans="1:7">
      <c r="A17" s="16">
        <v>32800</v>
      </c>
      <c r="B17" s="16" t="s">
        <v>6052</v>
      </c>
      <c r="C17" s="16" t="s">
        <v>5993</v>
      </c>
      <c r="D17" s="28" t="s">
        <v>6053</v>
      </c>
      <c r="E17" s="28" t="s">
        <v>6054</v>
      </c>
      <c r="F17" s="16" t="s">
        <v>6055</v>
      </c>
      <c r="G17" s="16" t="s">
        <v>5997</v>
      </c>
    </row>
    <row r="18" spans="1:7">
      <c r="A18" s="16">
        <v>32900</v>
      </c>
      <c r="B18" s="16" t="s">
        <v>6056</v>
      </c>
      <c r="C18" s="16" t="s">
        <v>6057</v>
      </c>
      <c r="D18" s="28" t="s">
        <v>6058</v>
      </c>
      <c r="E18" s="28" t="s">
        <v>6059</v>
      </c>
      <c r="F18" s="16" t="s">
        <v>6060</v>
      </c>
      <c r="G18" s="16" t="s">
        <v>6061</v>
      </c>
    </row>
    <row r="19" spans="1:7">
      <c r="A19" s="16">
        <v>33000</v>
      </c>
      <c r="B19" s="16" t="s">
        <v>6062</v>
      </c>
      <c r="C19" s="16" t="s">
        <v>6063</v>
      </c>
      <c r="D19" s="28" t="s">
        <v>6064</v>
      </c>
      <c r="E19" s="28" t="s">
        <v>6065</v>
      </c>
      <c r="F19" s="16" t="s">
        <v>6066</v>
      </c>
      <c r="G19" s="16" t="s">
        <v>6067</v>
      </c>
    </row>
    <row r="20" spans="1:7">
      <c r="A20" s="16">
        <v>33100</v>
      </c>
      <c r="B20" s="16" t="s">
        <v>6068</v>
      </c>
      <c r="C20" s="16" t="s">
        <v>6069</v>
      </c>
      <c r="D20" s="28" t="s">
        <v>6070</v>
      </c>
      <c r="E20" s="28" t="s">
        <v>6071</v>
      </c>
      <c r="F20" s="16" t="s">
        <v>6072</v>
      </c>
      <c r="G20" s="16" t="s">
        <v>6073</v>
      </c>
    </row>
    <row r="21" spans="1:7">
      <c r="A21" s="16">
        <v>33200</v>
      </c>
      <c r="B21" s="16" t="s">
        <v>6074</v>
      </c>
      <c r="C21" s="16" t="s">
        <v>6075</v>
      </c>
      <c r="D21" s="28" t="s">
        <v>6076</v>
      </c>
      <c r="E21" s="28" t="s">
        <v>6077</v>
      </c>
      <c r="F21" s="16" t="s">
        <v>6078</v>
      </c>
      <c r="G21" s="16" t="s">
        <v>6079</v>
      </c>
    </row>
    <row r="22" spans="1:7">
      <c r="A22" s="16">
        <v>33300</v>
      </c>
      <c r="B22" s="16" t="s">
        <v>6080</v>
      </c>
      <c r="C22" s="16" t="s">
        <v>6081</v>
      </c>
      <c r="D22" s="28" t="s">
        <v>6082</v>
      </c>
      <c r="E22" s="28" t="s">
        <v>6083</v>
      </c>
      <c r="F22" s="16" t="s">
        <v>6084</v>
      </c>
      <c r="G22" s="16" t="s">
        <v>6085</v>
      </c>
    </row>
    <row r="23" spans="1:7">
      <c r="A23" s="16">
        <v>33400</v>
      </c>
      <c r="B23" s="16" t="s">
        <v>6086</v>
      </c>
      <c r="C23" s="16" t="s">
        <v>6005</v>
      </c>
      <c r="D23" s="28" t="s">
        <v>6087</v>
      </c>
      <c r="E23" s="28" t="s">
        <v>6088</v>
      </c>
      <c r="F23" s="16" t="s">
        <v>6089</v>
      </c>
      <c r="G23" s="16" t="s">
        <v>6009</v>
      </c>
    </row>
    <row r="24" spans="1:7" ht="95.25" customHeight="1">
      <c r="A24" s="16">
        <v>33500</v>
      </c>
      <c r="B24" s="16" t="s">
        <v>6090</v>
      </c>
      <c r="C24" s="16" t="s">
        <v>6042</v>
      </c>
      <c r="D24" s="28" t="s">
        <v>6091</v>
      </c>
      <c r="E24" s="28" t="s">
        <v>6092</v>
      </c>
      <c r="F24" s="16" t="s">
        <v>6093</v>
      </c>
      <c r="G24" s="16" t="s">
        <v>6045</v>
      </c>
    </row>
    <row r="25" spans="1:7" ht="78.75" customHeight="1">
      <c r="A25" s="16">
        <v>33600</v>
      </c>
      <c r="B25" s="16" t="s">
        <v>6094</v>
      </c>
      <c r="C25" s="16" t="s">
        <v>6027</v>
      </c>
      <c r="D25" s="28" t="s">
        <v>6095</v>
      </c>
      <c r="E25" s="28" t="s">
        <v>6096</v>
      </c>
      <c r="F25" s="16" t="s">
        <v>6097</v>
      </c>
      <c r="G25" s="16" t="s">
        <v>6030</v>
      </c>
    </row>
  </sheetData>
</worksheet>
</file>

<file path=xl/worksheets/sheet23.xml><?xml version="1.0" encoding="utf-8"?>
<worksheet xmlns="http://schemas.openxmlformats.org/spreadsheetml/2006/main">
  <sheetPr codeName="物品列表">
    <tabColor/>
  </sheetPr>
  <dimension ref="G4148"/>
  <sheetViews>
    <sheetView showGridLines="1" workbookViewId="0">
      <pane xSplit="1" ySplit="1" topLeftCell="B2" state="frozen"/>
    </sheetView>
  </sheetViews>
  <sheetFormatPr baseColWidth="13" defaultRowHeight="18" customHeight="1"/>
  <cols>
    <col min="1" max="1" width="11.2344" style="28" customWidth="1"/>
    <col min="2" max="2" width="52.0117" style="28" customWidth="1"/>
    <col min="3" max="3" width="10.1133" style="28" customWidth="1"/>
    <col min="4" max="5" width="53.9531" style="28" customWidth="1"/>
    <col min="6" max="6" width="33.2539" style="28" customWidth="1"/>
    <col min="7" max="7" width="12.0938" style="16" customWidth="1"/>
  </cols>
  <sheetData>
    <row r="1" spans="1:7">
      <c r="A1" s="28" t="s">
        <v>956</v>
      </c>
      <c r="B1" s="28" t="s">
        <v>4144</v>
      </c>
      <c r="C1" s="28" t="s">
        <v>5073</v>
      </c>
      <c r="D1" s="28" t="s">
        <v>3355</v>
      </c>
      <c r="E1" s="28" t="s">
        <v>5965</v>
      </c>
      <c r="F1" s="28" t="s">
        <v>6098</v>
      </c>
      <c r="G1" s="28" t="s">
        <v>6099</v>
      </c>
    </row>
    <row r="2" spans="1:7">
      <c r="A2" s="28">
        <v>1</v>
      </c>
      <c r="B2" s="28" t="s">
        <v>6100</v>
      </c>
      <c r="C2" s="28">
        <v>2</v>
      </c>
      <c r="D2" s="28" t="s"/>
      <c r="E2" s="28" t="s"/>
      <c r="F2" s="28" t="s">
        <v>6101</v>
      </c>
      <c r="G2" s="28">
        <v>9999999</v>
      </c>
    </row>
    <row r="3" spans="1:7">
      <c r="A3" s="28">
        <v>10</v>
      </c>
      <c r="B3" s="28" t="s">
        <v>6102</v>
      </c>
      <c r="C3" s="28">
        <v>2</v>
      </c>
      <c r="D3" s="28" t="s">
        <v>6103</v>
      </c>
      <c r="E3" s="28" t="s">
        <v>6104</v>
      </c>
      <c r="F3" s="28" t="s">
        <v>6105</v>
      </c>
      <c r="G3" s="28">
        <v>0</v>
      </c>
    </row>
    <row r="4" spans="1:7">
      <c r="A4" s="28">
        <v>100</v>
      </c>
      <c r="B4" s="28" t="s">
        <v>6106</v>
      </c>
      <c r="C4" s="28">
        <v>4</v>
      </c>
      <c r="D4" s="28" t="s">
        <v>6107</v>
      </c>
      <c r="E4" s="28" t="s">
        <v>6108</v>
      </c>
      <c r="F4" s="28" t="s">
        <v>6109</v>
      </c>
      <c r="G4" s="28">
        <v>0</v>
      </c>
    </row>
    <row r="5" spans="1:7">
      <c r="A5" s="28">
        <v>101</v>
      </c>
      <c r="B5" s="28" t="s">
        <v>6110</v>
      </c>
      <c r="C5" s="28">
        <v>4</v>
      </c>
      <c r="D5" s="28" t="s">
        <v>6111</v>
      </c>
      <c r="E5" s="28" t="s">
        <v>6112</v>
      </c>
      <c r="F5" s="28" t="s">
        <v>6113</v>
      </c>
      <c r="G5" s="28">
        <v>0</v>
      </c>
    </row>
    <row r="6" spans="1:7">
      <c r="A6" s="28">
        <v>110</v>
      </c>
      <c r="B6" s="28" t="s">
        <v>6114</v>
      </c>
      <c r="C6" s="28">
        <v>4</v>
      </c>
      <c r="D6" s="28" t="s">
        <v>6115</v>
      </c>
      <c r="E6" s="28" t="s">
        <v>6116</v>
      </c>
      <c r="F6" s="28" t="s">
        <v>6117</v>
      </c>
      <c r="G6" s="28">
        <v>0</v>
      </c>
    </row>
    <row r="7" spans="1:7">
      <c r="A7" s="28">
        <v>111</v>
      </c>
      <c r="B7" s="28" t="s">
        <v>6118</v>
      </c>
      <c r="C7" s="28">
        <v>4</v>
      </c>
      <c r="D7" s="28" t="s">
        <v>6119</v>
      </c>
      <c r="E7" s="28" t="s">
        <v>6120</v>
      </c>
      <c r="F7" s="28" t="s">
        <v>6121</v>
      </c>
      <c r="G7" s="28">
        <v>0</v>
      </c>
    </row>
    <row r="8" spans="1:7">
      <c r="A8" s="28">
        <v>112</v>
      </c>
      <c r="B8" s="28" t="s">
        <v>6122</v>
      </c>
      <c r="C8" s="28">
        <v>4</v>
      </c>
      <c r="D8" s="28" t="s">
        <v>6123</v>
      </c>
      <c r="E8" s="28" t="s">
        <v>6124</v>
      </c>
      <c r="F8" s="28" t="s">
        <v>6125</v>
      </c>
      <c r="G8" s="28">
        <v>0</v>
      </c>
    </row>
    <row r="9" spans="1:7">
      <c r="A9" s="28">
        <v>115</v>
      </c>
      <c r="B9" s="28" t="s">
        <v>6126</v>
      </c>
      <c r="C9" s="28">
        <v>4</v>
      </c>
      <c r="D9" s="28" t="s">
        <v>6127</v>
      </c>
      <c r="E9" s="28" t="s">
        <v>6128</v>
      </c>
      <c r="F9" s="28" t="s">
        <v>6129</v>
      </c>
      <c r="G9" s="28">
        <v>0</v>
      </c>
    </row>
    <row r="10" spans="1:7">
      <c r="A10" s="28">
        <v>116</v>
      </c>
      <c r="B10" s="28" t="s">
        <v>6130</v>
      </c>
      <c r="C10" s="28">
        <v>4</v>
      </c>
      <c r="D10" s="28" t="s">
        <v>6127</v>
      </c>
      <c r="E10" s="28" t="s">
        <v>6131</v>
      </c>
      <c r="F10" s="28" t="s">
        <v>6132</v>
      </c>
      <c r="G10" s="28">
        <v>0</v>
      </c>
    </row>
    <row r="11" spans="1:7">
      <c r="A11" s="28">
        <v>117</v>
      </c>
      <c r="B11" s="28" t="s">
        <v>6133</v>
      </c>
      <c r="C11" s="28">
        <v>4</v>
      </c>
      <c r="D11" s="28" t="s">
        <v>6134</v>
      </c>
      <c r="E11" s="28" t="s">
        <v>6135</v>
      </c>
      <c r="F11" s="28" t="s">
        <v>6136</v>
      </c>
      <c r="G11" s="28">
        <v>0</v>
      </c>
    </row>
    <row r="12" spans="1:7">
      <c r="A12" s="28">
        <v>118</v>
      </c>
      <c r="B12" s="28" t="s">
        <v>6137</v>
      </c>
      <c r="C12" s="28">
        <v>4</v>
      </c>
      <c r="D12" s="28" t="s">
        <v>6138</v>
      </c>
      <c r="E12" s="28" t="s">
        <v>6139</v>
      </c>
      <c r="F12" s="28" t="s">
        <v>6140</v>
      </c>
      <c r="G12" s="28">
        <v>0</v>
      </c>
    </row>
    <row r="13" spans="1:7">
      <c r="A13" s="28">
        <v>119</v>
      </c>
      <c r="B13" s="28" t="s">
        <v>6141</v>
      </c>
      <c r="C13" s="28">
        <v>4</v>
      </c>
      <c r="D13" s="28" t="s">
        <v>6142</v>
      </c>
      <c r="E13" s="28" t="s">
        <v>6143</v>
      </c>
      <c r="F13" s="28" t="s">
        <v>6144</v>
      </c>
      <c r="G13" s="28">
        <v>0</v>
      </c>
    </row>
    <row r="14" spans="1:7">
      <c r="A14" s="28">
        <v>120</v>
      </c>
      <c r="B14" s="28" t="s">
        <v>6145</v>
      </c>
      <c r="C14" s="28">
        <v>3</v>
      </c>
      <c r="D14" s="28" t="s">
        <v>6146</v>
      </c>
      <c r="E14" s="28" t="s">
        <v>6147</v>
      </c>
      <c r="F14" s="28" t="s">
        <v>6148</v>
      </c>
      <c r="G14" s="28">
        <v>0</v>
      </c>
    </row>
    <row r="15" spans="1:7">
      <c r="A15" s="28">
        <v>121</v>
      </c>
      <c r="B15" s="28" t="s">
        <v>6149</v>
      </c>
      <c r="C15" s="28">
        <v>3</v>
      </c>
      <c r="D15" s="28" t="s">
        <v>6150</v>
      </c>
      <c r="E15" s="28" t="s">
        <v>6151</v>
      </c>
      <c r="F15" s="28" t="s">
        <v>6152</v>
      </c>
      <c r="G15" s="28">
        <v>0</v>
      </c>
    </row>
    <row r="16" spans="1:7">
      <c r="A16" s="28">
        <v>122</v>
      </c>
      <c r="B16" s="28" t="s">
        <v>6153</v>
      </c>
      <c r="C16" s="28">
        <v>3</v>
      </c>
      <c r="D16" s="28" t="s">
        <v>6154</v>
      </c>
      <c r="E16" s="28" t="s">
        <v>6155</v>
      </c>
      <c r="F16" s="28" t="s">
        <v>6156</v>
      </c>
      <c r="G16" s="28">
        <v>0</v>
      </c>
    </row>
    <row r="17" spans="1:7">
      <c r="A17" s="28">
        <v>123</v>
      </c>
      <c r="B17" s="28" t="s">
        <v>6157</v>
      </c>
      <c r="C17" s="28">
        <v>3</v>
      </c>
      <c r="D17" s="28" t="s">
        <v>6158</v>
      </c>
      <c r="E17" s="28" t="s">
        <v>6159</v>
      </c>
      <c r="F17" s="28" t="s">
        <v>6160</v>
      </c>
      <c r="G17" s="28">
        <v>0</v>
      </c>
    </row>
    <row r="18" spans="1:7">
      <c r="A18" s="28">
        <v>124</v>
      </c>
      <c r="B18" s="28" t="s">
        <v>6161</v>
      </c>
      <c r="C18" s="28">
        <v>3</v>
      </c>
      <c r="D18" s="28" t="s">
        <v>6162</v>
      </c>
      <c r="E18" s="28" t="s">
        <v>6163</v>
      </c>
      <c r="F18" s="28" t="s">
        <v>6164</v>
      </c>
      <c r="G18" s="28">
        <v>0</v>
      </c>
    </row>
    <row r="19" spans="1:7">
      <c r="A19" s="28">
        <v>125</v>
      </c>
      <c r="B19" s="28" t="s">
        <v>6165</v>
      </c>
      <c r="C19" s="28">
        <v>3</v>
      </c>
      <c r="D19" s="28" t="s">
        <v>6166</v>
      </c>
      <c r="E19" s="28" t="s">
        <v>6167</v>
      </c>
      <c r="F19" s="28" t="s">
        <v>6168</v>
      </c>
      <c r="G19" s="28">
        <v>0</v>
      </c>
    </row>
    <row r="20" spans="1:7">
      <c r="A20" s="28">
        <v>126</v>
      </c>
      <c r="B20" s="28" t="s">
        <v>6169</v>
      </c>
      <c r="C20" s="28">
        <v>3</v>
      </c>
      <c r="D20" s="28" t="s">
        <v>6170</v>
      </c>
      <c r="E20" s="28" t="s">
        <v>6171</v>
      </c>
      <c r="F20" s="28" t="s">
        <v>6172</v>
      </c>
      <c r="G20" s="28">
        <v>7</v>
      </c>
    </row>
    <row r="21" spans="1:7">
      <c r="A21" s="28">
        <v>127</v>
      </c>
      <c r="B21" s="28" t="s">
        <v>6173</v>
      </c>
      <c r="C21" s="28">
        <v>3</v>
      </c>
      <c r="D21" s="28" t="s">
        <v>6174</v>
      </c>
      <c r="E21" s="28" t="s">
        <v>6175</v>
      </c>
      <c r="F21" s="28" t="s">
        <v>6176</v>
      </c>
      <c r="G21" s="28">
        <v>0</v>
      </c>
    </row>
    <row r="22" spans="1:7">
      <c r="A22" s="28">
        <v>128</v>
      </c>
      <c r="B22" s="28" t="s">
        <v>6177</v>
      </c>
      <c r="C22" s="28">
        <v>3</v>
      </c>
      <c r="D22" s="28" t="s">
        <v>6178</v>
      </c>
      <c r="E22" s="28" t="s">
        <v>6179</v>
      </c>
      <c r="F22" s="28" t="s">
        <v>6176</v>
      </c>
      <c r="G22" s="28">
        <v>0</v>
      </c>
    </row>
    <row r="23" spans="1:7">
      <c r="A23" s="28">
        <v>129</v>
      </c>
      <c r="B23" s="28" t="s">
        <v>6161</v>
      </c>
      <c r="C23" s="28">
        <v>3</v>
      </c>
      <c r="D23" s="28" t="s">
        <v>6162</v>
      </c>
      <c r="E23" s="28" t="s">
        <v>6163</v>
      </c>
      <c r="F23" s="28" t="s">
        <v>6164</v>
      </c>
      <c r="G23" s="28">
        <v>0</v>
      </c>
    </row>
    <row r="24" spans="1:7">
      <c r="A24" s="28">
        <v>130</v>
      </c>
      <c r="B24" s="28" t="s">
        <v>6180</v>
      </c>
      <c r="C24" s="28">
        <v>3</v>
      </c>
      <c r="D24" s="28" t="s">
        <v>6181</v>
      </c>
      <c r="E24" s="28" t="s">
        <v>6182</v>
      </c>
      <c r="F24" s="28" t="s">
        <v>6183</v>
      </c>
      <c r="G24" s="28">
        <v>999999999</v>
      </c>
    </row>
    <row r="25" spans="1:7">
      <c r="A25" s="28">
        <v>131</v>
      </c>
      <c r="B25" s="28" t="s">
        <v>6184</v>
      </c>
      <c r="C25" s="28">
        <v>3</v>
      </c>
      <c r="D25" s="28" t="s">
        <v>6185</v>
      </c>
      <c r="E25" s="28" t="s">
        <v>6186</v>
      </c>
      <c r="F25" s="28" t="s">
        <v>6187</v>
      </c>
      <c r="G25" s="28">
        <v>99999</v>
      </c>
    </row>
    <row r="26" spans="1:7">
      <c r="A26" s="28">
        <v>132</v>
      </c>
      <c r="B26" s="28" t="s">
        <v>6188</v>
      </c>
      <c r="C26" s="28">
        <v>3</v>
      </c>
      <c r="D26" s="28" t="s">
        <v>6189</v>
      </c>
      <c r="E26" s="28" t="s">
        <v>6190</v>
      </c>
      <c r="F26" s="28" t="s">
        <v>6191</v>
      </c>
      <c r="G26" s="28">
        <v>0</v>
      </c>
    </row>
    <row r="27" spans="1:7">
      <c r="A27" s="28">
        <v>133</v>
      </c>
      <c r="B27" s="28" t="s">
        <v>6192</v>
      </c>
      <c r="C27" s="28">
        <v>3</v>
      </c>
      <c r="D27" s="28" t="s">
        <v>6193</v>
      </c>
      <c r="E27" s="28" t="s">
        <v>6194</v>
      </c>
      <c r="F27" s="28" t="s">
        <v>6195</v>
      </c>
      <c r="G27" s="28">
        <v>0</v>
      </c>
    </row>
    <row r="28" spans="1:7">
      <c r="A28" s="28">
        <v>134</v>
      </c>
      <c r="B28" s="28" t="s">
        <v>6196</v>
      </c>
      <c r="C28" s="28">
        <v>3</v>
      </c>
      <c r="D28" s="28" t="s">
        <v>6197</v>
      </c>
      <c r="E28" s="28" t="s">
        <v>6198</v>
      </c>
      <c r="F28" s="28" t="s">
        <v>6199</v>
      </c>
      <c r="G28" s="28">
        <v>0</v>
      </c>
    </row>
    <row r="29" spans="1:7">
      <c r="A29" s="28">
        <v>135</v>
      </c>
      <c r="B29" s="28" t="s">
        <v>6200</v>
      </c>
      <c r="C29" s="28">
        <v>3</v>
      </c>
      <c r="D29" s="28" t="s">
        <v>6201</v>
      </c>
      <c r="E29" s="28" t="s">
        <v>6202</v>
      </c>
      <c r="F29" s="28" t="s">
        <v>6203</v>
      </c>
      <c r="G29" s="28">
        <v>0</v>
      </c>
    </row>
    <row r="30" spans="1:7">
      <c r="A30" s="28">
        <v>136</v>
      </c>
      <c r="B30" s="28" t="s">
        <v>6204</v>
      </c>
      <c r="C30" s="28">
        <v>4</v>
      </c>
      <c r="D30" s="28" t="s">
        <v>6205</v>
      </c>
      <c r="E30" s="28" t="s">
        <v>6206</v>
      </c>
      <c r="F30" s="28" t="s">
        <v>6207</v>
      </c>
      <c r="G30" s="28">
        <v>15000</v>
      </c>
    </row>
    <row r="31" spans="1:7">
      <c r="A31" s="28">
        <v>137</v>
      </c>
      <c r="B31" s="28" t="s">
        <v>6208</v>
      </c>
      <c r="C31" s="28">
        <v>3</v>
      </c>
      <c r="D31" s="28" t="s">
        <v>6209</v>
      </c>
      <c r="E31" s="28" t="s">
        <v>6210</v>
      </c>
      <c r="F31" s="28" t="s">
        <v>6199</v>
      </c>
      <c r="G31" s="28">
        <v>0</v>
      </c>
    </row>
    <row r="32" spans="1:7">
      <c r="A32" s="28">
        <v>138</v>
      </c>
      <c r="B32" s="28" t="s">
        <v>6211</v>
      </c>
      <c r="C32" s="28">
        <v>3</v>
      </c>
      <c r="D32" s="28" t="s">
        <v>6212</v>
      </c>
      <c r="E32" s="28" t="s">
        <v>6213</v>
      </c>
      <c r="F32" s="28" t="s">
        <v>6214</v>
      </c>
      <c r="G32" s="28">
        <v>1200</v>
      </c>
    </row>
    <row r="33" spans="1:7">
      <c r="A33" s="28">
        <v>139</v>
      </c>
      <c r="B33" s="28" t="s">
        <v>6215</v>
      </c>
      <c r="C33" s="28">
        <v>3</v>
      </c>
      <c r="D33" s="28" t="s">
        <v>6216</v>
      </c>
      <c r="E33" s="28" t="s">
        <v>6217</v>
      </c>
      <c r="F33" s="28" t="s">
        <v>6218</v>
      </c>
      <c r="G33" s="28">
        <v>0</v>
      </c>
    </row>
    <row r="34" spans="1:7">
      <c r="A34" s="28">
        <v>201</v>
      </c>
      <c r="B34" s="28" t="s">
        <v>6219</v>
      </c>
      <c r="C34" s="28">
        <v>2</v>
      </c>
      <c r="D34" s="28" t="s">
        <v>6220</v>
      </c>
      <c r="E34" s="28" t="s">
        <v>6221</v>
      </c>
      <c r="F34" s="28" t="s">
        <v>6222</v>
      </c>
      <c r="G34" s="28">
        <v>0</v>
      </c>
    </row>
    <row r="35" spans="1:7">
      <c r="A35" s="28">
        <v>211</v>
      </c>
      <c r="B35" s="28" t="s">
        <v>6223</v>
      </c>
      <c r="C35" s="28">
        <v>4</v>
      </c>
      <c r="D35" s="28" t="s">
        <v>6224</v>
      </c>
      <c r="E35" s="28" t="s">
        <v>6225</v>
      </c>
      <c r="F35" s="28" t="s">
        <v>6226</v>
      </c>
      <c r="G35" s="28">
        <v>0</v>
      </c>
    </row>
    <row r="36" spans="1:7">
      <c r="A36" s="28">
        <v>215</v>
      </c>
      <c r="B36" s="28" t="s">
        <v>6227</v>
      </c>
      <c r="C36" s="28">
        <v>4</v>
      </c>
      <c r="D36" s="28" t="s">
        <v>6228</v>
      </c>
      <c r="E36" s="28" t="s">
        <v>6229</v>
      </c>
      <c r="F36" s="28" t="s">
        <v>6230</v>
      </c>
      <c r="G36" s="28">
        <v>99999</v>
      </c>
    </row>
    <row r="37" spans="1:7">
      <c r="A37" s="28">
        <v>216</v>
      </c>
      <c r="B37" s="28" t="s">
        <v>6231</v>
      </c>
      <c r="C37" s="28">
        <v>4</v>
      </c>
      <c r="D37" s="28" t="s">
        <v>6232</v>
      </c>
      <c r="E37" s="28" t="s">
        <v>6233</v>
      </c>
      <c r="F37" s="28" t="s">
        <v>6234</v>
      </c>
      <c r="G37" s="28">
        <v>99999</v>
      </c>
    </row>
    <row r="38" spans="1:7">
      <c r="A38" s="28">
        <v>221</v>
      </c>
      <c r="B38" s="28" t="s">
        <v>6235</v>
      </c>
      <c r="C38" s="28">
        <v>3</v>
      </c>
      <c r="D38" s="28" t="s">
        <v>6236</v>
      </c>
      <c r="E38" s="28" t="s">
        <v>6237</v>
      </c>
      <c r="F38" s="28" t="s">
        <v>6238</v>
      </c>
      <c r="G38" s="28">
        <v>0</v>
      </c>
    </row>
    <row r="39" spans="1:7">
      <c r="A39" s="28">
        <v>301</v>
      </c>
      <c r="B39" s="28" t="s">
        <v>6239</v>
      </c>
      <c r="C39" s="28">
        <v>3</v>
      </c>
      <c r="D39" s="28" t="s">
        <v>6240</v>
      </c>
      <c r="E39" s="28" t="s">
        <v>6241</v>
      </c>
      <c r="F39" s="28" t="s">
        <v>6242</v>
      </c>
      <c r="G39" s="28">
        <v>0</v>
      </c>
    </row>
    <row r="40" spans="1:7">
      <c r="A40" s="28">
        <v>401</v>
      </c>
      <c r="B40" s="28" t="s">
        <v>6243</v>
      </c>
      <c r="C40" s="28">
        <v>3</v>
      </c>
      <c r="D40" s="28" t="s">
        <v>6244</v>
      </c>
      <c r="E40" s="28" t="s">
        <v>6245</v>
      </c>
      <c r="F40" s="28" t="s">
        <v>6246</v>
      </c>
      <c r="G40" s="28">
        <v>0</v>
      </c>
    </row>
    <row r="41" spans="1:7">
      <c r="A41" s="28">
        <v>402</v>
      </c>
      <c r="B41" s="28" t="s">
        <v>6247</v>
      </c>
      <c r="C41" s="28">
        <v>3</v>
      </c>
      <c r="D41" s="28" t="s">
        <v>6248</v>
      </c>
      <c r="E41" s="28" t="s">
        <v>6249</v>
      </c>
      <c r="F41" s="28" t="s">
        <v>6250</v>
      </c>
      <c r="G41" s="28">
        <v>0</v>
      </c>
    </row>
    <row r="42" spans="1:7">
      <c r="A42" s="28">
        <v>403</v>
      </c>
      <c r="B42" s="28" t="s">
        <v>6251</v>
      </c>
      <c r="C42" s="28">
        <v>3</v>
      </c>
      <c r="D42" s="54" t="s">
        <v>6252</v>
      </c>
      <c r="E42" s="28" t="s">
        <v>6253</v>
      </c>
      <c r="F42" s="28" t="s">
        <v>6254</v>
      </c>
      <c r="G42" s="28">
        <v>0</v>
      </c>
    </row>
    <row r="43" spans="1:7">
      <c r="A43" s="28">
        <v>404</v>
      </c>
      <c r="B43" s="28" t="s">
        <v>6255</v>
      </c>
      <c r="C43" s="28">
        <v>3</v>
      </c>
      <c r="D43" s="54" t="s">
        <v>6256</v>
      </c>
      <c r="E43" s="28" t="s">
        <v>6257</v>
      </c>
      <c r="F43" s="28" t="s">
        <v>6258</v>
      </c>
      <c r="G43" s="28">
        <v>0</v>
      </c>
    </row>
    <row r="44" spans="1:7">
      <c r="A44" s="28">
        <v>406</v>
      </c>
      <c r="B44" s="28" t="s">
        <v>6259</v>
      </c>
      <c r="C44" s="28">
        <v>3</v>
      </c>
      <c r="D44" s="28" t="s">
        <v>6260</v>
      </c>
      <c r="E44" s="28" t="s">
        <v>6261</v>
      </c>
      <c r="F44" s="28" t="s">
        <v>6262</v>
      </c>
      <c r="G44" s="28">
        <v>99999</v>
      </c>
    </row>
    <row r="45" spans="1:7">
      <c r="A45" s="28">
        <v>407</v>
      </c>
      <c r="B45" s="28" t="s">
        <v>6263</v>
      </c>
      <c r="C45" s="28">
        <v>3</v>
      </c>
      <c r="D45" s="28" t="s">
        <v>6264</v>
      </c>
      <c r="E45" s="28" t="s">
        <v>6265</v>
      </c>
      <c r="F45" s="28" t="s">
        <v>6266</v>
      </c>
      <c r="G45" s="28">
        <v>0</v>
      </c>
    </row>
    <row r="46" spans="1:7">
      <c r="A46" s="28">
        <v>408</v>
      </c>
      <c r="B46" s="28" t="s">
        <v>6267</v>
      </c>
      <c r="C46" s="28">
        <v>3</v>
      </c>
      <c r="D46" s="54" t="s">
        <v>6268</v>
      </c>
      <c r="E46" s="28" t="s">
        <v>6269</v>
      </c>
      <c r="F46" s="28" t="s">
        <v>6270</v>
      </c>
      <c r="G46" s="28">
        <v>0</v>
      </c>
    </row>
    <row r="47" spans="1:7">
      <c r="A47" s="28">
        <v>409</v>
      </c>
      <c r="B47" s="28" t="s">
        <v>6259</v>
      </c>
      <c r="C47" s="28">
        <v>3</v>
      </c>
      <c r="D47" s="54" t="s">
        <v>6260</v>
      </c>
      <c r="E47" s="28" t="s">
        <v>6261</v>
      </c>
      <c r="F47" s="28" t="s">
        <v>6258</v>
      </c>
      <c r="G47" s="28">
        <v>99999</v>
      </c>
    </row>
    <row r="48" spans="1:7">
      <c r="A48" s="28">
        <v>410</v>
      </c>
      <c r="B48" s="28" t="s">
        <v>6271</v>
      </c>
      <c r="C48" s="28">
        <v>3</v>
      </c>
      <c r="D48" s="28" t="s">
        <v>6272</v>
      </c>
      <c r="E48" s="54" t="s">
        <v>6273</v>
      </c>
      <c r="F48" s="28" t="s">
        <v>6274</v>
      </c>
      <c r="G48" s="28">
        <v>1</v>
      </c>
    </row>
    <row r="49" spans="1:7">
      <c r="A49" s="28">
        <v>411</v>
      </c>
      <c r="B49" s="28" t="s">
        <v>6275</v>
      </c>
      <c r="C49" s="28">
        <v>3</v>
      </c>
      <c r="D49" s="28" t="s">
        <v>6276</v>
      </c>
      <c r="E49" s="28" t="s">
        <v>6277</v>
      </c>
      <c r="F49" s="28" t="s">
        <v>6278</v>
      </c>
      <c r="G49" s="28">
        <v>1</v>
      </c>
    </row>
    <row r="50" spans="1:7">
      <c r="A50" s="28">
        <v>412</v>
      </c>
      <c r="B50" s="28" t="s">
        <v>6279</v>
      </c>
      <c r="C50" s="28">
        <v>3</v>
      </c>
      <c r="D50" s="54" t="s">
        <v>6280</v>
      </c>
      <c r="E50" s="28" t="s">
        <v>6281</v>
      </c>
      <c r="F50" s="28" t="s">
        <v>6282</v>
      </c>
      <c r="G50" s="28">
        <v>1</v>
      </c>
    </row>
    <row r="51" spans="1:7">
      <c r="A51" s="28">
        <v>413</v>
      </c>
      <c r="B51" s="28" t="s">
        <v>6283</v>
      </c>
      <c r="C51" s="28">
        <v>3</v>
      </c>
      <c r="D51" s="54" t="s">
        <v>6284</v>
      </c>
      <c r="E51" s="28" t="s">
        <v>6285</v>
      </c>
      <c r="F51" s="28" t="s">
        <v>6286</v>
      </c>
      <c r="G51" s="28">
        <v>1</v>
      </c>
    </row>
    <row r="52" spans="1:7">
      <c r="A52" s="28">
        <v>414</v>
      </c>
      <c r="B52" s="28" t="s">
        <v>6287</v>
      </c>
      <c r="C52" s="28">
        <v>3</v>
      </c>
      <c r="D52" s="54" t="s">
        <v>6288</v>
      </c>
      <c r="E52" s="54" t="s">
        <v>6289</v>
      </c>
      <c r="F52" s="28" t="s">
        <v>6290</v>
      </c>
      <c r="G52" s="28">
        <v>1</v>
      </c>
    </row>
    <row r="53" spans="1:7">
      <c r="A53" s="28">
        <v>415</v>
      </c>
      <c r="B53" s="28" t="s">
        <v>6291</v>
      </c>
      <c r="C53" s="28">
        <v>3</v>
      </c>
      <c r="D53" s="28" t="s">
        <v>6292</v>
      </c>
      <c r="E53" s="64" t="s">
        <v>6293</v>
      </c>
      <c r="F53" s="28" t="s">
        <v>6294</v>
      </c>
      <c r="G53" s="28">
        <v>1</v>
      </c>
    </row>
    <row r="54" spans="1:7">
      <c r="A54" s="28">
        <v>416</v>
      </c>
      <c r="B54" s="28" t="s">
        <v>6295</v>
      </c>
      <c r="C54" s="28">
        <v>3</v>
      </c>
      <c r="D54" s="28" t="s">
        <v>6296</v>
      </c>
      <c r="E54" s="28" t="s">
        <v>6297</v>
      </c>
      <c r="F54" s="28" t="s">
        <v>6298</v>
      </c>
      <c r="G54" s="28">
        <v>1</v>
      </c>
    </row>
    <row r="55" spans="1:7">
      <c r="A55" s="28">
        <v>417</v>
      </c>
      <c r="B55" s="28" t="s">
        <v>6299</v>
      </c>
      <c r="C55" s="54">
        <v>3</v>
      </c>
      <c r="D55" s="54" t="s">
        <v>6300</v>
      </c>
      <c r="E55" s="28" t="s">
        <v>6301</v>
      </c>
      <c r="F55" s="28" t="s">
        <v>6302</v>
      </c>
      <c r="G55" s="28">
        <v>0</v>
      </c>
    </row>
    <row r="56" spans="1:7">
      <c r="A56" s="28">
        <v>418</v>
      </c>
      <c r="B56" s="28" t="s">
        <v>6303</v>
      </c>
      <c r="C56" s="28">
        <v>3</v>
      </c>
      <c r="D56" s="54" t="s">
        <v>6304</v>
      </c>
      <c r="E56" s="54" t="s">
        <v>6305</v>
      </c>
      <c r="F56" s="28" t="s">
        <v>6306</v>
      </c>
      <c r="G56" s="28">
        <v>0</v>
      </c>
    </row>
    <row r="57" spans="1:7">
      <c r="A57" s="28">
        <v>419</v>
      </c>
      <c r="B57" s="28" t="s">
        <v>6307</v>
      </c>
      <c r="C57" s="28">
        <v>3</v>
      </c>
      <c r="D57" s="28" t="s">
        <v>6308</v>
      </c>
      <c r="E57" s="64" t="s"/>
      <c r="F57" s="28" t="s">
        <v>6309</v>
      </c>
      <c r="G57" s="28">
        <v>0</v>
      </c>
    </row>
    <row r="58" spans="1:7">
      <c r="A58" s="28">
        <v>420</v>
      </c>
      <c r="B58" s="28" t="s">
        <v>6310</v>
      </c>
      <c r="C58" s="28">
        <v>3</v>
      </c>
      <c r="D58" s="28" t="s">
        <v>6311</v>
      </c>
      <c r="E58" s="28" t="s">
        <v>6312</v>
      </c>
      <c r="F58" s="28" t="s">
        <v>6313</v>
      </c>
      <c r="G58" s="28">
        <v>0</v>
      </c>
    </row>
    <row r="59" spans="1:7">
      <c r="A59" s="28">
        <v>421</v>
      </c>
      <c r="B59" s="28" t="s">
        <v>6314</v>
      </c>
      <c r="C59" s="28">
        <v>3</v>
      </c>
      <c r="D59" s="28" t="s">
        <v>6315</v>
      </c>
      <c r="E59" s="28" t="s">
        <v>6316</v>
      </c>
      <c r="F59" s="28" t="s">
        <v>6317</v>
      </c>
      <c r="G59" s="28">
        <v>0</v>
      </c>
    </row>
    <row r="60" spans="1:7">
      <c r="A60" s="28">
        <v>422</v>
      </c>
      <c r="B60" s="28" t="s">
        <v>6318</v>
      </c>
      <c r="C60" s="28">
        <v>3</v>
      </c>
      <c r="D60" s="54" t="s">
        <v>6319</v>
      </c>
      <c r="E60" s="28" t="s">
        <v>6320</v>
      </c>
      <c r="F60" s="28" t="s">
        <v>6321</v>
      </c>
      <c r="G60" s="28">
        <v>0</v>
      </c>
    </row>
    <row r="61" spans="1:7">
      <c r="A61" s="28">
        <v>423</v>
      </c>
      <c r="B61" s="28" t="s">
        <v>6322</v>
      </c>
      <c r="C61" s="28">
        <v>3</v>
      </c>
      <c r="D61" s="28" t="s">
        <v>6323</v>
      </c>
      <c r="E61" s="54" t="s"/>
      <c r="F61" s="28" t="s">
        <v>6324</v>
      </c>
      <c r="G61" s="28">
        <v>0</v>
      </c>
    </row>
    <row r="62" spans="1:7">
      <c r="A62" s="28">
        <v>424</v>
      </c>
      <c r="B62" s="28" t="s">
        <v>6325</v>
      </c>
      <c r="C62" s="28">
        <v>3</v>
      </c>
      <c r="D62" s="28" t="s">
        <v>6326</v>
      </c>
      <c r="E62" s="54" t="s">
        <v>6327</v>
      </c>
      <c r="F62" s="28" t="s">
        <v>6328</v>
      </c>
      <c r="G62" s="28">
        <v>0</v>
      </c>
    </row>
    <row r="63" spans="1:7">
      <c r="A63" s="28">
        <v>425</v>
      </c>
      <c r="B63" s="28" t="s">
        <v>6329</v>
      </c>
      <c r="C63" s="28">
        <v>3</v>
      </c>
      <c r="D63" s="28" t="s">
        <v>6330</v>
      </c>
      <c r="E63" s="28" t="s">
        <v>6331</v>
      </c>
      <c r="F63" s="28" t="s">
        <v>6332</v>
      </c>
      <c r="G63" s="28">
        <v>0</v>
      </c>
    </row>
    <row r="64" spans="1:7">
      <c r="A64" s="28">
        <v>426</v>
      </c>
      <c r="B64" s="28" t="s">
        <v>6333</v>
      </c>
      <c r="C64" s="28">
        <v>3</v>
      </c>
      <c r="D64" s="28" t="s">
        <v>6334</v>
      </c>
      <c r="E64" s="28" t="s">
        <v>6335</v>
      </c>
      <c r="F64" s="28" t="s">
        <v>6336</v>
      </c>
      <c r="G64" s="28">
        <v>0</v>
      </c>
    </row>
    <row r="65" spans="1:7">
      <c r="A65" s="28">
        <v>427</v>
      </c>
      <c r="B65" s="28" t="s">
        <v>6337</v>
      </c>
      <c r="C65" s="28">
        <v>3</v>
      </c>
      <c r="D65" s="28" t="s">
        <v>6338</v>
      </c>
      <c r="E65" s="28" t="s">
        <v>6339</v>
      </c>
      <c r="F65" s="28" t="s">
        <v>6340</v>
      </c>
      <c r="G65" s="28">
        <v>0</v>
      </c>
    </row>
    <row r="66" spans="1:7">
      <c r="A66" s="28">
        <v>428</v>
      </c>
      <c r="B66" s="28" t="s">
        <v>6341</v>
      </c>
      <c r="C66" s="28">
        <v>3</v>
      </c>
      <c r="D66" s="28" t="s">
        <v>6342</v>
      </c>
      <c r="E66" s="28" t="s">
        <v>6343</v>
      </c>
      <c r="F66" s="28" t="s">
        <v>6344</v>
      </c>
      <c r="G66" s="28">
        <v>86</v>
      </c>
    </row>
    <row r="67" spans="1:7">
      <c r="A67" s="28">
        <v>429</v>
      </c>
      <c r="B67" s="28" t="s">
        <v>6345</v>
      </c>
      <c r="C67" s="28">
        <v>3</v>
      </c>
      <c r="D67" s="28" t="s">
        <v>6346</v>
      </c>
      <c r="E67" s="54" t="s">
        <v>6347</v>
      </c>
      <c r="F67" s="28" t="s">
        <v>6348</v>
      </c>
      <c r="G67" s="28">
        <v>0</v>
      </c>
    </row>
    <row r="68" spans="1:7">
      <c r="A68" s="28">
        <v>430</v>
      </c>
      <c r="B68" s="28" t="s">
        <v>6349</v>
      </c>
      <c r="C68" s="28">
        <v>3</v>
      </c>
      <c r="D68" s="28" t="s">
        <v>6350</v>
      </c>
      <c r="E68" s="64" t="s">
        <v>6351</v>
      </c>
      <c r="F68" s="28" t="s">
        <v>6352</v>
      </c>
      <c r="G68" s="28">
        <v>0</v>
      </c>
    </row>
    <row r="69" spans="1:7">
      <c r="A69" s="28">
        <v>431</v>
      </c>
      <c r="B69" s="28" t="s">
        <v>6353</v>
      </c>
      <c r="C69" s="28">
        <v>4</v>
      </c>
      <c r="D69" s="28" t="s">
        <v>6354</v>
      </c>
      <c r="E69" s="28" t="s">
        <v>6355</v>
      </c>
      <c r="F69" s="28" t="s">
        <v>6356</v>
      </c>
      <c r="G69" s="28">
        <v>0</v>
      </c>
    </row>
    <row r="70" spans="1:7">
      <c r="A70" s="28">
        <v>432</v>
      </c>
      <c r="B70" s="28" t="s">
        <v>6349</v>
      </c>
      <c r="C70" s="28">
        <v>3</v>
      </c>
      <c r="D70" s="28" t="s">
        <v>6350</v>
      </c>
      <c r="E70" s="28" t="s">
        <v>6351</v>
      </c>
      <c r="F70" s="28" t="s">
        <v>6352</v>
      </c>
      <c r="G70" s="28">
        <v>0</v>
      </c>
    </row>
    <row r="71" spans="1:7">
      <c r="A71" s="28">
        <v>433</v>
      </c>
      <c r="B71" s="28" t="s">
        <v>6353</v>
      </c>
      <c r="C71" s="28">
        <v>4</v>
      </c>
      <c r="D71" s="28" t="s">
        <v>6354</v>
      </c>
      <c r="E71" s="28" t="s">
        <v>6355</v>
      </c>
      <c r="F71" s="28" t="s">
        <v>6356</v>
      </c>
      <c r="G71" s="28">
        <v>0</v>
      </c>
    </row>
    <row r="72" spans="1:7">
      <c r="A72" s="28">
        <v>435</v>
      </c>
      <c r="B72" s="28" t="s">
        <v>6357</v>
      </c>
      <c r="C72" s="28">
        <v>3</v>
      </c>
      <c r="D72" s="28" t="s">
        <v>6358</v>
      </c>
      <c r="E72" s="28" t="s"/>
      <c r="F72" s="28" t="s">
        <v>6359</v>
      </c>
      <c r="G72" s="28">
        <v>0</v>
      </c>
    </row>
    <row r="73" spans="1:7">
      <c r="A73" s="28">
        <v>436</v>
      </c>
      <c r="B73" s="28" t="s">
        <v>6360</v>
      </c>
      <c r="C73" s="28">
        <v>3</v>
      </c>
      <c r="D73" s="28" t="s">
        <v>6361</v>
      </c>
      <c r="E73" s="28" t="s">
        <v>6362</v>
      </c>
      <c r="F73" s="28" t="s">
        <v>6363</v>
      </c>
      <c r="G73" s="28">
        <v>0</v>
      </c>
    </row>
    <row r="74" spans="1:7">
      <c r="A74" s="28">
        <v>437</v>
      </c>
      <c r="B74" s="28" t="s">
        <v>6364</v>
      </c>
      <c r="C74" s="28">
        <v>1</v>
      </c>
      <c r="D74" s="28" t="s">
        <v>6365</v>
      </c>
      <c r="E74" s="28" t="s">
        <v>6366</v>
      </c>
      <c r="F74" s="28" t="s">
        <v>6367</v>
      </c>
      <c r="G74" s="28">
        <v>0</v>
      </c>
    </row>
    <row r="75" spans="1:7">
      <c r="A75" s="28">
        <v>438</v>
      </c>
      <c r="B75" s="28" t="s">
        <v>6368</v>
      </c>
      <c r="C75" s="28">
        <v>3</v>
      </c>
      <c r="D75" s="28" t="s">
        <v>6369</v>
      </c>
      <c r="E75" s="54" t="s">
        <v>6370</v>
      </c>
      <c r="F75" s="28" t="s">
        <v>6371</v>
      </c>
      <c r="G75" s="28">
        <v>0</v>
      </c>
    </row>
    <row r="76" spans="1:7">
      <c r="A76" s="28">
        <v>446</v>
      </c>
      <c r="B76" s="28" t="s">
        <v>6372</v>
      </c>
      <c r="C76" s="28">
        <v>4</v>
      </c>
      <c r="D76" s="28" t="s">
        <v>6373</v>
      </c>
      <c r="E76" s="65" t="s">
        <v>6374</v>
      </c>
      <c r="F76" s="28" t="s">
        <v>6375</v>
      </c>
      <c r="G76" s="28">
        <v>1</v>
      </c>
    </row>
    <row r="77" spans="1:7">
      <c r="A77" s="28">
        <v>447</v>
      </c>
      <c r="B77" s="28" t="s">
        <v>6376</v>
      </c>
      <c r="C77" s="28">
        <v>4</v>
      </c>
      <c r="D77" s="28" t="s">
        <v>6373</v>
      </c>
      <c r="E77" s="28" t="s">
        <v>6377</v>
      </c>
      <c r="F77" s="28" t="s">
        <v>6378</v>
      </c>
      <c r="G77" s="28">
        <v>1</v>
      </c>
    </row>
    <row r="78" spans="1:7">
      <c r="A78" s="28">
        <v>448</v>
      </c>
      <c r="B78" s="28" t="s">
        <v>6379</v>
      </c>
      <c r="C78" s="28">
        <v>4</v>
      </c>
      <c r="D78" s="28" t="s">
        <v>6373</v>
      </c>
      <c r="E78" s="28" t="s">
        <v>6380</v>
      </c>
      <c r="F78" s="28" t="s">
        <v>6381</v>
      </c>
      <c r="G78" s="28">
        <v>1</v>
      </c>
    </row>
    <row r="79" spans="1:7">
      <c r="A79" s="28">
        <v>449</v>
      </c>
      <c r="B79" s="28" t="s">
        <v>6382</v>
      </c>
      <c r="C79" s="28">
        <v>4</v>
      </c>
      <c r="D79" s="28" t="s">
        <v>6383</v>
      </c>
      <c r="E79" s="28" t="s">
        <v>6384</v>
      </c>
      <c r="F79" s="28" t="s">
        <v>6385</v>
      </c>
      <c r="G79" s="28">
        <v>1</v>
      </c>
    </row>
    <row r="80" spans="1:7">
      <c r="A80" s="28">
        <v>450</v>
      </c>
      <c r="B80" s="28" t="s">
        <v>6386</v>
      </c>
      <c r="C80" s="28">
        <v>4</v>
      </c>
      <c r="D80" s="28" t="s">
        <v>6383</v>
      </c>
      <c r="E80" s="28" t="s">
        <v>6387</v>
      </c>
      <c r="F80" s="28" t="s">
        <v>6388</v>
      </c>
      <c r="G80" s="28">
        <v>1</v>
      </c>
    </row>
    <row r="81" spans="1:7">
      <c r="A81" s="28">
        <v>451</v>
      </c>
      <c r="B81" s="28" t="s">
        <v>6389</v>
      </c>
      <c r="C81" s="28">
        <v>4</v>
      </c>
      <c r="D81" s="54" t="s">
        <v>6383</v>
      </c>
      <c r="E81" s="28" t="s">
        <v>6390</v>
      </c>
      <c r="F81" s="28" t="s">
        <v>6391</v>
      </c>
      <c r="G81" s="28">
        <v>1</v>
      </c>
    </row>
    <row r="82" spans="1:7">
      <c r="A82" s="28">
        <v>452</v>
      </c>
      <c r="B82" s="28" t="s">
        <v>6392</v>
      </c>
      <c r="C82" s="28">
        <v>4</v>
      </c>
      <c r="D82" s="54" t="s">
        <v>6383</v>
      </c>
      <c r="E82" s="28" t="s">
        <v>6393</v>
      </c>
      <c r="F82" s="28" t="s">
        <v>6394</v>
      </c>
      <c r="G82" s="28">
        <v>1</v>
      </c>
    </row>
    <row r="83" spans="1:7">
      <c r="A83" s="28">
        <v>453</v>
      </c>
      <c r="B83" s="28" t="s">
        <v>6395</v>
      </c>
      <c r="C83" s="28">
        <v>4</v>
      </c>
      <c r="D83" s="54" t="s">
        <v>6396</v>
      </c>
      <c r="E83" s="28" t="s">
        <v>6397</v>
      </c>
      <c r="F83" s="28" t="s">
        <v>6398</v>
      </c>
      <c r="G83" s="28">
        <v>999999</v>
      </c>
    </row>
    <row r="84" spans="1:7">
      <c r="A84" s="28">
        <v>501</v>
      </c>
      <c r="B84" s="28" t="s">
        <v>6399</v>
      </c>
      <c r="C84" s="28">
        <v>3</v>
      </c>
      <c r="D84" s="54" t="s">
        <v>6400</v>
      </c>
      <c r="E84" s="28" t="s">
        <v>6401</v>
      </c>
      <c r="F84" s="28" t="s">
        <v>6402</v>
      </c>
      <c r="G84" s="28">
        <v>1000</v>
      </c>
    </row>
    <row r="85" spans="1:7">
      <c r="A85" s="28">
        <v>502</v>
      </c>
      <c r="B85" s="28" t="s">
        <v>6403</v>
      </c>
      <c r="C85" s="28">
        <v>3</v>
      </c>
      <c r="D85" s="54" t="s">
        <v>6404</v>
      </c>
      <c r="E85" s="28" t="s">
        <v>6405</v>
      </c>
      <c r="F85" s="28" t="s">
        <v>6406</v>
      </c>
      <c r="G85" s="28">
        <v>400</v>
      </c>
    </row>
    <row r="86" spans="1:7">
      <c r="A86" s="28">
        <v>503</v>
      </c>
      <c r="B86" s="28" t="s">
        <v>6407</v>
      </c>
      <c r="C86" s="28">
        <v>3</v>
      </c>
      <c r="D86" s="28" t="s">
        <v>6408</v>
      </c>
      <c r="E86" s="28" t="s">
        <v>6409</v>
      </c>
      <c r="F86" s="28" t="s">
        <v>6410</v>
      </c>
      <c r="G86" s="28">
        <v>2400</v>
      </c>
    </row>
    <row r="87" spans="1:7">
      <c r="A87" s="28">
        <v>510</v>
      </c>
      <c r="B87" s="28" t="s">
        <v>6411</v>
      </c>
      <c r="C87" s="28">
        <v>3</v>
      </c>
      <c r="D87" s="28" t="s">
        <v>6412</v>
      </c>
      <c r="E87" s="28" t="s">
        <v>6413</v>
      </c>
      <c r="F87" s="28" t="s">
        <v>6414</v>
      </c>
      <c r="G87" s="28">
        <v>20</v>
      </c>
    </row>
    <row r="88" spans="1:7">
      <c r="A88" s="28">
        <v>511</v>
      </c>
      <c r="B88" s="28" t="s">
        <v>6415</v>
      </c>
      <c r="C88" s="28">
        <v>3</v>
      </c>
      <c r="D88" s="54" t="s">
        <v>6416</v>
      </c>
      <c r="E88" s="28" t="s">
        <v>6417</v>
      </c>
      <c r="F88" s="28" t="s">
        <v>6418</v>
      </c>
      <c r="G88" s="28">
        <v>100</v>
      </c>
    </row>
    <row r="89" spans="1:7">
      <c r="A89" s="28">
        <v>551</v>
      </c>
      <c r="B89" s="28" t="s">
        <v>6419</v>
      </c>
      <c r="C89" s="28">
        <v>3</v>
      </c>
      <c r="D89" s="54" t="s">
        <v>6419</v>
      </c>
      <c r="E89" s="28" t="s"/>
      <c r="F89" s="28" t="s">
        <v>6176</v>
      </c>
      <c r="G89" s="28">
        <v>0</v>
      </c>
    </row>
    <row r="90" spans="1:7">
      <c r="A90" s="28">
        <v>701</v>
      </c>
      <c r="B90" s="28" t="s">
        <v>6420</v>
      </c>
      <c r="C90" s="28">
        <v>3</v>
      </c>
      <c r="D90" s="28" t="s">
        <v>6421</v>
      </c>
      <c r="E90" s="28" t="s">
        <v>6422</v>
      </c>
      <c r="F90" s="28" t="s">
        <v>6423</v>
      </c>
      <c r="G90" s="28">
        <v>999999</v>
      </c>
    </row>
    <row r="91" spans="1:7">
      <c r="A91" s="28">
        <v>702</v>
      </c>
      <c r="B91" s="28" t="s">
        <v>6424</v>
      </c>
      <c r="C91" s="28">
        <v>3</v>
      </c>
      <c r="D91" s="54" t="s">
        <v>6425</v>
      </c>
      <c r="E91" s="54" t="s">
        <v>6426</v>
      </c>
      <c r="F91" s="28" t="s">
        <v>6427</v>
      </c>
      <c r="G91" s="28">
        <v>999999</v>
      </c>
    </row>
    <row r="92" spans="1:7">
      <c r="A92" s="28">
        <v>704</v>
      </c>
      <c r="B92" s="28" t="s">
        <v>6428</v>
      </c>
      <c r="C92" s="28">
        <v>3</v>
      </c>
      <c r="D92" s="28" t="s">
        <v>6429</v>
      </c>
      <c r="E92" s="28" t="s">
        <v>6430</v>
      </c>
      <c r="F92" s="28" t="s">
        <v>6431</v>
      </c>
      <c r="G92" s="28">
        <v>100</v>
      </c>
    </row>
    <row r="93" spans="1:7">
      <c r="A93" s="28">
        <v>1011</v>
      </c>
      <c r="B93" s="28" t="s">
        <v>60</v>
      </c>
      <c r="C93" s="28">
        <v>3</v>
      </c>
      <c r="D93" s="28" t="s">
        <v>6432</v>
      </c>
      <c r="E93" s="28" t="s">
        <v>6433</v>
      </c>
      <c r="F93" s="28" t="s">
        <v>6434</v>
      </c>
      <c r="G93" s="28">
        <v>0</v>
      </c>
    </row>
    <row r="94" spans="1:7">
      <c r="A94" s="28">
        <v>1021</v>
      </c>
      <c r="B94" s="28" t="s">
        <v>79</v>
      </c>
      <c r="C94" s="28">
        <v>4</v>
      </c>
      <c r="D94" s="54" t="s">
        <v>6432</v>
      </c>
      <c r="E94" s="28" t="s">
        <v>6435</v>
      </c>
      <c r="F94" s="28" t="s">
        <v>6436</v>
      </c>
      <c r="G94" s="28">
        <v>0</v>
      </c>
    </row>
    <row r="95" spans="1:7">
      <c r="A95" s="28">
        <v>1031</v>
      </c>
      <c r="B95" s="28" t="s">
        <v>92</v>
      </c>
      <c r="C95" s="28">
        <v>3</v>
      </c>
      <c r="D95" s="54" t="s">
        <v>6432</v>
      </c>
      <c r="E95" s="28" t="s">
        <v>6437</v>
      </c>
      <c r="F95" s="28" t="s">
        <v>6438</v>
      </c>
      <c r="G95" s="28">
        <v>0</v>
      </c>
    </row>
    <row r="96" spans="1:7">
      <c r="A96" s="28">
        <v>1041</v>
      </c>
      <c r="B96" s="28" t="s">
        <v>110</v>
      </c>
      <c r="C96" s="28">
        <v>4</v>
      </c>
      <c r="D96" s="54" t="s">
        <v>6432</v>
      </c>
      <c r="E96" s="28" t="s">
        <v>6439</v>
      </c>
      <c r="F96" s="28" t="s">
        <v>6440</v>
      </c>
      <c r="G96" s="28">
        <v>0</v>
      </c>
    </row>
    <row r="97" spans="1:7">
      <c r="A97" s="28">
        <v>1051</v>
      </c>
      <c r="B97" s="28" t="s">
        <v>126</v>
      </c>
      <c r="C97" s="28">
        <v>4</v>
      </c>
      <c r="D97" s="28" t="s">
        <v>6432</v>
      </c>
      <c r="E97" s="28" t="s">
        <v>6441</v>
      </c>
      <c r="F97" s="28" t="s">
        <v>6442</v>
      </c>
      <c r="G97" s="28">
        <v>0</v>
      </c>
    </row>
    <row r="98" spans="1:7">
      <c r="A98" s="28">
        <v>1061</v>
      </c>
      <c r="B98" s="54" t="s">
        <v>149</v>
      </c>
      <c r="C98" s="28">
        <v>3</v>
      </c>
      <c r="D98" s="54" t="s">
        <v>6432</v>
      </c>
      <c r="E98" s="28" t="s">
        <v>6443</v>
      </c>
      <c r="F98" s="28" t="s">
        <v>6444</v>
      </c>
      <c r="G98" s="28">
        <v>0</v>
      </c>
    </row>
    <row r="99" spans="1:7">
      <c r="A99" s="28">
        <v>1071</v>
      </c>
      <c r="B99" s="54" t="s">
        <v>164</v>
      </c>
      <c r="C99" s="28">
        <v>4</v>
      </c>
      <c r="D99" s="54" t="s">
        <v>6432</v>
      </c>
      <c r="E99" s="28" t="s">
        <v>6445</v>
      </c>
      <c r="F99" s="28" t="s">
        <v>6446</v>
      </c>
      <c r="G99" s="28">
        <v>0</v>
      </c>
    </row>
    <row r="100" spans="1:7">
      <c r="A100" s="28">
        <v>1081</v>
      </c>
      <c r="B100" s="28" t="s">
        <v>182</v>
      </c>
      <c r="C100" s="28">
        <v>3</v>
      </c>
      <c r="D100" s="28" t="s">
        <v>6432</v>
      </c>
      <c r="E100" s="28" t="s">
        <v>6447</v>
      </c>
      <c r="F100" s="28" t="s">
        <v>6448</v>
      </c>
      <c r="G100" s="28">
        <v>0</v>
      </c>
    </row>
    <row r="101" spans="1:7">
      <c r="A101" s="28">
        <v>1091</v>
      </c>
      <c r="B101" s="28" t="s">
        <v>200</v>
      </c>
      <c r="C101" s="28">
        <v>4</v>
      </c>
      <c r="D101" s="54" t="s">
        <v>6432</v>
      </c>
      <c r="E101" s="28" t="s">
        <v>6449</v>
      </c>
      <c r="F101" s="28" t="s">
        <v>6450</v>
      </c>
      <c r="G101" s="28">
        <v>0</v>
      </c>
    </row>
    <row r="102" spans="1:7">
      <c r="A102" s="28">
        <v>1101</v>
      </c>
      <c r="B102" s="28" t="s">
        <v>220</v>
      </c>
      <c r="C102" s="28">
        <v>4</v>
      </c>
      <c r="D102" s="54" t="s">
        <v>6432</v>
      </c>
      <c r="E102" s="28" t="s">
        <v>6451</v>
      </c>
      <c r="F102" s="28" t="s">
        <v>6452</v>
      </c>
      <c r="G102" s="28">
        <v>0</v>
      </c>
    </row>
    <row r="103" spans="1:7">
      <c r="A103" s="28">
        <v>1111</v>
      </c>
      <c r="B103" s="28" t="s">
        <v>238</v>
      </c>
      <c r="C103" s="28">
        <v>3</v>
      </c>
      <c r="D103" s="28" t="s">
        <v>6432</v>
      </c>
      <c r="E103" s="54" t="s">
        <v>6453</v>
      </c>
      <c r="F103" s="28" t="s">
        <v>6454</v>
      </c>
      <c r="G103" s="28">
        <v>0</v>
      </c>
    </row>
    <row r="104" spans="1:7">
      <c r="A104" s="28">
        <v>1121</v>
      </c>
      <c r="B104" s="28" t="s">
        <v>252</v>
      </c>
      <c r="C104" s="28">
        <v>3</v>
      </c>
      <c r="D104" s="28" t="s">
        <v>6432</v>
      </c>
      <c r="E104" s="54" t="s">
        <v>6455</v>
      </c>
      <c r="F104" s="28" t="s">
        <v>6456</v>
      </c>
      <c r="G104" s="28">
        <v>0</v>
      </c>
    </row>
    <row r="105" spans="1:7">
      <c r="A105" s="28">
        <v>1131</v>
      </c>
      <c r="B105" s="28" t="s">
        <v>267</v>
      </c>
      <c r="C105" s="28">
        <v>3</v>
      </c>
      <c r="D105" s="28" t="s">
        <v>6432</v>
      </c>
      <c r="E105" s="54" t="s">
        <v>6457</v>
      </c>
      <c r="F105" s="28" t="s">
        <v>6458</v>
      </c>
      <c r="G105" s="28">
        <v>0</v>
      </c>
    </row>
    <row r="106" spans="1:7">
      <c r="A106" s="28">
        <v>1141</v>
      </c>
      <c r="B106" s="28" t="s">
        <v>287</v>
      </c>
      <c r="C106" s="28">
        <v>4</v>
      </c>
      <c r="D106" s="28" t="s">
        <v>6432</v>
      </c>
      <c r="E106" s="54" t="s">
        <v>6459</v>
      </c>
      <c r="F106" s="28" t="s">
        <v>6460</v>
      </c>
      <c r="G106" s="28">
        <v>0</v>
      </c>
    </row>
    <row r="107" spans="1:7">
      <c r="A107" s="28">
        <v>1151</v>
      </c>
      <c r="B107" s="28" t="s">
        <v>307</v>
      </c>
      <c r="C107" s="28">
        <v>3</v>
      </c>
      <c r="D107" s="28" t="s">
        <v>6432</v>
      </c>
      <c r="E107" s="54" t="s">
        <v>6461</v>
      </c>
      <c r="F107" s="28" t="s">
        <v>6462</v>
      </c>
      <c r="G107" s="28">
        <v>0</v>
      </c>
    </row>
    <row r="108" spans="1:7">
      <c r="A108" s="28">
        <v>1161</v>
      </c>
      <c r="B108" s="28" t="s">
        <v>328</v>
      </c>
      <c r="C108" s="28">
        <v>4</v>
      </c>
      <c r="D108" s="28" t="s">
        <v>6432</v>
      </c>
      <c r="E108" s="54" t="s">
        <v>6463</v>
      </c>
      <c r="F108" s="28" t="s">
        <v>6464</v>
      </c>
      <c r="G108" s="28">
        <v>0</v>
      </c>
    </row>
    <row r="109" spans="1:7">
      <c r="A109" s="28">
        <v>1171</v>
      </c>
      <c r="B109" s="28" t="s">
        <v>352</v>
      </c>
      <c r="C109" s="28">
        <v>4</v>
      </c>
      <c r="D109" s="28" t="s">
        <v>6432</v>
      </c>
      <c r="E109" s="54" t="s">
        <v>6465</v>
      </c>
      <c r="F109" s="28" t="s">
        <v>6466</v>
      </c>
      <c r="G109" s="28">
        <v>0</v>
      </c>
    </row>
    <row r="110" spans="1:7">
      <c r="A110" s="28">
        <v>1181</v>
      </c>
      <c r="B110" s="28" t="s">
        <v>372</v>
      </c>
      <c r="C110" s="28">
        <v>4</v>
      </c>
      <c r="D110" s="28" t="s">
        <v>6432</v>
      </c>
      <c r="E110" s="28" t="s">
        <v>6467</v>
      </c>
      <c r="F110" s="28" t="s">
        <v>6468</v>
      </c>
      <c r="G110" s="28">
        <v>0</v>
      </c>
    </row>
    <row r="111" spans="1:7">
      <c r="A111" s="28">
        <v>1191</v>
      </c>
      <c r="B111" s="28" t="s">
        <v>388</v>
      </c>
      <c r="C111" s="28">
        <v>4</v>
      </c>
      <c r="D111" s="28" t="s">
        <v>6432</v>
      </c>
      <c r="E111" s="28" t="s">
        <v>6469</v>
      </c>
      <c r="F111" s="28" t="s">
        <v>6470</v>
      </c>
      <c r="G111" s="28">
        <v>0</v>
      </c>
    </row>
    <row r="112" spans="1:7">
      <c r="A112" s="28">
        <v>1201</v>
      </c>
      <c r="B112" s="28" t="s">
        <v>412</v>
      </c>
      <c r="C112" s="28">
        <v>4</v>
      </c>
      <c r="D112" s="28" t="s">
        <v>6432</v>
      </c>
      <c r="E112" s="28" t="s">
        <v>6471</v>
      </c>
      <c r="F112" s="28" t="s">
        <v>6472</v>
      </c>
      <c r="G112" s="28">
        <v>0</v>
      </c>
    </row>
    <row r="113" spans="1:7">
      <c r="A113" s="28">
        <v>1211</v>
      </c>
      <c r="B113" s="28" t="s">
        <v>431</v>
      </c>
      <c r="C113" s="28">
        <v>4</v>
      </c>
      <c r="D113" s="28" t="s">
        <v>6432</v>
      </c>
      <c r="E113" s="28" t="s">
        <v>6473</v>
      </c>
      <c r="F113" s="28" t="s">
        <v>6474</v>
      </c>
      <c r="G113" s="28">
        <v>0</v>
      </c>
    </row>
    <row r="114" spans="1:7">
      <c r="A114" s="28">
        <v>1221</v>
      </c>
      <c r="B114" s="28" t="s">
        <v>442</v>
      </c>
      <c r="C114" s="28">
        <v>4</v>
      </c>
      <c r="D114" s="54" t="s">
        <v>6432</v>
      </c>
      <c r="E114" s="28" t="s">
        <v>6475</v>
      </c>
      <c r="F114" s="28" t="s">
        <v>6476</v>
      </c>
      <c r="G114" s="28">
        <v>0</v>
      </c>
    </row>
    <row r="115" spans="1:7">
      <c r="A115" s="28">
        <v>1241</v>
      </c>
      <c r="B115" s="28" t="s">
        <v>456</v>
      </c>
      <c r="C115" s="28">
        <v>4</v>
      </c>
      <c r="D115" s="54" t="s">
        <v>6432</v>
      </c>
      <c r="E115" s="28" t="s">
        <v>6477</v>
      </c>
      <c r="F115" s="28" t="s">
        <v>6478</v>
      </c>
      <c r="G115" s="28">
        <v>0</v>
      </c>
    </row>
    <row r="116" spans="1:7">
      <c r="A116" s="28">
        <v>1251</v>
      </c>
      <c r="B116" s="28" t="s">
        <v>476</v>
      </c>
      <c r="C116" s="28">
        <v>4</v>
      </c>
      <c r="D116" s="54" t="s">
        <v>6432</v>
      </c>
      <c r="E116" s="28" t="s">
        <v>6479</v>
      </c>
      <c r="F116" s="28" t="s">
        <v>6480</v>
      </c>
      <c r="G116" s="28">
        <v>0</v>
      </c>
    </row>
    <row r="117" spans="1:7">
      <c r="A117" s="28">
        <v>1261</v>
      </c>
      <c r="B117" s="28" t="s">
        <v>492</v>
      </c>
      <c r="C117" s="28">
        <v>4</v>
      </c>
      <c r="D117" s="54" t="s">
        <v>6432</v>
      </c>
      <c r="E117" s="28" t="s">
        <v>6481</v>
      </c>
      <c r="F117" s="28" t="s">
        <v>6482</v>
      </c>
      <c r="G117" s="28">
        <v>0</v>
      </c>
    </row>
    <row r="118" spans="1:7">
      <c r="A118" s="28">
        <v>1271</v>
      </c>
      <c r="B118" s="28" t="s">
        <v>527</v>
      </c>
      <c r="C118" s="28">
        <v>3</v>
      </c>
      <c r="D118" s="54" t="s">
        <v>6432</v>
      </c>
      <c r="E118" s="28" t="s">
        <v>6483</v>
      </c>
      <c r="F118" s="28" t="s">
        <v>6484</v>
      </c>
      <c r="G118" s="28">
        <v>0</v>
      </c>
    </row>
    <row r="119" spans="1:7">
      <c r="A119" s="28">
        <v>1281</v>
      </c>
      <c r="B119" s="54" t="s">
        <v>540</v>
      </c>
      <c r="C119" s="28">
        <v>3</v>
      </c>
      <c r="D119" s="54" t="s">
        <v>6432</v>
      </c>
      <c r="E119" s="28" t="s">
        <v>6485</v>
      </c>
      <c r="F119" s="28" t="s">
        <v>6486</v>
      </c>
      <c r="G119" s="28">
        <v>0</v>
      </c>
    </row>
    <row r="120" spans="1:7">
      <c r="A120" s="28">
        <v>1291</v>
      </c>
      <c r="B120" s="28" t="s">
        <v>555</v>
      </c>
      <c r="C120" s="28">
        <v>4</v>
      </c>
      <c r="D120" s="28" t="s">
        <v>6432</v>
      </c>
      <c r="E120" s="28" t="s">
        <v>6487</v>
      </c>
      <c r="F120" s="28" t="s">
        <v>6488</v>
      </c>
      <c r="G120" s="28">
        <v>0</v>
      </c>
    </row>
    <row r="121" spans="1:7">
      <c r="A121" s="28">
        <v>1301</v>
      </c>
      <c r="B121" s="28" t="s">
        <v>572</v>
      </c>
      <c r="C121" s="28">
        <v>4</v>
      </c>
      <c r="D121" s="28" t="s">
        <v>6432</v>
      </c>
      <c r="E121" s="28" t="s">
        <v>6489</v>
      </c>
      <c r="F121" s="28" t="s">
        <v>6490</v>
      </c>
      <c r="G121" s="28">
        <v>0</v>
      </c>
    </row>
    <row r="122" spans="1:7">
      <c r="A122" s="28">
        <v>1311</v>
      </c>
      <c r="B122" s="28" t="s">
        <v>590</v>
      </c>
      <c r="C122" s="28">
        <v>4</v>
      </c>
      <c r="D122" s="28" t="s">
        <v>6432</v>
      </c>
      <c r="E122" s="28" t="s">
        <v>6491</v>
      </c>
      <c r="F122" s="28" t="s">
        <v>6492</v>
      </c>
      <c r="G122" s="28">
        <v>0</v>
      </c>
    </row>
    <row r="123" spans="1:7">
      <c r="A123" s="28">
        <v>1321</v>
      </c>
      <c r="B123" s="28" t="s">
        <v>612</v>
      </c>
      <c r="C123" s="28">
        <v>4</v>
      </c>
      <c r="D123" s="54" t="s">
        <v>6432</v>
      </c>
      <c r="E123" s="28" t="s">
        <v>6493</v>
      </c>
      <c r="F123" s="28" t="s">
        <v>6494</v>
      </c>
      <c r="G123" s="28">
        <v>0</v>
      </c>
    </row>
    <row r="124" spans="1:7">
      <c r="A124" s="28">
        <v>1331</v>
      </c>
      <c r="B124" s="28" t="s">
        <v>628</v>
      </c>
      <c r="C124" s="28">
        <v>4</v>
      </c>
      <c r="D124" s="54" t="s">
        <v>6432</v>
      </c>
      <c r="E124" s="28" t="s">
        <v>6495</v>
      </c>
      <c r="F124" s="28" t="s">
        <v>6496</v>
      </c>
      <c r="G124" s="28">
        <v>0</v>
      </c>
    </row>
    <row r="125" spans="1:7">
      <c r="A125" s="28">
        <v>1341</v>
      </c>
      <c r="B125" s="28" t="s">
        <v>644</v>
      </c>
      <c r="C125" s="28">
        <v>4</v>
      </c>
      <c r="D125" s="28" t="s">
        <v>6432</v>
      </c>
      <c r="E125" s="54" t="s">
        <v>6497</v>
      </c>
      <c r="F125" s="28" t="s">
        <v>6498</v>
      </c>
      <c r="G125" s="28">
        <v>0</v>
      </c>
    </row>
    <row r="126" spans="1:7">
      <c r="A126" s="28">
        <v>1351</v>
      </c>
      <c r="B126" s="28" t="s">
        <v>659</v>
      </c>
      <c r="C126" s="28">
        <v>3</v>
      </c>
      <c r="D126" s="28" t="s">
        <v>6432</v>
      </c>
      <c r="E126" s="54" t="s">
        <v>6499</v>
      </c>
      <c r="F126" s="28" t="s">
        <v>6500</v>
      </c>
      <c r="G126" s="28">
        <v>0</v>
      </c>
    </row>
    <row r="127" spans="1:7">
      <c r="A127" s="28">
        <v>1361</v>
      </c>
      <c r="B127" s="28" t="s">
        <v>671</v>
      </c>
      <c r="C127" s="28">
        <v>4</v>
      </c>
      <c r="D127" s="28" t="s">
        <v>6432</v>
      </c>
      <c r="E127" s="54" t="s">
        <v>6501</v>
      </c>
      <c r="F127" s="28" t="s">
        <v>6468</v>
      </c>
      <c r="G127" s="28">
        <v>0</v>
      </c>
    </row>
    <row r="128" spans="1:7">
      <c r="A128" s="28">
        <v>1371</v>
      </c>
      <c r="B128" s="28" t="s">
        <v>692</v>
      </c>
      <c r="C128" s="28">
        <v>4</v>
      </c>
      <c r="D128" s="28" t="s">
        <v>6432</v>
      </c>
      <c r="E128" s="28" t="s">
        <v>6502</v>
      </c>
      <c r="F128" s="28" t="s">
        <v>6503</v>
      </c>
      <c r="G128" s="28">
        <v>0</v>
      </c>
    </row>
    <row r="129" spans="1:7">
      <c r="A129" s="28">
        <v>1381</v>
      </c>
      <c r="B129" s="28" t="s">
        <v>716</v>
      </c>
      <c r="C129" s="28">
        <v>4</v>
      </c>
      <c r="D129" s="28" t="s">
        <v>6432</v>
      </c>
      <c r="E129" s="28" t="s">
        <v>6504</v>
      </c>
      <c r="F129" s="28" t="s">
        <v>6505</v>
      </c>
      <c r="G129" s="28">
        <v>0</v>
      </c>
    </row>
    <row r="130" spans="1:7">
      <c r="A130" s="28">
        <v>1391</v>
      </c>
      <c r="B130" s="28" t="s">
        <v>734</v>
      </c>
      <c r="C130" s="28">
        <v>4</v>
      </c>
      <c r="D130" s="28" t="s">
        <v>6432</v>
      </c>
      <c r="E130" s="65" t="s">
        <v>6506</v>
      </c>
      <c r="F130" s="28" t="s">
        <v>6507</v>
      </c>
      <c r="G130" s="28">
        <v>0</v>
      </c>
    </row>
    <row r="131" spans="1:7">
      <c r="A131" s="28">
        <v>1401</v>
      </c>
      <c r="B131" s="28" t="s">
        <v>749</v>
      </c>
      <c r="C131" s="28">
        <v>4</v>
      </c>
      <c r="D131" s="54" t="s">
        <v>6432</v>
      </c>
      <c r="E131" s="64" t="s">
        <v>6508</v>
      </c>
      <c r="F131" s="28" t="s">
        <v>6509</v>
      </c>
      <c r="G131" s="28">
        <v>0</v>
      </c>
    </row>
    <row r="132" spans="1:7">
      <c r="A132" s="28">
        <v>1411</v>
      </c>
      <c r="B132" s="28" t="s">
        <v>763</v>
      </c>
      <c r="C132" s="28">
        <v>4</v>
      </c>
      <c r="D132" s="54" t="s">
        <v>6432</v>
      </c>
      <c r="E132" s="64" t="s">
        <v>6510</v>
      </c>
      <c r="F132" s="28" t="s">
        <v>6511</v>
      </c>
      <c r="G132" s="28">
        <v>0</v>
      </c>
    </row>
    <row r="133" spans="1:7">
      <c r="A133" s="28">
        <v>1421</v>
      </c>
      <c r="B133" s="28" t="s">
        <v>784</v>
      </c>
      <c r="C133" s="28">
        <v>3</v>
      </c>
      <c r="D133" s="28" t="s">
        <v>6432</v>
      </c>
      <c r="E133" s="54" t="s">
        <v>6512</v>
      </c>
      <c r="F133" s="28" t="s">
        <v>6513</v>
      </c>
      <c r="G133" s="28">
        <v>0</v>
      </c>
    </row>
    <row r="134" spans="1:7">
      <c r="A134" s="28">
        <v>1431</v>
      </c>
      <c r="B134" s="28" t="s">
        <v>796</v>
      </c>
      <c r="C134" s="28">
        <v>4</v>
      </c>
      <c r="D134" s="28" t="s">
        <v>6432</v>
      </c>
      <c r="E134" s="28" t="s">
        <v>6514</v>
      </c>
      <c r="F134" s="28" t="s">
        <v>6515</v>
      </c>
      <c r="G134" s="28">
        <v>0</v>
      </c>
    </row>
    <row r="135" spans="1:7">
      <c r="A135" s="28">
        <v>1441</v>
      </c>
      <c r="B135" s="28" t="s">
        <v>826</v>
      </c>
      <c r="C135" s="28">
        <v>3</v>
      </c>
      <c r="D135" s="28" t="s">
        <v>6432</v>
      </c>
      <c r="E135" s="28" t="s">
        <v>6516</v>
      </c>
      <c r="F135" s="28" t="s">
        <v>6517</v>
      </c>
      <c r="G135" s="28">
        <v>0</v>
      </c>
    </row>
    <row r="136" spans="1:7">
      <c r="A136" s="28">
        <v>1451</v>
      </c>
      <c r="B136" s="28" t="s">
        <v>849</v>
      </c>
      <c r="C136" s="28">
        <v>4</v>
      </c>
      <c r="D136" s="28" t="s">
        <v>6432</v>
      </c>
      <c r="E136" s="28" t="s">
        <v>6518</v>
      </c>
      <c r="F136" s="28" t="s">
        <v>6519</v>
      </c>
      <c r="G136" s="28">
        <v>0</v>
      </c>
    </row>
    <row r="137" spans="1:7">
      <c r="A137" s="28">
        <v>1461</v>
      </c>
      <c r="B137" s="28" t="s">
        <v>864</v>
      </c>
      <c r="C137" s="28">
        <v>4</v>
      </c>
      <c r="D137" s="28" t="s">
        <v>6432</v>
      </c>
      <c r="E137" s="28" t="s">
        <v>6520</v>
      </c>
      <c r="F137" s="28" t="s">
        <v>6521</v>
      </c>
      <c r="G137" s="28">
        <v>0</v>
      </c>
    </row>
    <row r="138" spans="1:7">
      <c r="A138" s="28">
        <v>1471</v>
      </c>
      <c r="B138" s="54" t="s">
        <v>879</v>
      </c>
      <c r="C138" s="28">
        <v>4</v>
      </c>
      <c r="D138" s="54" t="s">
        <v>6432</v>
      </c>
      <c r="E138" s="28" t="s">
        <v>6522</v>
      </c>
      <c r="F138" s="28" t="s">
        <v>6523</v>
      </c>
      <c r="G138" s="28">
        <v>0</v>
      </c>
    </row>
    <row r="139" spans="1:7">
      <c r="A139" s="28">
        <v>1481</v>
      </c>
      <c r="B139" s="28" t="s">
        <v>900</v>
      </c>
      <c r="C139" s="28">
        <v>4</v>
      </c>
      <c r="D139" s="28" t="s">
        <v>6432</v>
      </c>
      <c r="E139" s="28" t="s">
        <v>6524</v>
      </c>
      <c r="F139" s="28" t="s">
        <v>6525</v>
      </c>
      <c r="G139" s="28">
        <v>0</v>
      </c>
    </row>
    <row r="140" spans="1:7">
      <c r="A140" s="28">
        <v>1491</v>
      </c>
      <c r="B140" s="54" t="s">
        <v>915</v>
      </c>
      <c r="C140" s="28">
        <v>4</v>
      </c>
      <c r="D140" s="54" t="s">
        <v>6432</v>
      </c>
      <c r="E140" s="28" t="s">
        <v>6526</v>
      </c>
      <c r="F140" s="28" t="s">
        <v>6527</v>
      </c>
      <c r="G140" s="28">
        <v>0</v>
      </c>
    </row>
    <row r="141" spans="1:7">
      <c r="A141" s="28">
        <v>1501</v>
      </c>
      <c r="B141" s="28" t="s">
        <v>933</v>
      </c>
      <c r="C141" s="28">
        <v>4</v>
      </c>
      <c r="D141" s="54" t="s">
        <v>6432</v>
      </c>
      <c r="E141" s="28" t="s">
        <v>6528</v>
      </c>
      <c r="F141" s="28" t="s">
        <v>6529</v>
      </c>
      <c r="G141" s="28">
        <v>0</v>
      </c>
    </row>
    <row r="142" spans="1:7">
      <c r="A142" s="28">
        <v>1502</v>
      </c>
      <c r="B142" s="28" t="s">
        <v>933</v>
      </c>
      <c r="C142" s="28">
        <v>2</v>
      </c>
      <c r="D142" s="28" t="s">
        <v>6432</v>
      </c>
      <c r="E142" s="28" t="s">
        <v>6528</v>
      </c>
      <c r="F142" s="28" t="s">
        <v>6529</v>
      </c>
      <c r="G142" s="28">
        <v>0</v>
      </c>
    </row>
    <row r="143" spans="1:7">
      <c r="A143" s="28">
        <v>2011</v>
      </c>
      <c r="B143" s="28" t="s">
        <v>1077</v>
      </c>
      <c r="C143" s="28">
        <v>2</v>
      </c>
      <c r="D143" s="28" t="s">
        <v>6432</v>
      </c>
      <c r="E143" s="28" t="s"/>
      <c r="F143" s="28" t="s">
        <v>6434</v>
      </c>
      <c r="G143" s="28">
        <v>0</v>
      </c>
    </row>
    <row r="144" spans="1:7">
      <c r="A144" s="28">
        <v>2021</v>
      </c>
      <c r="B144" s="28" t="s">
        <v>1080</v>
      </c>
      <c r="C144" s="28">
        <v>2</v>
      </c>
      <c r="D144" s="28" t="s">
        <v>6432</v>
      </c>
      <c r="E144" s="28" t="s"/>
      <c r="F144" s="28" t="s">
        <v>6434</v>
      </c>
      <c r="G144" s="28">
        <v>0</v>
      </c>
    </row>
    <row r="145" spans="1:7">
      <c r="A145" s="28">
        <v>2041</v>
      </c>
      <c r="B145" s="28" t="s">
        <v>796</v>
      </c>
      <c r="C145" s="28">
        <v>2</v>
      </c>
      <c r="D145" s="28" t="s">
        <v>6432</v>
      </c>
      <c r="E145" s="54" t="s"/>
      <c r="F145" s="28" t="s">
        <v>6434</v>
      </c>
      <c r="G145" s="28">
        <v>0</v>
      </c>
    </row>
    <row r="146" spans="1:7">
      <c r="A146" s="28">
        <v>5011</v>
      </c>
      <c r="B146" s="28" t="s">
        <v>6530</v>
      </c>
      <c r="C146" s="28">
        <v>3</v>
      </c>
      <c r="D146" s="28" t="s">
        <v>6432</v>
      </c>
      <c r="E146" s="54" t="s">
        <v>6433</v>
      </c>
      <c r="F146" s="28" t="s">
        <v>6434</v>
      </c>
      <c r="G146" s="28">
        <v>0</v>
      </c>
    </row>
    <row r="147" spans="1:7">
      <c r="A147" s="28">
        <v>5021</v>
      </c>
      <c r="B147" s="28" t="s">
        <v>6531</v>
      </c>
      <c r="C147" s="54">
        <v>4</v>
      </c>
      <c r="D147" s="54" t="s">
        <v>6432</v>
      </c>
      <c r="E147" s="28" t="s">
        <v>6435</v>
      </c>
      <c r="F147" s="28" t="s">
        <v>6436</v>
      </c>
      <c r="G147" s="28">
        <v>0</v>
      </c>
    </row>
    <row r="148" spans="1:7">
      <c r="A148" s="28">
        <v>5031</v>
      </c>
      <c r="B148" s="28" t="s">
        <v>6532</v>
      </c>
      <c r="C148" s="28">
        <v>3</v>
      </c>
      <c r="D148" s="28" t="s">
        <v>6432</v>
      </c>
      <c r="E148" s="54" t="s">
        <v>6437</v>
      </c>
      <c r="F148" s="28" t="s">
        <v>6438</v>
      </c>
      <c r="G148" s="28">
        <v>0</v>
      </c>
    </row>
    <row r="149" spans="1:7">
      <c r="A149" s="28">
        <v>5041</v>
      </c>
      <c r="B149" s="28" t="s">
        <v>6533</v>
      </c>
      <c r="C149" s="28">
        <v>4</v>
      </c>
      <c r="D149" s="28" t="s">
        <v>6432</v>
      </c>
      <c r="E149" s="54" t="s">
        <v>6439</v>
      </c>
      <c r="F149" s="28" t="s">
        <v>6440</v>
      </c>
      <c r="G149" s="28">
        <v>0</v>
      </c>
    </row>
    <row r="150" spans="1:7">
      <c r="A150" s="28">
        <v>5051</v>
      </c>
      <c r="B150" s="28" t="s">
        <v>6534</v>
      </c>
      <c r="C150" s="28">
        <v>4</v>
      </c>
      <c r="D150" s="28" t="s">
        <v>6432</v>
      </c>
      <c r="E150" s="54" t="s">
        <v>6441</v>
      </c>
      <c r="F150" s="28" t="s">
        <v>6442</v>
      </c>
      <c r="G150" s="28">
        <v>0</v>
      </c>
    </row>
    <row r="151" spans="1:7">
      <c r="A151" s="28">
        <v>5061</v>
      </c>
      <c r="B151" s="28" t="s">
        <v>6535</v>
      </c>
      <c r="C151" s="28">
        <v>3</v>
      </c>
      <c r="D151" s="28" t="s">
        <v>6432</v>
      </c>
      <c r="E151" s="28" t="s">
        <v>6443</v>
      </c>
      <c r="F151" s="28" t="s">
        <v>6444</v>
      </c>
      <c r="G151" s="28">
        <v>0</v>
      </c>
    </row>
    <row r="152" spans="1:7">
      <c r="A152" s="28">
        <v>5071</v>
      </c>
      <c r="B152" s="28" t="s">
        <v>6536</v>
      </c>
      <c r="C152" s="28">
        <v>4</v>
      </c>
      <c r="D152" s="28" t="s">
        <v>6432</v>
      </c>
      <c r="E152" s="28" t="s">
        <v>6445</v>
      </c>
      <c r="F152" s="28" t="s">
        <v>6446</v>
      </c>
      <c r="G152" s="28">
        <v>0</v>
      </c>
    </row>
    <row r="153" spans="1:7">
      <c r="A153" s="28">
        <v>5081</v>
      </c>
      <c r="B153" s="28" t="s">
        <v>6537</v>
      </c>
      <c r="C153" s="28">
        <v>3</v>
      </c>
      <c r="D153" s="28" t="s">
        <v>6432</v>
      </c>
      <c r="E153" s="54" t="s">
        <v>6447</v>
      </c>
      <c r="F153" s="28" t="s">
        <v>6448</v>
      </c>
      <c r="G153" s="28">
        <v>0</v>
      </c>
    </row>
    <row r="154" spans="1:7">
      <c r="A154" s="28">
        <v>5091</v>
      </c>
      <c r="B154" s="28" t="s">
        <v>6538</v>
      </c>
      <c r="C154" s="28">
        <v>4</v>
      </c>
      <c r="D154" s="28" t="s">
        <v>6432</v>
      </c>
      <c r="E154" s="54" t="s">
        <v>6449</v>
      </c>
      <c r="F154" s="28" t="s">
        <v>6450</v>
      </c>
      <c r="G154" s="28">
        <v>0</v>
      </c>
    </row>
    <row r="155" spans="1:7">
      <c r="A155" s="28">
        <v>5101</v>
      </c>
      <c r="B155" s="28" t="s">
        <v>6539</v>
      </c>
      <c r="C155" s="28">
        <v>4</v>
      </c>
      <c r="D155" s="28" t="s">
        <v>6432</v>
      </c>
      <c r="E155" s="28" t="s">
        <v>6451</v>
      </c>
      <c r="F155" s="28" t="s">
        <v>6452</v>
      </c>
      <c r="G155" s="28">
        <v>0</v>
      </c>
    </row>
    <row r="156" spans="1:7">
      <c r="A156" s="28">
        <v>5111</v>
      </c>
      <c r="B156" s="28" t="s">
        <v>6540</v>
      </c>
      <c r="C156" s="28">
        <v>3</v>
      </c>
      <c r="D156" s="28" t="s">
        <v>6432</v>
      </c>
      <c r="E156" s="28" t="s">
        <v>6453</v>
      </c>
      <c r="F156" s="28" t="s">
        <v>6454</v>
      </c>
      <c r="G156" s="28">
        <v>0</v>
      </c>
    </row>
    <row r="157" spans="1:7">
      <c r="A157" s="28">
        <v>5121</v>
      </c>
      <c r="B157" s="28" t="s">
        <v>6541</v>
      </c>
      <c r="C157" s="28">
        <v>3</v>
      </c>
      <c r="D157" s="28" t="s">
        <v>6432</v>
      </c>
      <c r="E157" s="28" t="s">
        <v>6455</v>
      </c>
      <c r="F157" s="28" t="s">
        <v>6456</v>
      </c>
      <c r="G157" s="28">
        <v>0</v>
      </c>
    </row>
    <row r="158" spans="1:7">
      <c r="A158" s="28">
        <v>5131</v>
      </c>
      <c r="B158" s="28" t="s">
        <v>6542</v>
      </c>
      <c r="C158" s="28">
        <v>3</v>
      </c>
      <c r="D158" s="28" t="s">
        <v>6432</v>
      </c>
      <c r="E158" s="28" t="s">
        <v>6457</v>
      </c>
      <c r="F158" s="28" t="s">
        <v>6458</v>
      </c>
      <c r="G158" s="28">
        <v>0</v>
      </c>
    </row>
    <row r="159" spans="1:7">
      <c r="A159" s="28">
        <v>5141</v>
      </c>
      <c r="B159" s="28" t="s">
        <v>6543</v>
      </c>
      <c r="C159" s="54">
        <v>4</v>
      </c>
      <c r="D159" s="54" t="s">
        <v>6432</v>
      </c>
      <c r="E159" s="28" t="s">
        <v>6459</v>
      </c>
      <c r="F159" s="28" t="s">
        <v>6460</v>
      </c>
      <c r="G159" s="28">
        <v>0</v>
      </c>
    </row>
    <row r="160" spans="1:7">
      <c r="A160" s="28">
        <v>5151</v>
      </c>
      <c r="B160" s="28" t="s">
        <v>6544</v>
      </c>
      <c r="C160" s="28">
        <v>3</v>
      </c>
      <c r="D160" s="28" t="s">
        <v>6432</v>
      </c>
      <c r="E160" s="28" t="s">
        <v>6461</v>
      </c>
      <c r="F160" s="28" t="s">
        <v>6462</v>
      </c>
      <c r="G160" s="28">
        <v>0</v>
      </c>
    </row>
    <row r="161" spans="1:7">
      <c r="A161" s="28">
        <v>5161</v>
      </c>
      <c r="B161" s="28" t="s">
        <v>6545</v>
      </c>
      <c r="C161" s="54">
        <v>4</v>
      </c>
      <c r="D161" s="54" t="s">
        <v>6432</v>
      </c>
      <c r="E161" s="28" t="s">
        <v>6463</v>
      </c>
      <c r="F161" s="28" t="s">
        <v>6464</v>
      </c>
      <c r="G161" s="28">
        <v>0</v>
      </c>
    </row>
    <row r="162" spans="1:7">
      <c r="A162" s="28">
        <v>5171</v>
      </c>
      <c r="B162" s="28" t="s">
        <v>6546</v>
      </c>
      <c r="C162" s="28">
        <v>4</v>
      </c>
      <c r="D162" s="28" t="s">
        <v>6432</v>
      </c>
      <c r="E162" s="28" t="s">
        <v>6465</v>
      </c>
      <c r="F162" s="28" t="s">
        <v>6466</v>
      </c>
      <c r="G162" s="28">
        <v>0</v>
      </c>
    </row>
    <row r="163" spans="1:7">
      <c r="A163" s="28">
        <v>5181</v>
      </c>
      <c r="B163" s="54" t="s">
        <v>6547</v>
      </c>
      <c r="C163" s="28">
        <v>4</v>
      </c>
      <c r="D163" s="54" t="s">
        <v>6432</v>
      </c>
      <c r="E163" s="28" t="s">
        <v>6467</v>
      </c>
      <c r="F163" s="28" t="s">
        <v>6468</v>
      </c>
      <c r="G163" s="28">
        <v>0</v>
      </c>
    </row>
    <row r="164" spans="1:7">
      <c r="A164" s="28">
        <v>5191</v>
      </c>
      <c r="B164" s="28" t="s">
        <v>6548</v>
      </c>
      <c r="C164" s="28">
        <v>4</v>
      </c>
      <c r="D164" s="28" t="s">
        <v>6432</v>
      </c>
      <c r="E164" s="28" t="s">
        <v>6469</v>
      </c>
      <c r="F164" s="28" t="s">
        <v>6470</v>
      </c>
      <c r="G164" s="28">
        <v>0</v>
      </c>
    </row>
    <row r="165" spans="1:7">
      <c r="A165" s="28">
        <v>5201</v>
      </c>
      <c r="B165" s="28" t="s">
        <v>6549</v>
      </c>
      <c r="C165" s="28">
        <v>4</v>
      </c>
      <c r="D165" s="28" t="s">
        <v>6432</v>
      </c>
      <c r="E165" s="28" t="s">
        <v>6471</v>
      </c>
      <c r="F165" s="28" t="s">
        <v>6472</v>
      </c>
      <c r="G165" s="28">
        <v>0</v>
      </c>
    </row>
    <row r="166" spans="1:7">
      <c r="A166" s="28">
        <v>5211</v>
      </c>
      <c r="B166" s="28" t="s">
        <v>6550</v>
      </c>
      <c r="C166" s="28">
        <v>4</v>
      </c>
      <c r="D166" s="28" t="s">
        <v>6432</v>
      </c>
      <c r="E166" s="28" t="s">
        <v>6473</v>
      </c>
      <c r="F166" s="28" t="s">
        <v>6474</v>
      </c>
      <c r="G166" s="28">
        <v>0</v>
      </c>
    </row>
    <row r="167" spans="1:7">
      <c r="A167" s="28">
        <v>5221</v>
      </c>
      <c r="B167" s="28" t="s">
        <v>6551</v>
      </c>
      <c r="C167" s="28">
        <v>4</v>
      </c>
      <c r="D167" s="28" t="s">
        <v>6432</v>
      </c>
      <c r="E167" s="28" t="s">
        <v>6475</v>
      </c>
      <c r="F167" s="28" t="s">
        <v>6476</v>
      </c>
      <c r="G167" s="28">
        <v>0</v>
      </c>
    </row>
    <row r="168" spans="1:7">
      <c r="A168" s="28">
        <v>5241</v>
      </c>
      <c r="B168" s="28" t="s">
        <v>6552</v>
      </c>
      <c r="C168" s="28">
        <v>4</v>
      </c>
      <c r="D168" s="28" t="s">
        <v>6432</v>
      </c>
      <c r="E168" s="28" t="s">
        <v>6477</v>
      </c>
      <c r="F168" s="28" t="s">
        <v>6478</v>
      </c>
      <c r="G168" s="28">
        <v>0</v>
      </c>
    </row>
    <row r="169" spans="1:7">
      <c r="A169" s="28">
        <v>5251</v>
      </c>
      <c r="B169" s="28" t="s">
        <v>6553</v>
      </c>
      <c r="C169" s="28">
        <v>4</v>
      </c>
      <c r="D169" s="28" t="s">
        <v>6432</v>
      </c>
      <c r="E169" s="28" t="s">
        <v>6479</v>
      </c>
      <c r="F169" s="28" t="s">
        <v>6480</v>
      </c>
      <c r="G169" s="28">
        <v>0</v>
      </c>
    </row>
    <row r="170" spans="1:7">
      <c r="A170" s="28">
        <v>5261</v>
      </c>
      <c r="B170" s="28" t="s">
        <v>6554</v>
      </c>
      <c r="C170" s="28">
        <v>4</v>
      </c>
      <c r="D170" s="28" t="s">
        <v>6432</v>
      </c>
      <c r="E170" s="28" t="s">
        <v>6481</v>
      </c>
      <c r="F170" s="28" t="s">
        <v>6482</v>
      </c>
      <c r="G170" s="28">
        <v>0</v>
      </c>
    </row>
    <row r="171" spans="1:7">
      <c r="A171" s="28">
        <v>5271</v>
      </c>
      <c r="B171" s="28" t="s">
        <v>6555</v>
      </c>
      <c r="C171" s="28">
        <v>3</v>
      </c>
      <c r="D171" s="28" t="s">
        <v>6432</v>
      </c>
      <c r="E171" s="28" t="s">
        <v>6483</v>
      </c>
      <c r="F171" s="28" t="s">
        <v>6484</v>
      </c>
      <c r="G171" s="28">
        <v>0</v>
      </c>
    </row>
    <row r="172" spans="1:7">
      <c r="A172" s="28">
        <v>5281</v>
      </c>
      <c r="B172" s="28" t="s">
        <v>6556</v>
      </c>
      <c r="C172" s="28">
        <v>3</v>
      </c>
      <c r="D172" s="28" t="s">
        <v>6432</v>
      </c>
      <c r="E172" s="28" t="s">
        <v>6485</v>
      </c>
      <c r="F172" s="28" t="s">
        <v>6486</v>
      </c>
      <c r="G172" s="28">
        <v>0</v>
      </c>
    </row>
    <row r="173" spans="1:7">
      <c r="A173" s="28">
        <v>5291</v>
      </c>
      <c r="B173" s="28" t="s">
        <v>6557</v>
      </c>
      <c r="C173" s="28">
        <v>4</v>
      </c>
      <c r="D173" s="28" t="s">
        <v>6432</v>
      </c>
      <c r="E173" s="28" t="s">
        <v>6487</v>
      </c>
      <c r="F173" s="28" t="s">
        <v>6488</v>
      </c>
      <c r="G173" s="28">
        <v>0</v>
      </c>
    </row>
    <row r="174" spans="1:7">
      <c r="A174" s="28">
        <v>5301</v>
      </c>
      <c r="B174" s="28" t="s">
        <v>572</v>
      </c>
      <c r="C174" s="28">
        <v>4</v>
      </c>
      <c r="D174" s="28" t="s">
        <v>6432</v>
      </c>
      <c r="E174" s="28" t="s">
        <v>6489</v>
      </c>
      <c r="F174" s="28" t="s">
        <v>6490</v>
      </c>
      <c r="G174" s="28">
        <v>0</v>
      </c>
    </row>
    <row r="175" spans="1:7">
      <c r="A175" s="28">
        <v>5311</v>
      </c>
      <c r="B175" s="54" t="s">
        <v>6558</v>
      </c>
      <c r="C175" s="28">
        <v>4</v>
      </c>
      <c r="D175" s="54" t="s">
        <v>6432</v>
      </c>
      <c r="E175" s="54" t="s">
        <v>6491</v>
      </c>
      <c r="F175" s="28" t="s">
        <v>6492</v>
      </c>
      <c r="G175" s="28">
        <v>0</v>
      </c>
    </row>
    <row r="176" spans="1:7">
      <c r="A176" s="28">
        <v>5321</v>
      </c>
      <c r="B176" s="28" t="s">
        <v>6559</v>
      </c>
      <c r="C176" s="28">
        <v>4</v>
      </c>
      <c r="D176" s="28" t="s">
        <v>6432</v>
      </c>
      <c r="E176" s="54" t="s">
        <v>6493</v>
      </c>
      <c r="F176" s="28" t="s">
        <v>6494</v>
      </c>
      <c r="G176" s="28">
        <v>0</v>
      </c>
    </row>
    <row r="177" spans="1:7">
      <c r="A177" s="28">
        <v>5331</v>
      </c>
      <c r="B177" s="28" t="s">
        <v>6560</v>
      </c>
      <c r="C177" s="28">
        <v>4</v>
      </c>
      <c r="D177" s="28" t="s">
        <v>6432</v>
      </c>
      <c r="E177" s="54" t="s">
        <v>6495</v>
      </c>
      <c r="F177" s="28" t="s">
        <v>6496</v>
      </c>
      <c r="G177" s="28">
        <v>0</v>
      </c>
    </row>
    <row r="178" spans="1:7">
      <c r="A178" s="28">
        <v>5341</v>
      </c>
      <c r="B178" s="28" t="s">
        <v>6561</v>
      </c>
      <c r="C178" s="28">
        <v>4</v>
      </c>
      <c r="D178" s="28" t="s">
        <v>6432</v>
      </c>
      <c r="E178" s="28" t="s">
        <v>6497</v>
      </c>
      <c r="F178" s="28" t="s">
        <v>6498</v>
      </c>
      <c r="G178" s="28">
        <v>0</v>
      </c>
    </row>
    <row r="179" spans="1:7">
      <c r="A179" s="28">
        <v>5351</v>
      </c>
      <c r="B179" s="28" t="s">
        <v>6562</v>
      </c>
      <c r="C179" s="28">
        <v>3</v>
      </c>
      <c r="D179" s="28" t="s">
        <v>6432</v>
      </c>
      <c r="E179" s="28" t="s">
        <v>6499</v>
      </c>
      <c r="F179" s="28" t="s">
        <v>6500</v>
      </c>
      <c r="G179" s="28">
        <v>0</v>
      </c>
    </row>
    <row r="180" spans="1:7">
      <c r="A180" s="28">
        <v>5361</v>
      </c>
      <c r="B180" s="28" t="s">
        <v>6563</v>
      </c>
      <c r="C180" s="28">
        <v>4</v>
      </c>
      <c r="D180" s="28" t="s">
        <v>6432</v>
      </c>
      <c r="E180" s="28" t="s">
        <v>6501</v>
      </c>
      <c r="F180" s="28" t="s">
        <v>6564</v>
      </c>
      <c r="G180" s="28">
        <v>0</v>
      </c>
    </row>
    <row r="181" spans="1:7">
      <c r="A181" s="28">
        <v>5371</v>
      </c>
      <c r="B181" s="28" t="s">
        <v>6565</v>
      </c>
      <c r="C181" s="28">
        <v>4</v>
      </c>
      <c r="D181" s="28" t="s">
        <v>6432</v>
      </c>
      <c r="E181" s="28" t="s">
        <v>6502</v>
      </c>
      <c r="F181" s="28" t="s">
        <v>6503</v>
      </c>
      <c r="G181" s="28">
        <v>0</v>
      </c>
    </row>
    <row r="182" spans="1:7">
      <c r="A182" s="28">
        <v>5381</v>
      </c>
      <c r="B182" s="28" t="s">
        <v>6566</v>
      </c>
      <c r="C182" s="28">
        <v>4</v>
      </c>
      <c r="D182" s="54" t="s">
        <v>6432</v>
      </c>
      <c r="E182" s="65" t="s">
        <v>6504</v>
      </c>
      <c r="F182" s="28" t="s">
        <v>6505</v>
      </c>
      <c r="G182" s="28">
        <v>0</v>
      </c>
    </row>
    <row r="183" spans="1:7">
      <c r="A183" s="28">
        <v>5391</v>
      </c>
      <c r="B183" s="28" t="s">
        <v>6567</v>
      </c>
      <c r="C183" s="28">
        <v>4</v>
      </c>
      <c r="D183" s="28" t="s">
        <v>6432</v>
      </c>
      <c r="E183" s="65" t="s">
        <v>6506</v>
      </c>
      <c r="F183" s="28" t="s">
        <v>6507</v>
      </c>
      <c r="G183" s="28">
        <v>0</v>
      </c>
    </row>
    <row r="184" spans="1:7">
      <c r="A184" s="28">
        <v>5401</v>
      </c>
      <c r="B184" s="28" t="s">
        <v>6568</v>
      </c>
      <c r="C184" s="28">
        <v>4</v>
      </c>
      <c r="D184" s="28" t="s">
        <v>6432</v>
      </c>
      <c r="E184" s="64" t="s">
        <v>6508</v>
      </c>
      <c r="F184" s="28" t="s">
        <v>6509</v>
      </c>
      <c r="G184" s="28">
        <v>0</v>
      </c>
    </row>
    <row r="185" spans="1:7">
      <c r="A185" s="28">
        <v>5411</v>
      </c>
      <c r="B185" s="28" t="s">
        <v>6569</v>
      </c>
      <c r="C185" s="28">
        <v>4</v>
      </c>
      <c r="D185" s="54" t="s">
        <v>6432</v>
      </c>
      <c r="E185" s="28" t="s">
        <v>6510</v>
      </c>
      <c r="F185" s="28" t="s">
        <v>6511</v>
      </c>
      <c r="G185" s="28">
        <v>0</v>
      </c>
    </row>
    <row r="186" spans="1:7">
      <c r="A186" s="28">
        <v>5421</v>
      </c>
      <c r="B186" s="28" t="s">
        <v>6570</v>
      </c>
      <c r="C186" s="28">
        <v>3</v>
      </c>
      <c r="D186" s="28" t="s">
        <v>6432</v>
      </c>
      <c r="E186" s="28" t="s">
        <v>6512</v>
      </c>
      <c r="F186" s="28" t="s">
        <v>6513</v>
      </c>
      <c r="G186" s="28">
        <v>0</v>
      </c>
    </row>
    <row r="187" spans="1:7">
      <c r="A187" s="28">
        <v>5431</v>
      </c>
      <c r="B187" s="28" t="s">
        <v>6571</v>
      </c>
      <c r="C187" s="28">
        <v>4</v>
      </c>
      <c r="D187" s="28" t="s">
        <v>6432</v>
      </c>
      <c r="E187" s="28" t="s">
        <v>6514</v>
      </c>
      <c r="F187" s="28" t="s">
        <v>6515</v>
      </c>
      <c r="G187" s="28">
        <v>0</v>
      </c>
    </row>
    <row r="188" spans="1:7">
      <c r="A188" s="28">
        <v>5441</v>
      </c>
      <c r="B188" s="28" t="s">
        <v>6572</v>
      </c>
      <c r="C188" s="28">
        <v>3</v>
      </c>
      <c r="D188" s="28" t="s">
        <v>6432</v>
      </c>
      <c r="E188" s="28" t="s">
        <v>6516</v>
      </c>
      <c r="F188" s="28" t="s">
        <v>6517</v>
      </c>
      <c r="G188" s="28">
        <v>0</v>
      </c>
    </row>
    <row r="189" spans="1:7">
      <c r="A189" s="28">
        <v>5451</v>
      </c>
      <c r="B189" s="28" t="s">
        <v>6573</v>
      </c>
      <c r="C189" s="28">
        <v>4</v>
      </c>
      <c r="D189" s="28" t="s">
        <v>6432</v>
      </c>
      <c r="E189" s="28" t="s">
        <v>6518</v>
      </c>
      <c r="F189" s="28" t="s">
        <v>6519</v>
      </c>
      <c r="G189" s="28">
        <v>0</v>
      </c>
    </row>
    <row r="190" spans="1:7">
      <c r="A190" s="28">
        <v>5461</v>
      </c>
      <c r="B190" s="28" t="s">
        <v>6574</v>
      </c>
      <c r="C190" s="28">
        <v>4</v>
      </c>
      <c r="D190" s="28" t="s">
        <v>6432</v>
      </c>
      <c r="E190" s="28" t="s">
        <v>6520</v>
      </c>
      <c r="F190" s="28" t="s">
        <v>6521</v>
      </c>
      <c r="G190" s="28">
        <v>0</v>
      </c>
    </row>
    <row r="191" spans="1:7">
      <c r="A191" s="28">
        <v>5471</v>
      </c>
      <c r="B191" s="28" t="s">
        <v>6575</v>
      </c>
      <c r="C191" s="28">
        <v>4</v>
      </c>
      <c r="D191" s="28" t="s">
        <v>6432</v>
      </c>
      <c r="E191" s="28" t="s">
        <v>6522</v>
      </c>
      <c r="F191" s="28" t="s">
        <v>6523</v>
      </c>
      <c r="G191" s="28">
        <v>0</v>
      </c>
    </row>
    <row r="192" spans="1:7">
      <c r="A192" s="28">
        <v>5481</v>
      </c>
      <c r="B192" s="28" t="s">
        <v>6576</v>
      </c>
      <c r="C192" s="28">
        <v>4</v>
      </c>
      <c r="D192" s="28" t="s">
        <v>6432</v>
      </c>
      <c r="E192" s="28" t="s">
        <v>6524</v>
      </c>
      <c r="F192" s="28" t="s">
        <v>6525</v>
      </c>
      <c r="G192" s="28">
        <v>0</v>
      </c>
    </row>
    <row r="193" spans="1:7">
      <c r="A193" s="28">
        <v>5491</v>
      </c>
      <c r="B193" s="28" t="s">
        <v>6577</v>
      </c>
      <c r="C193" s="28">
        <v>4</v>
      </c>
      <c r="D193" s="28" t="s">
        <v>6432</v>
      </c>
      <c r="E193" s="28" t="s">
        <v>6526</v>
      </c>
      <c r="F193" s="28" t="s">
        <v>6527</v>
      </c>
      <c r="G193" s="28">
        <v>0</v>
      </c>
    </row>
    <row r="194" spans="1:7">
      <c r="A194" s="28">
        <v>5501</v>
      </c>
      <c r="B194" s="28" t="s">
        <v>6578</v>
      </c>
      <c r="C194" s="28">
        <v>4</v>
      </c>
      <c r="D194" s="28" t="s">
        <v>6432</v>
      </c>
      <c r="E194" s="28" t="s">
        <v>6528</v>
      </c>
      <c r="F194" s="28" t="s">
        <v>6529</v>
      </c>
      <c r="G194" s="28">
        <v>0</v>
      </c>
    </row>
    <row r="195" spans="1:7">
      <c r="A195" s="28">
        <v>5502</v>
      </c>
      <c r="B195" s="28" t="s">
        <v>6578</v>
      </c>
      <c r="C195" s="28">
        <v>2</v>
      </c>
      <c r="D195" s="28" t="s">
        <v>6432</v>
      </c>
      <c r="E195" s="66" t="s">
        <v>6528</v>
      </c>
      <c r="F195" s="28" t="s">
        <v>6529</v>
      </c>
      <c r="G195" s="28">
        <v>0</v>
      </c>
    </row>
    <row r="196" spans="1:7">
      <c r="A196" s="28">
        <v>6011</v>
      </c>
      <c r="B196" s="28" t="s">
        <v>6579</v>
      </c>
      <c r="C196" s="28">
        <v>2</v>
      </c>
      <c r="D196" s="28" t="s">
        <v>6432</v>
      </c>
      <c r="E196" s="28" t="s"/>
      <c r="F196" s="28" t="s">
        <v>6434</v>
      </c>
      <c r="G196" s="28">
        <v>0</v>
      </c>
    </row>
    <row r="197" spans="1:7">
      <c r="A197" s="28">
        <v>6021</v>
      </c>
      <c r="B197" s="28" t="s">
        <v>6580</v>
      </c>
      <c r="C197" s="28">
        <v>2</v>
      </c>
      <c r="D197" s="28" t="s">
        <v>6432</v>
      </c>
      <c r="E197" s="28" t="s"/>
      <c r="F197" s="28" t="s">
        <v>6434</v>
      </c>
      <c r="G197" s="28">
        <v>0</v>
      </c>
    </row>
    <row r="198" spans="1:7">
      <c r="A198" s="28">
        <v>6041</v>
      </c>
      <c r="B198" s="28" t="s">
        <v>6571</v>
      </c>
      <c r="C198" s="28">
        <v>2</v>
      </c>
      <c r="D198" s="28" t="s">
        <v>6432</v>
      </c>
      <c r="E198" s="28" t="s"/>
      <c r="F198" s="28" t="s">
        <v>6434</v>
      </c>
      <c r="G198" s="28">
        <v>0</v>
      </c>
    </row>
    <row r="199" spans="1:7">
      <c r="A199" s="28">
        <v>12001</v>
      </c>
      <c r="B199" s="28" t="s">
        <v>5166</v>
      </c>
      <c r="C199" s="28">
        <v>2</v>
      </c>
      <c r="D199" s="28" t="s">
        <v>6581</v>
      </c>
      <c r="E199" s="28" t="s">
        <v>5845</v>
      </c>
      <c r="F199" s="28" t="s">
        <v>6582</v>
      </c>
      <c r="G199" s="28">
        <v>0</v>
      </c>
    </row>
    <row r="200" spans="1:7">
      <c r="A200" s="28">
        <v>12002</v>
      </c>
      <c r="B200" s="28" t="s">
        <v>5165</v>
      </c>
      <c r="C200" s="54">
        <v>2</v>
      </c>
      <c r="D200" s="54" t="s">
        <v>6581</v>
      </c>
      <c r="E200" s="28" t="s">
        <v>5837</v>
      </c>
      <c r="F200" s="28" t="s">
        <v>6583</v>
      </c>
      <c r="G200" s="28">
        <v>0</v>
      </c>
    </row>
    <row r="201" spans="1:7">
      <c r="A201" s="28">
        <v>12003</v>
      </c>
      <c r="B201" s="28" t="s">
        <v>5164</v>
      </c>
      <c r="C201" s="28">
        <v>2</v>
      </c>
      <c r="D201" s="28" t="s">
        <v>6581</v>
      </c>
      <c r="E201" s="66" t="s">
        <v>5829</v>
      </c>
      <c r="F201" s="28" t="s">
        <v>6584</v>
      </c>
      <c r="G201" s="28">
        <v>0</v>
      </c>
    </row>
    <row r="202" spans="1:7">
      <c r="A202" s="28">
        <v>12004</v>
      </c>
      <c r="B202" s="54" t="s">
        <v>5163</v>
      </c>
      <c r="C202" s="28">
        <v>2</v>
      </c>
      <c r="D202" s="54" t="s">
        <v>6585</v>
      </c>
      <c r="E202" s="28" t="s">
        <v>5821</v>
      </c>
      <c r="F202" s="28" t="s">
        <v>6586</v>
      </c>
      <c r="G202" s="28">
        <v>0</v>
      </c>
    </row>
    <row r="203" spans="1:7">
      <c r="A203" s="28">
        <v>12005</v>
      </c>
      <c r="B203" s="28" t="s">
        <v>5162</v>
      </c>
      <c r="C203" s="28">
        <v>2</v>
      </c>
      <c r="D203" s="28" t="s">
        <v>6585</v>
      </c>
      <c r="E203" s="28" t="s">
        <v>5813</v>
      </c>
      <c r="F203" s="28" t="s">
        <v>6587</v>
      </c>
      <c r="G203" s="28">
        <v>0</v>
      </c>
    </row>
    <row r="204" spans="1:7">
      <c r="A204" s="28">
        <v>12006</v>
      </c>
      <c r="B204" s="28" t="s">
        <v>5161</v>
      </c>
      <c r="C204" s="28">
        <v>2</v>
      </c>
      <c r="D204" s="28" t="s">
        <v>6585</v>
      </c>
      <c r="E204" s="28" t="s">
        <v>5805</v>
      </c>
      <c r="F204" s="28" t="s">
        <v>6588</v>
      </c>
      <c r="G204" s="28">
        <v>0</v>
      </c>
    </row>
    <row r="205" spans="1:7">
      <c r="A205" s="28">
        <v>12007</v>
      </c>
      <c r="B205" s="28" t="s">
        <v>5160</v>
      </c>
      <c r="C205" s="28">
        <v>2</v>
      </c>
      <c r="D205" s="28" t="s">
        <v>6589</v>
      </c>
      <c r="E205" s="28" t="s">
        <v>5797</v>
      </c>
      <c r="F205" s="28" t="s">
        <v>6590</v>
      </c>
      <c r="G205" s="28">
        <v>0</v>
      </c>
    </row>
    <row r="206" spans="1:7">
      <c r="A206" s="28">
        <v>12008</v>
      </c>
      <c r="B206" s="28" t="s">
        <v>5159</v>
      </c>
      <c r="C206" s="28">
        <v>2</v>
      </c>
      <c r="D206" s="28" t="s">
        <v>6589</v>
      </c>
      <c r="E206" s="28" t="s">
        <v>5789</v>
      </c>
      <c r="F206" s="28" t="s">
        <v>6591</v>
      </c>
      <c r="G206" s="28">
        <v>0</v>
      </c>
    </row>
    <row r="207" spans="1:7">
      <c r="A207" s="28">
        <v>12009</v>
      </c>
      <c r="B207" s="28" t="s">
        <v>5158</v>
      </c>
      <c r="C207" s="28">
        <v>2</v>
      </c>
      <c r="D207" s="28" t="s">
        <v>6589</v>
      </c>
      <c r="E207" s="28" t="s">
        <v>5781</v>
      </c>
      <c r="F207" s="28" t="s">
        <v>6592</v>
      </c>
      <c r="G207" s="28">
        <v>0</v>
      </c>
    </row>
    <row r="208" spans="1:7">
      <c r="A208" s="28">
        <v>12010</v>
      </c>
      <c r="B208" s="28" t="s">
        <v>5157</v>
      </c>
      <c r="C208" s="28">
        <v>2</v>
      </c>
      <c r="D208" s="28" t="s">
        <v>6593</v>
      </c>
      <c r="E208" s="28" t="s">
        <v>5773</v>
      </c>
      <c r="F208" s="28" t="s">
        <v>6594</v>
      </c>
      <c r="G208" s="28">
        <v>0</v>
      </c>
    </row>
    <row r="209" spans="1:7">
      <c r="A209" s="28">
        <v>12011</v>
      </c>
      <c r="B209" s="28" t="s">
        <v>5156</v>
      </c>
      <c r="C209" s="28">
        <v>2</v>
      </c>
      <c r="D209" s="28" t="s">
        <v>6593</v>
      </c>
      <c r="E209" s="28" t="s">
        <v>5765</v>
      </c>
      <c r="F209" s="28" t="s">
        <v>6595</v>
      </c>
      <c r="G209" s="28">
        <v>0</v>
      </c>
    </row>
    <row r="210" spans="1:7">
      <c r="A210" s="28">
        <v>12012</v>
      </c>
      <c r="B210" s="28" t="s">
        <v>5155</v>
      </c>
      <c r="C210" s="28">
        <v>2</v>
      </c>
      <c r="D210" s="28" t="s">
        <v>6593</v>
      </c>
      <c r="E210" s="28" t="s">
        <v>5757</v>
      </c>
      <c r="F210" s="28" t="s">
        <v>6596</v>
      </c>
      <c r="G210" s="28">
        <v>0</v>
      </c>
    </row>
    <row r="211" spans="1:7">
      <c r="A211" s="28">
        <v>12013</v>
      </c>
      <c r="B211" s="28" t="s">
        <v>5154</v>
      </c>
      <c r="C211" s="28">
        <v>2</v>
      </c>
      <c r="D211" s="28" t="s">
        <v>6597</v>
      </c>
      <c r="E211" s="28" t="s">
        <v>5749</v>
      </c>
      <c r="F211" s="28" t="s">
        <v>6598</v>
      </c>
      <c r="G211" s="28">
        <v>0</v>
      </c>
    </row>
    <row r="212" spans="1:7">
      <c r="A212" s="28">
        <v>12014</v>
      </c>
      <c r="B212" s="54" t="s">
        <v>5153</v>
      </c>
      <c r="C212" s="28">
        <v>2</v>
      </c>
      <c r="D212" s="54" t="s">
        <v>6597</v>
      </c>
      <c r="E212" s="28" t="s">
        <v>5741</v>
      </c>
      <c r="F212" s="28" t="s">
        <v>6599</v>
      </c>
      <c r="G212" s="28">
        <v>0</v>
      </c>
    </row>
    <row r="213" spans="1:7">
      <c r="A213" s="28">
        <v>12015</v>
      </c>
      <c r="B213" s="54" t="s">
        <v>5152</v>
      </c>
      <c r="C213" s="28">
        <v>2</v>
      </c>
      <c r="D213" s="54" t="s">
        <v>6600</v>
      </c>
      <c r="E213" s="28" t="s">
        <v>5733</v>
      </c>
      <c r="F213" s="28" t="s">
        <v>6601</v>
      </c>
      <c r="G213" s="28">
        <v>0</v>
      </c>
    </row>
    <row r="214" spans="1:7">
      <c r="A214" s="28">
        <v>13001</v>
      </c>
      <c r="B214" s="28" t="s">
        <v>5151</v>
      </c>
      <c r="C214" s="28">
        <v>3</v>
      </c>
      <c r="D214" s="28" t="s">
        <v>6581</v>
      </c>
      <c r="E214" s="28" t="s">
        <v>5725</v>
      </c>
      <c r="F214" s="28" t="s">
        <v>6602</v>
      </c>
      <c r="G214" s="28">
        <v>0</v>
      </c>
    </row>
    <row r="215" spans="1:7">
      <c r="A215" s="28">
        <v>13002</v>
      </c>
      <c r="B215" s="28" t="s">
        <v>5150</v>
      </c>
      <c r="C215" s="28">
        <v>3</v>
      </c>
      <c r="D215" s="28" t="s">
        <v>6585</v>
      </c>
      <c r="E215" s="28" t="s">
        <v>5717</v>
      </c>
      <c r="F215" s="28" t="s">
        <v>6603</v>
      </c>
      <c r="G215" s="28">
        <v>0</v>
      </c>
    </row>
    <row r="216" spans="1:7">
      <c r="A216" s="28">
        <v>13003</v>
      </c>
      <c r="B216" s="28" t="s">
        <v>5149</v>
      </c>
      <c r="C216" s="28">
        <v>3</v>
      </c>
      <c r="D216" s="28" t="s">
        <v>6593</v>
      </c>
      <c r="E216" s="28" t="s">
        <v>5709</v>
      </c>
      <c r="F216" s="28" t="s">
        <v>6604</v>
      </c>
      <c r="G216" s="28">
        <v>0</v>
      </c>
    </row>
    <row r="217" spans="1:7">
      <c r="A217" s="28">
        <v>13004</v>
      </c>
      <c r="B217" s="28" t="s">
        <v>5148</v>
      </c>
      <c r="C217" s="28">
        <v>3</v>
      </c>
      <c r="D217" s="28" t="s">
        <v>6581</v>
      </c>
      <c r="E217" s="28" t="s">
        <v>5701</v>
      </c>
      <c r="F217" s="28" t="s">
        <v>6605</v>
      </c>
      <c r="G217" s="28">
        <v>0</v>
      </c>
    </row>
    <row r="218" spans="1:7">
      <c r="A218" s="28">
        <v>13005</v>
      </c>
      <c r="B218" s="28" t="s">
        <v>5147</v>
      </c>
      <c r="C218" s="28">
        <v>3</v>
      </c>
      <c r="D218" s="28" t="s">
        <v>6589</v>
      </c>
      <c r="E218" s="28" t="s">
        <v>5693</v>
      </c>
      <c r="F218" s="28" t="s">
        <v>6606</v>
      </c>
      <c r="G218" s="28">
        <v>0</v>
      </c>
    </row>
    <row r="219" spans="1:7">
      <c r="A219" s="28">
        <v>13006</v>
      </c>
      <c r="B219" s="28" t="s">
        <v>5146</v>
      </c>
      <c r="C219" s="28">
        <v>3</v>
      </c>
      <c r="D219" s="28" t="s">
        <v>6589</v>
      </c>
      <c r="E219" s="28" t="s">
        <v>5685</v>
      </c>
      <c r="F219" s="28" t="s">
        <v>6607</v>
      </c>
      <c r="G219" s="28">
        <v>0</v>
      </c>
    </row>
    <row r="220" spans="1:7">
      <c r="A220" s="28">
        <v>13007</v>
      </c>
      <c r="B220" s="28" t="s">
        <v>5145</v>
      </c>
      <c r="C220" s="28">
        <v>3</v>
      </c>
      <c r="D220" s="28" t="s">
        <v>6597</v>
      </c>
      <c r="E220" s="28" t="s">
        <v>5677</v>
      </c>
      <c r="F220" s="28" t="s">
        <v>6608</v>
      </c>
      <c r="G220" s="28">
        <v>0</v>
      </c>
    </row>
    <row r="221" spans="1:7">
      <c r="A221" s="28">
        <v>13008</v>
      </c>
      <c r="B221" s="28" t="s">
        <v>5144</v>
      </c>
      <c r="C221" s="28">
        <v>3</v>
      </c>
      <c r="D221" s="28" t="s">
        <v>6593</v>
      </c>
      <c r="E221" s="28" t="s">
        <v>5669</v>
      </c>
      <c r="F221" s="28" t="s">
        <v>6609</v>
      </c>
      <c r="G221" s="28">
        <v>0</v>
      </c>
    </row>
    <row r="222" spans="1:7">
      <c r="A222" s="28">
        <v>13009</v>
      </c>
      <c r="B222" s="28" t="s">
        <v>5143</v>
      </c>
      <c r="C222" s="28">
        <v>3</v>
      </c>
      <c r="D222" s="28" t="s">
        <v>6593</v>
      </c>
      <c r="E222" s="28" t="s">
        <v>5661</v>
      </c>
      <c r="F222" s="28" t="s">
        <v>6610</v>
      </c>
      <c r="G222" s="28">
        <v>0</v>
      </c>
    </row>
    <row r="223" spans="1:7">
      <c r="A223" s="28">
        <v>13010</v>
      </c>
      <c r="B223" s="28" t="s">
        <v>5142</v>
      </c>
      <c r="C223" s="28">
        <v>3</v>
      </c>
      <c r="D223" s="28" t="s">
        <v>6597</v>
      </c>
      <c r="E223" s="28" t="s">
        <v>5653</v>
      </c>
      <c r="F223" s="28" t="s">
        <v>6611</v>
      </c>
      <c r="G223" s="28">
        <v>0</v>
      </c>
    </row>
    <row r="224" spans="1:7">
      <c r="A224" s="28">
        <v>13011</v>
      </c>
      <c r="B224" s="28" t="s">
        <v>5141</v>
      </c>
      <c r="C224" s="28">
        <v>3</v>
      </c>
      <c r="D224" s="28" t="s">
        <v>6597</v>
      </c>
      <c r="E224" s="28" t="s">
        <v>5645</v>
      </c>
      <c r="F224" s="28" t="s">
        <v>6612</v>
      </c>
      <c r="G224" s="28">
        <v>0</v>
      </c>
    </row>
    <row r="225" spans="1:7">
      <c r="A225" s="28">
        <v>13012</v>
      </c>
      <c r="B225" s="28" t="s">
        <v>5140</v>
      </c>
      <c r="C225" s="28">
        <v>3</v>
      </c>
      <c r="D225" s="28" t="s">
        <v>6600</v>
      </c>
      <c r="E225" s="28" t="s">
        <v>5637</v>
      </c>
      <c r="F225" s="28" t="s">
        <v>6613</v>
      </c>
      <c r="G225" s="28">
        <v>0</v>
      </c>
    </row>
    <row r="226" spans="1:7">
      <c r="A226" s="28">
        <v>13013</v>
      </c>
      <c r="B226" s="28" t="s">
        <v>5139</v>
      </c>
      <c r="C226" s="28">
        <v>3</v>
      </c>
      <c r="D226" s="28" t="s">
        <v>6581</v>
      </c>
      <c r="E226" s="28" t="s">
        <v>5629</v>
      </c>
      <c r="F226" s="28" t="s">
        <v>6614</v>
      </c>
      <c r="G226" s="28">
        <v>1</v>
      </c>
    </row>
    <row r="227" spans="1:7">
      <c r="A227" s="28">
        <v>13014</v>
      </c>
      <c r="B227" s="28" t="s">
        <v>5138</v>
      </c>
      <c r="C227" s="28">
        <v>3</v>
      </c>
      <c r="D227" s="28" t="s">
        <v>6600</v>
      </c>
      <c r="E227" s="66" t="s">
        <v>5621</v>
      </c>
      <c r="F227" s="28" t="s">
        <v>6615</v>
      </c>
      <c r="G227" s="28">
        <v>0</v>
      </c>
    </row>
    <row r="228" spans="1:7">
      <c r="A228" s="28">
        <v>13015</v>
      </c>
      <c r="B228" s="28" t="s">
        <v>5137</v>
      </c>
      <c r="C228" s="28">
        <v>3</v>
      </c>
      <c r="D228" s="28" t="s">
        <v>6581</v>
      </c>
      <c r="E228" s="28" t="s">
        <v>5613</v>
      </c>
      <c r="F228" s="28" t="s">
        <v>6616</v>
      </c>
      <c r="G228" s="28">
        <v>1</v>
      </c>
    </row>
    <row r="229" spans="1:7">
      <c r="A229" s="28">
        <v>13016</v>
      </c>
      <c r="B229" s="28" t="s">
        <v>5136</v>
      </c>
      <c r="C229" s="28">
        <v>3</v>
      </c>
      <c r="D229" s="28" t="s">
        <v>6597</v>
      </c>
      <c r="E229" s="28" t="s">
        <v>5605</v>
      </c>
      <c r="F229" s="28" t="s">
        <v>6617</v>
      </c>
      <c r="G229" s="28">
        <v>1</v>
      </c>
    </row>
    <row r="230" spans="1:7">
      <c r="A230" s="28">
        <v>13019</v>
      </c>
      <c r="B230" s="28" t="s">
        <v>5135</v>
      </c>
      <c r="C230" s="28">
        <v>3</v>
      </c>
      <c r="D230" s="28" t="s">
        <v>6600</v>
      </c>
      <c r="E230" s="28" t="s">
        <v>5597</v>
      </c>
      <c r="F230" s="28" t="s">
        <v>6618</v>
      </c>
      <c r="G230" s="28">
        <v>1</v>
      </c>
    </row>
    <row r="231" spans="1:7">
      <c r="A231" s="28">
        <v>13101</v>
      </c>
      <c r="B231" s="28" t="s">
        <v>5133</v>
      </c>
      <c r="C231" s="28">
        <v>3</v>
      </c>
      <c r="D231" s="28" t="s">
        <v>6589</v>
      </c>
      <c r="E231" s="28" t="s">
        <v>5582</v>
      </c>
      <c r="F231" s="28" t="s">
        <v>6619</v>
      </c>
      <c r="G231" s="28">
        <v>0</v>
      </c>
    </row>
    <row r="232" spans="1:7">
      <c r="A232" s="28">
        <v>13103</v>
      </c>
      <c r="B232" s="28" t="s">
        <v>5132</v>
      </c>
      <c r="C232" s="28">
        <v>3</v>
      </c>
      <c r="D232" s="28" t="s">
        <v>6585</v>
      </c>
      <c r="E232" s="28" t="s">
        <v>5574</v>
      </c>
      <c r="F232" s="28" t="s">
        <v>6620</v>
      </c>
      <c r="G232" s="28">
        <v>0</v>
      </c>
    </row>
    <row r="233" spans="1:7">
      <c r="A233" s="28">
        <v>13106</v>
      </c>
      <c r="B233" s="28" t="s">
        <v>5131</v>
      </c>
      <c r="C233" s="28">
        <v>3</v>
      </c>
      <c r="D233" s="28" t="s">
        <v>6581</v>
      </c>
      <c r="E233" s="28" t="s">
        <v>5566</v>
      </c>
      <c r="F233" s="28" t="s">
        <v>6621</v>
      </c>
      <c r="G233" s="28">
        <v>0</v>
      </c>
    </row>
    <row r="234" spans="1:7">
      <c r="A234" s="28">
        <v>13108</v>
      </c>
      <c r="B234" s="28" t="s">
        <v>5130</v>
      </c>
      <c r="C234" s="28">
        <v>3</v>
      </c>
      <c r="D234" s="28" t="s">
        <v>6581</v>
      </c>
      <c r="E234" s="28" t="s">
        <v>5558</v>
      </c>
      <c r="F234" s="28" t="s">
        <v>6622</v>
      </c>
      <c r="G234" s="28">
        <v>0</v>
      </c>
    </row>
    <row r="235" spans="1:7">
      <c r="A235" s="28">
        <v>13111</v>
      </c>
      <c r="B235" s="28" t="s">
        <v>5129</v>
      </c>
      <c r="C235" s="28">
        <v>3</v>
      </c>
      <c r="D235" s="28" t="s">
        <v>6581</v>
      </c>
      <c r="E235" s="28" t="s">
        <v>5550</v>
      </c>
      <c r="F235" s="28" t="s">
        <v>6623</v>
      </c>
      <c r="G235" s="28">
        <v>0</v>
      </c>
    </row>
    <row r="236" spans="1:7">
      <c r="A236" s="28">
        <v>13112</v>
      </c>
      <c r="B236" s="28" t="s">
        <v>5128</v>
      </c>
      <c r="C236" s="28">
        <v>3</v>
      </c>
      <c r="D236" s="28" t="s">
        <v>6597</v>
      </c>
      <c r="E236" s="28" t="s">
        <v>5542</v>
      </c>
      <c r="F236" s="28" t="s">
        <v>6624</v>
      </c>
      <c r="G236" s="28">
        <v>0</v>
      </c>
    </row>
    <row r="237" spans="1:7">
      <c r="A237" s="28">
        <v>13113</v>
      </c>
      <c r="B237" s="28" t="s">
        <v>5127</v>
      </c>
      <c r="C237" s="28">
        <v>3</v>
      </c>
      <c r="D237" s="28" t="s">
        <v>6585</v>
      </c>
      <c r="E237" s="28" t="s">
        <v>5534</v>
      </c>
      <c r="F237" s="28" t="s">
        <v>6625</v>
      </c>
      <c r="G237" s="28">
        <v>0</v>
      </c>
    </row>
    <row r="238" spans="1:7">
      <c r="A238" s="28">
        <v>13115</v>
      </c>
      <c r="B238" s="28" t="s">
        <v>5126</v>
      </c>
      <c r="C238" s="28">
        <v>3</v>
      </c>
      <c r="D238" s="28" t="s">
        <v>6585</v>
      </c>
      <c r="E238" s="28" t="s">
        <v>5526</v>
      </c>
      <c r="F238" s="28" t="s">
        <v>6626</v>
      </c>
      <c r="G238" s="28">
        <v>0</v>
      </c>
    </row>
    <row r="239" spans="1:7">
      <c r="A239" s="28">
        <v>13127</v>
      </c>
      <c r="B239" s="28" t="s">
        <v>5125</v>
      </c>
      <c r="C239" s="28">
        <v>3</v>
      </c>
      <c r="D239" s="28" t="s">
        <v>6597</v>
      </c>
      <c r="E239" s="28" t="s">
        <v>5518</v>
      </c>
      <c r="F239" s="28" t="s">
        <v>6627</v>
      </c>
      <c r="G239" s="28">
        <v>0</v>
      </c>
    </row>
    <row r="240" spans="1:7">
      <c r="A240" s="28">
        <v>13128</v>
      </c>
      <c r="B240" s="28" t="s">
        <v>5124</v>
      </c>
      <c r="C240" s="28">
        <v>3</v>
      </c>
      <c r="D240" s="28" t="s">
        <v>6593</v>
      </c>
      <c r="E240" s="28" t="s">
        <v>5510</v>
      </c>
      <c r="F240" s="28" t="s">
        <v>6628</v>
      </c>
      <c r="G240" s="28">
        <v>0</v>
      </c>
    </row>
    <row r="241" spans="1:7">
      <c r="A241" s="28">
        <v>13135</v>
      </c>
      <c r="B241" s="28" t="s">
        <v>5123</v>
      </c>
      <c r="C241" s="28">
        <v>3</v>
      </c>
      <c r="D241" s="28" t="s">
        <v>6589</v>
      </c>
      <c r="E241" s="28" t="s">
        <v>5510</v>
      </c>
      <c r="F241" s="28" t="s">
        <v>6629</v>
      </c>
      <c r="G241" s="28">
        <v>0</v>
      </c>
    </row>
    <row r="242" spans="1:7">
      <c r="A242" s="28">
        <v>13142</v>
      </c>
      <c r="B242" s="28" t="s">
        <v>5122</v>
      </c>
      <c r="C242" s="28">
        <v>3</v>
      </c>
      <c r="D242" s="28" t="s">
        <v>6597</v>
      </c>
      <c r="E242" s="28" t="s">
        <v>5494</v>
      </c>
      <c r="F242" s="28" t="s">
        <v>6630</v>
      </c>
      <c r="G242" s="28">
        <v>0</v>
      </c>
    </row>
    <row r="243" spans="1:7">
      <c r="A243" s="28">
        <v>13144</v>
      </c>
      <c r="B243" s="28" t="s">
        <v>5121</v>
      </c>
      <c r="C243" s="28">
        <v>3</v>
      </c>
      <c r="D243" s="28" t="s">
        <v>6600</v>
      </c>
      <c r="E243" s="28" t="s">
        <v>5486</v>
      </c>
      <c r="F243" s="28" t="s">
        <v>6631</v>
      </c>
      <c r="G243" s="28">
        <v>0</v>
      </c>
    </row>
    <row r="244" spans="1:7">
      <c r="A244" s="28">
        <v>14001</v>
      </c>
      <c r="B244" s="28" t="s">
        <v>5120</v>
      </c>
      <c r="C244" s="28">
        <v>3</v>
      </c>
      <c r="D244" s="28" t="s">
        <v>6581</v>
      </c>
      <c r="E244" s="28" t="s">
        <v>5478</v>
      </c>
      <c r="F244" s="28" t="s">
        <v>6632</v>
      </c>
      <c r="G244" s="28">
        <v>0</v>
      </c>
    </row>
    <row r="245" spans="1:7">
      <c r="A245" s="28">
        <v>14002</v>
      </c>
      <c r="B245" s="28" t="s">
        <v>5119</v>
      </c>
      <c r="C245" s="28">
        <v>3</v>
      </c>
      <c r="D245" s="28" t="s">
        <v>6585</v>
      </c>
      <c r="E245" s="28" t="s">
        <v>5470</v>
      </c>
      <c r="F245" s="28" t="s">
        <v>6633</v>
      </c>
      <c r="G245" s="28">
        <v>0</v>
      </c>
    </row>
    <row r="246" spans="1:7">
      <c r="A246" s="28">
        <v>14003</v>
      </c>
      <c r="B246" s="28" t="s">
        <v>5118</v>
      </c>
      <c r="C246" s="28">
        <v>3</v>
      </c>
      <c r="D246" s="28" t="s">
        <v>6589</v>
      </c>
      <c r="E246" s="28" t="s">
        <v>5462</v>
      </c>
      <c r="F246" s="28" t="s">
        <v>6634</v>
      </c>
      <c r="G246" s="28">
        <v>0</v>
      </c>
    </row>
    <row r="247" spans="1:7">
      <c r="A247" s="28">
        <v>14102</v>
      </c>
      <c r="B247" s="28" t="s">
        <v>5117</v>
      </c>
      <c r="C247" s="28">
        <v>4</v>
      </c>
      <c r="D247" s="28" t="s">
        <v>6581</v>
      </c>
      <c r="E247" s="28" t="s">
        <v>5454</v>
      </c>
      <c r="F247" s="28" t="s">
        <v>6635</v>
      </c>
      <c r="G247" s="28">
        <v>0</v>
      </c>
    </row>
    <row r="248" spans="1:7">
      <c r="A248" s="28">
        <v>14104</v>
      </c>
      <c r="B248" s="28" t="s">
        <v>5116</v>
      </c>
      <c r="C248" s="28">
        <v>4</v>
      </c>
      <c r="D248" s="28" t="s">
        <v>6581</v>
      </c>
      <c r="E248" s="28" t="s">
        <v>5446</v>
      </c>
      <c r="F248" s="28" t="s">
        <v>6636</v>
      </c>
      <c r="G248" s="28">
        <v>0</v>
      </c>
    </row>
    <row r="249" spans="1:7">
      <c r="A249" s="28">
        <v>14105</v>
      </c>
      <c r="B249" s="28" t="s">
        <v>5115</v>
      </c>
      <c r="C249" s="28">
        <v>4</v>
      </c>
      <c r="D249" s="28" t="s">
        <v>6600</v>
      </c>
      <c r="E249" s="28" t="s">
        <v>5438</v>
      </c>
      <c r="F249" s="28" t="s">
        <v>6637</v>
      </c>
      <c r="G249" s="28">
        <v>0</v>
      </c>
    </row>
    <row r="250" spans="1:7">
      <c r="A250" s="28">
        <v>14107</v>
      </c>
      <c r="B250" s="28" t="s">
        <v>5114</v>
      </c>
      <c r="C250" s="28">
        <v>4</v>
      </c>
      <c r="D250" s="28" t="s">
        <v>6597</v>
      </c>
      <c r="E250" s="28" t="s">
        <v>5430</v>
      </c>
      <c r="F250" s="28" t="s">
        <v>6638</v>
      </c>
      <c r="G250" s="28">
        <v>0</v>
      </c>
    </row>
    <row r="251" spans="1:7">
      <c r="A251" s="28">
        <v>14109</v>
      </c>
      <c r="B251" s="28" t="s">
        <v>5113</v>
      </c>
      <c r="C251" s="28">
        <v>4</v>
      </c>
      <c r="D251" s="28" t="s">
        <v>6593</v>
      </c>
      <c r="E251" s="28" t="s">
        <v>5422</v>
      </c>
      <c r="F251" s="28" t="s">
        <v>6639</v>
      </c>
      <c r="G251" s="28">
        <v>0</v>
      </c>
    </row>
    <row r="252" spans="1:7">
      <c r="A252" s="28">
        <v>14110</v>
      </c>
      <c r="B252" s="28" t="s">
        <v>5112</v>
      </c>
      <c r="C252" s="28">
        <v>4</v>
      </c>
      <c r="D252" s="28" t="s">
        <v>6589</v>
      </c>
      <c r="E252" s="28" t="s">
        <v>5414</v>
      </c>
      <c r="F252" s="28" t="s">
        <v>6640</v>
      </c>
      <c r="G252" s="28">
        <v>0</v>
      </c>
    </row>
    <row r="253" spans="1:7">
      <c r="A253" s="28">
        <v>14114</v>
      </c>
      <c r="B253" s="28" t="s">
        <v>5111</v>
      </c>
      <c r="C253" s="28">
        <v>4</v>
      </c>
      <c r="D253" s="28" t="s">
        <v>6589</v>
      </c>
      <c r="E253" s="28" t="s">
        <v>5406</v>
      </c>
      <c r="F253" s="28" t="s">
        <v>6641</v>
      </c>
      <c r="G253" s="28">
        <v>0</v>
      </c>
    </row>
    <row r="254" spans="1:7">
      <c r="A254" s="28">
        <v>14116</v>
      </c>
      <c r="B254" s="28" t="s">
        <v>5110</v>
      </c>
      <c r="C254" s="28">
        <v>4</v>
      </c>
      <c r="D254" s="28" t="s">
        <v>6589</v>
      </c>
      <c r="E254" s="28" t="s">
        <v>5398</v>
      </c>
      <c r="F254" s="28" t="s">
        <v>6642</v>
      </c>
      <c r="G254" s="28">
        <v>0</v>
      </c>
    </row>
    <row r="255" spans="1:7">
      <c r="A255" s="28">
        <v>14117</v>
      </c>
      <c r="B255" s="28" t="s">
        <v>5109</v>
      </c>
      <c r="C255" s="28">
        <v>4</v>
      </c>
      <c r="D255" s="28" t="s">
        <v>6593</v>
      </c>
      <c r="E255" s="28" t="s">
        <v>5390</v>
      </c>
      <c r="F255" s="28" t="s">
        <v>6643</v>
      </c>
      <c r="G255" s="28">
        <v>0</v>
      </c>
    </row>
    <row r="256" spans="1:7">
      <c r="A256" s="28">
        <v>14118</v>
      </c>
      <c r="B256" s="28" t="s">
        <v>5108</v>
      </c>
      <c r="C256" s="28">
        <v>4</v>
      </c>
      <c r="D256" s="28" t="s">
        <v>6593</v>
      </c>
      <c r="E256" s="28" t="s">
        <v>5382</v>
      </c>
      <c r="F256" s="28" t="s">
        <v>6644</v>
      </c>
      <c r="G256" s="28">
        <v>0</v>
      </c>
    </row>
    <row r="257" spans="1:7">
      <c r="A257" s="28">
        <v>14119</v>
      </c>
      <c r="B257" s="28" t="s">
        <v>5107</v>
      </c>
      <c r="C257" s="28">
        <v>4</v>
      </c>
      <c r="D257" s="28" t="s">
        <v>6581</v>
      </c>
      <c r="E257" s="28" t="s">
        <v>5374</v>
      </c>
      <c r="F257" s="28" t="s">
        <v>6645</v>
      </c>
      <c r="G257" s="28">
        <v>0</v>
      </c>
    </row>
    <row r="258" spans="1:7">
      <c r="A258" s="28">
        <v>14120</v>
      </c>
      <c r="B258" s="28" t="s">
        <v>5106</v>
      </c>
      <c r="C258" s="28">
        <v>4</v>
      </c>
      <c r="D258" s="28" t="s">
        <v>6581</v>
      </c>
      <c r="E258" s="28" t="s">
        <v>5366</v>
      </c>
      <c r="F258" s="28" t="s">
        <v>6646</v>
      </c>
      <c r="G258" s="28">
        <v>0</v>
      </c>
    </row>
    <row r="259" spans="1:7">
      <c r="A259" s="28">
        <v>14121</v>
      </c>
      <c r="B259" s="28" t="s">
        <v>5104</v>
      </c>
      <c r="C259" s="28">
        <v>4</v>
      </c>
      <c r="D259" s="28" t="s">
        <v>6585</v>
      </c>
      <c r="E259" s="28" t="s">
        <v>5358</v>
      </c>
      <c r="F259" s="28" t="s">
        <v>6647</v>
      </c>
      <c r="G259" s="28">
        <v>0</v>
      </c>
    </row>
    <row r="260" spans="1:7">
      <c r="A260" s="28">
        <v>14122</v>
      </c>
      <c r="B260" s="28" t="s">
        <v>5103</v>
      </c>
      <c r="C260" s="28">
        <v>4</v>
      </c>
      <c r="D260" s="28" t="s">
        <v>6593</v>
      </c>
      <c r="E260" s="28" t="s">
        <v>5350</v>
      </c>
      <c r="F260" s="28" t="s">
        <v>6648</v>
      </c>
      <c r="G260" s="28">
        <v>0</v>
      </c>
    </row>
    <row r="261" spans="1:7">
      <c r="A261" s="28">
        <v>14124</v>
      </c>
      <c r="B261" s="28" t="s">
        <v>5102</v>
      </c>
      <c r="C261" s="28">
        <v>4</v>
      </c>
      <c r="D261" s="28" t="s">
        <v>6581</v>
      </c>
      <c r="E261" s="28" t="s">
        <v>5342</v>
      </c>
      <c r="F261" s="28" t="s">
        <v>6649</v>
      </c>
      <c r="G261" s="28">
        <v>0</v>
      </c>
    </row>
    <row r="262" spans="1:7">
      <c r="A262" s="28">
        <v>14125</v>
      </c>
      <c r="B262" s="28" t="s">
        <v>5101</v>
      </c>
      <c r="C262" s="28">
        <v>4</v>
      </c>
      <c r="D262" s="28" t="s">
        <v>6589</v>
      </c>
      <c r="E262" s="28" t="s">
        <v>5334</v>
      </c>
      <c r="F262" s="28" t="s">
        <v>6650</v>
      </c>
      <c r="G262" s="28">
        <v>0</v>
      </c>
    </row>
    <row r="263" spans="1:7">
      <c r="A263" s="28">
        <v>14126</v>
      </c>
      <c r="B263" s="28" t="s">
        <v>5100</v>
      </c>
      <c r="C263" s="28">
        <v>4</v>
      </c>
      <c r="D263" s="28" t="s">
        <v>6593</v>
      </c>
      <c r="E263" s="28" t="s">
        <v>5326</v>
      </c>
      <c r="F263" s="28" t="s">
        <v>6651</v>
      </c>
      <c r="G263" s="28">
        <v>0</v>
      </c>
    </row>
    <row r="264" spans="1:7">
      <c r="A264" s="28">
        <v>14129</v>
      </c>
      <c r="B264" s="28" t="s">
        <v>5099</v>
      </c>
      <c r="C264" s="28">
        <v>4</v>
      </c>
      <c r="D264" s="28" t="s">
        <v>6581</v>
      </c>
      <c r="E264" s="28" t="s">
        <v>5318</v>
      </c>
      <c r="F264" s="28" t="s">
        <v>6652</v>
      </c>
      <c r="G264" s="28">
        <v>0</v>
      </c>
    </row>
    <row r="265" spans="1:7">
      <c r="A265" s="28">
        <v>14130</v>
      </c>
      <c r="B265" s="28" t="s">
        <v>5098</v>
      </c>
      <c r="C265" s="28">
        <v>4</v>
      </c>
      <c r="D265" s="28" t="s">
        <v>6581</v>
      </c>
      <c r="E265" s="28" t="s">
        <v>5310</v>
      </c>
      <c r="F265" s="28" t="s">
        <v>6653</v>
      </c>
      <c r="G265" s="28">
        <v>0</v>
      </c>
    </row>
    <row r="266" spans="1:7">
      <c r="A266" s="28">
        <v>14131</v>
      </c>
      <c r="B266" s="28" t="s">
        <v>5097</v>
      </c>
      <c r="C266" s="28">
        <v>4</v>
      </c>
      <c r="D266" s="28" t="s">
        <v>6585</v>
      </c>
      <c r="E266" s="28" t="s">
        <v>5302</v>
      </c>
      <c r="F266" s="28" t="s">
        <v>6654</v>
      </c>
      <c r="G266" s="28">
        <v>0</v>
      </c>
    </row>
    <row r="267" spans="1:7">
      <c r="A267" s="28">
        <v>14132</v>
      </c>
      <c r="B267" s="28" t="s">
        <v>5096</v>
      </c>
      <c r="C267" s="28">
        <v>4</v>
      </c>
      <c r="D267" s="28" t="s">
        <v>6581</v>
      </c>
      <c r="E267" s="65" t="s">
        <v>5294</v>
      </c>
      <c r="F267" s="28" t="s">
        <v>6655</v>
      </c>
      <c r="G267" s="28">
        <v>0</v>
      </c>
    </row>
    <row r="268" spans="1:7">
      <c r="A268" s="28">
        <v>14133</v>
      </c>
      <c r="B268" s="28" t="s">
        <v>5095</v>
      </c>
      <c r="C268" s="28">
        <v>4</v>
      </c>
      <c r="D268" s="28" t="s">
        <v>6593</v>
      </c>
      <c r="E268" s="65" t="s">
        <v>5286</v>
      </c>
      <c r="F268" s="28" t="s">
        <v>6656</v>
      </c>
      <c r="G268" s="28">
        <v>0</v>
      </c>
    </row>
    <row r="269" spans="1:7">
      <c r="A269" s="28">
        <v>14134</v>
      </c>
      <c r="B269" s="28" t="s">
        <v>5094</v>
      </c>
      <c r="C269" s="28">
        <v>4</v>
      </c>
      <c r="D269" s="28" t="s">
        <v>6597</v>
      </c>
      <c r="E269" s="28" t="s">
        <v>5278</v>
      </c>
      <c r="F269" s="28" t="s">
        <v>6657</v>
      </c>
      <c r="G269" s="28">
        <v>0</v>
      </c>
    </row>
    <row r="270" spans="1:7">
      <c r="A270" s="28">
        <v>14136</v>
      </c>
      <c r="B270" s="28" t="s">
        <v>5093</v>
      </c>
      <c r="C270" s="28">
        <v>4</v>
      </c>
      <c r="D270" s="28" t="s">
        <v>6589</v>
      </c>
      <c r="E270" s="28" t="s">
        <v>5270</v>
      </c>
      <c r="F270" s="28" t="s">
        <v>6658</v>
      </c>
      <c r="G270" s="28">
        <v>0</v>
      </c>
    </row>
    <row r="271" spans="1:7">
      <c r="A271" s="28">
        <v>14137</v>
      </c>
      <c r="B271" s="28" t="s">
        <v>5092</v>
      </c>
      <c r="C271" s="28">
        <v>4</v>
      </c>
      <c r="D271" s="28" t="s">
        <v>6600</v>
      </c>
      <c r="E271" s="28" t="s">
        <v>5262</v>
      </c>
      <c r="F271" s="28" t="s">
        <v>6659</v>
      </c>
      <c r="G271" s="28">
        <v>0</v>
      </c>
    </row>
    <row r="272" spans="1:7">
      <c r="A272" s="28">
        <v>14138</v>
      </c>
      <c r="B272" s="28" t="s">
        <v>5091</v>
      </c>
      <c r="C272" s="28">
        <v>4</v>
      </c>
      <c r="D272" s="28" t="s">
        <v>6581</v>
      </c>
      <c r="E272" s="28" t="s">
        <v>5254</v>
      </c>
      <c r="F272" s="28" t="s">
        <v>6660</v>
      </c>
      <c r="G272" s="28">
        <v>0</v>
      </c>
    </row>
    <row r="273" spans="1:7">
      <c r="A273" s="28">
        <v>14139</v>
      </c>
      <c r="B273" s="28" t="s">
        <v>5090</v>
      </c>
      <c r="C273" s="28">
        <v>4</v>
      </c>
      <c r="D273" s="28" t="s">
        <v>6589</v>
      </c>
      <c r="E273" s="28" t="s">
        <v>5246</v>
      </c>
      <c r="F273" s="28" t="s">
        <v>6661</v>
      </c>
      <c r="G273" s="28">
        <v>0</v>
      </c>
    </row>
    <row r="274" spans="1:7">
      <c r="A274" s="28">
        <v>14140</v>
      </c>
      <c r="B274" s="28" t="s">
        <v>5089</v>
      </c>
      <c r="C274" s="28">
        <v>4</v>
      </c>
      <c r="D274" s="28" t="s">
        <v>6593</v>
      </c>
      <c r="E274" s="28" t="s">
        <v>5238</v>
      </c>
      <c r="F274" s="28" t="s">
        <v>6662</v>
      </c>
      <c r="G274" s="28">
        <v>0</v>
      </c>
    </row>
    <row r="275" spans="1:7">
      <c r="A275" s="28">
        <v>14141</v>
      </c>
      <c r="B275" s="28" t="s">
        <v>5088</v>
      </c>
      <c r="C275" s="28">
        <v>4</v>
      </c>
      <c r="D275" s="28" t="s">
        <v>6585</v>
      </c>
      <c r="E275" s="28" t="s">
        <v>5230</v>
      </c>
      <c r="F275" s="28" t="s">
        <v>6663</v>
      </c>
      <c r="G275" s="28">
        <v>0</v>
      </c>
    </row>
    <row r="276" spans="1:7">
      <c r="A276" s="28">
        <v>14143</v>
      </c>
      <c r="B276" s="28" t="s">
        <v>5087</v>
      </c>
      <c r="C276" s="28">
        <v>4</v>
      </c>
      <c r="D276" s="28" t="s">
        <v>6581</v>
      </c>
      <c r="E276" s="28" t="s">
        <v>5222</v>
      </c>
      <c r="F276" s="28" t="s">
        <v>6664</v>
      </c>
      <c r="G276" s="28">
        <v>0</v>
      </c>
    </row>
    <row r="277" spans="1:7">
      <c r="A277" s="28">
        <v>14145</v>
      </c>
      <c r="B277" s="28" t="s">
        <v>5086</v>
      </c>
      <c r="C277" s="28">
        <v>4</v>
      </c>
      <c r="D277" s="28" t="s">
        <v>6585</v>
      </c>
      <c r="E277" s="28" t="s">
        <v>5214</v>
      </c>
      <c r="F277" s="28" t="s">
        <v>6665</v>
      </c>
      <c r="G277" s="28">
        <v>0</v>
      </c>
    </row>
    <row r="278" spans="1:7">
      <c r="A278" s="28">
        <v>14146</v>
      </c>
      <c r="B278" s="28" t="s">
        <v>5085</v>
      </c>
      <c r="C278" s="28">
        <v>4</v>
      </c>
      <c r="D278" s="28" t="s">
        <v>6581</v>
      </c>
      <c r="E278" s="28" t="s">
        <v>5206</v>
      </c>
      <c r="F278" s="28" t="s">
        <v>6666</v>
      </c>
      <c r="G278" s="28">
        <v>0</v>
      </c>
    </row>
    <row r="279" spans="1:7">
      <c r="A279" s="28">
        <v>14147</v>
      </c>
      <c r="B279" s="28" t="s">
        <v>5084</v>
      </c>
      <c r="C279" s="28">
        <v>4</v>
      </c>
      <c r="D279" s="28" t="s">
        <v>6600</v>
      </c>
      <c r="E279" s="28" t="s">
        <v>5198</v>
      </c>
      <c r="F279" s="28" t="s">
        <v>6667</v>
      </c>
      <c r="G279" s="28">
        <v>0</v>
      </c>
    </row>
    <row r="280" spans="1:7">
      <c r="A280" s="28">
        <v>14148</v>
      </c>
      <c r="B280" s="28" t="s">
        <v>5083</v>
      </c>
      <c r="C280" s="28">
        <v>4</v>
      </c>
      <c r="D280" s="28" t="s">
        <v>6589</v>
      </c>
      <c r="E280" s="28" t="s">
        <v>5190</v>
      </c>
      <c r="F280" s="28" t="s">
        <v>6668</v>
      </c>
      <c r="G280" s="28">
        <v>0</v>
      </c>
    </row>
    <row r="281" spans="1:7">
      <c r="A281" s="28">
        <v>14149</v>
      </c>
      <c r="B281" s="28" t="s">
        <v>5081</v>
      </c>
      <c r="C281" s="28">
        <v>4</v>
      </c>
      <c r="D281" s="28" t="s">
        <v>6585</v>
      </c>
      <c r="E281" s="28" t="s">
        <v>5182</v>
      </c>
      <c r="F281" s="28" t="s">
        <v>6669</v>
      </c>
      <c r="G281" s="28">
        <v>0</v>
      </c>
    </row>
    <row r="282" spans="1:7">
      <c r="A282" s="28">
        <v>14150</v>
      </c>
      <c r="B282" s="28" t="s">
        <v>5079</v>
      </c>
      <c r="C282" s="28">
        <v>4</v>
      </c>
      <c r="D282" s="28" t="s">
        <v>6593</v>
      </c>
      <c r="E282" s="28" t="s">
        <v>5174</v>
      </c>
      <c r="F282" s="28" t="s">
        <v>6670</v>
      </c>
      <c r="G282" s="28">
        <v>0</v>
      </c>
    </row>
    <row r="283" spans="1:7">
      <c r="A283" s="28">
        <v>20104</v>
      </c>
      <c r="B283" s="28" t="s">
        <v>6671</v>
      </c>
      <c r="C283" s="28">
        <v>4</v>
      </c>
      <c r="D283" s="28" t="s">
        <v>6672</v>
      </c>
      <c r="E283" s="28" t="s">
        <v>6673</v>
      </c>
      <c r="F283" s="28" t="s">
        <v>6674</v>
      </c>
      <c r="G283" s="28">
        <v>6</v>
      </c>
    </row>
    <row r="284" spans="1:7">
      <c r="A284" s="28">
        <v>20114</v>
      </c>
      <c r="B284" s="28" t="s">
        <v>6675</v>
      </c>
      <c r="C284" s="28">
        <v>4</v>
      </c>
      <c r="D284" s="28" t="s">
        <v>6676</v>
      </c>
      <c r="E284" s="28" t="s">
        <v>6677</v>
      </c>
      <c r="F284" s="28" t="s">
        <v>6678</v>
      </c>
      <c r="G284" s="28">
        <v>6</v>
      </c>
    </row>
    <row r="285" spans="1:7">
      <c r="A285" s="28">
        <v>20117</v>
      </c>
      <c r="B285" s="28" t="s">
        <v>6679</v>
      </c>
      <c r="C285" s="28">
        <v>4</v>
      </c>
      <c r="D285" s="28" t="s">
        <v>6680</v>
      </c>
      <c r="E285" s="28" t="s">
        <v>6681</v>
      </c>
      <c r="F285" s="28" t="s">
        <v>6682</v>
      </c>
      <c r="G285" s="28">
        <v>6</v>
      </c>
    </row>
    <row r="286" spans="1:7">
      <c r="A286" s="28">
        <v>20118</v>
      </c>
      <c r="B286" s="28" t="s">
        <v>6683</v>
      </c>
      <c r="C286" s="28">
        <v>4</v>
      </c>
      <c r="D286" s="28" t="s">
        <v>6684</v>
      </c>
      <c r="E286" s="28" t="s">
        <v>6685</v>
      </c>
      <c r="F286" s="28" t="s">
        <v>6686</v>
      </c>
      <c r="G286" s="28">
        <v>6</v>
      </c>
    </row>
    <row r="287" spans="1:7">
      <c r="A287" s="28">
        <v>20119</v>
      </c>
      <c r="B287" s="28" t="s">
        <v>6687</v>
      </c>
      <c r="C287" s="28">
        <v>4</v>
      </c>
      <c r="D287" s="28" t="s">
        <v>6688</v>
      </c>
      <c r="E287" s="28" t="s">
        <v>6689</v>
      </c>
      <c r="F287" s="28" t="s">
        <v>6690</v>
      </c>
      <c r="G287" s="28">
        <v>6</v>
      </c>
    </row>
    <row r="288" spans="1:7">
      <c r="A288" s="28">
        <v>20120</v>
      </c>
      <c r="B288" s="28" t="s">
        <v>6691</v>
      </c>
      <c r="C288" s="28">
        <v>4</v>
      </c>
      <c r="D288" s="28" t="s">
        <v>6692</v>
      </c>
      <c r="E288" s="28" t="s">
        <v>6693</v>
      </c>
      <c r="F288" s="28" t="s">
        <v>6694</v>
      </c>
      <c r="G288" s="28">
        <v>6</v>
      </c>
    </row>
    <row r="289" spans="1:7">
      <c r="A289" s="28">
        <v>20138</v>
      </c>
      <c r="B289" s="28" t="s">
        <v>6695</v>
      </c>
      <c r="C289" s="28">
        <v>4</v>
      </c>
      <c r="D289" s="28" t="s">
        <v>6696</v>
      </c>
      <c r="E289" s="28" t="s">
        <v>6697</v>
      </c>
      <c r="F289" s="28" t="s">
        <v>6698</v>
      </c>
      <c r="G289" s="28">
        <v>6</v>
      </c>
    </row>
    <row r="290" spans="1:7">
      <c r="A290" s="28">
        <v>31021</v>
      </c>
      <c r="B290" s="28" t="s">
        <v>6699</v>
      </c>
      <c r="C290" s="28">
        <v>2</v>
      </c>
      <c r="D290" s="28" t="s">
        <v>6700</v>
      </c>
      <c r="E290" s="28" t="s">
        <v>6701</v>
      </c>
      <c r="F290" s="28" t="s">
        <v>6702</v>
      </c>
      <c r="G290" s="28">
        <v>0</v>
      </c>
    </row>
    <row r="291" spans="1:7">
      <c r="A291" s="28">
        <v>31022</v>
      </c>
      <c r="B291" s="28" t="s">
        <v>6703</v>
      </c>
      <c r="C291" s="28">
        <v>2</v>
      </c>
      <c r="D291" s="28" t="s">
        <v>6700</v>
      </c>
      <c r="E291" s="28" t="s">
        <v>6704</v>
      </c>
      <c r="F291" s="28" t="s">
        <v>6702</v>
      </c>
      <c r="G291" s="28">
        <v>0</v>
      </c>
    </row>
    <row r="292" spans="1:7">
      <c r="A292" s="28">
        <v>31023</v>
      </c>
      <c r="B292" s="28" t="s">
        <v>6705</v>
      </c>
      <c r="C292" s="28">
        <v>2</v>
      </c>
      <c r="D292" s="28" t="s">
        <v>6700</v>
      </c>
      <c r="E292" s="28" t="s">
        <v>6706</v>
      </c>
      <c r="F292" s="28" t="s">
        <v>6702</v>
      </c>
      <c r="G292" s="28">
        <v>0</v>
      </c>
    </row>
    <row r="293" spans="1:7">
      <c r="A293" s="28">
        <v>31024</v>
      </c>
      <c r="B293" s="28" t="s">
        <v>6707</v>
      </c>
      <c r="C293" s="28">
        <v>2</v>
      </c>
      <c r="D293" s="28" t="s">
        <v>6700</v>
      </c>
      <c r="E293" s="28" t="s">
        <v>6708</v>
      </c>
      <c r="F293" s="28" t="s">
        <v>6702</v>
      </c>
      <c r="G293" s="28">
        <v>0</v>
      </c>
    </row>
    <row r="294" spans="1:7">
      <c r="A294" s="28">
        <v>31025</v>
      </c>
      <c r="B294" s="28" t="s">
        <v>6709</v>
      </c>
      <c r="C294" s="28">
        <v>2</v>
      </c>
      <c r="D294" s="28" t="s">
        <v>6700</v>
      </c>
      <c r="E294" s="28" t="s">
        <v>6710</v>
      </c>
      <c r="F294" s="28" t="s">
        <v>6702</v>
      </c>
      <c r="G294" s="28">
        <v>0</v>
      </c>
    </row>
    <row r="295" spans="1:7">
      <c r="A295" s="28">
        <v>31026</v>
      </c>
      <c r="B295" s="28" t="s">
        <v>6711</v>
      </c>
      <c r="C295" s="28">
        <v>2</v>
      </c>
      <c r="D295" s="28" t="s">
        <v>6700</v>
      </c>
      <c r="E295" s="28" t="s">
        <v>6712</v>
      </c>
      <c r="F295" s="28" t="s">
        <v>6702</v>
      </c>
      <c r="G295" s="28">
        <v>0</v>
      </c>
    </row>
    <row r="296" spans="1:7">
      <c r="A296" s="28">
        <v>31031</v>
      </c>
      <c r="B296" s="28" t="s">
        <v>6699</v>
      </c>
      <c r="C296" s="28">
        <v>3</v>
      </c>
      <c r="D296" s="28" t="s">
        <v>6700</v>
      </c>
      <c r="E296" s="28" t="s">
        <v>6701</v>
      </c>
      <c r="F296" s="28" t="s">
        <v>6713</v>
      </c>
      <c r="G296" s="28">
        <v>0</v>
      </c>
    </row>
    <row r="297" spans="1:7">
      <c r="A297" s="28">
        <v>31032</v>
      </c>
      <c r="B297" s="28" t="s">
        <v>6703</v>
      </c>
      <c r="C297" s="28">
        <v>3</v>
      </c>
      <c r="D297" s="28" t="s">
        <v>6700</v>
      </c>
      <c r="E297" s="28" t="s">
        <v>6704</v>
      </c>
      <c r="F297" s="28" t="s">
        <v>6713</v>
      </c>
      <c r="G297" s="28">
        <v>0</v>
      </c>
    </row>
    <row r="298" spans="1:7">
      <c r="A298" s="28">
        <v>31033</v>
      </c>
      <c r="B298" s="28" t="s">
        <v>6705</v>
      </c>
      <c r="C298" s="28">
        <v>3</v>
      </c>
      <c r="D298" s="28" t="s">
        <v>6700</v>
      </c>
      <c r="E298" s="28" t="s">
        <v>6706</v>
      </c>
      <c r="F298" s="28" t="s">
        <v>6713</v>
      </c>
      <c r="G298" s="28">
        <v>0</v>
      </c>
    </row>
    <row r="299" spans="1:7">
      <c r="A299" s="28">
        <v>31034</v>
      </c>
      <c r="B299" s="28" t="s">
        <v>6707</v>
      </c>
      <c r="C299" s="28">
        <v>3</v>
      </c>
      <c r="D299" s="28" t="s">
        <v>6700</v>
      </c>
      <c r="E299" s="28" t="s">
        <v>6708</v>
      </c>
      <c r="F299" s="28" t="s">
        <v>6713</v>
      </c>
      <c r="G299" s="28">
        <v>0</v>
      </c>
    </row>
    <row r="300" spans="1:7">
      <c r="A300" s="28">
        <v>31035</v>
      </c>
      <c r="B300" s="28" t="s">
        <v>6709</v>
      </c>
      <c r="C300" s="28">
        <v>3</v>
      </c>
      <c r="D300" s="28" t="s">
        <v>6700</v>
      </c>
      <c r="E300" s="28" t="s">
        <v>6710</v>
      </c>
      <c r="F300" s="28" t="s">
        <v>6713</v>
      </c>
      <c r="G300" s="28">
        <v>0</v>
      </c>
    </row>
    <row r="301" spans="1:7">
      <c r="A301" s="28">
        <v>31036</v>
      </c>
      <c r="B301" s="28" t="s">
        <v>6711</v>
      </c>
      <c r="C301" s="28">
        <v>3</v>
      </c>
      <c r="D301" s="28" t="s">
        <v>6700</v>
      </c>
      <c r="E301" s="28" t="s">
        <v>6712</v>
      </c>
      <c r="F301" s="28" t="s">
        <v>6713</v>
      </c>
      <c r="G301" s="28">
        <v>0</v>
      </c>
    </row>
    <row r="302" spans="1:7">
      <c r="A302" s="28">
        <v>31041</v>
      </c>
      <c r="B302" s="28" t="s">
        <v>6699</v>
      </c>
      <c r="C302" s="28">
        <v>4</v>
      </c>
      <c r="D302" s="28" t="s">
        <v>6700</v>
      </c>
      <c r="E302" s="28" t="s">
        <v>6701</v>
      </c>
      <c r="F302" s="28" t="s">
        <v>6714</v>
      </c>
      <c r="G302" s="28">
        <v>0</v>
      </c>
    </row>
    <row r="303" spans="1:7">
      <c r="A303" s="28">
        <v>31042</v>
      </c>
      <c r="B303" s="28" t="s">
        <v>6703</v>
      </c>
      <c r="C303" s="28">
        <v>4</v>
      </c>
      <c r="D303" s="28" t="s">
        <v>6700</v>
      </c>
      <c r="E303" s="28" t="s">
        <v>6704</v>
      </c>
      <c r="F303" s="28" t="s">
        <v>6714</v>
      </c>
      <c r="G303" s="28">
        <v>0</v>
      </c>
    </row>
    <row r="304" spans="1:7">
      <c r="A304" s="28">
        <v>31043</v>
      </c>
      <c r="B304" s="28" t="s">
        <v>6705</v>
      </c>
      <c r="C304" s="28">
        <v>4</v>
      </c>
      <c r="D304" s="28" t="s">
        <v>6700</v>
      </c>
      <c r="E304" s="28" t="s">
        <v>6706</v>
      </c>
      <c r="F304" s="28" t="s">
        <v>6714</v>
      </c>
      <c r="G304" s="28">
        <v>0</v>
      </c>
    </row>
    <row r="305" spans="1:7">
      <c r="A305" s="28">
        <v>31044</v>
      </c>
      <c r="B305" s="28" t="s">
        <v>6707</v>
      </c>
      <c r="C305" s="28">
        <v>4</v>
      </c>
      <c r="D305" s="28" t="s">
        <v>6700</v>
      </c>
      <c r="E305" s="28" t="s">
        <v>6708</v>
      </c>
      <c r="F305" s="28" t="s">
        <v>6714</v>
      </c>
      <c r="G305" s="28">
        <v>0</v>
      </c>
    </row>
    <row r="306" spans="1:7">
      <c r="A306" s="28">
        <v>31045</v>
      </c>
      <c r="B306" s="28" t="s">
        <v>6709</v>
      </c>
      <c r="C306" s="28">
        <v>4</v>
      </c>
      <c r="D306" s="28" t="s">
        <v>6700</v>
      </c>
      <c r="E306" s="28" t="s">
        <v>6710</v>
      </c>
      <c r="F306" s="28" t="s">
        <v>6714</v>
      </c>
      <c r="G306" s="28">
        <v>0</v>
      </c>
    </row>
    <row r="307" spans="1:7">
      <c r="A307" s="28">
        <v>31046</v>
      </c>
      <c r="B307" s="28" t="s">
        <v>6711</v>
      </c>
      <c r="C307" s="28">
        <v>4</v>
      </c>
      <c r="D307" s="28" t="s">
        <v>6700</v>
      </c>
      <c r="E307" s="28" t="s">
        <v>6712</v>
      </c>
      <c r="F307" s="28" t="s">
        <v>6714</v>
      </c>
      <c r="G307" s="28">
        <v>0</v>
      </c>
    </row>
    <row r="308" spans="1:7">
      <c r="A308" s="28">
        <v>31121</v>
      </c>
      <c r="B308" s="28" t="s">
        <v>6715</v>
      </c>
      <c r="C308" s="28">
        <v>2</v>
      </c>
      <c r="D308" s="28" t="s">
        <v>6700</v>
      </c>
      <c r="E308" s="28" t="s">
        <v>6716</v>
      </c>
      <c r="F308" s="28" t="s">
        <v>6717</v>
      </c>
      <c r="G308" s="28">
        <v>0</v>
      </c>
    </row>
    <row r="309" spans="1:7">
      <c r="A309" s="28">
        <v>31122</v>
      </c>
      <c r="B309" s="28" t="s">
        <v>6718</v>
      </c>
      <c r="C309" s="28">
        <v>2</v>
      </c>
      <c r="D309" s="28" t="s">
        <v>6700</v>
      </c>
      <c r="E309" s="28" t="s">
        <v>6719</v>
      </c>
      <c r="F309" s="28" t="s">
        <v>6717</v>
      </c>
      <c r="G309" s="28">
        <v>0</v>
      </c>
    </row>
    <row r="310" spans="1:7">
      <c r="A310" s="28">
        <v>31123</v>
      </c>
      <c r="B310" s="28" t="s">
        <v>6720</v>
      </c>
      <c r="C310" s="28">
        <v>2</v>
      </c>
      <c r="D310" s="28" t="s">
        <v>6700</v>
      </c>
      <c r="E310" s="28" t="s">
        <v>6721</v>
      </c>
      <c r="F310" s="28" t="s">
        <v>6717</v>
      </c>
      <c r="G310" s="28">
        <v>0</v>
      </c>
    </row>
    <row r="311" spans="1:7">
      <c r="A311" s="28">
        <v>31124</v>
      </c>
      <c r="B311" s="28" t="s">
        <v>6722</v>
      </c>
      <c r="C311" s="28">
        <v>2</v>
      </c>
      <c r="D311" s="28" t="s">
        <v>6700</v>
      </c>
      <c r="E311" s="28" t="s">
        <v>6723</v>
      </c>
      <c r="F311" s="28" t="s">
        <v>6717</v>
      </c>
      <c r="G311" s="28">
        <v>0</v>
      </c>
    </row>
    <row r="312" spans="1:7">
      <c r="A312" s="28">
        <v>31125</v>
      </c>
      <c r="B312" s="28" t="s">
        <v>6724</v>
      </c>
      <c r="C312" s="28">
        <v>2</v>
      </c>
      <c r="D312" s="28" t="s">
        <v>6700</v>
      </c>
      <c r="E312" s="28" t="s">
        <v>6725</v>
      </c>
      <c r="F312" s="28" t="s">
        <v>6717</v>
      </c>
      <c r="G312" s="28">
        <v>0</v>
      </c>
    </row>
    <row r="313" spans="1:7">
      <c r="A313" s="28">
        <v>31126</v>
      </c>
      <c r="B313" s="28" t="s">
        <v>6726</v>
      </c>
      <c r="C313" s="28">
        <v>2</v>
      </c>
      <c r="D313" s="28" t="s">
        <v>6700</v>
      </c>
      <c r="E313" s="28" t="s">
        <v>6727</v>
      </c>
      <c r="F313" s="28" t="s">
        <v>6717</v>
      </c>
      <c r="G313" s="28">
        <v>0</v>
      </c>
    </row>
    <row r="314" spans="1:7">
      <c r="A314" s="28">
        <v>31131</v>
      </c>
      <c r="B314" s="28" t="s">
        <v>6715</v>
      </c>
      <c r="C314" s="28">
        <v>3</v>
      </c>
      <c r="D314" s="28" t="s">
        <v>6700</v>
      </c>
      <c r="E314" s="28" t="s">
        <v>6716</v>
      </c>
      <c r="F314" s="28" t="s">
        <v>6728</v>
      </c>
      <c r="G314" s="28">
        <v>0</v>
      </c>
    </row>
    <row r="315" spans="1:7">
      <c r="A315" s="28">
        <v>31132</v>
      </c>
      <c r="B315" s="28" t="s">
        <v>6718</v>
      </c>
      <c r="C315" s="28">
        <v>3</v>
      </c>
      <c r="D315" s="28" t="s">
        <v>6700</v>
      </c>
      <c r="E315" s="28" t="s">
        <v>6719</v>
      </c>
      <c r="F315" s="28" t="s">
        <v>6728</v>
      </c>
      <c r="G315" s="28">
        <v>0</v>
      </c>
    </row>
    <row r="316" spans="1:7">
      <c r="A316" s="28">
        <v>31133</v>
      </c>
      <c r="B316" s="28" t="s">
        <v>6720</v>
      </c>
      <c r="C316" s="28">
        <v>3</v>
      </c>
      <c r="D316" s="28" t="s">
        <v>6700</v>
      </c>
      <c r="E316" s="28" t="s">
        <v>6721</v>
      </c>
      <c r="F316" s="28" t="s">
        <v>6728</v>
      </c>
      <c r="G316" s="28">
        <v>0</v>
      </c>
    </row>
    <row r="317" spans="1:7">
      <c r="A317" s="28">
        <v>31134</v>
      </c>
      <c r="B317" s="28" t="s">
        <v>6722</v>
      </c>
      <c r="C317" s="28">
        <v>3</v>
      </c>
      <c r="D317" s="28" t="s">
        <v>6700</v>
      </c>
      <c r="E317" s="28" t="s">
        <v>6723</v>
      </c>
      <c r="F317" s="28" t="s">
        <v>6728</v>
      </c>
      <c r="G317" s="28">
        <v>0</v>
      </c>
    </row>
    <row r="318" spans="1:7">
      <c r="A318" s="28">
        <v>31135</v>
      </c>
      <c r="B318" s="28" t="s">
        <v>6724</v>
      </c>
      <c r="C318" s="28">
        <v>3</v>
      </c>
      <c r="D318" s="28" t="s">
        <v>6700</v>
      </c>
      <c r="E318" s="28" t="s">
        <v>6725</v>
      </c>
      <c r="F318" s="28" t="s">
        <v>6728</v>
      </c>
      <c r="G318" s="28">
        <v>0</v>
      </c>
    </row>
    <row r="319" spans="1:7">
      <c r="A319" s="28">
        <v>31136</v>
      </c>
      <c r="B319" s="28" t="s">
        <v>6726</v>
      </c>
      <c r="C319" s="28">
        <v>3</v>
      </c>
      <c r="D319" s="28" t="s">
        <v>6700</v>
      </c>
      <c r="E319" s="28" t="s">
        <v>6727</v>
      </c>
      <c r="F319" s="28" t="s">
        <v>6728</v>
      </c>
      <c r="G319" s="28">
        <v>0</v>
      </c>
    </row>
    <row r="320" spans="1:7">
      <c r="A320" s="28">
        <v>31141</v>
      </c>
      <c r="B320" s="28" t="s">
        <v>6715</v>
      </c>
      <c r="C320" s="28">
        <v>4</v>
      </c>
      <c r="D320" s="28" t="s">
        <v>6700</v>
      </c>
      <c r="E320" s="28" t="s">
        <v>6716</v>
      </c>
      <c r="F320" s="28" t="s">
        <v>6729</v>
      </c>
      <c r="G320" s="28">
        <v>0</v>
      </c>
    </row>
    <row r="321" spans="1:7">
      <c r="A321" s="28">
        <v>31142</v>
      </c>
      <c r="B321" s="28" t="s">
        <v>6718</v>
      </c>
      <c r="C321" s="28">
        <v>4</v>
      </c>
      <c r="D321" s="28" t="s">
        <v>6700</v>
      </c>
      <c r="E321" s="28" t="s">
        <v>6719</v>
      </c>
      <c r="F321" s="28" t="s">
        <v>6729</v>
      </c>
      <c r="G321" s="28">
        <v>0</v>
      </c>
    </row>
    <row r="322" spans="1:7">
      <c r="A322" s="28">
        <v>31143</v>
      </c>
      <c r="B322" s="28" t="s">
        <v>6720</v>
      </c>
      <c r="C322" s="28">
        <v>4</v>
      </c>
      <c r="D322" s="28" t="s">
        <v>6700</v>
      </c>
      <c r="E322" s="28" t="s">
        <v>6721</v>
      </c>
      <c r="F322" s="28" t="s">
        <v>6729</v>
      </c>
      <c r="G322" s="28">
        <v>0</v>
      </c>
    </row>
    <row r="323" spans="1:7">
      <c r="A323" s="28">
        <v>31144</v>
      </c>
      <c r="B323" s="28" t="s">
        <v>6722</v>
      </c>
      <c r="C323" s="28">
        <v>4</v>
      </c>
      <c r="D323" s="28" t="s">
        <v>6700</v>
      </c>
      <c r="E323" s="28" t="s">
        <v>6723</v>
      </c>
      <c r="F323" s="28" t="s">
        <v>6729</v>
      </c>
      <c r="G323" s="28">
        <v>0</v>
      </c>
    </row>
    <row r="324" spans="1:7">
      <c r="A324" s="28">
        <v>31145</v>
      </c>
      <c r="B324" s="28" t="s">
        <v>6724</v>
      </c>
      <c r="C324" s="28">
        <v>4</v>
      </c>
      <c r="D324" s="28" t="s">
        <v>6700</v>
      </c>
      <c r="E324" s="28" t="s">
        <v>6725</v>
      </c>
      <c r="F324" s="28" t="s">
        <v>6729</v>
      </c>
      <c r="G324" s="28">
        <v>0</v>
      </c>
    </row>
    <row r="325" spans="1:7">
      <c r="A325" s="28">
        <v>31146</v>
      </c>
      <c r="B325" s="28" t="s">
        <v>6726</v>
      </c>
      <c r="C325" s="28">
        <v>4</v>
      </c>
      <c r="D325" s="28" t="s">
        <v>6700</v>
      </c>
      <c r="E325" s="28" t="s">
        <v>6727</v>
      </c>
      <c r="F325" s="28" t="s">
        <v>6729</v>
      </c>
      <c r="G325" s="28">
        <v>0</v>
      </c>
    </row>
    <row r="326" spans="1:7">
      <c r="A326" s="28">
        <v>31221</v>
      </c>
      <c r="B326" s="28" t="s">
        <v>6730</v>
      </c>
      <c r="C326" s="28">
        <v>2</v>
      </c>
      <c r="D326" s="28" t="s">
        <v>6700</v>
      </c>
      <c r="E326" s="28" t="s">
        <v>6731</v>
      </c>
      <c r="F326" s="28" t="s">
        <v>6732</v>
      </c>
      <c r="G326" s="28">
        <v>0</v>
      </c>
    </row>
    <row r="327" spans="1:7">
      <c r="A327" s="28">
        <v>31222</v>
      </c>
      <c r="B327" s="28" t="s">
        <v>6733</v>
      </c>
      <c r="C327" s="28">
        <v>2</v>
      </c>
      <c r="D327" s="28" t="s">
        <v>6700</v>
      </c>
      <c r="E327" s="28" t="s">
        <v>6734</v>
      </c>
      <c r="F327" s="28" t="s">
        <v>6732</v>
      </c>
      <c r="G327" s="28">
        <v>0</v>
      </c>
    </row>
    <row r="328" spans="1:7">
      <c r="A328" s="28">
        <v>31223</v>
      </c>
      <c r="B328" s="28" t="s">
        <v>6735</v>
      </c>
      <c r="C328" s="28">
        <v>2</v>
      </c>
      <c r="D328" s="28" t="s">
        <v>6700</v>
      </c>
      <c r="E328" s="28" t="s">
        <v>6736</v>
      </c>
      <c r="F328" s="28" t="s">
        <v>6732</v>
      </c>
      <c r="G328" s="28">
        <v>0</v>
      </c>
    </row>
    <row r="329" spans="1:7">
      <c r="A329" s="28">
        <v>31224</v>
      </c>
      <c r="B329" s="28" t="s">
        <v>6737</v>
      </c>
      <c r="C329" s="28">
        <v>2</v>
      </c>
      <c r="D329" s="28" t="s">
        <v>6700</v>
      </c>
      <c r="E329" s="28" t="s">
        <v>6738</v>
      </c>
      <c r="F329" s="28" t="s">
        <v>6732</v>
      </c>
      <c r="G329" s="28">
        <v>0</v>
      </c>
    </row>
    <row r="330" spans="1:7">
      <c r="A330" s="28">
        <v>31225</v>
      </c>
      <c r="B330" s="28" t="s">
        <v>6739</v>
      </c>
      <c r="C330" s="28">
        <v>2</v>
      </c>
      <c r="D330" s="28" t="s">
        <v>6700</v>
      </c>
      <c r="E330" s="28" t="s">
        <v>6740</v>
      </c>
      <c r="F330" s="28" t="s">
        <v>6732</v>
      </c>
      <c r="G330" s="28">
        <v>0</v>
      </c>
    </row>
    <row r="331" spans="1:7">
      <c r="A331" s="28">
        <v>31226</v>
      </c>
      <c r="B331" s="28" t="s">
        <v>6741</v>
      </c>
      <c r="C331" s="28">
        <v>2</v>
      </c>
      <c r="D331" s="28" t="s">
        <v>6700</v>
      </c>
      <c r="E331" s="28" t="s">
        <v>6742</v>
      </c>
      <c r="F331" s="28" t="s">
        <v>6732</v>
      </c>
      <c r="G331" s="28">
        <v>0</v>
      </c>
    </row>
    <row r="332" spans="1:7">
      <c r="A332" s="28">
        <v>31231</v>
      </c>
      <c r="B332" s="28" t="s">
        <v>6730</v>
      </c>
      <c r="C332" s="28">
        <v>3</v>
      </c>
      <c r="D332" s="28" t="s">
        <v>6700</v>
      </c>
      <c r="E332" s="28" t="s">
        <v>6731</v>
      </c>
      <c r="F332" s="28" t="s">
        <v>6743</v>
      </c>
      <c r="G332" s="28">
        <v>0</v>
      </c>
    </row>
    <row r="333" spans="1:7">
      <c r="A333" s="28">
        <v>31232</v>
      </c>
      <c r="B333" s="28" t="s">
        <v>6733</v>
      </c>
      <c r="C333" s="28">
        <v>3</v>
      </c>
      <c r="D333" s="28" t="s">
        <v>6700</v>
      </c>
      <c r="E333" s="28" t="s">
        <v>6734</v>
      </c>
      <c r="F333" s="28" t="s">
        <v>6743</v>
      </c>
      <c r="G333" s="28">
        <v>0</v>
      </c>
    </row>
    <row r="334" spans="1:7">
      <c r="A334" s="28">
        <v>31233</v>
      </c>
      <c r="B334" s="28" t="s">
        <v>6735</v>
      </c>
      <c r="C334" s="28">
        <v>3</v>
      </c>
      <c r="D334" s="28" t="s">
        <v>6700</v>
      </c>
      <c r="E334" s="28" t="s">
        <v>6736</v>
      </c>
      <c r="F334" s="28" t="s">
        <v>6743</v>
      </c>
      <c r="G334" s="28">
        <v>0</v>
      </c>
    </row>
    <row r="335" spans="1:7">
      <c r="A335" s="28">
        <v>31234</v>
      </c>
      <c r="B335" s="28" t="s">
        <v>6737</v>
      </c>
      <c r="C335" s="28">
        <v>3</v>
      </c>
      <c r="D335" s="28" t="s">
        <v>6700</v>
      </c>
      <c r="E335" s="28" t="s">
        <v>6738</v>
      </c>
      <c r="F335" s="28" t="s">
        <v>6743</v>
      </c>
      <c r="G335" s="28">
        <v>0</v>
      </c>
    </row>
    <row r="336" spans="1:7">
      <c r="A336" s="28">
        <v>31235</v>
      </c>
      <c r="B336" s="28" t="s">
        <v>6739</v>
      </c>
      <c r="C336" s="28">
        <v>3</v>
      </c>
      <c r="D336" s="28" t="s">
        <v>6700</v>
      </c>
      <c r="E336" s="28" t="s">
        <v>6740</v>
      </c>
      <c r="F336" s="28" t="s">
        <v>6743</v>
      </c>
      <c r="G336" s="28">
        <v>0</v>
      </c>
    </row>
    <row r="337" spans="1:7">
      <c r="A337" s="28">
        <v>31236</v>
      </c>
      <c r="B337" s="28" t="s">
        <v>6741</v>
      </c>
      <c r="C337" s="28">
        <v>3</v>
      </c>
      <c r="D337" s="28" t="s">
        <v>6700</v>
      </c>
      <c r="E337" s="28" t="s">
        <v>6742</v>
      </c>
      <c r="F337" s="28" t="s">
        <v>6743</v>
      </c>
      <c r="G337" s="28">
        <v>0</v>
      </c>
    </row>
    <row r="338" spans="1:7">
      <c r="A338" s="28">
        <v>31241</v>
      </c>
      <c r="B338" s="28" t="s">
        <v>6730</v>
      </c>
      <c r="C338" s="28">
        <v>4</v>
      </c>
      <c r="D338" s="28" t="s">
        <v>6700</v>
      </c>
      <c r="E338" s="28" t="s">
        <v>6731</v>
      </c>
      <c r="F338" s="28" t="s">
        <v>6744</v>
      </c>
      <c r="G338" s="28">
        <v>0</v>
      </c>
    </row>
    <row r="339" spans="1:7">
      <c r="A339" s="28">
        <v>31242</v>
      </c>
      <c r="B339" s="28" t="s">
        <v>6733</v>
      </c>
      <c r="C339" s="28">
        <v>4</v>
      </c>
      <c r="D339" s="28" t="s">
        <v>6700</v>
      </c>
      <c r="E339" s="28" t="s">
        <v>6734</v>
      </c>
      <c r="F339" s="28" t="s">
        <v>6744</v>
      </c>
      <c r="G339" s="28">
        <v>0</v>
      </c>
    </row>
    <row r="340" spans="1:7">
      <c r="A340" s="28">
        <v>31243</v>
      </c>
      <c r="B340" s="28" t="s">
        <v>6735</v>
      </c>
      <c r="C340" s="28">
        <v>4</v>
      </c>
      <c r="D340" s="28" t="s">
        <v>6700</v>
      </c>
      <c r="E340" s="28" t="s">
        <v>6736</v>
      </c>
      <c r="F340" s="28" t="s">
        <v>6744</v>
      </c>
      <c r="G340" s="28">
        <v>0</v>
      </c>
    </row>
    <row r="341" spans="1:7">
      <c r="A341" s="28">
        <v>31244</v>
      </c>
      <c r="B341" s="28" t="s">
        <v>6737</v>
      </c>
      <c r="C341" s="28">
        <v>4</v>
      </c>
      <c r="D341" s="28" t="s">
        <v>6700</v>
      </c>
      <c r="E341" s="28" t="s">
        <v>6738</v>
      </c>
      <c r="F341" s="28" t="s">
        <v>6744</v>
      </c>
      <c r="G341" s="28">
        <v>0</v>
      </c>
    </row>
    <row r="342" spans="1:7">
      <c r="A342" s="28">
        <v>31245</v>
      </c>
      <c r="B342" s="28" t="s">
        <v>6739</v>
      </c>
      <c r="C342" s="28">
        <v>4</v>
      </c>
      <c r="D342" s="28" t="s">
        <v>6700</v>
      </c>
      <c r="E342" s="28" t="s">
        <v>6740</v>
      </c>
      <c r="F342" s="28" t="s">
        <v>6744</v>
      </c>
      <c r="G342" s="28">
        <v>0</v>
      </c>
    </row>
    <row r="343" spans="1:7">
      <c r="A343" s="28">
        <v>31246</v>
      </c>
      <c r="B343" s="28" t="s">
        <v>6741</v>
      </c>
      <c r="C343" s="28">
        <v>4</v>
      </c>
      <c r="D343" s="28" t="s">
        <v>6700</v>
      </c>
      <c r="E343" s="28" t="s">
        <v>6742</v>
      </c>
      <c r="F343" s="28" t="s">
        <v>6744</v>
      </c>
      <c r="G343" s="28">
        <v>0</v>
      </c>
    </row>
    <row r="344" spans="1:7">
      <c r="A344" s="28">
        <v>31321</v>
      </c>
      <c r="B344" s="28" t="s">
        <v>6745</v>
      </c>
      <c r="C344" s="28">
        <v>2</v>
      </c>
      <c r="D344" s="28" t="s">
        <v>6700</v>
      </c>
      <c r="E344" s="28" t="s">
        <v>6746</v>
      </c>
      <c r="F344" s="28" t="s">
        <v>6747</v>
      </c>
      <c r="G344" s="28">
        <v>0</v>
      </c>
    </row>
    <row r="345" spans="1:7">
      <c r="A345" s="28">
        <v>31322</v>
      </c>
      <c r="B345" s="28" t="s">
        <v>6748</v>
      </c>
      <c r="C345" s="28">
        <v>2</v>
      </c>
      <c r="D345" s="28" t="s">
        <v>6700</v>
      </c>
      <c r="E345" s="28" t="s">
        <v>6749</v>
      </c>
      <c r="F345" s="28" t="s">
        <v>6747</v>
      </c>
      <c r="G345" s="28">
        <v>0</v>
      </c>
    </row>
    <row r="346" spans="1:7">
      <c r="A346" s="28">
        <v>31323</v>
      </c>
      <c r="B346" s="28" t="s">
        <v>6750</v>
      </c>
      <c r="C346" s="28">
        <v>2</v>
      </c>
      <c r="D346" s="28" t="s">
        <v>6700</v>
      </c>
      <c r="E346" s="28" t="s">
        <v>6751</v>
      </c>
      <c r="F346" s="28" t="s">
        <v>6747</v>
      </c>
      <c r="G346" s="28">
        <v>0</v>
      </c>
    </row>
    <row r="347" spans="1:7">
      <c r="A347" s="28">
        <v>31324</v>
      </c>
      <c r="B347" s="28" t="s">
        <v>6752</v>
      </c>
      <c r="C347" s="28">
        <v>2</v>
      </c>
      <c r="D347" s="28" t="s">
        <v>6700</v>
      </c>
      <c r="E347" s="28" t="s">
        <v>6753</v>
      </c>
      <c r="F347" s="28" t="s">
        <v>6747</v>
      </c>
      <c r="G347" s="28">
        <v>0</v>
      </c>
    </row>
    <row r="348" spans="1:7">
      <c r="A348" s="28">
        <v>31325</v>
      </c>
      <c r="B348" s="28" t="s">
        <v>6754</v>
      </c>
      <c r="C348" s="28">
        <v>2</v>
      </c>
      <c r="D348" s="28" t="s">
        <v>6700</v>
      </c>
      <c r="E348" s="28" t="s">
        <v>6755</v>
      </c>
      <c r="F348" s="28" t="s">
        <v>6747</v>
      </c>
      <c r="G348" s="28">
        <v>0</v>
      </c>
    </row>
    <row r="349" spans="1:7">
      <c r="A349" s="28">
        <v>31326</v>
      </c>
      <c r="B349" s="28" t="s">
        <v>6756</v>
      </c>
      <c r="C349" s="28">
        <v>2</v>
      </c>
      <c r="D349" s="28" t="s">
        <v>6700</v>
      </c>
      <c r="E349" s="28" t="s">
        <v>6757</v>
      </c>
      <c r="F349" s="28" t="s">
        <v>6747</v>
      </c>
      <c r="G349" s="28">
        <v>0</v>
      </c>
    </row>
    <row r="350" spans="1:7">
      <c r="A350" s="28">
        <v>31331</v>
      </c>
      <c r="B350" s="28" t="s">
        <v>6745</v>
      </c>
      <c r="C350" s="28">
        <v>3</v>
      </c>
      <c r="D350" s="28" t="s">
        <v>6700</v>
      </c>
      <c r="E350" s="28" t="s">
        <v>6746</v>
      </c>
      <c r="F350" s="28" t="s">
        <v>6758</v>
      </c>
      <c r="G350" s="28">
        <v>0</v>
      </c>
    </row>
    <row r="351" spans="1:7">
      <c r="A351" s="28">
        <v>31332</v>
      </c>
      <c r="B351" s="28" t="s">
        <v>6748</v>
      </c>
      <c r="C351" s="28">
        <v>3</v>
      </c>
      <c r="D351" s="28" t="s">
        <v>6700</v>
      </c>
      <c r="E351" s="28" t="s">
        <v>6749</v>
      </c>
      <c r="F351" s="28" t="s">
        <v>6758</v>
      </c>
      <c r="G351" s="28">
        <v>0</v>
      </c>
    </row>
    <row r="352" spans="1:7">
      <c r="A352" s="28">
        <v>31333</v>
      </c>
      <c r="B352" s="28" t="s">
        <v>6750</v>
      </c>
      <c r="C352" s="28">
        <v>3</v>
      </c>
      <c r="D352" s="28" t="s">
        <v>6700</v>
      </c>
      <c r="E352" s="28" t="s">
        <v>6751</v>
      </c>
      <c r="F352" s="28" t="s">
        <v>6758</v>
      </c>
      <c r="G352" s="28">
        <v>0</v>
      </c>
    </row>
    <row r="353" spans="1:7">
      <c r="A353" s="28">
        <v>31334</v>
      </c>
      <c r="B353" s="28" t="s">
        <v>6752</v>
      </c>
      <c r="C353" s="28">
        <v>3</v>
      </c>
      <c r="D353" s="28" t="s">
        <v>6700</v>
      </c>
      <c r="E353" s="28" t="s">
        <v>6753</v>
      </c>
      <c r="F353" s="28" t="s">
        <v>6758</v>
      </c>
      <c r="G353" s="28">
        <v>0</v>
      </c>
    </row>
    <row r="354" spans="1:7">
      <c r="A354" s="28">
        <v>31335</v>
      </c>
      <c r="B354" s="28" t="s">
        <v>6754</v>
      </c>
      <c r="C354" s="28">
        <v>3</v>
      </c>
      <c r="D354" s="28" t="s">
        <v>6700</v>
      </c>
      <c r="E354" s="28" t="s">
        <v>6755</v>
      </c>
      <c r="F354" s="28" t="s">
        <v>6758</v>
      </c>
      <c r="G354" s="28">
        <v>0</v>
      </c>
    </row>
    <row r="355" spans="1:7">
      <c r="A355" s="28">
        <v>31336</v>
      </c>
      <c r="B355" s="28" t="s">
        <v>6756</v>
      </c>
      <c r="C355" s="28">
        <v>3</v>
      </c>
      <c r="D355" s="28" t="s">
        <v>6700</v>
      </c>
      <c r="E355" s="28" t="s">
        <v>6757</v>
      </c>
      <c r="F355" s="28" t="s">
        <v>6758</v>
      </c>
      <c r="G355" s="28">
        <v>0</v>
      </c>
    </row>
    <row r="356" spans="1:7">
      <c r="A356" s="28">
        <v>31341</v>
      </c>
      <c r="B356" s="28" t="s">
        <v>6745</v>
      </c>
      <c r="C356" s="28">
        <v>4</v>
      </c>
      <c r="D356" s="28" t="s">
        <v>6700</v>
      </c>
      <c r="E356" s="28" t="s">
        <v>6746</v>
      </c>
      <c r="F356" s="28" t="s">
        <v>6759</v>
      </c>
      <c r="G356" s="28">
        <v>0</v>
      </c>
    </row>
    <row r="357" spans="1:7">
      <c r="A357" s="28">
        <v>31342</v>
      </c>
      <c r="B357" s="28" t="s">
        <v>6748</v>
      </c>
      <c r="C357" s="28">
        <v>4</v>
      </c>
      <c r="D357" s="28" t="s">
        <v>6700</v>
      </c>
      <c r="E357" s="28" t="s">
        <v>6749</v>
      </c>
      <c r="F357" s="28" t="s">
        <v>6759</v>
      </c>
      <c r="G357" s="28">
        <v>0</v>
      </c>
    </row>
    <row r="358" spans="1:7">
      <c r="A358" s="28">
        <v>31343</v>
      </c>
      <c r="B358" s="28" t="s">
        <v>6750</v>
      </c>
      <c r="C358" s="28">
        <v>4</v>
      </c>
      <c r="D358" s="28" t="s">
        <v>6700</v>
      </c>
      <c r="E358" s="28" t="s">
        <v>6751</v>
      </c>
      <c r="F358" s="28" t="s">
        <v>6759</v>
      </c>
      <c r="G358" s="28">
        <v>0</v>
      </c>
    </row>
    <row r="359" spans="1:7">
      <c r="A359" s="28">
        <v>31344</v>
      </c>
      <c r="B359" s="28" t="s">
        <v>6752</v>
      </c>
      <c r="C359" s="28">
        <v>4</v>
      </c>
      <c r="D359" s="28" t="s">
        <v>6700</v>
      </c>
      <c r="E359" s="28" t="s">
        <v>6753</v>
      </c>
      <c r="F359" s="28" t="s">
        <v>6759</v>
      </c>
      <c r="G359" s="28">
        <v>0</v>
      </c>
    </row>
    <row r="360" spans="1:7">
      <c r="A360" s="28">
        <v>31345</v>
      </c>
      <c r="B360" s="28" t="s">
        <v>6754</v>
      </c>
      <c r="C360" s="28">
        <v>4</v>
      </c>
      <c r="D360" s="28" t="s">
        <v>6700</v>
      </c>
      <c r="E360" s="28" t="s">
        <v>6755</v>
      </c>
      <c r="F360" s="28" t="s">
        <v>6759</v>
      </c>
      <c r="G360" s="28">
        <v>0</v>
      </c>
    </row>
    <row r="361" spans="1:7">
      <c r="A361" s="28">
        <v>31346</v>
      </c>
      <c r="B361" s="28" t="s">
        <v>6756</v>
      </c>
      <c r="C361" s="28">
        <v>4</v>
      </c>
      <c r="D361" s="28" t="s">
        <v>6700</v>
      </c>
      <c r="E361" s="28" t="s">
        <v>6757</v>
      </c>
      <c r="F361" s="28" t="s">
        <v>6759</v>
      </c>
      <c r="G361" s="28">
        <v>0</v>
      </c>
    </row>
    <row r="362" spans="1:7">
      <c r="A362" s="28">
        <v>31421</v>
      </c>
      <c r="B362" s="28" t="s">
        <v>6760</v>
      </c>
      <c r="C362" s="28">
        <v>2</v>
      </c>
      <c r="D362" s="28" t="s">
        <v>6700</v>
      </c>
      <c r="E362" s="28" t="s">
        <v>6761</v>
      </c>
      <c r="F362" s="28" t="s">
        <v>6762</v>
      </c>
      <c r="G362" s="28">
        <v>0</v>
      </c>
    </row>
    <row r="363" spans="1:7">
      <c r="A363" s="28">
        <v>31422</v>
      </c>
      <c r="B363" s="28" t="s">
        <v>6763</v>
      </c>
      <c r="C363" s="28">
        <v>2</v>
      </c>
      <c r="D363" s="28" t="s">
        <v>6700</v>
      </c>
      <c r="E363" s="28" t="s">
        <v>6764</v>
      </c>
      <c r="F363" s="28" t="s">
        <v>6762</v>
      </c>
      <c r="G363" s="28">
        <v>0</v>
      </c>
    </row>
    <row r="364" spans="1:7">
      <c r="A364" s="28">
        <v>31423</v>
      </c>
      <c r="B364" s="28" t="s">
        <v>6765</v>
      </c>
      <c r="C364" s="28">
        <v>2</v>
      </c>
      <c r="D364" s="28" t="s">
        <v>6700</v>
      </c>
      <c r="E364" s="28" t="s">
        <v>6766</v>
      </c>
      <c r="F364" s="28" t="s">
        <v>6762</v>
      </c>
      <c r="G364" s="28">
        <v>0</v>
      </c>
    </row>
    <row r="365" spans="1:7">
      <c r="A365" s="28">
        <v>31424</v>
      </c>
      <c r="B365" s="28" t="s">
        <v>6767</v>
      </c>
      <c r="C365" s="28">
        <v>2</v>
      </c>
      <c r="D365" s="28" t="s">
        <v>6700</v>
      </c>
      <c r="E365" s="28" t="s">
        <v>6768</v>
      </c>
      <c r="F365" s="28" t="s">
        <v>6762</v>
      </c>
      <c r="G365" s="28">
        <v>0</v>
      </c>
    </row>
    <row r="366" spans="1:7">
      <c r="A366" s="28">
        <v>31425</v>
      </c>
      <c r="B366" s="28" t="s">
        <v>6769</v>
      </c>
      <c r="C366" s="28">
        <v>2</v>
      </c>
      <c r="D366" s="28" t="s">
        <v>6700</v>
      </c>
      <c r="E366" s="28" t="s">
        <v>6770</v>
      </c>
      <c r="F366" s="28" t="s">
        <v>6762</v>
      </c>
      <c r="G366" s="28">
        <v>0</v>
      </c>
    </row>
    <row r="367" spans="1:7">
      <c r="A367" s="28">
        <v>31426</v>
      </c>
      <c r="B367" s="28" t="s">
        <v>6771</v>
      </c>
      <c r="C367" s="28">
        <v>2</v>
      </c>
      <c r="D367" s="28" t="s">
        <v>6700</v>
      </c>
      <c r="E367" s="28" t="s">
        <v>6772</v>
      </c>
      <c r="F367" s="28" t="s">
        <v>6762</v>
      </c>
      <c r="G367" s="28">
        <v>0</v>
      </c>
    </row>
    <row r="368" spans="1:7">
      <c r="A368" s="28">
        <v>31431</v>
      </c>
      <c r="B368" s="28" t="s">
        <v>6760</v>
      </c>
      <c r="C368" s="28">
        <v>3</v>
      </c>
      <c r="D368" s="28" t="s">
        <v>6700</v>
      </c>
      <c r="E368" s="28" t="s">
        <v>6761</v>
      </c>
      <c r="F368" s="28" t="s">
        <v>6773</v>
      </c>
      <c r="G368" s="28">
        <v>0</v>
      </c>
    </row>
    <row r="369" spans="1:7">
      <c r="A369" s="28">
        <v>31432</v>
      </c>
      <c r="B369" s="28" t="s">
        <v>6763</v>
      </c>
      <c r="C369" s="28">
        <v>3</v>
      </c>
      <c r="D369" s="28" t="s">
        <v>6700</v>
      </c>
      <c r="E369" s="28" t="s">
        <v>6764</v>
      </c>
      <c r="F369" s="28" t="s">
        <v>6773</v>
      </c>
      <c r="G369" s="28">
        <v>0</v>
      </c>
    </row>
    <row r="370" spans="1:7">
      <c r="A370" s="28">
        <v>31433</v>
      </c>
      <c r="B370" s="28" t="s">
        <v>6765</v>
      </c>
      <c r="C370" s="28">
        <v>3</v>
      </c>
      <c r="D370" s="28" t="s">
        <v>6700</v>
      </c>
      <c r="E370" s="28" t="s">
        <v>6766</v>
      </c>
      <c r="F370" s="28" t="s">
        <v>6773</v>
      </c>
      <c r="G370" s="28">
        <v>0</v>
      </c>
    </row>
    <row r="371" spans="1:7">
      <c r="A371" s="28">
        <v>31434</v>
      </c>
      <c r="B371" s="28" t="s">
        <v>6767</v>
      </c>
      <c r="C371" s="28">
        <v>3</v>
      </c>
      <c r="D371" s="28" t="s">
        <v>6700</v>
      </c>
      <c r="E371" s="28" t="s">
        <v>6768</v>
      </c>
      <c r="F371" s="28" t="s">
        <v>6773</v>
      </c>
      <c r="G371" s="28">
        <v>0</v>
      </c>
    </row>
    <row r="372" spans="1:7">
      <c r="A372" s="28">
        <v>31435</v>
      </c>
      <c r="B372" s="28" t="s">
        <v>6769</v>
      </c>
      <c r="C372" s="28">
        <v>3</v>
      </c>
      <c r="D372" s="28" t="s">
        <v>6700</v>
      </c>
      <c r="E372" s="28" t="s">
        <v>6770</v>
      </c>
      <c r="F372" s="28" t="s">
        <v>6773</v>
      </c>
      <c r="G372" s="28">
        <v>0</v>
      </c>
    </row>
    <row r="373" spans="1:7">
      <c r="A373" s="28">
        <v>31436</v>
      </c>
      <c r="B373" s="28" t="s">
        <v>6771</v>
      </c>
      <c r="C373" s="28">
        <v>3</v>
      </c>
      <c r="D373" s="28" t="s">
        <v>6700</v>
      </c>
      <c r="E373" s="28" t="s">
        <v>6772</v>
      </c>
      <c r="F373" s="28" t="s">
        <v>6773</v>
      </c>
      <c r="G373" s="28">
        <v>0</v>
      </c>
    </row>
    <row r="374" spans="1:7">
      <c r="A374" s="28">
        <v>31441</v>
      </c>
      <c r="B374" s="28" t="s">
        <v>6760</v>
      </c>
      <c r="C374" s="28">
        <v>4</v>
      </c>
      <c r="D374" s="28" t="s">
        <v>6700</v>
      </c>
      <c r="E374" s="28" t="s">
        <v>6761</v>
      </c>
      <c r="F374" s="28" t="s">
        <v>6774</v>
      </c>
      <c r="G374" s="28">
        <v>0</v>
      </c>
    </row>
    <row r="375" spans="1:7">
      <c r="A375" s="28">
        <v>31442</v>
      </c>
      <c r="B375" s="28" t="s">
        <v>6763</v>
      </c>
      <c r="C375" s="28">
        <v>4</v>
      </c>
      <c r="D375" s="28" t="s">
        <v>6700</v>
      </c>
      <c r="E375" s="28" t="s">
        <v>6764</v>
      </c>
      <c r="F375" s="28" t="s">
        <v>6774</v>
      </c>
      <c r="G375" s="28">
        <v>0</v>
      </c>
    </row>
    <row r="376" spans="1:7">
      <c r="A376" s="28">
        <v>31443</v>
      </c>
      <c r="B376" s="28" t="s">
        <v>6765</v>
      </c>
      <c r="C376" s="28">
        <v>4</v>
      </c>
      <c r="D376" s="28" t="s">
        <v>6700</v>
      </c>
      <c r="E376" s="28" t="s">
        <v>6766</v>
      </c>
      <c r="F376" s="28" t="s">
        <v>6774</v>
      </c>
      <c r="G376" s="28">
        <v>0</v>
      </c>
    </row>
    <row r="377" spans="1:7">
      <c r="A377" s="28">
        <v>31444</v>
      </c>
      <c r="B377" s="28" t="s">
        <v>6767</v>
      </c>
      <c r="C377" s="28">
        <v>4</v>
      </c>
      <c r="D377" s="28" t="s">
        <v>6700</v>
      </c>
      <c r="E377" s="28" t="s">
        <v>6768</v>
      </c>
      <c r="F377" s="28" t="s">
        <v>6774</v>
      </c>
      <c r="G377" s="28">
        <v>0</v>
      </c>
    </row>
    <row r="378" spans="1:7">
      <c r="A378" s="28">
        <v>31445</v>
      </c>
      <c r="B378" s="28" t="s">
        <v>6769</v>
      </c>
      <c r="C378" s="28">
        <v>4</v>
      </c>
      <c r="D378" s="28" t="s">
        <v>6700</v>
      </c>
      <c r="E378" s="28" t="s">
        <v>6770</v>
      </c>
      <c r="F378" s="28" t="s">
        <v>6774</v>
      </c>
      <c r="G378" s="28">
        <v>0</v>
      </c>
    </row>
    <row r="379" spans="1:7">
      <c r="A379" s="28">
        <v>31446</v>
      </c>
      <c r="B379" s="28" t="s">
        <v>6771</v>
      </c>
      <c r="C379" s="28">
        <v>4</v>
      </c>
      <c r="D379" s="28" t="s">
        <v>6700</v>
      </c>
      <c r="E379" s="28" t="s">
        <v>6772</v>
      </c>
      <c r="F379" s="28" t="s">
        <v>6774</v>
      </c>
      <c r="G379" s="28">
        <v>0</v>
      </c>
    </row>
    <row r="380" spans="1:7">
      <c r="A380" s="28">
        <v>31521</v>
      </c>
      <c r="B380" s="28" t="s">
        <v>6775</v>
      </c>
      <c r="C380" s="28">
        <v>2</v>
      </c>
      <c r="D380" s="28" t="s">
        <v>6700</v>
      </c>
      <c r="E380" s="28" t="s">
        <v>6776</v>
      </c>
      <c r="F380" s="28" t="s">
        <v>6777</v>
      </c>
      <c r="G380" s="28">
        <v>0</v>
      </c>
    </row>
    <row r="381" spans="1:7">
      <c r="A381" s="28">
        <v>31522</v>
      </c>
      <c r="B381" s="28" t="s">
        <v>6778</v>
      </c>
      <c r="C381" s="28">
        <v>2</v>
      </c>
      <c r="D381" s="28" t="s">
        <v>6700</v>
      </c>
      <c r="E381" s="28" t="s">
        <v>6779</v>
      </c>
      <c r="F381" s="28" t="s">
        <v>6777</v>
      </c>
      <c r="G381" s="28">
        <v>0</v>
      </c>
    </row>
    <row r="382" spans="1:7">
      <c r="A382" s="28">
        <v>31523</v>
      </c>
      <c r="B382" s="28" t="s">
        <v>6780</v>
      </c>
      <c r="C382" s="28">
        <v>2</v>
      </c>
      <c r="D382" s="28" t="s">
        <v>6700</v>
      </c>
      <c r="E382" s="28" t="s">
        <v>6781</v>
      </c>
      <c r="F382" s="28" t="s">
        <v>6777</v>
      </c>
      <c r="G382" s="28">
        <v>0</v>
      </c>
    </row>
    <row r="383" spans="1:7">
      <c r="A383" s="28">
        <v>31524</v>
      </c>
      <c r="B383" s="28" t="s">
        <v>6782</v>
      </c>
      <c r="C383" s="28">
        <v>2</v>
      </c>
      <c r="D383" s="28" t="s">
        <v>6700</v>
      </c>
      <c r="E383" s="28" t="s">
        <v>6783</v>
      </c>
      <c r="F383" s="28" t="s">
        <v>6777</v>
      </c>
      <c r="G383" s="28">
        <v>0</v>
      </c>
    </row>
    <row r="384" spans="1:7">
      <c r="A384" s="28">
        <v>31525</v>
      </c>
      <c r="B384" s="28" t="s">
        <v>6784</v>
      </c>
      <c r="C384" s="28">
        <v>2</v>
      </c>
      <c r="D384" s="28" t="s">
        <v>6700</v>
      </c>
      <c r="E384" s="28" t="s">
        <v>6785</v>
      </c>
      <c r="F384" s="28" t="s">
        <v>6777</v>
      </c>
      <c r="G384" s="28">
        <v>0</v>
      </c>
    </row>
    <row r="385" spans="1:7">
      <c r="A385" s="28">
        <v>31526</v>
      </c>
      <c r="B385" s="28" t="s">
        <v>6786</v>
      </c>
      <c r="C385" s="28">
        <v>2</v>
      </c>
      <c r="D385" s="28" t="s">
        <v>6700</v>
      </c>
      <c r="E385" s="28" t="s">
        <v>6787</v>
      </c>
      <c r="F385" s="28" t="s">
        <v>6777</v>
      </c>
      <c r="G385" s="28">
        <v>0</v>
      </c>
    </row>
    <row r="386" spans="1:7">
      <c r="A386" s="28">
        <v>31531</v>
      </c>
      <c r="B386" s="28" t="s">
        <v>6775</v>
      </c>
      <c r="C386" s="28">
        <v>3</v>
      </c>
      <c r="D386" s="28" t="s">
        <v>6700</v>
      </c>
      <c r="E386" s="28" t="s">
        <v>6776</v>
      </c>
      <c r="F386" s="28" t="s">
        <v>6788</v>
      </c>
      <c r="G386" s="28">
        <v>0</v>
      </c>
    </row>
    <row r="387" spans="1:7">
      <c r="A387" s="28">
        <v>31532</v>
      </c>
      <c r="B387" s="28" t="s">
        <v>6778</v>
      </c>
      <c r="C387" s="28">
        <v>3</v>
      </c>
      <c r="D387" s="28" t="s">
        <v>6700</v>
      </c>
      <c r="E387" s="28" t="s">
        <v>6779</v>
      </c>
      <c r="F387" s="28" t="s">
        <v>6788</v>
      </c>
      <c r="G387" s="28">
        <v>0</v>
      </c>
    </row>
    <row r="388" spans="1:7">
      <c r="A388" s="28">
        <v>31533</v>
      </c>
      <c r="B388" s="28" t="s">
        <v>6780</v>
      </c>
      <c r="C388" s="28">
        <v>3</v>
      </c>
      <c r="D388" s="28" t="s">
        <v>6700</v>
      </c>
      <c r="E388" s="28" t="s">
        <v>6781</v>
      </c>
      <c r="F388" s="28" t="s">
        <v>6788</v>
      </c>
      <c r="G388" s="28">
        <v>0</v>
      </c>
    </row>
    <row r="389" spans="1:7">
      <c r="A389" s="28">
        <v>31534</v>
      </c>
      <c r="B389" s="28" t="s">
        <v>6782</v>
      </c>
      <c r="C389" s="28">
        <v>3</v>
      </c>
      <c r="D389" s="28" t="s">
        <v>6700</v>
      </c>
      <c r="E389" s="28" t="s">
        <v>6783</v>
      </c>
      <c r="F389" s="28" t="s">
        <v>6788</v>
      </c>
      <c r="G389" s="28">
        <v>0</v>
      </c>
    </row>
    <row r="390" spans="1:7">
      <c r="A390" s="28">
        <v>31535</v>
      </c>
      <c r="B390" s="28" t="s">
        <v>6784</v>
      </c>
      <c r="C390" s="28">
        <v>3</v>
      </c>
      <c r="D390" s="28" t="s">
        <v>6700</v>
      </c>
      <c r="E390" s="28" t="s">
        <v>6785</v>
      </c>
      <c r="F390" s="28" t="s">
        <v>6788</v>
      </c>
      <c r="G390" s="28">
        <v>0</v>
      </c>
    </row>
    <row r="391" spans="1:7">
      <c r="A391" s="28">
        <v>31536</v>
      </c>
      <c r="B391" s="28" t="s">
        <v>6786</v>
      </c>
      <c r="C391" s="28">
        <v>3</v>
      </c>
      <c r="D391" s="28" t="s">
        <v>6700</v>
      </c>
      <c r="E391" s="28" t="s">
        <v>6787</v>
      </c>
      <c r="F391" s="28" t="s">
        <v>6788</v>
      </c>
      <c r="G391" s="28">
        <v>0</v>
      </c>
    </row>
    <row r="392" spans="1:7">
      <c r="A392" s="28">
        <v>31541</v>
      </c>
      <c r="B392" s="28" t="s">
        <v>6775</v>
      </c>
      <c r="C392" s="28">
        <v>4</v>
      </c>
      <c r="D392" s="28" t="s">
        <v>6700</v>
      </c>
      <c r="E392" s="28" t="s">
        <v>6776</v>
      </c>
      <c r="F392" s="28" t="s">
        <v>6789</v>
      </c>
      <c r="G392" s="28">
        <v>0</v>
      </c>
    </row>
    <row r="393" spans="1:7">
      <c r="A393" s="28">
        <v>31542</v>
      </c>
      <c r="B393" s="28" t="s">
        <v>6778</v>
      </c>
      <c r="C393" s="28">
        <v>4</v>
      </c>
      <c r="D393" s="28" t="s">
        <v>6700</v>
      </c>
      <c r="E393" s="28" t="s">
        <v>6779</v>
      </c>
      <c r="F393" s="28" t="s">
        <v>6789</v>
      </c>
      <c r="G393" s="28">
        <v>0</v>
      </c>
    </row>
    <row r="394" spans="1:7">
      <c r="A394" s="28">
        <v>31543</v>
      </c>
      <c r="B394" s="28" t="s">
        <v>6780</v>
      </c>
      <c r="C394" s="28">
        <v>4</v>
      </c>
      <c r="D394" s="28" t="s">
        <v>6700</v>
      </c>
      <c r="E394" s="28" t="s">
        <v>6781</v>
      </c>
      <c r="F394" s="28" t="s">
        <v>6789</v>
      </c>
      <c r="G394" s="28">
        <v>0</v>
      </c>
    </row>
    <row r="395" spans="1:7">
      <c r="A395" s="28">
        <v>31544</v>
      </c>
      <c r="B395" s="28" t="s">
        <v>6782</v>
      </c>
      <c r="C395" s="28">
        <v>4</v>
      </c>
      <c r="D395" s="28" t="s">
        <v>6700</v>
      </c>
      <c r="E395" s="28" t="s">
        <v>6783</v>
      </c>
      <c r="F395" s="28" t="s">
        <v>6789</v>
      </c>
      <c r="G395" s="28">
        <v>0</v>
      </c>
    </row>
    <row r="396" spans="1:7">
      <c r="A396" s="28">
        <v>31545</v>
      </c>
      <c r="B396" s="28" t="s">
        <v>6784</v>
      </c>
      <c r="C396" s="28">
        <v>4</v>
      </c>
      <c r="D396" s="28" t="s">
        <v>6700</v>
      </c>
      <c r="E396" s="28" t="s">
        <v>6785</v>
      </c>
      <c r="F396" s="28" t="s">
        <v>6789</v>
      </c>
      <c r="G396" s="28">
        <v>0</v>
      </c>
    </row>
    <row r="397" spans="1:7">
      <c r="A397" s="28">
        <v>31546</v>
      </c>
      <c r="B397" s="28" t="s">
        <v>6786</v>
      </c>
      <c r="C397" s="28">
        <v>4</v>
      </c>
      <c r="D397" s="28" t="s">
        <v>6700</v>
      </c>
      <c r="E397" s="28" t="s">
        <v>6787</v>
      </c>
      <c r="F397" s="28" t="s">
        <v>6789</v>
      </c>
      <c r="G397" s="28">
        <v>0</v>
      </c>
    </row>
    <row r="398" spans="1:7">
      <c r="A398" s="28">
        <v>31621</v>
      </c>
      <c r="B398" s="28" t="s">
        <v>6790</v>
      </c>
      <c r="C398" s="28">
        <v>2</v>
      </c>
      <c r="D398" s="28" t="s">
        <v>6700</v>
      </c>
      <c r="E398" s="28" t="s">
        <v>6791</v>
      </c>
      <c r="F398" s="28" t="s">
        <v>6792</v>
      </c>
      <c r="G398" s="28">
        <v>0</v>
      </c>
    </row>
    <row r="399" spans="1:7">
      <c r="A399" s="28">
        <v>31622</v>
      </c>
      <c r="B399" s="28" t="s">
        <v>6793</v>
      </c>
      <c r="C399" s="28">
        <v>2</v>
      </c>
      <c r="D399" s="28" t="s">
        <v>6700</v>
      </c>
      <c r="E399" s="28" t="s">
        <v>6794</v>
      </c>
      <c r="F399" s="28" t="s">
        <v>6792</v>
      </c>
      <c r="G399" s="28">
        <v>0</v>
      </c>
    </row>
    <row r="400" spans="1:7">
      <c r="A400" s="28">
        <v>31623</v>
      </c>
      <c r="B400" s="28" t="s">
        <v>6795</v>
      </c>
      <c r="C400" s="28">
        <v>2</v>
      </c>
      <c r="D400" s="28" t="s">
        <v>6700</v>
      </c>
      <c r="E400" s="28" t="s">
        <v>6796</v>
      </c>
      <c r="F400" s="28" t="s">
        <v>6792</v>
      </c>
      <c r="G400" s="28">
        <v>0</v>
      </c>
    </row>
    <row r="401" spans="1:7">
      <c r="A401" s="28">
        <v>31624</v>
      </c>
      <c r="B401" s="28" t="s">
        <v>6797</v>
      </c>
      <c r="C401" s="28">
        <v>2</v>
      </c>
      <c r="D401" s="28" t="s">
        <v>6700</v>
      </c>
      <c r="E401" s="28" t="s">
        <v>6798</v>
      </c>
      <c r="F401" s="28" t="s">
        <v>6792</v>
      </c>
      <c r="G401" s="28">
        <v>0</v>
      </c>
    </row>
    <row r="402" spans="1:7">
      <c r="A402" s="28">
        <v>31625</v>
      </c>
      <c r="B402" s="28" t="s">
        <v>6799</v>
      </c>
      <c r="C402" s="28">
        <v>2</v>
      </c>
      <c r="D402" s="28" t="s">
        <v>6700</v>
      </c>
      <c r="E402" s="28" t="s">
        <v>6800</v>
      </c>
      <c r="F402" s="28" t="s">
        <v>6792</v>
      </c>
      <c r="G402" s="28">
        <v>0</v>
      </c>
    </row>
    <row r="403" spans="1:7">
      <c r="A403" s="28">
        <v>31626</v>
      </c>
      <c r="B403" s="28" t="s">
        <v>6801</v>
      </c>
      <c r="C403" s="28">
        <v>2</v>
      </c>
      <c r="D403" s="28" t="s">
        <v>6700</v>
      </c>
      <c r="E403" s="28" t="s">
        <v>6802</v>
      </c>
      <c r="F403" s="28" t="s">
        <v>6792</v>
      </c>
      <c r="G403" s="28">
        <v>0</v>
      </c>
    </row>
    <row r="404" spans="1:7">
      <c r="A404" s="28">
        <v>31631</v>
      </c>
      <c r="B404" s="28" t="s">
        <v>6790</v>
      </c>
      <c r="C404" s="28">
        <v>3</v>
      </c>
      <c r="D404" s="28" t="s">
        <v>6700</v>
      </c>
      <c r="E404" s="28" t="s">
        <v>6791</v>
      </c>
      <c r="F404" s="28" t="s">
        <v>6803</v>
      </c>
      <c r="G404" s="28">
        <v>0</v>
      </c>
    </row>
    <row r="405" spans="1:7">
      <c r="A405" s="28">
        <v>31632</v>
      </c>
      <c r="B405" s="28" t="s">
        <v>6793</v>
      </c>
      <c r="C405" s="28">
        <v>3</v>
      </c>
      <c r="D405" s="28" t="s">
        <v>6700</v>
      </c>
      <c r="E405" s="28" t="s">
        <v>6794</v>
      </c>
      <c r="F405" s="28" t="s">
        <v>6803</v>
      </c>
      <c r="G405" s="28">
        <v>0</v>
      </c>
    </row>
    <row r="406" spans="1:7">
      <c r="A406" s="28">
        <v>31633</v>
      </c>
      <c r="B406" s="28" t="s">
        <v>6795</v>
      </c>
      <c r="C406" s="28">
        <v>3</v>
      </c>
      <c r="D406" s="28" t="s">
        <v>6700</v>
      </c>
      <c r="E406" s="28" t="s">
        <v>6796</v>
      </c>
      <c r="F406" s="28" t="s">
        <v>6803</v>
      </c>
      <c r="G406" s="28">
        <v>0</v>
      </c>
    </row>
    <row r="407" spans="1:7">
      <c r="A407" s="28">
        <v>31634</v>
      </c>
      <c r="B407" s="28" t="s">
        <v>6797</v>
      </c>
      <c r="C407" s="28">
        <v>3</v>
      </c>
      <c r="D407" s="28" t="s">
        <v>6700</v>
      </c>
      <c r="E407" s="28" t="s">
        <v>6798</v>
      </c>
      <c r="F407" s="28" t="s">
        <v>6803</v>
      </c>
      <c r="G407" s="28">
        <v>0</v>
      </c>
    </row>
    <row r="408" spans="1:7">
      <c r="A408" s="28">
        <v>31635</v>
      </c>
      <c r="B408" s="28" t="s">
        <v>6799</v>
      </c>
      <c r="C408" s="28">
        <v>3</v>
      </c>
      <c r="D408" s="28" t="s">
        <v>6700</v>
      </c>
      <c r="E408" s="28" t="s">
        <v>6800</v>
      </c>
      <c r="F408" s="28" t="s">
        <v>6803</v>
      </c>
      <c r="G408" s="28">
        <v>0</v>
      </c>
    </row>
    <row r="409" spans="1:7">
      <c r="A409" s="28">
        <v>31636</v>
      </c>
      <c r="B409" s="28" t="s">
        <v>6801</v>
      </c>
      <c r="C409" s="28">
        <v>3</v>
      </c>
      <c r="D409" s="28" t="s">
        <v>6700</v>
      </c>
      <c r="E409" s="28" t="s">
        <v>6802</v>
      </c>
      <c r="F409" s="28" t="s">
        <v>6803</v>
      </c>
      <c r="G409" s="28">
        <v>0</v>
      </c>
    </row>
    <row r="410" spans="1:7">
      <c r="A410" s="28">
        <v>31641</v>
      </c>
      <c r="B410" s="28" t="s">
        <v>6790</v>
      </c>
      <c r="C410" s="28">
        <v>4</v>
      </c>
      <c r="D410" s="28" t="s">
        <v>6700</v>
      </c>
      <c r="E410" s="28" t="s">
        <v>6791</v>
      </c>
      <c r="F410" s="28" t="s">
        <v>6804</v>
      </c>
      <c r="G410" s="28">
        <v>0</v>
      </c>
    </row>
    <row r="411" spans="1:7">
      <c r="A411" s="28">
        <v>31642</v>
      </c>
      <c r="B411" s="28" t="s">
        <v>6793</v>
      </c>
      <c r="C411" s="28">
        <v>4</v>
      </c>
      <c r="D411" s="28" t="s">
        <v>6700</v>
      </c>
      <c r="E411" s="28" t="s">
        <v>6794</v>
      </c>
      <c r="F411" s="28" t="s">
        <v>6804</v>
      </c>
      <c r="G411" s="28">
        <v>0</v>
      </c>
    </row>
    <row r="412" spans="1:7">
      <c r="A412" s="28">
        <v>31643</v>
      </c>
      <c r="B412" s="28" t="s">
        <v>6795</v>
      </c>
      <c r="C412" s="28">
        <v>4</v>
      </c>
      <c r="D412" s="28" t="s">
        <v>6700</v>
      </c>
      <c r="E412" s="28" t="s">
        <v>6796</v>
      </c>
      <c r="F412" s="28" t="s">
        <v>6804</v>
      </c>
      <c r="G412" s="28">
        <v>0</v>
      </c>
    </row>
    <row r="413" spans="1:7">
      <c r="A413" s="28">
        <v>31644</v>
      </c>
      <c r="B413" s="28" t="s">
        <v>6797</v>
      </c>
      <c r="C413" s="28">
        <v>4</v>
      </c>
      <c r="D413" s="28" t="s">
        <v>6700</v>
      </c>
      <c r="E413" s="28" t="s">
        <v>6798</v>
      </c>
      <c r="F413" s="28" t="s">
        <v>6804</v>
      </c>
      <c r="G413" s="28">
        <v>0</v>
      </c>
    </row>
    <row r="414" spans="1:7">
      <c r="A414" s="28">
        <v>31645</v>
      </c>
      <c r="B414" s="28" t="s">
        <v>6799</v>
      </c>
      <c r="C414" s="28">
        <v>4</v>
      </c>
      <c r="D414" s="28" t="s">
        <v>6700</v>
      </c>
      <c r="E414" s="28" t="s">
        <v>6800</v>
      </c>
      <c r="F414" s="28" t="s">
        <v>6804</v>
      </c>
      <c r="G414" s="28">
        <v>0</v>
      </c>
    </row>
    <row r="415" spans="1:7">
      <c r="A415" s="28">
        <v>31646</v>
      </c>
      <c r="B415" s="28" t="s">
        <v>6801</v>
      </c>
      <c r="C415" s="28">
        <v>4</v>
      </c>
      <c r="D415" s="28" t="s">
        <v>6700</v>
      </c>
      <c r="E415" s="28" t="s">
        <v>6802</v>
      </c>
      <c r="F415" s="28" t="s">
        <v>6804</v>
      </c>
      <c r="G415" s="28">
        <v>0</v>
      </c>
    </row>
    <row r="416" spans="1:7">
      <c r="A416" s="28">
        <v>31821</v>
      </c>
      <c r="B416" s="28" t="s">
        <v>6805</v>
      </c>
      <c r="C416" s="28">
        <v>2</v>
      </c>
      <c r="D416" s="28" t="s">
        <v>6700</v>
      </c>
      <c r="E416" s="28" t="s">
        <v>6806</v>
      </c>
      <c r="F416" s="28" t="s">
        <v>6807</v>
      </c>
      <c r="G416" s="28">
        <v>0</v>
      </c>
    </row>
    <row r="417" spans="1:7">
      <c r="A417" s="28">
        <v>31822</v>
      </c>
      <c r="B417" s="28" t="s">
        <v>6808</v>
      </c>
      <c r="C417" s="28">
        <v>2</v>
      </c>
      <c r="D417" s="28" t="s">
        <v>6700</v>
      </c>
      <c r="E417" s="28" t="s">
        <v>6809</v>
      </c>
      <c r="F417" s="28" t="s">
        <v>6807</v>
      </c>
      <c r="G417" s="28">
        <v>0</v>
      </c>
    </row>
    <row r="418" spans="1:7">
      <c r="A418" s="28">
        <v>31823</v>
      </c>
      <c r="B418" s="28" t="s">
        <v>6810</v>
      </c>
      <c r="C418" s="28">
        <v>2</v>
      </c>
      <c r="D418" s="28" t="s">
        <v>6700</v>
      </c>
      <c r="E418" s="28" t="s">
        <v>6811</v>
      </c>
      <c r="F418" s="28" t="s">
        <v>6807</v>
      </c>
      <c r="G418" s="28">
        <v>0</v>
      </c>
    </row>
    <row r="419" spans="1:7">
      <c r="A419" s="28">
        <v>31824</v>
      </c>
      <c r="B419" s="28" t="s">
        <v>6812</v>
      </c>
      <c r="C419" s="28">
        <v>2</v>
      </c>
      <c r="D419" s="28" t="s">
        <v>6700</v>
      </c>
      <c r="E419" s="28" t="s">
        <v>6813</v>
      </c>
      <c r="F419" s="28" t="s">
        <v>6807</v>
      </c>
      <c r="G419" s="28">
        <v>0</v>
      </c>
    </row>
    <row r="420" spans="1:7">
      <c r="A420" s="28">
        <v>31825</v>
      </c>
      <c r="B420" s="28" t="s">
        <v>6814</v>
      </c>
      <c r="C420" s="28">
        <v>2</v>
      </c>
      <c r="D420" s="28" t="s">
        <v>6700</v>
      </c>
      <c r="E420" s="28" t="s">
        <v>6815</v>
      </c>
      <c r="F420" s="28" t="s">
        <v>6807</v>
      </c>
      <c r="G420" s="28">
        <v>0</v>
      </c>
    </row>
    <row r="421" spans="1:7">
      <c r="A421" s="28">
        <v>31826</v>
      </c>
      <c r="B421" s="28" t="s">
        <v>6816</v>
      </c>
      <c r="C421" s="28">
        <v>2</v>
      </c>
      <c r="D421" s="28" t="s">
        <v>6700</v>
      </c>
      <c r="E421" s="28" t="s">
        <v>6817</v>
      </c>
      <c r="F421" s="28" t="s">
        <v>6807</v>
      </c>
      <c r="G421" s="28">
        <v>0</v>
      </c>
    </row>
    <row r="422" spans="1:7">
      <c r="A422" s="28">
        <v>31831</v>
      </c>
      <c r="B422" s="28" t="s">
        <v>6805</v>
      </c>
      <c r="C422" s="28">
        <v>3</v>
      </c>
      <c r="D422" s="28" t="s">
        <v>6700</v>
      </c>
      <c r="E422" s="28" t="s">
        <v>6806</v>
      </c>
      <c r="F422" s="28" t="s">
        <v>6818</v>
      </c>
      <c r="G422" s="28">
        <v>0</v>
      </c>
    </row>
    <row r="423" spans="1:7">
      <c r="A423" s="28">
        <v>31832</v>
      </c>
      <c r="B423" s="28" t="s">
        <v>6808</v>
      </c>
      <c r="C423" s="28">
        <v>3</v>
      </c>
      <c r="D423" s="28" t="s">
        <v>6700</v>
      </c>
      <c r="E423" s="28" t="s">
        <v>6809</v>
      </c>
      <c r="F423" s="28" t="s">
        <v>6818</v>
      </c>
      <c r="G423" s="28">
        <v>0</v>
      </c>
    </row>
    <row r="424" spans="1:7">
      <c r="A424" s="28">
        <v>31833</v>
      </c>
      <c r="B424" s="28" t="s">
        <v>6810</v>
      </c>
      <c r="C424" s="28">
        <v>3</v>
      </c>
      <c r="D424" s="28" t="s">
        <v>6700</v>
      </c>
      <c r="E424" s="28" t="s">
        <v>6811</v>
      </c>
      <c r="F424" s="28" t="s">
        <v>6818</v>
      </c>
      <c r="G424" s="28">
        <v>0</v>
      </c>
    </row>
    <row r="425" spans="1:7">
      <c r="A425" s="28">
        <v>31834</v>
      </c>
      <c r="B425" s="28" t="s">
        <v>6812</v>
      </c>
      <c r="C425" s="28">
        <v>3</v>
      </c>
      <c r="D425" s="28" t="s">
        <v>6700</v>
      </c>
      <c r="E425" s="28" t="s">
        <v>6813</v>
      </c>
      <c r="F425" s="28" t="s">
        <v>6818</v>
      </c>
      <c r="G425" s="28">
        <v>0</v>
      </c>
    </row>
    <row r="426" spans="1:7">
      <c r="A426" s="28">
        <v>31835</v>
      </c>
      <c r="B426" s="28" t="s">
        <v>6814</v>
      </c>
      <c r="C426" s="28">
        <v>3</v>
      </c>
      <c r="D426" s="28" t="s">
        <v>6700</v>
      </c>
      <c r="E426" s="28" t="s">
        <v>6815</v>
      </c>
      <c r="F426" s="28" t="s">
        <v>6818</v>
      </c>
      <c r="G426" s="28">
        <v>0</v>
      </c>
    </row>
    <row r="427" spans="1:7">
      <c r="A427" s="28">
        <v>31836</v>
      </c>
      <c r="B427" s="28" t="s">
        <v>6816</v>
      </c>
      <c r="C427" s="28">
        <v>3</v>
      </c>
      <c r="D427" s="28" t="s">
        <v>6700</v>
      </c>
      <c r="E427" s="28" t="s">
        <v>6817</v>
      </c>
      <c r="F427" s="28" t="s">
        <v>6818</v>
      </c>
      <c r="G427" s="28">
        <v>0</v>
      </c>
    </row>
    <row r="428" spans="1:7">
      <c r="A428" s="28">
        <v>31841</v>
      </c>
      <c r="B428" s="28" t="s">
        <v>6805</v>
      </c>
      <c r="C428" s="28">
        <v>4</v>
      </c>
      <c r="D428" s="28" t="s">
        <v>6700</v>
      </c>
      <c r="E428" s="28" t="s">
        <v>6806</v>
      </c>
      <c r="F428" s="28" t="s">
        <v>6819</v>
      </c>
      <c r="G428" s="28">
        <v>0</v>
      </c>
    </row>
    <row r="429" spans="1:7">
      <c r="A429" s="28">
        <v>31842</v>
      </c>
      <c r="B429" s="28" t="s">
        <v>6808</v>
      </c>
      <c r="C429" s="28">
        <v>4</v>
      </c>
      <c r="D429" s="28" t="s">
        <v>6700</v>
      </c>
      <c r="E429" s="28" t="s">
        <v>6809</v>
      </c>
      <c r="F429" s="28" t="s">
        <v>6819</v>
      </c>
      <c r="G429" s="28">
        <v>0</v>
      </c>
    </row>
    <row r="430" spans="1:7">
      <c r="A430" s="28">
        <v>31843</v>
      </c>
      <c r="B430" s="28" t="s">
        <v>6810</v>
      </c>
      <c r="C430" s="28">
        <v>4</v>
      </c>
      <c r="D430" s="28" t="s">
        <v>6700</v>
      </c>
      <c r="E430" s="28" t="s">
        <v>6811</v>
      </c>
      <c r="F430" s="28" t="s">
        <v>6819</v>
      </c>
      <c r="G430" s="28">
        <v>0</v>
      </c>
    </row>
    <row r="431" spans="1:7">
      <c r="A431" s="28">
        <v>31844</v>
      </c>
      <c r="B431" s="28" t="s">
        <v>6812</v>
      </c>
      <c r="C431" s="28">
        <v>4</v>
      </c>
      <c r="D431" s="28" t="s">
        <v>6700</v>
      </c>
      <c r="E431" s="28" t="s">
        <v>6813</v>
      </c>
      <c r="F431" s="28" t="s">
        <v>6819</v>
      </c>
      <c r="G431" s="28">
        <v>0</v>
      </c>
    </row>
    <row r="432" spans="1:7">
      <c r="A432" s="28">
        <v>31845</v>
      </c>
      <c r="B432" s="28" t="s">
        <v>6814</v>
      </c>
      <c r="C432" s="28">
        <v>4</v>
      </c>
      <c r="D432" s="28" t="s">
        <v>6700</v>
      </c>
      <c r="E432" s="28" t="s">
        <v>6815</v>
      </c>
      <c r="F432" s="28" t="s">
        <v>6819</v>
      </c>
      <c r="G432" s="28">
        <v>0</v>
      </c>
    </row>
    <row r="433" spans="1:7">
      <c r="A433" s="28">
        <v>31846</v>
      </c>
      <c r="B433" s="28" t="s">
        <v>6816</v>
      </c>
      <c r="C433" s="28">
        <v>4</v>
      </c>
      <c r="D433" s="28" t="s">
        <v>6700</v>
      </c>
      <c r="E433" s="28" t="s">
        <v>6817</v>
      </c>
      <c r="F433" s="28" t="s">
        <v>6819</v>
      </c>
      <c r="G433" s="28">
        <v>0</v>
      </c>
    </row>
    <row r="434" spans="1:7">
      <c r="A434" s="28">
        <v>31921</v>
      </c>
      <c r="B434" s="28" t="s">
        <v>6820</v>
      </c>
      <c r="C434" s="28">
        <v>2</v>
      </c>
      <c r="D434" s="28" t="s">
        <v>6700</v>
      </c>
      <c r="E434" s="28" t="s">
        <v>6821</v>
      </c>
      <c r="F434" s="28" t="s">
        <v>6822</v>
      </c>
      <c r="G434" s="28">
        <v>0</v>
      </c>
    </row>
    <row r="435" spans="1:7">
      <c r="A435" s="28">
        <v>31922</v>
      </c>
      <c r="B435" s="28" t="s">
        <v>6823</v>
      </c>
      <c r="C435" s="28">
        <v>2</v>
      </c>
      <c r="D435" s="28" t="s">
        <v>6700</v>
      </c>
      <c r="E435" s="28" t="s">
        <v>6824</v>
      </c>
      <c r="F435" s="28" t="s">
        <v>6822</v>
      </c>
      <c r="G435" s="28">
        <v>0</v>
      </c>
    </row>
    <row r="436" spans="1:7">
      <c r="A436" s="28">
        <v>31923</v>
      </c>
      <c r="B436" s="28" t="s">
        <v>6825</v>
      </c>
      <c r="C436" s="28">
        <v>2</v>
      </c>
      <c r="D436" s="28" t="s">
        <v>6700</v>
      </c>
      <c r="E436" s="28" t="s">
        <v>6826</v>
      </c>
      <c r="F436" s="28" t="s">
        <v>6822</v>
      </c>
      <c r="G436" s="28">
        <v>0</v>
      </c>
    </row>
    <row r="437" spans="1:7">
      <c r="A437" s="28">
        <v>31924</v>
      </c>
      <c r="B437" s="28" t="s">
        <v>6827</v>
      </c>
      <c r="C437" s="28">
        <v>2</v>
      </c>
      <c r="D437" s="28" t="s">
        <v>6700</v>
      </c>
      <c r="E437" s="28" t="s">
        <v>6828</v>
      </c>
      <c r="F437" s="28" t="s">
        <v>6822</v>
      </c>
      <c r="G437" s="28">
        <v>0</v>
      </c>
    </row>
    <row r="438" spans="1:7">
      <c r="A438" s="28">
        <v>31925</v>
      </c>
      <c r="B438" s="28" t="s">
        <v>6829</v>
      </c>
      <c r="C438" s="28">
        <v>2</v>
      </c>
      <c r="D438" s="28" t="s">
        <v>6700</v>
      </c>
      <c r="E438" s="28" t="s">
        <v>6830</v>
      </c>
      <c r="F438" s="28" t="s">
        <v>6822</v>
      </c>
      <c r="G438" s="28">
        <v>0</v>
      </c>
    </row>
    <row r="439" spans="1:7">
      <c r="A439" s="28">
        <v>31926</v>
      </c>
      <c r="B439" s="28" t="s">
        <v>6831</v>
      </c>
      <c r="C439" s="28">
        <v>2</v>
      </c>
      <c r="D439" s="28" t="s">
        <v>6700</v>
      </c>
      <c r="E439" s="28" t="s">
        <v>6832</v>
      </c>
      <c r="F439" s="28" t="s">
        <v>6822</v>
      </c>
      <c r="G439" s="28">
        <v>0</v>
      </c>
    </row>
    <row r="440" spans="1:7">
      <c r="A440" s="28">
        <v>31931</v>
      </c>
      <c r="B440" s="28" t="s">
        <v>6820</v>
      </c>
      <c r="C440" s="28">
        <v>3</v>
      </c>
      <c r="D440" s="28" t="s">
        <v>6700</v>
      </c>
      <c r="E440" s="28" t="s">
        <v>6821</v>
      </c>
      <c r="F440" s="28" t="s">
        <v>6833</v>
      </c>
      <c r="G440" s="28">
        <v>0</v>
      </c>
    </row>
    <row r="441" spans="1:7">
      <c r="A441" s="28">
        <v>31932</v>
      </c>
      <c r="B441" s="28" t="s">
        <v>6823</v>
      </c>
      <c r="C441" s="28">
        <v>3</v>
      </c>
      <c r="D441" s="28" t="s">
        <v>6700</v>
      </c>
      <c r="E441" s="28" t="s">
        <v>6824</v>
      </c>
      <c r="F441" s="28" t="s">
        <v>6833</v>
      </c>
      <c r="G441" s="28">
        <v>0</v>
      </c>
    </row>
    <row r="442" spans="1:7">
      <c r="A442" s="28">
        <v>31933</v>
      </c>
      <c r="B442" s="28" t="s">
        <v>6825</v>
      </c>
      <c r="C442" s="28">
        <v>3</v>
      </c>
      <c r="D442" s="28" t="s">
        <v>6700</v>
      </c>
      <c r="E442" s="28" t="s">
        <v>6826</v>
      </c>
      <c r="F442" s="28" t="s">
        <v>6833</v>
      </c>
      <c r="G442" s="28">
        <v>0</v>
      </c>
    </row>
    <row r="443" spans="1:7">
      <c r="A443" s="28">
        <v>31934</v>
      </c>
      <c r="B443" s="28" t="s">
        <v>6827</v>
      </c>
      <c r="C443" s="28">
        <v>3</v>
      </c>
      <c r="D443" s="28" t="s">
        <v>6700</v>
      </c>
      <c r="E443" s="28" t="s">
        <v>6828</v>
      </c>
      <c r="F443" s="28" t="s">
        <v>6833</v>
      </c>
      <c r="G443" s="28">
        <v>0</v>
      </c>
    </row>
    <row r="444" spans="1:7">
      <c r="A444" s="28">
        <v>31935</v>
      </c>
      <c r="B444" s="28" t="s">
        <v>6829</v>
      </c>
      <c r="C444" s="28">
        <v>3</v>
      </c>
      <c r="D444" s="28" t="s">
        <v>6700</v>
      </c>
      <c r="E444" s="28" t="s">
        <v>6830</v>
      </c>
      <c r="F444" s="28" t="s">
        <v>6833</v>
      </c>
      <c r="G444" s="28">
        <v>0</v>
      </c>
    </row>
    <row r="445" spans="1:7">
      <c r="A445" s="28">
        <v>31936</v>
      </c>
      <c r="B445" s="28" t="s">
        <v>6831</v>
      </c>
      <c r="C445" s="28">
        <v>3</v>
      </c>
      <c r="D445" s="28" t="s">
        <v>6700</v>
      </c>
      <c r="E445" s="28" t="s">
        <v>6832</v>
      </c>
      <c r="F445" s="28" t="s">
        <v>6833</v>
      </c>
      <c r="G445" s="28">
        <v>0</v>
      </c>
    </row>
    <row r="446" spans="1:7">
      <c r="A446" s="28">
        <v>31941</v>
      </c>
      <c r="B446" s="28" t="s">
        <v>6820</v>
      </c>
      <c r="C446" s="28">
        <v>4</v>
      </c>
      <c r="D446" s="28" t="s">
        <v>6700</v>
      </c>
      <c r="E446" s="28" t="s">
        <v>6821</v>
      </c>
      <c r="F446" s="28" t="s">
        <v>6834</v>
      </c>
      <c r="G446" s="28">
        <v>0</v>
      </c>
    </row>
    <row r="447" spans="1:7">
      <c r="A447" s="28">
        <v>31942</v>
      </c>
      <c r="B447" s="28" t="s">
        <v>6823</v>
      </c>
      <c r="C447" s="28">
        <v>4</v>
      </c>
      <c r="D447" s="28" t="s">
        <v>6700</v>
      </c>
      <c r="E447" s="28" t="s">
        <v>6824</v>
      </c>
      <c r="F447" s="28" t="s">
        <v>6834</v>
      </c>
      <c r="G447" s="28">
        <v>0</v>
      </c>
    </row>
    <row r="448" spans="1:7">
      <c r="A448" s="28">
        <v>31943</v>
      </c>
      <c r="B448" s="28" t="s">
        <v>6825</v>
      </c>
      <c r="C448" s="28">
        <v>4</v>
      </c>
      <c r="D448" s="28" t="s">
        <v>6700</v>
      </c>
      <c r="E448" s="28" t="s">
        <v>6826</v>
      </c>
      <c r="F448" s="28" t="s">
        <v>6834</v>
      </c>
      <c r="G448" s="28">
        <v>0</v>
      </c>
    </row>
    <row r="449" spans="1:7">
      <c r="A449" s="28">
        <v>31944</v>
      </c>
      <c r="B449" s="28" t="s">
        <v>6827</v>
      </c>
      <c r="C449" s="28">
        <v>4</v>
      </c>
      <c r="D449" s="28" t="s">
        <v>6700</v>
      </c>
      <c r="E449" s="28" t="s">
        <v>6828</v>
      </c>
      <c r="F449" s="28" t="s">
        <v>6834</v>
      </c>
      <c r="G449" s="28">
        <v>0</v>
      </c>
    </row>
    <row r="450" spans="1:7">
      <c r="A450" s="28">
        <v>31945</v>
      </c>
      <c r="B450" s="28" t="s">
        <v>6829</v>
      </c>
      <c r="C450" s="28">
        <v>4</v>
      </c>
      <c r="D450" s="28" t="s">
        <v>6700</v>
      </c>
      <c r="E450" s="28" t="s">
        <v>6830</v>
      </c>
      <c r="F450" s="28" t="s">
        <v>6834</v>
      </c>
      <c r="G450" s="28">
        <v>0</v>
      </c>
    </row>
    <row r="451" spans="1:7">
      <c r="A451" s="28">
        <v>31946</v>
      </c>
      <c r="B451" s="28" t="s">
        <v>6831</v>
      </c>
      <c r="C451" s="28">
        <v>4</v>
      </c>
      <c r="D451" s="28" t="s">
        <v>6700</v>
      </c>
      <c r="E451" s="28" t="s">
        <v>6832</v>
      </c>
      <c r="F451" s="28" t="s">
        <v>6834</v>
      </c>
      <c r="G451" s="28">
        <v>0</v>
      </c>
    </row>
    <row r="452" spans="1:7">
      <c r="A452" s="28">
        <v>32221</v>
      </c>
      <c r="B452" s="28" t="s">
        <v>6835</v>
      </c>
      <c r="C452" s="28">
        <v>2</v>
      </c>
      <c r="D452" s="28" t="s">
        <v>6700</v>
      </c>
      <c r="E452" s="28" t="s">
        <v>6836</v>
      </c>
      <c r="F452" s="28" t="s">
        <v>6837</v>
      </c>
      <c r="G452" s="28">
        <v>0</v>
      </c>
    </row>
    <row r="453" spans="1:7">
      <c r="A453" s="28">
        <v>32222</v>
      </c>
      <c r="B453" s="28" t="s">
        <v>6838</v>
      </c>
      <c r="C453" s="28">
        <v>2</v>
      </c>
      <c r="D453" s="28" t="s">
        <v>6700</v>
      </c>
      <c r="E453" s="28" t="s">
        <v>6839</v>
      </c>
      <c r="F453" s="28" t="s">
        <v>6837</v>
      </c>
      <c r="G453" s="28">
        <v>0</v>
      </c>
    </row>
    <row r="454" spans="1:7">
      <c r="A454" s="28">
        <v>32223</v>
      </c>
      <c r="B454" s="28" t="s">
        <v>6840</v>
      </c>
      <c r="C454" s="28">
        <v>2</v>
      </c>
      <c r="D454" s="28" t="s">
        <v>6700</v>
      </c>
      <c r="E454" s="28" t="s">
        <v>6841</v>
      </c>
      <c r="F454" s="28" t="s">
        <v>6837</v>
      </c>
      <c r="G454" s="28">
        <v>0</v>
      </c>
    </row>
    <row r="455" spans="1:7">
      <c r="A455" s="28">
        <v>32224</v>
      </c>
      <c r="B455" s="28" t="s">
        <v>6842</v>
      </c>
      <c r="C455" s="28">
        <v>2</v>
      </c>
      <c r="D455" s="28" t="s">
        <v>6700</v>
      </c>
      <c r="E455" s="28" t="s">
        <v>6843</v>
      </c>
      <c r="F455" s="28" t="s">
        <v>6837</v>
      </c>
      <c r="G455" s="28">
        <v>0</v>
      </c>
    </row>
    <row r="456" spans="1:7">
      <c r="A456" s="28">
        <v>32225</v>
      </c>
      <c r="B456" s="28" t="s">
        <v>6844</v>
      </c>
      <c r="C456" s="28">
        <v>2</v>
      </c>
      <c r="D456" s="28" t="s">
        <v>6700</v>
      </c>
      <c r="E456" s="28" t="s">
        <v>6845</v>
      </c>
      <c r="F456" s="28" t="s">
        <v>6837</v>
      </c>
      <c r="G456" s="28">
        <v>0</v>
      </c>
    </row>
    <row r="457" spans="1:7">
      <c r="A457" s="28">
        <v>32226</v>
      </c>
      <c r="B457" s="28" t="s">
        <v>6846</v>
      </c>
      <c r="C457" s="28">
        <v>2</v>
      </c>
      <c r="D457" s="28" t="s">
        <v>6700</v>
      </c>
      <c r="E457" s="28" t="s">
        <v>6847</v>
      </c>
      <c r="F457" s="28" t="s">
        <v>6837</v>
      </c>
      <c r="G457" s="28">
        <v>0</v>
      </c>
    </row>
    <row r="458" spans="1:7">
      <c r="A458" s="28">
        <v>32231</v>
      </c>
      <c r="B458" s="28" t="s">
        <v>6835</v>
      </c>
      <c r="C458" s="28">
        <v>3</v>
      </c>
      <c r="D458" s="28" t="s">
        <v>6700</v>
      </c>
      <c r="E458" s="28" t="s">
        <v>6836</v>
      </c>
      <c r="F458" s="28" t="s">
        <v>6848</v>
      </c>
      <c r="G458" s="28">
        <v>0</v>
      </c>
    </row>
    <row r="459" spans="1:7">
      <c r="A459" s="28">
        <v>32232</v>
      </c>
      <c r="B459" s="28" t="s">
        <v>6838</v>
      </c>
      <c r="C459" s="28">
        <v>3</v>
      </c>
      <c r="D459" s="28" t="s">
        <v>6700</v>
      </c>
      <c r="E459" s="28" t="s">
        <v>6839</v>
      </c>
      <c r="F459" s="28" t="s">
        <v>6848</v>
      </c>
      <c r="G459" s="28">
        <v>0</v>
      </c>
    </row>
    <row r="460" spans="1:7">
      <c r="A460" s="28">
        <v>32233</v>
      </c>
      <c r="B460" s="28" t="s">
        <v>6840</v>
      </c>
      <c r="C460" s="28">
        <v>3</v>
      </c>
      <c r="D460" s="28" t="s">
        <v>6700</v>
      </c>
      <c r="E460" s="28" t="s">
        <v>6841</v>
      </c>
      <c r="F460" s="28" t="s">
        <v>6848</v>
      </c>
      <c r="G460" s="28">
        <v>0</v>
      </c>
    </row>
    <row r="461" spans="1:7">
      <c r="A461" s="28">
        <v>32234</v>
      </c>
      <c r="B461" s="28" t="s">
        <v>6842</v>
      </c>
      <c r="C461" s="28">
        <v>3</v>
      </c>
      <c r="D461" s="28" t="s">
        <v>6700</v>
      </c>
      <c r="E461" s="28" t="s">
        <v>6843</v>
      </c>
      <c r="F461" s="28" t="s">
        <v>6848</v>
      </c>
      <c r="G461" s="28">
        <v>0</v>
      </c>
    </row>
    <row r="462" spans="1:7">
      <c r="A462" s="28">
        <v>32235</v>
      </c>
      <c r="B462" s="28" t="s">
        <v>6844</v>
      </c>
      <c r="C462" s="28">
        <v>3</v>
      </c>
      <c r="D462" s="28" t="s">
        <v>6700</v>
      </c>
      <c r="E462" s="28" t="s">
        <v>6845</v>
      </c>
      <c r="F462" s="28" t="s">
        <v>6848</v>
      </c>
      <c r="G462" s="28">
        <v>0</v>
      </c>
    </row>
    <row r="463" spans="1:7">
      <c r="A463" s="28">
        <v>32236</v>
      </c>
      <c r="B463" s="28" t="s">
        <v>6846</v>
      </c>
      <c r="C463" s="28">
        <v>3</v>
      </c>
      <c r="D463" s="28" t="s">
        <v>6700</v>
      </c>
      <c r="E463" s="28" t="s">
        <v>6847</v>
      </c>
      <c r="F463" s="28" t="s">
        <v>6848</v>
      </c>
      <c r="G463" s="28">
        <v>0</v>
      </c>
    </row>
    <row r="464" spans="1:7">
      <c r="A464" s="28">
        <v>32241</v>
      </c>
      <c r="B464" s="28" t="s">
        <v>6835</v>
      </c>
      <c r="C464" s="28">
        <v>4</v>
      </c>
      <c r="D464" s="28" t="s">
        <v>6700</v>
      </c>
      <c r="E464" s="28" t="s">
        <v>6836</v>
      </c>
      <c r="F464" s="28" t="s">
        <v>6849</v>
      </c>
      <c r="G464" s="28">
        <v>0</v>
      </c>
    </row>
    <row r="465" spans="1:7">
      <c r="A465" s="28">
        <v>32242</v>
      </c>
      <c r="B465" s="28" t="s">
        <v>6838</v>
      </c>
      <c r="C465" s="28">
        <v>4</v>
      </c>
      <c r="D465" s="28" t="s">
        <v>6700</v>
      </c>
      <c r="E465" s="28" t="s">
        <v>6839</v>
      </c>
      <c r="F465" s="28" t="s">
        <v>6849</v>
      </c>
      <c r="G465" s="28">
        <v>0</v>
      </c>
    </row>
    <row r="466" spans="1:7">
      <c r="A466" s="28">
        <v>32243</v>
      </c>
      <c r="B466" s="28" t="s">
        <v>6840</v>
      </c>
      <c r="C466" s="28">
        <v>4</v>
      </c>
      <c r="D466" s="28" t="s">
        <v>6700</v>
      </c>
      <c r="E466" s="28" t="s">
        <v>6841</v>
      </c>
      <c r="F466" s="28" t="s">
        <v>6849</v>
      </c>
      <c r="G466" s="28">
        <v>0</v>
      </c>
    </row>
    <row r="467" spans="1:7">
      <c r="A467" s="28">
        <v>32244</v>
      </c>
      <c r="B467" s="28" t="s">
        <v>6842</v>
      </c>
      <c r="C467" s="28">
        <v>4</v>
      </c>
      <c r="D467" s="28" t="s">
        <v>6700</v>
      </c>
      <c r="E467" s="28" t="s">
        <v>6843</v>
      </c>
      <c r="F467" s="28" t="s">
        <v>6849</v>
      </c>
      <c r="G467" s="28">
        <v>0</v>
      </c>
    </row>
    <row r="468" spans="1:7">
      <c r="A468" s="28">
        <v>32245</v>
      </c>
      <c r="B468" s="28" t="s">
        <v>6844</v>
      </c>
      <c r="C468" s="28">
        <v>4</v>
      </c>
      <c r="D468" s="28" t="s">
        <v>6700</v>
      </c>
      <c r="E468" s="28" t="s">
        <v>6845</v>
      </c>
      <c r="F468" s="28" t="s">
        <v>6849</v>
      </c>
      <c r="G468" s="28">
        <v>0</v>
      </c>
    </row>
    <row r="469" spans="1:7">
      <c r="A469" s="28">
        <v>32246</v>
      </c>
      <c r="B469" s="28" t="s">
        <v>6846</v>
      </c>
      <c r="C469" s="28">
        <v>4</v>
      </c>
      <c r="D469" s="28" t="s">
        <v>6700</v>
      </c>
      <c r="E469" s="28" t="s">
        <v>6847</v>
      </c>
      <c r="F469" s="28" t="s">
        <v>6849</v>
      </c>
      <c r="G469" s="28">
        <v>0</v>
      </c>
    </row>
    <row r="470" spans="1:7">
      <c r="A470" s="28">
        <v>32321</v>
      </c>
      <c r="B470" s="28" t="s">
        <v>6850</v>
      </c>
      <c r="C470" s="28">
        <v>2</v>
      </c>
      <c r="D470" s="28" t="s">
        <v>6700</v>
      </c>
      <c r="E470" s="28" t="s">
        <v>6851</v>
      </c>
      <c r="F470" s="28" t="s">
        <v>6852</v>
      </c>
      <c r="G470" s="28">
        <v>0</v>
      </c>
    </row>
    <row r="471" spans="1:7">
      <c r="A471" s="28">
        <v>32322</v>
      </c>
      <c r="B471" s="28" t="s">
        <v>6853</v>
      </c>
      <c r="C471" s="28">
        <v>2</v>
      </c>
      <c r="D471" s="28" t="s">
        <v>6700</v>
      </c>
      <c r="E471" s="28" t="s">
        <v>6854</v>
      </c>
      <c r="F471" s="28" t="s">
        <v>6852</v>
      </c>
      <c r="G471" s="28">
        <v>0</v>
      </c>
    </row>
    <row r="472" spans="1:7">
      <c r="A472" s="28">
        <v>32323</v>
      </c>
      <c r="B472" s="28" t="s">
        <v>6855</v>
      </c>
      <c r="C472" s="28">
        <v>2</v>
      </c>
      <c r="D472" s="28" t="s">
        <v>6700</v>
      </c>
      <c r="E472" s="28" t="s">
        <v>6856</v>
      </c>
      <c r="F472" s="28" t="s">
        <v>6852</v>
      </c>
      <c r="G472" s="28">
        <v>0</v>
      </c>
    </row>
    <row r="473" spans="1:7">
      <c r="A473" s="28">
        <v>32324</v>
      </c>
      <c r="B473" s="28" t="s">
        <v>6857</v>
      </c>
      <c r="C473" s="28">
        <v>2</v>
      </c>
      <c r="D473" s="28" t="s">
        <v>6700</v>
      </c>
      <c r="E473" s="28" t="s">
        <v>6858</v>
      </c>
      <c r="F473" s="28" t="s">
        <v>6852</v>
      </c>
      <c r="G473" s="28">
        <v>0</v>
      </c>
    </row>
    <row r="474" spans="1:7">
      <c r="A474" s="28">
        <v>32325</v>
      </c>
      <c r="B474" s="28" t="s">
        <v>6859</v>
      </c>
      <c r="C474" s="28">
        <v>2</v>
      </c>
      <c r="D474" s="28" t="s">
        <v>6700</v>
      </c>
      <c r="E474" s="28" t="s">
        <v>6860</v>
      </c>
      <c r="F474" s="28" t="s">
        <v>6852</v>
      </c>
      <c r="G474" s="28">
        <v>0</v>
      </c>
    </row>
    <row r="475" spans="1:7">
      <c r="A475" s="28">
        <v>32326</v>
      </c>
      <c r="B475" s="28" t="s">
        <v>6861</v>
      </c>
      <c r="C475" s="28">
        <v>2</v>
      </c>
      <c r="D475" s="28" t="s">
        <v>6700</v>
      </c>
      <c r="E475" s="28" t="s">
        <v>6862</v>
      </c>
      <c r="F475" s="28" t="s">
        <v>6852</v>
      </c>
      <c r="G475" s="28">
        <v>0</v>
      </c>
    </row>
    <row r="476" spans="1:7">
      <c r="A476" s="28">
        <v>32331</v>
      </c>
      <c r="B476" s="28" t="s">
        <v>6850</v>
      </c>
      <c r="C476" s="28">
        <v>3</v>
      </c>
      <c r="D476" s="28" t="s">
        <v>6700</v>
      </c>
      <c r="E476" s="28" t="s">
        <v>6851</v>
      </c>
      <c r="F476" s="28" t="s">
        <v>6863</v>
      </c>
      <c r="G476" s="28">
        <v>0</v>
      </c>
    </row>
    <row r="477" spans="1:7">
      <c r="A477" s="28">
        <v>32332</v>
      </c>
      <c r="B477" s="28" t="s">
        <v>6853</v>
      </c>
      <c r="C477" s="28">
        <v>3</v>
      </c>
      <c r="D477" s="28" t="s">
        <v>6700</v>
      </c>
      <c r="E477" s="28" t="s">
        <v>6854</v>
      </c>
      <c r="F477" s="28" t="s">
        <v>6863</v>
      </c>
      <c r="G477" s="28">
        <v>0</v>
      </c>
    </row>
    <row r="478" spans="1:7">
      <c r="A478" s="28">
        <v>32333</v>
      </c>
      <c r="B478" s="28" t="s">
        <v>6855</v>
      </c>
      <c r="C478" s="28">
        <v>3</v>
      </c>
      <c r="D478" s="28" t="s">
        <v>6700</v>
      </c>
      <c r="E478" s="28" t="s">
        <v>6856</v>
      </c>
      <c r="F478" s="28" t="s">
        <v>6863</v>
      </c>
      <c r="G478" s="28">
        <v>0</v>
      </c>
    </row>
    <row r="479" spans="1:7">
      <c r="A479" s="28">
        <v>32334</v>
      </c>
      <c r="B479" s="28" t="s">
        <v>6857</v>
      </c>
      <c r="C479" s="28">
        <v>3</v>
      </c>
      <c r="D479" s="28" t="s">
        <v>6700</v>
      </c>
      <c r="E479" s="28" t="s">
        <v>6858</v>
      </c>
      <c r="F479" s="28" t="s">
        <v>6863</v>
      </c>
      <c r="G479" s="28">
        <v>0</v>
      </c>
    </row>
    <row r="480" spans="1:7">
      <c r="A480" s="28">
        <v>32335</v>
      </c>
      <c r="B480" s="28" t="s">
        <v>6859</v>
      </c>
      <c r="C480" s="28">
        <v>3</v>
      </c>
      <c r="D480" s="28" t="s">
        <v>6700</v>
      </c>
      <c r="E480" s="28" t="s">
        <v>6860</v>
      </c>
      <c r="F480" s="28" t="s">
        <v>6863</v>
      </c>
      <c r="G480" s="28">
        <v>0</v>
      </c>
    </row>
    <row r="481" spans="1:7">
      <c r="A481" s="28">
        <v>32336</v>
      </c>
      <c r="B481" s="28" t="s">
        <v>6861</v>
      </c>
      <c r="C481" s="28">
        <v>3</v>
      </c>
      <c r="D481" s="28" t="s">
        <v>6700</v>
      </c>
      <c r="E481" s="28" t="s">
        <v>6862</v>
      </c>
      <c r="F481" s="28" t="s">
        <v>6863</v>
      </c>
      <c r="G481" s="28">
        <v>0</v>
      </c>
    </row>
    <row r="482" spans="1:7">
      <c r="A482" s="28">
        <v>32341</v>
      </c>
      <c r="B482" s="28" t="s">
        <v>6850</v>
      </c>
      <c r="C482" s="28">
        <v>4</v>
      </c>
      <c r="D482" s="28" t="s">
        <v>6700</v>
      </c>
      <c r="E482" s="28" t="s">
        <v>6851</v>
      </c>
      <c r="F482" s="28" t="s">
        <v>6864</v>
      </c>
      <c r="G482" s="28">
        <v>0</v>
      </c>
    </row>
    <row r="483" spans="1:7">
      <c r="A483" s="28">
        <v>32342</v>
      </c>
      <c r="B483" s="28" t="s">
        <v>6853</v>
      </c>
      <c r="C483" s="28">
        <v>4</v>
      </c>
      <c r="D483" s="28" t="s">
        <v>6700</v>
      </c>
      <c r="E483" s="28" t="s">
        <v>6854</v>
      </c>
      <c r="F483" s="28" t="s">
        <v>6864</v>
      </c>
      <c r="G483" s="28">
        <v>0</v>
      </c>
    </row>
    <row r="484" spans="1:7">
      <c r="A484" s="28">
        <v>32343</v>
      </c>
      <c r="B484" s="28" t="s">
        <v>6855</v>
      </c>
      <c r="C484" s="28">
        <v>4</v>
      </c>
      <c r="D484" s="28" t="s">
        <v>6700</v>
      </c>
      <c r="E484" s="28" t="s">
        <v>6856</v>
      </c>
      <c r="F484" s="28" t="s">
        <v>6864</v>
      </c>
      <c r="G484" s="28">
        <v>0</v>
      </c>
    </row>
    <row r="485" spans="1:7">
      <c r="A485" s="28">
        <v>32344</v>
      </c>
      <c r="B485" s="28" t="s">
        <v>6857</v>
      </c>
      <c r="C485" s="28">
        <v>4</v>
      </c>
      <c r="D485" s="28" t="s">
        <v>6700</v>
      </c>
      <c r="E485" s="28" t="s">
        <v>6858</v>
      </c>
      <c r="F485" s="28" t="s">
        <v>6864</v>
      </c>
      <c r="G485" s="28">
        <v>0</v>
      </c>
    </row>
    <row r="486" spans="1:7">
      <c r="A486" s="28">
        <v>32345</v>
      </c>
      <c r="B486" s="28" t="s">
        <v>6859</v>
      </c>
      <c r="C486" s="28">
        <v>4</v>
      </c>
      <c r="D486" s="28" t="s">
        <v>6700</v>
      </c>
      <c r="E486" s="28" t="s">
        <v>6860</v>
      </c>
      <c r="F486" s="28" t="s">
        <v>6864</v>
      </c>
      <c r="G486" s="28">
        <v>0</v>
      </c>
    </row>
    <row r="487" spans="1:7">
      <c r="A487" s="28">
        <v>32346</v>
      </c>
      <c r="B487" s="28" t="s">
        <v>6861</v>
      </c>
      <c r="C487" s="28">
        <v>4</v>
      </c>
      <c r="D487" s="28" t="s">
        <v>6700</v>
      </c>
      <c r="E487" s="28" t="s">
        <v>6862</v>
      </c>
      <c r="F487" s="28" t="s">
        <v>6864</v>
      </c>
      <c r="G487" s="28">
        <v>0</v>
      </c>
    </row>
    <row r="488" spans="1:7">
      <c r="A488" s="28">
        <v>32421</v>
      </c>
      <c r="B488" s="28" t="s">
        <v>6865</v>
      </c>
      <c r="C488" s="28">
        <v>2</v>
      </c>
      <c r="D488" s="28" t="s">
        <v>6700</v>
      </c>
      <c r="E488" s="28" t="s">
        <v>6866</v>
      </c>
      <c r="F488" s="28" t="s">
        <v>6867</v>
      </c>
      <c r="G488" s="28">
        <v>0</v>
      </c>
    </row>
    <row r="489" spans="1:7">
      <c r="A489" s="28">
        <v>32422</v>
      </c>
      <c r="B489" s="28" t="s">
        <v>6868</v>
      </c>
      <c r="C489" s="28">
        <v>2</v>
      </c>
      <c r="D489" s="28" t="s">
        <v>6700</v>
      </c>
      <c r="E489" s="28" t="s">
        <v>6869</v>
      </c>
      <c r="F489" s="28" t="s">
        <v>6867</v>
      </c>
      <c r="G489" s="28">
        <v>0</v>
      </c>
    </row>
    <row r="490" spans="1:7">
      <c r="A490" s="28">
        <v>32423</v>
      </c>
      <c r="B490" s="28" t="s">
        <v>6870</v>
      </c>
      <c r="C490" s="28">
        <v>2</v>
      </c>
      <c r="D490" s="28" t="s">
        <v>6700</v>
      </c>
      <c r="E490" s="28" t="s">
        <v>6871</v>
      </c>
      <c r="F490" s="28" t="s">
        <v>6867</v>
      </c>
      <c r="G490" s="28">
        <v>0</v>
      </c>
    </row>
    <row r="491" spans="1:7">
      <c r="A491" s="28">
        <v>32424</v>
      </c>
      <c r="B491" s="28" t="s">
        <v>6872</v>
      </c>
      <c r="C491" s="28">
        <v>2</v>
      </c>
      <c r="D491" s="28" t="s">
        <v>6700</v>
      </c>
      <c r="E491" s="28" t="s">
        <v>6873</v>
      </c>
      <c r="F491" s="28" t="s">
        <v>6867</v>
      </c>
      <c r="G491" s="28">
        <v>0</v>
      </c>
    </row>
    <row r="492" spans="1:7">
      <c r="A492" s="28">
        <v>32425</v>
      </c>
      <c r="B492" s="28" t="s">
        <v>6874</v>
      </c>
      <c r="C492" s="28">
        <v>2</v>
      </c>
      <c r="D492" s="28" t="s">
        <v>6700</v>
      </c>
      <c r="E492" s="28" t="s">
        <v>6875</v>
      </c>
      <c r="F492" s="28" t="s">
        <v>6867</v>
      </c>
      <c r="G492" s="28">
        <v>0</v>
      </c>
    </row>
    <row r="493" spans="1:7">
      <c r="A493" s="28">
        <v>32426</v>
      </c>
      <c r="B493" s="28" t="s">
        <v>6876</v>
      </c>
      <c r="C493" s="28">
        <v>2</v>
      </c>
      <c r="D493" s="28" t="s">
        <v>6700</v>
      </c>
      <c r="E493" s="28" t="s">
        <v>6877</v>
      </c>
      <c r="F493" s="28" t="s">
        <v>6867</v>
      </c>
      <c r="G493" s="28">
        <v>0</v>
      </c>
    </row>
    <row r="494" spans="1:7">
      <c r="A494" s="28">
        <v>32431</v>
      </c>
      <c r="B494" s="28" t="s">
        <v>6865</v>
      </c>
      <c r="C494" s="28">
        <v>3</v>
      </c>
      <c r="D494" s="28" t="s">
        <v>6700</v>
      </c>
      <c r="E494" s="28" t="s">
        <v>6866</v>
      </c>
      <c r="F494" s="28" t="s">
        <v>6878</v>
      </c>
      <c r="G494" s="28">
        <v>0</v>
      </c>
    </row>
    <row r="495" spans="1:7">
      <c r="A495" s="28">
        <v>32432</v>
      </c>
      <c r="B495" s="28" t="s">
        <v>6868</v>
      </c>
      <c r="C495" s="28">
        <v>3</v>
      </c>
      <c r="D495" s="28" t="s">
        <v>6700</v>
      </c>
      <c r="E495" s="28" t="s">
        <v>6869</v>
      </c>
      <c r="F495" s="28" t="s">
        <v>6878</v>
      </c>
      <c r="G495" s="28">
        <v>0</v>
      </c>
    </row>
    <row r="496" spans="1:7">
      <c r="A496" s="28">
        <v>32433</v>
      </c>
      <c r="B496" s="28" t="s">
        <v>6870</v>
      </c>
      <c r="C496" s="28">
        <v>3</v>
      </c>
      <c r="D496" s="28" t="s">
        <v>6700</v>
      </c>
      <c r="E496" s="28" t="s">
        <v>6871</v>
      </c>
      <c r="F496" s="28" t="s">
        <v>6878</v>
      </c>
      <c r="G496" s="28">
        <v>0</v>
      </c>
    </row>
    <row r="497" spans="1:7">
      <c r="A497" s="28">
        <v>32434</v>
      </c>
      <c r="B497" s="28" t="s">
        <v>6872</v>
      </c>
      <c r="C497" s="28">
        <v>3</v>
      </c>
      <c r="D497" s="28" t="s">
        <v>6700</v>
      </c>
      <c r="E497" s="28" t="s">
        <v>6873</v>
      </c>
      <c r="F497" s="28" t="s">
        <v>6878</v>
      </c>
      <c r="G497" s="28">
        <v>0</v>
      </c>
    </row>
    <row r="498" spans="1:7">
      <c r="A498" s="28">
        <v>32435</v>
      </c>
      <c r="B498" s="28" t="s">
        <v>6874</v>
      </c>
      <c r="C498" s="28">
        <v>3</v>
      </c>
      <c r="D498" s="28" t="s">
        <v>6700</v>
      </c>
      <c r="E498" s="28" t="s">
        <v>6875</v>
      </c>
      <c r="F498" s="28" t="s">
        <v>6878</v>
      </c>
      <c r="G498" s="28">
        <v>0</v>
      </c>
    </row>
    <row r="499" spans="1:7">
      <c r="A499" s="28">
        <v>32436</v>
      </c>
      <c r="B499" s="28" t="s">
        <v>6876</v>
      </c>
      <c r="C499" s="28">
        <v>3</v>
      </c>
      <c r="D499" s="28" t="s">
        <v>6700</v>
      </c>
      <c r="E499" s="28" t="s">
        <v>6877</v>
      </c>
      <c r="F499" s="28" t="s">
        <v>6878</v>
      </c>
      <c r="G499" s="28">
        <v>0</v>
      </c>
    </row>
    <row r="500" spans="1:7">
      <c r="A500" s="28">
        <v>32441</v>
      </c>
      <c r="B500" s="28" t="s">
        <v>6865</v>
      </c>
      <c r="C500" s="28">
        <v>4</v>
      </c>
      <c r="D500" s="28" t="s">
        <v>6700</v>
      </c>
      <c r="E500" s="28" t="s">
        <v>6866</v>
      </c>
      <c r="F500" s="28" t="s">
        <v>6879</v>
      </c>
      <c r="G500" s="28">
        <v>0</v>
      </c>
    </row>
    <row r="501" spans="1:7">
      <c r="A501" s="28">
        <v>32442</v>
      </c>
      <c r="B501" s="28" t="s">
        <v>6868</v>
      </c>
      <c r="C501" s="28">
        <v>4</v>
      </c>
      <c r="D501" s="28" t="s">
        <v>6700</v>
      </c>
      <c r="E501" s="28" t="s">
        <v>6869</v>
      </c>
      <c r="F501" s="28" t="s">
        <v>6879</v>
      </c>
      <c r="G501" s="28">
        <v>0</v>
      </c>
    </row>
    <row r="502" spans="1:7">
      <c r="A502" s="28">
        <v>32443</v>
      </c>
      <c r="B502" s="28" t="s">
        <v>6870</v>
      </c>
      <c r="C502" s="28">
        <v>4</v>
      </c>
      <c r="D502" s="28" t="s">
        <v>6700</v>
      </c>
      <c r="E502" s="28" t="s">
        <v>6871</v>
      </c>
      <c r="F502" s="28" t="s">
        <v>6879</v>
      </c>
      <c r="G502" s="28">
        <v>0</v>
      </c>
    </row>
    <row r="503" spans="1:7">
      <c r="A503" s="28">
        <v>32444</v>
      </c>
      <c r="B503" s="28" t="s">
        <v>6872</v>
      </c>
      <c r="C503" s="28">
        <v>4</v>
      </c>
      <c r="D503" s="28" t="s">
        <v>6700</v>
      </c>
      <c r="E503" s="28" t="s">
        <v>6873</v>
      </c>
      <c r="F503" s="28" t="s">
        <v>6879</v>
      </c>
      <c r="G503" s="28">
        <v>0</v>
      </c>
    </row>
    <row r="504" spans="1:7">
      <c r="A504" s="28">
        <v>32445</v>
      </c>
      <c r="B504" s="28" t="s">
        <v>6874</v>
      </c>
      <c r="C504" s="28">
        <v>4</v>
      </c>
      <c r="D504" s="28" t="s">
        <v>6700</v>
      </c>
      <c r="E504" s="28" t="s">
        <v>6875</v>
      </c>
      <c r="F504" s="28" t="s">
        <v>6879</v>
      </c>
      <c r="G504" s="28">
        <v>0</v>
      </c>
    </row>
    <row r="505" spans="1:7">
      <c r="A505" s="28">
        <v>32446</v>
      </c>
      <c r="B505" s="28" t="s">
        <v>6876</v>
      </c>
      <c r="C505" s="28">
        <v>4</v>
      </c>
      <c r="D505" s="28" t="s">
        <v>6700</v>
      </c>
      <c r="E505" s="28" t="s">
        <v>6877</v>
      </c>
      <c r="F505" s="28" t="s">
        <v>6879</v>
      </c>
      <c r="G505" s="28">
        <v>0</v>
      </c>
    </row>
    <row r="506" spans="1:7">
      <c r="A506" s="28">
        <v>32521</v>
      </c>
      <c r="B506" s="28" t="s">
        <v>6880</v>
      </c>
      <c r="C506" s="28">
        <v>2</v>
      </c>
      <c r="D506" s="28" t="s">
        <v>6700</v>
      </c>
      <c r="E506" s="28" t="s">
        <v>6881</v>
      </c>
      <c r="F506" s="28" t="s">
        <v>6882</v>
      </c>
      <c r="G506" s="28">
        <v>0</v>
      </c>
    </row>
    <row r="507" spans="1:7">
      <c r="A507" s="28">
        <v>32522</v>
      </c>
      <c r="B507" s="28" t="s">
        <v>6883</v>
      </c>
      <c r="C507" s="28">
        <v>2</v>
      </c>
      <c r="D507" s="28" t="s">
        <v>6700</v>
      </c>
      <c r="E507" s="28" t="s">
        <v>6884</v>
      </c>
      <c r="F507" s="28" t="s">
        <v>6882</v>
      </c>
      <c r="G507" s="28">
        <v>0</v>
      </c>
    </row>
    <row r="508" spans="1:7">
      <c r="A508" s="28">
        <v>32523</v>
      </c>
      <c r="B508" s="28" t="s">
        <v>6885</v>
      </c>
      <c r="C508" s="28">
        <v>2</v>
      </c>
      <c r="D508" s="28" t="s">
        <v>6700</v>
      </c>
      <c r="E508" s="28" t="s">
        <v>6886</v>
      </c>
      <c r="F508" s="28" t="s">
        <v>6882</v>
      </c>
      <c r="G508" s="28">
        <v>0</v>
      </c>
    </row>
    <row r="509" spans="1:7">
      <c r="A509" s="28">
        <v>32524</v>
      </c>
      <c r="B509" s="28" t="s">
        <v>6887</v>
      </c>
      <c r="C509" s="28">
        <v>2</v>
      </c>
      <c r="D509" s="28" t="s">
        <v>6700</v>
      </c>
      <c r="E509" s="28" t="s">
        <v>6888</v>
      </c>
      <c r="F509" s="28" t="s">
        <v>6882</v>
      </c>
      <c r="G509" s="28">
        <v>0</v>
      </c>
    </row>
    <row r="510" spans="1:7">
      <c r="A510" s="28">
        <v>32525</v>
      </c>
      <c r="B510" s="28" t="s">
        <v>6889</v>
      </c>
      <c r="C510" s="28">
        <v>2</v>
      </c>
      <c r="D510" s="28" t="s">
        <v>6700</v>
      </c>
      <c r="E510" s="28" t="s">
        <v>6890</v>
      </c>
      <c r="F510" s="28" t="s">
        <v>6882</v>
      </c>
      <c r="G510" s="28">
        <v>0</v>
      </c>
    </row>
    <row r="511" spans="1:7">
      <c r="A511" s="28">
        <v>32526</v>
      </c>
      <c r="B511" s="28" t="s">
        <v>6891</v>
      </c>
      <c r="C511" s="28">
        <v>2</v>
      </c>
      <c r="D511" s="28" t="s">
        <v>6700</v>
      </c>
      <c r="E511" s="28" t="s">
        <v>6892</v>
      </c>
      <c r="F511" s="28" t="s">
        <v>6882</v>
      </c>
      <c r="G511" s="28">
        <v>0</v>
      </c>
    </row>
    <row r="512" spans="1:7">
      <c r="A512" s="28">
        <v>32531</v>
      </c>
      <c r="B512" s="28" t="s">
        <v>6880</v>
      </c>
      <c r="C512" s="28">
        <v>3</v>
      </c>
      <c r="D512" s="28" t="s">
        <v>6700</v>
      </c>
      <c r="E512" s="28" t="s">
        <v>6881</v>
      </c>
      <c r="F512" s="28" t="s">
        <v>6893</v>
      </c>
      <c r="G512" s="28">
        <v>0</v>
      </c>
    </row>
    <row r="513" spans="1:7">
      <c r="A513" s="28">
        <v>32532</v>
      </c>
      <c r="B513" s="28" t="s">
        <v>6883</v>
      </c>
      <c r="C513" s="28">
        <v>3</v>
      </c>
      <c r="D513" s="28" t="s">
        <v>6700</v>
      </c>
      <c r="E513" s="28" t="s">
        <v>6884</v>
      </c>
      <c r="F513" s="28" t="s">
        <v>6893</v>
      </c>
      <c r="G513" s="28">
        <v>0</v>
      </c>
    </row>
    <row r="514" spans="1:7">
      <c r="A514" s="28">
        <v>32533</v>
      </c>
      <c r="B514" s="28" t="s">
        <v>6885</v>
      </c>
      <c r="C514" s="28">
        <v>3</v>
      </c>
      <c r="D514" s="28" t="s">
        <v>6700</v>
      </c>
      <c r="E514" s="28" t="s">
        <v>6886</v>
      </c>
      <c r="F514" s="28" t="s">
        <v>6893</v>
      </c>
      <c r="G514" s="28">
        <v>0</v>
      </c>
    </row>
    <row r="515" spans="1:7">
      <c r="A515" s="28">
        <v>32534</v>
      </c>
      <c r="B515" s="28" t="s">
        <v>6887</v>
      </c>
      <c r="C515" s="28">
        <v>3</v>
      </c>
      <c r="D515" s="28" t="s">
        <v>6700</v>
      </c>
      <c r="E515" s="28" t="s">
        <v>6888</v>
      </c>
      <c r="F515" s="28" t="s">
        <v>6893</v>
      </c>
      <c r="G515" s="28">
        <v>0</v>
      </c>
    </row>
    <row r="516" spans="1:7">
      <c r="A516" s="28">
        <v>32535</v>
      </c>
      <c r="B516" s="28" t="s">
        <v>6889</v>
      </c>
      <c r="C516" s="28">
        <v>3</v>
      </c>
      <c r="D516" s="28" t="s">
        <v>6700</v>
      </c>
      <c r="E516" s="28" t="s">
        <v>6890</v>
      </c>
      <c r="F516" s="28" t="s">
        <v>6893</v>
      </c>
      <c r="G516" s="28">
        <v>0</v>
      </c>
    </row>
    <row r="517" spans="1:7">
      <c r="A517" s="28">
        <v>32536</v>
      </c>
      <c r="B517" s="28" t="s">
        <v>6891</v>
      </c>
      <c r="C517" s="28">
        <v>3</v>
      </c>
      <c r="D517" s="28" t="s">
        <v>6700</v>
      </c>
      <c r="E517" s="28" t="s">
        <v>6892</v>
      </c>
      <c r="F517" s="28" t="s">
        <v>6893</v>
      </c>
      <c r="G517" s="28">
        <v>0</v>
      </c>
    </row>
    <row r="518" spans="1:7">
      <c r="A518" s="28">
        <v>32541</v>
      </c>
      <c r="B518" s="28" t="s">
        <v>6880</v>
      </c>
      <c r="C518" s="28">
        <v>4</v>
      </c>
      <c r="D518" s="28" t="s">
        <v>6700</v>
      </c>
      <c r="E518" s="28" t="s">
        <v>6881</v>
      </c>
      <c r="F518" s="28" t="s">
        <v>6894</v>
      </c>
      <c r="G518" s="28">
        <v>0</v>
      </c>
    </row>
    <row r="519" spans="1:7">
      <c r="A519" s="28">
        <v>32542</v>
      </c>
      <c r="B519" s="28" t="s">
        <v>6883</v>
      </c>
      <c r="C519" s="28">
        <v>4</v>
      </c>
      <c r="D519" s="28" t="s">
        <v>6700</v>
      </c>
      <c r="E519" s="28" t="s">
        <v>6884</v>
      </c>
      <c r="F519" s="28" t="s">
        <v>6894</v>
      </c>
      <c r="G519" s="28">
        <v>0</v>
      </c>
    </row>
    <row r="520" spans="1:7">
      <c r="A520" s="28">
        <v>32543</v>
      </c>
      <c r="B520" s="28" t="s">
        <v>6885</v>
      </c>
      <c r="C520" s="28">
        <v>4</v>
      </c>
      <c r="D520" s="28" t="s">
        <v>6700</v>
      </c>
      <c r="E520" s="28" t="s">
        <v>6886</v>
      </c>
      <c r="F520" s="28" t="s">
        <v>6894</v>
      </c>
      <c r="G520" s="28">
        <v>0</v>
      </c>
    </row>
    <row r="521" spans="1:7">
      <c r="A521" s="28">
        <v>32544</v>
      </c>
      <c r="B521" s="28" t="s">
        <v>6887</v>
      </c>
      <c r="C521" s="28">
        <v>4</v>
      </c>
      <c r="D521" s="28" t="s">
        <v>6700</v>
      </c>
      <c r="E521" s="28" t="s">
        <v>6888</v>
      </c>
      <c r="F521" s="28" t="s">
        <v>6894</v>
      </c>
      <c r="G521" s="28">
        <v>0</v>
      </c>
    </row>
    <row r="522" spans="1:7">
      <c r="A522" s="28">
        <v>32545</v>
      </c>
      <c r="B522" s="28" t="s">
        <v>6889</v>
      </c>
      <c r="C522" s="28">
        <v>4</v>
      </c>
      <c r="D522" s="28" t="s">
        <v>6700</v>
      </c>
      <c r="E522" s="28" t="s">
        <v>6890</v>
      </c>
      <c r="F522" s="28" t="s">
        <v>6894</v>
      </c>
      <c r="G522" s="28">
        <v>0</v>
      </c>
    </row>
    <row r="523" spans="1:7">
      <c r="A523" s="28">
        <v>32546</v>
      </c>
      <c r="B523" s="28" t="s">
        <v>6891</v>
      </c>
      <c r="C523" s="28">
        <v>4</v>
      </c>
      <c r="D523" s="28" t="s">
        <v>6700</v>
      </c>
      <c r="E523" s="28" t="s">
        <v>6892</v>
      </c>
      <c r="F523" s="28" t="s">
        <v>6894</v>
      </c>
      <c r="G523" s="28">
        <v>0</v>
      </c>
    </row>
    <row r="524" spans="1:7">
      <c r="A524" s="28">
        <v>32621</v>
      </c>
      <c r="B524" s="28" t="s">
        <v>6895</v>
      </c>
      <c r="C524" s="28">
        <v>2</v>
      </c>
      <c r="D524" s="28" t="s">
        <v>6700</v>
      </c>
      <c r="E524" s="28" t="s">
        <v>6896</v>
      </c>
      <c r="F524" s="28" t="s">
        <v>6897</v>
      </c>
      <c r="G524" s="28">
        <v>0</v>
      </c>
    </row>
    <row r="525" spans="1:7">
      <c r="A525" s="28">
        <v>32622</v>
      </c>
      <c r="B525" s="28" t="s">
        <v>6898</v>
      </c>
      <c r="C525" s="28">
        <v>2</v>
      </c>
      <c r="D525" s="28" t="s">
        <v>6700</v>
      </c>
      <c r="E525" s="28" t="s">
        <v>6899</v>
      </c>
      <c r="F525" s="28" t="s">
        <v>6897</v>
      </c>
      <c r="G525" s="28">
        <v>0</v>
      </c>
    </row>
    <row r="526" spans="1:7">
      <c r="A526" s="28">
        <v>32623</v>
      </c>
      <c r="B526" s="28" t="s">
        <v>6900</v>
      </c>
      <c r="C526" s="28">
        <v>2</v>
      </c>
      <c r="D526" s="28" t="s">
        <v>6700</v>
      </c>
      <c r="E526" s="28" t="s">
        <v>6901</v>
      </c>
      <c r="F526" s="28" t="s">
        <v>6897</v>
      </c>
      <c r="G526" s="28">
        <v>0</v>
      </c>
    </row>
    <row r="527" spans="1:7">
      <c r="A527" s="28">
        <v>32624</v>
      </c>
      <c r="B527" s="28" t="s">
        <v>6902</v>
      </c>
      <c r="C527" s="28">
        <v>2</v>
      </c>
      <c r="D527" s="28" t="s">
        <v>6700</v>
      </c>
      <c r="E527" s="28" t="s">
        <v>6903</v>
      </c>
      <c r="F527" s="28" t="s">
        <v>6897</v>
      </c>
      <c r="G527" s="28">
        <v>0</v>
      </c>
    </row>
    <row r="528" spans="1:7">
      <c r="A528" s="28">
        <v>32625</v>
      </c>
      <c r="B528" s="28" t="s">
        <v>6904</v>
      </c>
      <c r="C528" s="28">
        <v>2</v>
      </c>
      <c r="D528" s="28" t="s">
        <v>6700</v>
      </c>
      <c r="E528" s="28" t="s">
        <v>6905</v>
      </c>
      <c r="F528" s="28" t="s">
        <v>6897</v>
      </c>
      <c r="G528" s="28">
        <v>0</v>
      </c>
    </row>
    <row r="529" spans="1:7">
      <c r="A529" s="28">
        <v>32626</v>
      </c>
      <c r="B529" s="28" t="s">
        <v>6906</v>
      </c>
      <c r="C529" s="28">
        <v>2</v>
      </c>
      <c r="D529" s="28" t="s">
        <v>6700</v>
      </c>
      <c r="E529" s="28" t="s">
        <v>6907</v>
      </c>
      <c r="F529" s="28" t="s">
        <v>6897</v>
      </c>
      <c r="G529" s="28">
        <v>0</v>
      </c>
    </row>
    <row r="530" spans="1:7">
      <c r="A530" s="28">
        <v>32631</v>
      </c>
      <c r="B530" s="28" t="s">
        <v>6895</v>
      </c>
      <c r="C530" s="28">
        <v>3</v>
      </c>
      <c r="D530" s="28" t="s">
        <v>6700</v>
      </c>
      <c r="E530" s="28" t="s">
        <v>6896</v>
      </c>
      <c r="F530" s="28" t="s">
        <v>6908</v>
      </c>
      <c r="G530" s="28">
        <v>0</v>
      </c>
    </row>
    <row r="531" spans="1:7">
      <c r="A531" s="28">
        <v>32632</v>
      </c>
      <c r="B531" s="28" t="s">
        <v>6898</v>
      </c>
      <c r="C531" s="28">
        <v>3</v>
      </c>
      <c r="D531" s="28" t="s">
        <v>6700</v>
      </c>
      <c r="E531" s="28" t="s">
        <v>6899</v>
      </c>
      <c r="F531" s="28" t="s">
        <v>6908</v>
      </c>
      <c r="G531" s="28">
        <v>0</v>
      </c>
    </row>
    <row r="532" spans="1:7">
      <c r="A532" s="28">
        <v>32633</v>
      </c>
      <c r="B532" s="28" t="s">
        <v>6900</v>
      </c>
      <c r="C532" s="28">
        <v>3</v>
      </c>
      <c r="D532" s="28" t="s">
        <v>6700</v>
      </c>
      <c r="E532" s="28" t="s">
        <v>6901</v>
      </c>
      <c r="F532" s="28" t="s">
        <v>6908</v>
      </c>
      <c r="G532" s="28">
        <v>0</v>
      </c>
    </row>
    <row r="533" spans="1:7">
      <c r="A533" s="28">
        <v>32634</v>
      </c>
      <c r="B533" s="28" t="s">
        <v>6902</v>
      </c>
      <c r="C533" s="28">
        <v>3</v>
      </c>
      <c r="D533" s="28" t="s">
        <v>6700</v>
      </c>
      <c r="E533" s="28" t="s">
        <v>6903</v>
      </c>
      <c r="F533" s="28" t="s">
        <v>6908</v>
      </c>
      <c r="G533" s="28">
        <v>0</v>
      </c>
    </row>
    <row r="534" spans="1:7">
      <c r="A534" s="28">
        <v>32635</v>
      </c>
      <c r="B534" s="28" t="s">
        <v>6904</v>
      </c>
      <c r="C534" s="28">
        <v>3</v>
      </c>
      <c r="D534" s="28" t="s">
        <v>6700</v>
      </c>
      <c r="E534" s="28" t="s">
        <v>6905</v>
      </c>
      <c r="F534" s="28" t="s">
        <v>6908</v>
      </c>
      <c r="G534" s="28">
        <v>0</v>
      </c>
    </row>
    <row r="535" spans="1:7">
      <c r="A535" s="28">
        <v>32636</v>
      </c>
      <c r="B535" s="28" t="s">
        <v>6906</v>
      </c>
      <c r="C535" s="28">
        <v>3</v>
      </c>
      <c r="D535" s="28" t="s">
        <v>6700</v>
      </c>
      <c r="E535" s="28" t="s">
        <v>6907</v>
      </c>
      <c r="F535" s="28" t="s">
        <v>6908</v>
      </c>
      <c r="G535" s="28">
        <v>0</v>
      </c>
    </row>
    <row r="536" spans="1:7">
      <c r="A536" s="28">
        <v>32641</v>
      </c>
      <c r="B536" s="28" t="s">
        <v>6895</v>
      </c>
      <c r="C536" s="28">
        <v>4</v>
      </c>
      <c r="D536" s="28" t="s">
        <v>6700</v>
      </c>
      <c r="E536" s="28" t="s">
        <v>6896</v>
      </c>
      <c r="F536" s="28" t="s">
        <v>6909</v>
      </c>
      <c r="G536" s="28">
        <v>0</v>
      </c>
    </row>
    <row r="537" spans="1:7">
      <c r="A537" s="28">
        <v>32642</v>
      </c>
      <c r="B537" s="28" t="s">
        <v>6898</v>
      </c>
      <c r="C537" s="28">
        <v>4</v>
      </c>
      <c r="D537" s="28" t="s">
        <v>6700</v>
      </c>
      <c r="E537" s="28" t="s">
        <v>6899</v>
      </c>
      <c r="F537" s="28" t="s">
        <v>6909</v>
      </c>
      <c r="G537" s="28">
        <v>0</v>
      </c>
    </row>
    <row r="538" spans="1:7">
      <c r="A538" s="28">
        <v>32643</v>
      </c>
      <c r="B538" s="28" t="s">
        <v>6900</v>
      </c>
      <c r="C538" s="28">
        <v>4</v>
      </c>
      <c r="D538" s="28" t="s">
        <v>6700</v>
      </c>
      <c r="E538" s="28" t="s">
        <v>6901</v>
      </c>
      <c r="F538" s="28" t="s">
        <v>6909</v>
      </c>
      <c r="G538" s="28">
        <v>0</v>
      </c>
    </row>
    <row r="539" spans="1:7">
      <c r="A539" s="28">
        <v>32644</v>
      </c>
      <c r="B539" s="28" t="s">
        <v>6902</v>
      </c>
      <c r="C539" s="28">
        <v>4</v>
      </c>
      <c r="D539" s="28" t="s">
        <v>6700</v>
      </c>
      <c r="E539" s="28" t="s">
        <v>6903</v>
      </c>
      <c r="F539" s="28" t="s">
        <v>6909</v>
      </c>
      <c r="G539" s="28">
        <v>0</v>
      </c>
    </row>
    <row r="540" spans="1:7">
      <c r="A540" s="28">
        <v>32645</v>
      </c>
      <c r="B540" s="28" t="s">
        <v>6904</v>
      </c>
      <c r="C540" s="28">
        <v>4</v>
      </c>
      <c r="D540" s="28" t="s">
        <v>6700</v>
      </c>
      <c r="E540" s="28" t="s">
        <v>6905</v>
      </c>
      <c r="F540" s="28" t="s">
        <v>6909</v>
      </c>
      <c r="G540" s="28">
        <v>0</v>
      </c>
    </row>
    <row r="541" spans="1:7">
      <c r="A541" s="28">
        <v>32646</v>
      </c>
      <c r="B541" s="28" t="s">
        <v>6906</v>
      </c>
      <c r="C541" s="28">
        <v>4</v>
      </c>
      <c r="D541" s="28" t="s">
        <v>6700</v>
      </c>
      <c r="E541" s="28" t="s">
        <v>6907</v>
      </c>
      <c r="F541" s="28" t="s">
        <v>6909</v>
      </c>
      <c r="G541" s="28">
        <v>0</v>
      </c>
    </row>
    <row r="542" spans="1:7">
      <c r="A542" s="28">
        <v>32721</v>
      </c>
      <c r="B542" s="28" t="s">
        <v>6910</v>
      </c>
      <c r="C542" s="28">
        <v>2</v>
      </c>
      <c r="D542" s="28" t="s">
        <v>6700</v>
      </c>
      <c r="E542" s="28" t="s">
        <v>6911</v>
      </c>
      <c r="F542" s="28" t="s">
        <v>6912</v>
      </c>
      <c r="G542" s="28">
        <v>0</v>
      </c>
    </row>
    <row r="543" spans="1:7">
      <c r="A543" s="28">
        <v>32722</v>
      </c>
      <c r="B543" s="28" t="s">
        <v>6913</v>
      </c>
      <c r="C543" s="28">
        <v>2</v>
      </c>
      <c r="D543" s="28" t="s">
        <v>6700</v>
      </c>
      <c r="E543" s="28" t="s">
        <v>6914</v>
      </c>
      <c r="F543" s="28" t="s">
        <v>6912</v>
      </c>
      <c r="G543" s="28">
        <v>0</v>
      </c>
    </row>
    <row r="544" spans="1:7">
      <c r="A544" s="28">
        <v>32723</v>
      </c>
      <c r="B544" s="28" t="s">
        <v>6915</v>
      </c>
      <c r="C544" s="28">
        <v>2</v>
      </c>
      <c r="D544" s="28" t="s">
        <v>6700</v>
      </c>
      <c r="E544" s="28" t="s">
        <v>6916</v>
      </c>
      <c r="F544" s="28" t="s">
        <v>6912</v>
      </c>
      <c r="G544" s="28">
        <v>0</v>
      </c>
    </row>
    <row r="545" spans="1:7">
      <c r="A545" s="28">
        <v>32724</v>
      </c>
      <c r="B545" s="28" t="s">
        <v>6917</v>
      </c>
      <c r="C545" s="28">
        <v>2</v>
      </c>
      <c r="D545" s="28" t="s">
        <v>6700</v>
      </c>
      <c r="E545" s="28" t="s">
        <v>6918</v>
      </c>
      <c r="F545" s="28" t="s">
        <v>6912</v>
      </c>
      <c r="G545" s="28">
        <v>0</v>
      </c>
    </row>
    <row r="546" spans="1:7">
      <c r="A546" s="28">
        <v>32725</v>
      </c>
      <c r="B546" s="28" t="s">
        <v>6919</v>
      </c>
      <c r="C546" s="28">
        <v>2</v>
      </c>
      <c r="D546" s="28" t="s">
        <v>6700</v>
      </c>
      <c r="E546" s="28" t="s">
        <v>6920</v>
      </c>
      <c r="F546" s="28" t="s">
        <v>6912</v>
      </c>
      <c r="G546" s="28">
        <v>0</v>
      </c>
    </row>
    <row r="547" spans="1:7">
      <c r="A547" s="28">
        <v>32726</v>
      </c>
      <c r="B547" s="28" t="s">
        <v>6921</v>
      </c>
      <c r="C547" s="28">
        <v>2</v>
      </c>
      <c r="D547" s="28" t="s">
        <v>6700</v>
      </c>
      <c r="E547" s="28" t="s">
        <v>6922</v>
      </c>
      <c r="F547" s="28" t="s">
        <v>6912</v>
      </c>
      <c r="G547" s="28">
        <v>0</v>
      </c>
    </row>
    <row r="548" spans="1:7">
      <c r="A548" s="28">
        <v>32731</v>
      </c>
      <c r="B548" s="28" t="s">
        <v>6910</v>
      </c>
      <c r="C548" s="28">
        <v>3</v>
      </c>
      <c r="D548" s="28" t="s">
        <v>6700</v>
      </c>
      <c r="E548" s="28" t="s">
        <v>6911</v>
      </c>
      <c r="F548" s="28" t="s">
        <v>6923</v>
      </c>
      <c r="G548" s="28">
        <v>0</v>
      </c>
    </row>
    <row r="549" spans="1:7">
      <c r="A549" s="28">
        <v>32732</v>
      </c>
      <c r="B549" s="28" t="s">
        <v>6913</v>
      </c>
      <c r="C549" s="28">
        <v>3</v>
      </c>
      <c r="D549" s="28" t="s">
        <v>6700</v>
      </c>
      <c r="E549" s="28" t="s">
        <v>6914</v>
      </c>
      <c r="F549" s="28" t="s">
        <v>6923</v>
      </c>
      <c r="G549" s="28">
        <v>0</v>
      </c>
    </row>
    <row r="550" spans="1:7">
      <c r="A550" s="28">
        <v>32733</v>
      </c>
      <c r="B550" s="28" t="s">
        <v>6915</v>
      </c>
      <c r="C550" s="28">
        <v>3</v>
      </c>
      <c r="D550" s="28" t="s">
        <v>6700</v>
      </c>
      <c r="E550" s="28" t="s">
        <v>6916</v>
      </c>
      <c r="F550" s="28" t="s">
        <v>6923</v>
      </c>
      <c r="G550" s="28">
        <v>0</v>
      </c>
    </row>
    <row r="551" spans="1:7">
      <c r="A551" s="28">
        <v>32734</v>
      </c>
      <c r="B551" s="28" t="s">
        <v>6917</v>
      </c>
      <c r="C551" s="28">
        <v>3</v>
      </c>
      <c r="D551" s="28" t="s">
        <v>6700</v>
      </c>
      <c r="E551" s="28" t="s">
        <v>6918</v>
      </c>
      <c r="F551" s="28" t="s">
        <v>6923</v>
      </c>
      <c r="G551" s="28">
        <v>0</v>
      </c>
    </row>
    <row r="552" spans="1:7">
      <c r="A552" s="28">
        <v>32735</v>
      </c>
      <c r="B552" s="28" t="s">
        <v>6919</v>
      </c>
      <c r="C552" s="28">
        <v>3</v>
      </c>
      <c r="D552" s="28" t="s">
        <v>6700</v>
      </c>
      <c r="E552" s="28" t="s">
        <v>6920</v>
      </c>
      <c r="F552" s="28" t="s">
        <v>6923</v>
      </c>
      <c r="G552" s="28">
        <v>0</v>
      </c>
    </row>
    <row r="553" spans="1:7">
      <c r="A553" s="28">
        <v>32736</v>
      </c>
      <c r="B553" s="28" t="s">
        <v>6921</v>
      </c>
      <c r="C553" s="28">
        <v>3</v>
      </c>
      <c r="D553" s="28" t="s">
        <v>6700</v>
      </c>
      <c r="E553" s="28" t="s">
        <v>6922</v>
      </c>
      <c r="F553" s="28" t="s">
        <v>6923</v>
      </c>
      <c r="G553" s="28">
        <v>0</v>
      </c>
    </row>
    <row r="554" spans="1:7">
      <c r="A554" s="28">
        <v>32741</v>
      </c>
      <c r="B554" s="28" t="s">
        <v>6910</v>
      </c>
      <c r="C554" s="28">
        <v>4</v>
      </c>
      <c r="D554" s="28" t="s">
        <v>6700</v>
      </c>
      <c r="E554" s="28" t="s">
        <v>6911</v>
      </c>
      <c r="F554" s="28" t="s">
        <v>6924</v>
      </c>
      <c r="G554" s="28">
        <v>0</v>
      </c>
    </row>
    <row r="555" spans="1:7">
      <c r="A555" s="28">
        <v>32742</v>
      </c>
      <c r="B555" s="28" t="s">
        <v>6913</v>
      </c>
      <c r="C555" s="28">
        <v>4</v>
      </c>
      <c r="D555" s="28" t="s">
        <v>6700</v>
      </c>
      <c r="E555" s="28" t="s">
        <v>6914</v>
      </c>
      <c r="F555" s="28" t="s">
        <v>6924</v>
      </c>
      <c r="G555" s="28">
        <v>0</v>
      </c>
    </row>
    <row r="556" spans="1:7">
      <c r="A556" s="28">
        <v>32743</v>
      </c>
      <c r="B556" s="28" t="s">
        <v>6915</v>
      </c>
      <c r="C556" s="28">
        <v>4</v>
      </c>
      <c r="D556" s="28" t="s">
        <v>6700</v>
      </c>
      <c r="E556" s="28" t="s">
        <v>6916</v>
      </c>
      <c r="F556" s="28" t="s">
        <v>6924</v>
      </c>
      <c r="G556" s="28">
        <v>0</v>
      </c>
    </row>
    <row r="557" spans="1:7">
      <c r="A557" s="28">
        <v>32744</v>
      </c>
      <c r="B557" s="28" t="s">
        <v>6917</v>
      </c>
      <c r="C557" s="28">
        <v>4</v>
      </c>
      <c r="D557" s="28" t="s">
        <v>6700</v>
      </c>
      <c r="E557" s="28" t="s">
        <v>6918</v>
      </c>
      <c r="F557" s="28" t="s">
        <v>6924</v>
      </c>
      <c r="G557" s="28">
        <v>0</v>
      </c>
    </row>
    <row r="558" spans="1:7">
      <c r="A558" s="28">
        <v>32745</v>
      </c>
      <c r="B558" s="28" t="s">
        <v>6919</v>
      </c>
      <c r="C558" s="28">
        <v>4</v>
      </c>
      <c r="D558" s="28" t="s">
        <v>6700</v>
      </c>
      <c r="E558" s="28" t="s">
        <v>6920</v>
      </c>
      <c r="F558" s="28" t="s">
        <v>6924</v>
      </c>
      <c r="G558" s="28">
        <v>0</v>
      </c>
    </row>
    <row r="559" spans="1:7">
      <c r="A559" s="28">
        <v>32746</v>
      </c>
      <c r="B559" s="28" t="s">
        <v>6921</v>
      </c>
      <c r="C559" s="28">
        <v>4</v>
      </c>
      <c r="D559" s="28" t="s">
        <v>6700</v>
      </c>
      <c r="E559" s="28" t="s">
        <v>6922</v>
      </c>
      <c r="F559" s="28" t="s">
        <v>6924</v>
      </c>
      <c r="G559" s="28">
        <v>0</v>
      </c>
    </row>
    <row r="560" spans="1:7">
      <c r="A560" s="28">
        <v>32821</v>
      </c>
      <c r="B560" s="28" t="s">
        <v>6925</v>
      </c>
      <c r="C560" s="28">
        <v>2</v>
      </c>
      <c r="D560" s="28" t="s">
        <v>6700</v>
      </c>
      <c r="E560" s="28" t="s">
        <v>6926</v>
      </c>
      <c r="F560" s="28" t="s">
        <v>6927</v>
      </c>
      <c r="G560" s="28">
        <v>0</v>
      </c>
    </row>
    <row r="561" spans="1:7">
      <c r="A561" s="28">
        <v>32822</v>
      </c>
      <c r="B561" s="28" t="s">
        <v>6928</v>
      </c>
      <c r="C561" s="28">
        <v>2</v>
      </c>
      <c r="D561" s="28" t="s">
        <v>6700</v>
      </c>
      <c r="E561" s="28" t="s">
        <v>6929</v>
      </c>
      <c r="F561" s="28" t="s">
        <v>6927</v>
      </c>
      <c r="G561" s="28">
        <v>0</v>
      </c>
    </row>
    <row r="562" spans="1:7">
      <c r="A562" s="28">
        <v>32823</v>
      </c>
      <c r="B562" s="28" t="s">
        <v>6930</v>
      </c>
      <c r="C562" s="28">
        <v>2</v>
      </c>
      <c r="D562" s="28" t="s">
        <v>6700</v>
      </c>
      <c r="E562" s="28" t="s">
        <v>6931</v>
      </c>
      <c r="F562" s="28" t="s">
        <v>6927</v>
      </c>
      <c r="G562" s="28">
        <v>0</v>
      </c>
    </row>
    <row r="563" spans="1:7">
      <c r="A563" s="28">
        <v>32824</v>
      </c>
      <c r="B563" s="28" t="s">
        <v>6932</v>
      </c>
      <c r="C563" s="28">
        <v>2</v>
      </c>
      <c r="D563" s="28" t="s">
        <v>6700</v>
      </c>
      <c r="E563" s="28" t="s">
        <v>6933</v>
      </c>
      <c r="F563" s="28" t="s">
        <v>6927</v>
      </c>
      <c r="G563" s="28">
        <v>0</v>
      </c>
    </row>
    <row r="564" spans="1:7">
      <c r="A564" s="28">
        <v>32825</v>
      </c>
      <c r="B564" s="28" t="s">
        <v>6934</v>
      </c>
      <c r="C564" s="28">
        <v>2</v>
      </c>
      <c r="D564" s="28" t="s">
        <v>6700</v>
      </c>
      <c r="E564" s="28" t="s">
        <v>6935</v>
      </c>
      <c r="F564" s="28" t="s">
        <v>6927</v>
      </c>
      <c r="G564" s="28">
        <v>0</v>
      </c>
    </row>
    <row r="565" spans="1:7">
      <c r="A565" s="28">
        <v>32826</v>
      </c>
      <c r="B565" s="28" t="s">
        <v>6936</v>
      </c>
      <c r="C565" s="28">
        <v>2</v>
      </c>
      <c r="D565" s="28" t="s">
        <v>6700</v>
      </c>
      <c r="E565" s="28" t="s">
        <v>6937</v>
      </c>
      <c r="F565" s="28" t="s">
        <v>6927</v>
      </c>
      <c r="G565" s="28">
        <v>0</v>
      </c>
    </row>
    <row r="566" spans="1:7">
      <c r="A566" s="28">
        <v>32831</v>
      </c>
      <c r="B566" s="28" t="s">
        <v>6925</v>
      </c>
      <c r="C566" s="28">
        <v>3</v>
      </c>
      <c r="D566" s="28" t="s">
        <v>6700</v>
      </c>
      <c r="E566" s="28" t="s">
        <v>6926</v>
      </c>
      <c r="F566" s="28" t="s">
        <v>6938</v>
      </c>
      <c r="G566" s="28">
        <v>0</v>
      </c>
    </row>
    <row r="567" spans="1:7">
      <c r="A567" s="28">
        <v>32832</v>
      </c>
      <c r="B567" s="28" t="s">
        <v>6928</v>
      </c>
      <c r="C567" s="28">
        <v>3</v>
      </c>
      <c r="D567" s="28" t="s">
        <v>6700</v>
      </c>
      <c r="E567" s="28" t="s">
        <v>6929</v>
      </c>
      <c r="F567" s="28" t="s">
        <v>6938</v>
      </c>
      <c r="G567" s="28">
        <v>0</v>
      </c>
    </row>
    <row r="568" spans="1:7">
      <c r="A568" s="28">
        <v>32833</v>
      </c>
      <c r="B568" s="28" t="s">
        <v>6930</v>
      </c>
      <c r="C568" s="28">
        <v>3</v>
      </c>
      <c r="D568" s="28" t="s">
        <v>6700</v>
      </c>
      <c r="E568" s="28" t="s">
        <v>6931</v>
      </c>
      <c r="F568" s="28" t="s">
        <v>6938</v>
      </c>
      <c r="G568" s="28">
        <v>0</v>
      </c>
    </row>
    <row r="569" spans="1:7">
      <c r="A569" s="28">
        <v>32834</v>
      </c>
      <c r="B569" s="28" t="s">
        <v>6932</v>
      </c>
      <c r="C569" s="28">
        <v>3</v>
      </c>
      <c r="D569" s="28" t="s">
        <v>6700</v>
      </c>
      <c r="E569" s="28" t="s">
        <v>6933</v>
      </c>
      <c r="F569" s="28" t="s">
        <v>6938</v>
      </c>
      <c r="G569" s="28">
        <v>0</v>
      </c>
    </row>
    <row r="570" spans="1:7">
      <c r="A570" s="28">
        <v>32835</v>
      </c>
      <c r="B570" s="28" t="s">
        <v>6934</v>
      </c>
      <c r="C570" s="28">
        <v>3</v>
      </c>
      <c r="D570" s="28" t="s">
        <v>6700</v>
      </c>
      <c r="E570" s="28" t="s">
        <v>6935</v>
      </c>
      <c r="F570" s="28" t="s">
        <v>6938</v>
      </c>
      <c r="G570" s="28">
        <v>0</v>
      </c>
    </row>
    <row r="571" spans="1:7">
      <c r="A571" s="28">
        <v>32836</v>
      </c>
      <c r="B571" s="28" t="s">
        <v>6936</v>
      </c>
      <c r="C571" s="28">
        <v>3</v>
      </c>
      <c r="D571" s="28" t="s">
        <v>6700</v>
      </c>
      <c r="E571" s="28" t="s">
        <v>6937</v>
      </c>
      <c r="F571" s="28" t="s">
        <v>6938</v>
      </c>
      <c r="G571" s="28">
        <v>0</v>
      </c>
    </row>
    <row r="572" spans="1:7">
      <c r="A572" s="28">
        <v>32841</v>
      </c>
      <c r="B572" s="28" t="s">
        <v>6925</v>
      </c>
      <c r="C572" s="28">
        <v>4</v>
      </c>
      <c r="D572" s="28" t="s">
        <v>6700</v>
      </c>
      <c r="E572" s="28" t="s">
        <v>6926</v>
      </c>
      <c r="F572" s="28" t="s">
        <v>6939</v>
      </c>
      <c r="G572" s="28">
        <v>0</v>
      </c>
    </row>
    <row r="573" spans="1:7">
      <c r="A573" s="28">
        <v>32842</v>
      </c>
      <c r="B573" s="28" t="s">
        <v>6928</v>
      </c>
      <c r="C573" s="28">
        <v>4</v>
      </c>
      <c r="D573" s="28" t="s">
        <v>6700</v>
      </c>
      <c r="E573" s="28" t="s">
        <v>6929</v>
      </c>
      <c r="F573" s="28" t="s">
        <v>6939</v>
      </c>
      <c r="G573" s="28">
        <v>0</v>
      </c>
    </row>
    <row r="574" spans="1:7">
      <c r="A574" s="28">
        <v>32843</v>
      </c>
      <c r="B574" s="28" t="s">
        <v>6930</v>
      </c>
      <c r="C574" s="28">
        <v>4</v>
      </c>
      <c r="D574" s="28" t="s">
        <v>6700</v>
      </c>
      <c r="E574" s="28" t="s">
        <v>6931</v>
      </c>
      <c r="F574" s="28" t="s">
        <v>6939</v>
      </c>
      <c r="G574" s="28">
        <v>0</v>
      </c>
    </row>
    <row r="575" spans="1:7">
      <c r="A575" s="28">
        <v>32844</v>
      </c>
      <c r="B575" s="28" t="s">
        <v>6932</v>
      </c>
      <c r="C575" s="28">
        <v>4</v>
      </c>
      <c r="D575" s="28" t="s">
        <v>6700</v>
      </c>
      <c r="E575" s="28" t="s">
        <v>6933</v>
      </c>
      <c r="F575" s="28" t="s">
        <v>6939</v>
      </c>
      <c r="G575" s="28">
        <v>0</v>
      </c>
    </row>
    <row r="576" spans="1:7">
      <c r="A576" s="28">
        <v>32845</v>
      </c>
      <c r="B576" s="28" t="s">
        <v>6934</v>
      </c>
      <c r="C576" s="28">
        <v>4</v>
      </c>
      <c r="D576" s="28" t="s">
        <v>6700</v>
      </c>
      <c r="E576" s="28" t="s">
        <v>6935</v>
      </c>
      <c r="F576" s="28" t="s">
        <v>6939</v>
      </c>
      <c r="G576" s="28">
        <v>0</v>
      </c>
    </row>
    <row r="577" spans="1:7">
      <c r="A577" s="28">
        <v>32846</v>
      </c>
      <c r="B577" s="28" t="s">
        <v>6936</v>
      </c>
      <c r="C577" s="28">
        <v>4</v>
      </c>
      <c r="D577" s="28" t="s">
        <v>6700</v>
      </c>
      <c r="E577" s="28" t="s">
        <v>6937</v>
      </c>
      <c r="F577" s="28" t="s">
        <v>6939</v>
      </c>
      <c r="G577" s="28">
        <v>0</v>
      </c>
    </row>
    <row r="578" spans="1:7">
      <c r="A578" s="28">
        <v>32921</v>
      </c>
      <c r="B578" s="28" t="s">
        <v>6940</v>
      </c>
      <c r="C578" s="28">
        <v>2</v>
      </c>
      <c r="D578" s="28" t="s">
        <v>6700</v>
      </c>
      <c r="E578" s="28" t="s">
        <v>6941</v>
      </c>
      <c r="F578" s="28" t="s">
        <v>6942</v>
      </c>
      <c r="G578" s="28">
        <v>0</v>
      </c>
    </row>
    <row r="579" spans="1:7">
      <c r="A579" s="28">
        <v>32922</v>
      </c>
      <c r="B579" s="28" t="s">
        <v>6943</v>
      </c>
      <c r="C579" s="28">
        <v>2</v>
      </c>
      <c r="D579" s="28" t="s">
        <v>6700</v>
      </c>
      <c r="E579" s="28" t="s">
        <v>6944</v>
      </c>
      <c r="F579" s="28" t="s">
        <v>6942</v>
      </c>
      <c r="G579" s="28">
        <v>0</v>
      </c>
    </row>
    <row r="580" spans="1:7">
      <c r="A580" s="28">
        <v>32923</v>
      </c>
      <c r="B580" s="28" t="s">
        <v>6945</v>
      </c>
      <c r="C580" s="28">
        <v>2</v>
      </c>
      <c r="D580" s="28" t="s">
        <v>6700</v>
      </c>
      <c r="E580" s="28" t="s">
        <v>6946</v>
      </c>
      <c r="F580" s="28" t="s">
        <v>6942</v>
      </c>
      <c r="G580" s="28">
        <v>0</v>
      </c>
    </row>
    <row r="581" spans="1:7">
      <c r="A581" s="28">
        <v>32924</v>
      </c>
      <c r="B581" s="28" t="s">
        <v>6947</v>
      </c>
      <c r="C581" s="28">
        <v>2</v>
      </c>
      <c r="D581" s="28" t="s">
        <v>6700</v>
      </c>
      <c r="E581" s="28" t="s">
        <v>6948</v>
      </c>
      <c r="F581" s="28" t="s">
        <v>6942</v>
      </c>
      <c r="G581" s="28">
        <v>0</v>
      </c>
    </row>
    <row r="582" spans="1:7">
      <c r="A582" s="28">
        <v>32925</v>
      </c>
      <c r="B582" s="28" t="s">
        <v>6949</v>
      </c>
      <c r="C582" s="28">
        <v>2</v>
      </c>
      <c r="D582" s="28" t="s">
        <v>6700</v>
      </c>
      <c r="E582" s="28" t="s">
        <v>6950</v>
      </c>
      <c r="F582" s="28" t="s">
        <v>6942</v>
      </c>
      <c r="G582" s="28">
        <v>0</v>
      </c>
    </row>
    <row r="583" spans="1:7">
      <c r="A583" s="28">
        <v>32926</v>
      </c>
      <c r="B583" s="28" t="s">
        <v>6951</v>
      </c>
      <c r="C583" s="28">
        <v>2</v>
      </c>
      <c r="D583" s="28" t="s">
        <v>6700</v>
      </c>
      <c r="E583" s="28" t="s">
        <v>6952</v>
      </c>
      <c r="F583" s="28" t="s">
        <v>6942</v>
      </c>
      <c r="G583" s="28">
        <v>0</v>
      </c>
    </row>
    <row r="584" spans="1:7">
      <c r="A584" s="28">
        <v>32931</v>
      </c>
      <c r="B584" s="28" t="s">
        <v>6940</v>
      </c>
      <c r="C584" s="28">
        <v>3</v>
      </c>
      <c r="D584" s="28" t="s">
        <v>6700</v>
      </c>
      <c r="E584" s="28" t="s">
        <v>6941</v>
      </c>
      <c r="F584" s="28" t="s">
        <v>6953</v>
      </c>
      <c r="G584" s="28">
        <v>0</v>
      </c>
    </row>
    <row r="585" spans="1:7">
      <c r="A585" s="28">
        <v>32932</v>
      </c>
      <c r="B585" s="28" t="s">
        <v>6943</v>
      </c>
      <c r="C585" s="28">
        <v>3</v>
      </c>
      <c r="D585" s="28" t="s">
        <v>6700</v>
      </c>
      <c r="E585" s="28" t="s">
        <v>6944</v>
      </c>
      <c r="F585" s="28" t="s">
        <v>6953</v>
      </c>
      <c r="G585" s="28">
        <v>0</v>
      </c>
    </row>
    <row r="586" spans="1:7">
      <c r="A586" s="28">
        <v>32933</v>
      </c>
      <c r="B586" s="28" t="s">
        <v>6945</v>
      </c>
      <c r="C586" s="28">
        <v>3</v>
      </c>
      <c r="D586" s="28" t="s">
        <v>6700</v>
      </c>
      <c r="E586" s="28" t="s">
        <v>6946</v>
      </c>
      <c r="F586" s="28" t="s">
        <v>6953</v>
      </c>
      <c r="G586" s="28">
        <v>0</v>
      </c>
    </row>
    <row r="587" spans="1:7">
      <c r="A587" s="28">
        <v>32934</v>
      </c>
      <c r="B587" s="28" t="s">
        <v>6947</v>
      </c>
      <c r="C587" s="28">
        <v>3</v>
      </c>
      <c r="D587" s="28" t="s">
        <v>6700</v>
      </c>
      <c r="E587" s="28" t="s">
        <v>6948</v>
      </c>
      <c r="F587" s="28" t="s">
        <v>6953</v>
      </c>
      <c r="G587" s="28">
        <v>0</v>
      </c>
    </row>
    <row r="588" spans="1:7">
      <c r="A588" s="28">
        <v>32935</v>
      </c>
      <c r="B588" s="28" t="s">
        <v>6949</v>
      </c>
      <c r="C588" s="28">
        <v>3</v>
      </c>
      <c r="D588" s="28" t="s">
        <v>6700</v>
      </c>
      <c r="E588" s="28" t="s">
        <v>6950</v>
      </c>
      <c r="F588" s="28" t="s">
        <v>6953</v>
      </c>
      <c r="G588" s="28">
        <v>0</v>
      </c>
    </row>
    <row r="589" spans="1:7">
      <c r="A589" s="28">
        <v>32936</v>
      </c>
      <c r="B589" s="28" t="s">
        <v>6951</v>
      </c>
      <c r="C589" s="28">
        <v>3</v>
      </c>
      <c r="D589" s="28" t="s">
        <v>6700</v>
      </c>
      <c r="E589" s="28" t="s">
        <v>6952</v>
      </c>
      <c r="F589" s="28" t="s">
        <v>6953</v>
      </c>
      <c r="G589" s="28">
        <v>0</v>
      </c>
    </row>
    <row r="590" spans="1:7">
      <c r="A590" s="28">
        <v>32941</v>
      </c>
      <c r="B590" s="28" t="s">
        <v>6940</v>
      </c>
      <c r="C590" s="28">
        <v>4</v>
      </c>
      <c r="D590" s="28" t="s">
        <v>6700</v>
      </c>
      <c r="E590" s="28" t="s">
        <v>6941</v>
      </c>
      <c r="F590" s="28" t="s">
        <v>6954</v>
      </c>
      <c r="G590" s="28">
        <v>0</v>
      </c>
    </row>
    <row r="591" spans="1:7">
      <c r="A591" s="28">
        <v>32942</v>
      </c>
      <c r="B591" s="28" t="s">
        <v>6943</v>
      </c>
      <c r="C591" s="28">
        <v>4</v>
      </c>
      <c r="D591" s="28" t="s">
        <v>6700</v>
      </c>
      <c r="E591" s="28" t="s">
        <v>6944</v>
      </c>
      <c r="F591" s="28" t="s">
        <v>6954</v>
      </c>
      <c r="G591" s="28">
        <v>0</v>
      </c>
    </row>
    <row r="592" spans="1:7">
      <c r="A592" s="28">
        <v>32943</v>
      </c>
      <c r="B592" s="28" t="s">
        <v>6945</v>
      </c>
      <c r="C592" s="28">
        <v>4</v>
      </c>
      <c r="D592" s="28" t="s">
        <v>6700</v>
      </c>
      <c r="E592" s="28" t="s">
        <v>6946</v>
      </c>
      <c r="F592" s="28" t="s">
        <v>6954</v>
      </c>
      <c r="G592" s="28">
        <v>0</v>
      </c>
    </row>
    <row r="593" spans="1:7">
      <c r="A593" s="28">
        <v>32944</v>
      </c>
      <c r="B593" s="28" t="s">
        <v>6947</v>
      </c>
      <c r="C593" s="28">
        <v>4</v>
      </c>
      <c r="D593" s="28" t="s">
        <v>6700</v>
      </c>
      <c r="E593" s="28" t="s">
        <v>6948</v>
      </c>
      <c r="F593" s="28" t="s">
        <v>6954</v>
      </c>
      <c r="G593" s="28">
        <v>0</v>
      </c>
    </row>
    <row r="594" spans="1:7">
      <c r="A594" s="28">
        <v>32945</v>
      </c>
      <c r="B594" s="28" t="s">
        <v>6949</v>
      </c>
      <c r="C594" s="28">
        <v>4</v>
      </c>
      <c r="D594" s="28" t="s">
        <v>6700</v>
      </c>
      <c r="E594" s="28" t="s">
        <v>6950</v>
      </c>
      <c r="F594" s="28" t="s">
        <v>6954</v>
      </c>
      <c r="G594" s="28">
        <v>0</v>
      </c>
    </row>
    <row r="595" spans="1:7">
      <c r="A595" s="28">
        <v>32946</v>
      </c>
      <c r="B595" s="28" t="s">
        <v>6951</v>
      </c>
      <c r="C595" s="28">
        <v>4</v>
      </c>
      <c r="D595" s="28" t="s">
        <v>6700</v>
      </c>
      <c r="E595" s="28" t="s">
        <v>6952</v>
      </c>
      <c r="F595" s="28" t="s">
        <v>6954</v>
      </c>
      <c r="G595" s="28">
        <v>0</v>
      </c>
    </row>
    <row r="596" spans="1:7">
      <c r="A596" s="28">
        <v>33021</v>
      </c>
      <c r="B596" s="28" t="s">
        <v>6955</v>
      </c>
      <c r="C596" s="28">
        <v>2</v>
      </c>
      <c r="D596" s="28" t="s">
        <v>6700</v>
      </c>
      <c r="E596" s="28" t="s">
        <v>6956</v>
      </c>
      <c r="F596" s="28" t="s">
        <v>6957</v>
      </c>
      <c r="G596" s="28">
        <v>0</v>
      </c>
    </row>
    <row r="597" spans="1:7">
      <c r="A597" s="28">
        <v>33022</v>
      </c>
      <c r="B597" s="28" t="s">
        <v>6958</v>
      </c>
      <c r="C597" s="28">
        <v>2</v>
      </c>
      <c r="D597" s="28" t="s">
        <v>6700</v>
      </c>
      <c r="E597" s="28" t="s">
        <v>6959</v>
      </c>
      <c r="F597" s="28" t="s">
        <v>6957</v>
      </c>
      <c r="G597" s="28">
        <v>0</v>
      </c>
    </row>
    <row r="598" spans="1:7">
      <c r="A598" s="28">
        <v>33023</v>
      </c>
      <c r="B598" s="28" t="s">
        <v>6960</v>
      </c>
      <c r="C598" s="28">
        <v>2</v>
      </c>
      <c r="D598" s="28" t="s">
        <v>6700</v>
      </c>
      <c r="E598" s="28" t="s">
        <v>6961</v>
      </c>
      <c r="F598" s="28" t="s">
        <v>6957</v>
      </c>
      <c r="G598" s="28">
        <v>0</v>
      </c>
    </row>
    <row r="599" spans="1:7">
      <c r="A599" s="28">
        <v>33024</v>
      </c>
      <c r="B599" s="28" t="s">
        <v>6962</v>
      </c>
      <c r="C599" s="28">
        <v>2</v>
      </c>
      <c r="D599" s="28" t="s">
        <v>6700</v>
      </c>
      <c r="E599" s="28" t="s">
        <v>6963</v>
      </c>
      <c r="F599" s="28" t="s">
        <v>6957</v>
      </c>
      <c r="G599" s="28">
        <v>0</v>
      </c>
    </row>
    <row r="600" spans="1:7">
      <c r="A600" s="28">
        <v>33025</v>
      </c>
      <c r="B600" s="28" t="s">
        <v>6964</v>
      </c>
      <c r="C600" s="28">
        <v>2</v>
      </c>
      <c r="D600" s="28" t="s">
        <v>6700</v>
      </c>
      <c r="E600" s="28" t="s">
        <v>6965</v>
      </c>
      <c r="F600" s="28" t="s">
        <v>6957</v>
      </c>
      <c r="G600" s="28">
        <v>0</v>
      </c>
    </row>
    <row r="601" spans="1:7">
      <c r="A601" s="28">
        <v>33026</v>
      </c>
      <c r="B601" s="28" t="s">
        <v>6966</v>
      </c>
      <c r="C601" s="28">
        <v>2</v>
      </c>
      <c r="D601" s="28" t="s">
        <v>6700</v>
      </c>
      <c r="E601" s="28" t="s">
        <v>6967</v>
      </c>
      <c r="F601" s="28" t="s">
        <v>6957</v>
      </c>
      <c r="G601" s="28">
        <v>0</v>
      </c>
    </row>
    <row r="602" spans="1:7">
      <c r="A602" s="28">
        <v>33031</v>
      </c>
      <c r="B602" s="28" t="s">
        <v>6955</v>
      </c>
      <c r="C602" s="28">
        <v>3</v>
      </c>
      <c r="D602" s="28" t="s">
        <v>6700</v>
      </c>
      <c r="E602" s="28" t="s">
        <v>6956</v>
      </c>
      <c r="F602" s="28" t="s">
        <v>6968</v>
      </c>
      <c r="G602" s="28">
        <v>0</v>
      </c>
    </row>
    <row r="603" spans="1:7">
      <c r="A603" s="28">
        <v>33032</v>
      </c>
      <c r="B603" s="28" t="s">
        <v>6958</v>
      </c>
      <c r="C603" s="28">
        <v>3</v>
      </c>
      <c r="D603" s="28" t="s">
        <v>6700</v>
      </c>
      <c r="E603" s="28" t="s">
        <v>6959</v>
      </c>
      <c r="F603" s="28" t="s">
        <v>6968</v>
      </c>
      <c r="G603" s="28">
        <v>0</v>
      </c>
    </row>
    <row r="604" spans="1:7">
      <c r="A604" s="28">
        <v>33033</v>
      </c>
      <c r="B604" s="28" t="s">
        <v>6960</v>
      </c>
      <c r="C604" s="28">
        <v>3</v>
      </c>
      <c r="D604" s="28" t="s">
        <v>6700</v>
      </c>
      <c r="E604" s="28" t="s">
        <v>6961</v>
      </c>
      <c r="F604" s="28" t="s">
        <v>6968</v>
      </c>
      <c r="G604" s="28">
        <v>0</v>
      </c>
    </row>
    <row r="605" spans="1:7">
      <c r="A605" s="28">
        <v>33034</v>
      </c>
      <c r="B605" s="28" t="s">
        <v>6962</v>
      </c>
      <c r="C605" s="28">
        <v>3</v>
      </c>
      <c r="D605" s="28" t="s">
        <v>6700</v>
      </c>
      <c r="E605" s="28" t="s">
        <v>6963</v>
      </c>
      <c r="F605" s="28" t="s">
        <v>6968</v>
      </c>
      <c r="G605" s="28">
        <v>0</v>
      </c>
    </row>
    <row r="606" spans="1:7">
      <c r="A606" s="28">
        <v>33035</v>
      </c>
      <c r="B606" s="28" t="s">
        <v>6964</v>
      </c>
      <c r="C606" s="28">
        <v>3</v>
      </c>
      <c r="D606" s="28" t="s">
        <v>6700</v>
      </c>
      <c r="E606" s="28" t="s">
        <v>6965</v>
      </c>
      <c r="F606" s="28" t="s">
        <v>6968</v>
      </c>
      <c r="G606" s="28">
        <v>0</v>
      </c>
    </row>
    <row r="607" spans="1:7">
      <c r="A607" s="28">
        <v>33036</v>
      </c>
      <c r="B607" s="28" t="s">
        <v>6966</v>
      </c>
      <c r="C607" s="28">
        <v>3</v>
      </c>
      <c r="D607" s="28" t="s">
        <v>6700</v>
      </c>
      <c r="E607" s="28" t="s">
        <v>6967</v>
      </c>
      <c r="F607" s="28" t="s">
        <v>6968</v>
      </c>
      <c r="G607" s="28">
        <v>0</v>
      </c>
    </row>
    <row r="608" spans="1:7">
      <c r="A608" s="28">
        <v>33041</v>
      </c>
      <c r="B608" s="28" t="s">
        <v>6955</v>
      </c>
      <c r="C608" s="28">
        <v>4</v>
      </c>
      <c r="D608" s="28" t="s">
        <v>6700</v>
      </c>
      <c r="E608" s="28" t="s">
        <v>6956</v>
      </c>
      <c r="F608" s="28" t="s">
        <v>6969</v>
      </c>
      <c r="G608" s="28">
        <v>0</v>
      </c>
    </row>
    <row r="609" spans="1:7">
      <c r="A609" s="28">
        <v>33042</v>
      </c>
      <c r="B609" s="28" t="s">
        <v>6958</v>
      </c>
      <c r="C609" s="28">
        <v>4</v>
      </c>
      <c r="D609" s="28" t="s">
        <v>6700</v>
      </c>
      <c r="E609" s="28" t="s">
        <v>6959</v>
      </c>
      <c r="F609" s="28" t="s">
        <v>6969</v>
      </c>
      <c r="G609" s="28">
        <v>0</v>
      </c>
    </row>
    <row r="610" spans="1:7">
      <c r="A610" s="28">
        <v>33043</v>
      </c>
      <c r="B610" s="28" t="s">
        <v>6960</v>
      </c>
      <c r="C610" s="28">
        <v>4</v>
      </c>
      <c r="D610" s="28" t="s">
        <v>6700</v>
      </c>
      <c r="E610" s="28" t="s">
        <v>6961</v>
      </c>
      <c r="F610" s="28" t="s">
        <v>6969</v>
      </c>
      <c r="G610" s="28">
        <v>0</v>
      </c>
    </row>
    <row r="611" spans="1:7">
      <c r="A611" s="28">
        <v>33044</v>
      </c>
      <c r="B611" s="28" t="s">
        <v>6962</v>
      </c>
      <c r="C611" s="28">
        <v>4</v>
      </c>
      <c r="D611" s="54" t="s">
        <v>6700</v>
      </c>
      <c r="E611" s="28" t="s">
        <v>6963</v>
      </c>
      <c r="F611" s="28" t="s">
        <v>6969</v>
      </c>
      <c r="G611" s="28">
        <v>0</v>
      </c>
    </row>
    <row r="612" spans="1:7">
      <c r="A612" s="28">
        <v>33045</v>
      </c>
      <c r="B612" s="28" t="s">
        <v>6964</v>
      </c>
      <c r="C612" s="28">
        <v>4</v>
      </c>
      <c r="D612" s="54" t="s">
        <v>6700</v>
      </c>
      <c r="E612" s="28" t="s">
        <v>6965</v>
      </c>
      <c r="F612" s="28" t="s">
        <v>6969</v>
      </c>
      <c r="G612" s="28">
        <v>0</v>
      </c>
    </row>
    <row r="613" spans="1:7">
      <c r="A613" s="28">
        <v>33046</v>
      </c>
      <c r="B613" s="28" t="s">
        <v>6966</v>
      </c>
      <c r="C613" s="28">
        <v>4</v>
      </c>
      <c r="D613" s="54" t="s">
        <v>6700</v>
      </c>
      <c r="E613" s="28" t="s">
        <v>6967</v>
      </c>
      <c r="F613" s="28" t="s">
        <v>6969</v>
      </c>
      <c r="G613" s="28">
        <v>0</v>
      </c>
    </row>
    <row r="614" spans="1:7">
      <c r="A614" s="28">
        <v>33121</v>
      </c>
      <c r="B614" s="28" t="s">
        <v>6970</v>
      </c>
      <c r="C614" s="28">
        <v>2</v>
      </c>
      <c r="D614" s="54" t="s">
        <v>6700</v>
      </c>
      <c r="E614" s="28" t="s">
        <v>6971</v>
      </c>
      <c r="F614" s="28" t="s">
        <v>6972</v>
      </c>
      <c r="G614" s="28">
        <v>0</v>
      </c>
    </row>
    <row r="615" spans="1:7">
      <c r="A615" s="28">
        <v>33122</v>
      </c>
      <c r="B615" s="28" t="s">
        <v>6973</v>
      </c>
      <c r="C615" s="28">
        <v>2</v>
      </c>
      <c r="D615" s="54" t="s">
        <v>6700</v>
      </c>
      <c r="E615" s="28" t="s">
        <v>6974</v>
      </c>
      <c r="F615" s="28" t="s">
        <v>6972</v>
      </c>
      <c r="G615" s="28">
        <v>0</v>
      </c>
    </row>
    <row r="616" spans="1:7">
      <c r="A616" s="28">
        <v>33123</v>
      </c>
      <c r="B616" s="28" t="s">
        <v>6975</v>
      </c>
      <c r="C616" s="28">
        <v>2</v>
      </c>
      <c r="D616" s="54" t="s">
        <v>6700</v>
      </c>
      <c r="E616" s="28" t="s">
        <v>6976</v>
      </c>
      <c r="F616" s="28" t="s">
        <v>6972</v>
      </c>
      <c r="G616" s="28">
        <v>0</v>
      </c>
    </row>
    <row r="617" spans="1:7">
      <c r="A617" s="28">
        <v>33124</v>
      </c>
      <c r="B617" s="28" t="s">
        <v>6977</v>
      </c>
      <c r="C617" s="28">
        <v>2</v>
      </c>
      <c r="D617" s="54" t="s">
        <v>6700</v>
      </c>
      <c r="E617" s="28" t="s">
        <v>6978</v>
      </c>
      <c r="F617" s="28" t="s">
        <v>6972</v>
      </c>
      <c r="G617" s="28">
        <v>0</v>
      </c>
    </row>
    <row r="618" spans="1:7">
      <c r="A618" s="28">
        <v>33125</v>
      </c>
      <c r="B618" s="28" t="s">
        <v>6979</v>
      </c>
      <c r="C618" s="28">
        <v>2</v>
      </c>
      <c r="D618" s="54" t="s">
        <v>6700</v>
      </c>
      <c r="E618" s="28" t="s">
        <v>6980</v>
      </c>
      <c r="F618" s="28" t="s">
        <v>6972</v>
      </c>
      <c r="G618" s="28">
        <v>0</v>
      </c>
    </row>
    <row r="619" spans="1:7">
      <c r="A619" s="28">
        <v>33126</v>
      </c>
      <c r="B619" s="28" t="s">
        <v>6981</v>
      </c>
      <c r="C619" s="28">
        <v>2</v>
      </c>
      <c r="D619" s="54" t="s">
        <v>6700</v>
      </c>
      <c r="E619" s="28" t="s">
        <v>6982</v>
      </c>
      <c r="F619" s="28" t="s">
        <v>6972</v>
      </c>
      <c r="G619" s="28">
        <v>0</v>
      </c>
    </row>
    <row r="620" spans="1:7">
      <c r="A620" s="28">
        <v>33131</v>
      </c>
      <c r="B620" s="28" t="s">
        <v>6970</v>
      </c>
      <c r="C620" s="28">
        <v>3</v>
      </c>
      <c r="D620" s="54" t="s">
        <v>6700</v>
      </c>
      <c r="E620" s="28" t="s">
        <v>6971</v>
      </c>
      <c r="F620" s="28" t="s">
        <v>6983</v>
      </c>
      <c r="G620" s="28">
        <v>0</v>
      </c>
    </row>
    <row r="621" spans="1:7">
      <c r="A621" s="28">
        <v>33132</v>
      </c>
      <c r="B621" s="28" t="s">
        <v>6973</v>
      </c>
      <c r="C621" s="54">
        <v>3</v>
      </c>
      <c r="D621" s="54" t="s">
        <v>6700</v>
      </c>
      <c r="E621" s="28" t="s">
        <v>6974</v>
      </c>
      <c r="F621" s="28" t="s">
        <v>6983</v>
      </c>
      <c r="G621" s="28">
        <v>0</v>
      </c>
    </row>
    <row r="622" spans="1:7">
      <c r="A622" s="28">
        <v>33133</v>
      </c>
      <c r="B622" s="28" t="s">
        <v>6975</v>
      </c>
      <c r="C622" s="54">
        <v>3</v>
      </c>
      <c r="D622" s="54" t="s">
        <v>6700</v>
      </c>
      <c r="E622" s="28" t="s">
        <v>6976</v>
      </c>
      <c r="F622" s="28" t="s">
        <v>6983</v>
      </c>
      <c r="G622" s="28">
        <v>0</v>
      </c>
    </row>
    <row r="623" spans="1:7">
      <c r="A623" s="28">
        <v>33134</v>
      </c>
      <c r="B623" s="28" t="s">
        <v>6977</v>
      </c>
      <c r="C623" s="54">
        <v>3</v>
      </c>
      <c r="D623" s="54" t="s">
        <v>6700</v>
      </c>
      <c r="E623" s="28" t="s">
        <v>6978</v>
      </c>
      <c r="F623" s="28" t="s">
        <v>6983</v>
      </c>
      <c r="G623" s="28">
        <v>0</v>
      </c>
    </row>
    <row r="624" spans="1:7">
      <c r="A624" s="28">
        <v>33135</v>
      </c>
      <c r="B624" s="28" t="s">
        <v>6979</v>
      </c>
      <c r="C624" s="28">
        <v>3</v>
      </c>
      <c r="D624" s="54" t="s">
        <v>6700</v>
      </c>
      <c r="E624" s="28" t="s">
        <v>6980</v>
      </c>
      <c r="F624" s="28" t="s">
        <v>6983</v>
      </c>
      <c r="G624" s="28">
        <v>0</v>
      </c>
    </row>
    <row r="625" spans="1:7">
      <c r="A625" s="28">
        <v>33136</v>
      </c>
      <c r="B625" s="28" t="s">
        <v>6981</v>
      </c>
      <c r="C625" s="54">
        <v>3</v>
      </c>
      <c r="D625" s="54" t="s">
        <v>6700</v>
      </c>
      <c r="E625" s="28" t="s">
        <v>6982</v>
      </c>
      <c r="F625" s="28" t="s">
        <v>6983</v>
      </c>
      <c r="G625" s="28">
        <v>0</v>
      </c>
    </row>
    <row r="626" spans="1:7">
      <c r="A626" s="28">
        <v>33141</v>
      </c>
      <c r="B626" s="28" t="s">
        <v>6970</v>
      </c>
      <c r="C626" s="54">
        <v>4</v>
      </c>
      <c r="D626" s="54" t="s">
        <v>6700</v>
      </c>
      <c r="E626" s="28" t="s">
        <v>6971</v>
      </c>
      <c r="F626" s="28" t="s">
        <v>6984</v>
      </c>
      <c r="G626" s="28">
        <v>0</v>
      </c>
    </row>
    <row r="627" spans="1:7">
      <c r="A627" s="28">
        <v>33142</v>
      </c>
      <c r="B627" s="28" t="s">
        <v>6973</v>
      </c>
      <c r="C627" s="54">
        <v>4</v>
      </c>
      <c r="D627" s="54" t="s">
        <v>6700</v>
      </c>
      <c r="E627" s="28" t="s">
        <v>6974</v>
      </c>
      <c r="F627" s="28" t="s">
        <v>6984</v>
      </c>
      <c r="G627" s="28">
        <v>0</v>
      </c>
    </row>
    <row r="628" spans="1:7">
      <c r="A628" s="28">
        <v>33143</v>
      </c>
      <c r="B628" s="28" t="s">
        <v>6975</v>
      </c>
      <c r="C628" s="54">
        <v>4</v>
      </c>
      <c r="D628" s="54" t="s">
        <v>6700</v>
      </c>
      <c r="E628" s="28" t="s">
        <v>6976</v>
      </c>
      <c r="F628" s="28" t="s">
        <v>6984</v>
      </c>
      <c r="G628" s="28">
        <v>0</v>
      </c>
    </row>
    <row r="629" spans="1:7">
      <c r="A629" s="28">
        <v>33144</v>
      </c>
      <c r="B629" s="28" t="s">
        <v>6977</v>
      </c>
      <c r="C629" s="54">
        <v>4</v>
      </c>
      <c r="D629" s="54" t="s">
        <v>6700</v>
      </c>
      <c r="E629" s="28" t="s">
        <v>6978</v>
      </c>
      <c r="F629" s="28" t="s">
        <v>6984</v>
      </c>
      <c r="G629" s="28">
        <v>0</v>
      </c>
    </row>
    <row r="630" spans="1:7">
      <c r="A630" s="28">
        <v>33145</v>
      </c>
      <c r="B630" s="28" t="s">
        <v>6979</v>
      </c>
      <c r="C630" s="54">
        <v>4</v>
      </c>
      <c r="D630" s="54" t="s">
        <v>6700</v>
      </c>
      <c r="E630" s="28" t="s">
        <v>6980</v>
      </c>
      <c r="F630" s="28" t="s">
        <v>6984</v>
      </c>
      <c r="G630" s="28">
        <v>0</v>
      </c>
    </row>
    <row r="631" spans="1:7">
      <c r="A631" s="28">
        <v>33146</v>
      </c>
      <c r="B631" s="28" t="s">
        <v>6981</v>
      </c>
      <c r="C631" s="54">
        <v>4</v>
      </c>
      <c r="D631" s="28" t="s">
        <v>6700</v>
      </c>
      <c r="E631" s="28" t="s">
        <v>6982</v>
      </c>
      <c r="F631" s="28" t="s">
        <v>6984</v>
      </c>
      <c r="G631" s="28">
        <v>0</v>
      </c>
    </row>
    <row r="632" spans="1:7">
      <c r="A632" s="28">
        <v>33221</v>
      </c>
      <c r="B632" s="28" t="s">
        <v>6985</v>
      </c>
      <c r="C632" s="54">
        <v>2</v>
      </c>
      <c r="D632" s="28" t="s">
        <v>6700</v>
      </c>
      <c r="E632" s="28" t="s">
        <v>6986</v>
      </c>
      <c r="F632" s="28" t="s">
        <v>6987</v>
      </c>
      <c r="G632" s="28">
        <v>0</v>
      </c>
    </row>
    <row r="633" spans="1:7">
      <c r="A633" s="28">
        <v>33222</v>
      </c>
      <c r="B633" s="28" t="s">
        <v>6988</v>
      </c>
      <c r="C633" s="54">
        <v>2</v>
      </c>
      <c r="D633" s="28" t="s">
        <v>6700</v>
      </c>
      <c r="E633" s="28" t="s">
        <v>6989</v>
      </c>
      <c r="F633" s="28" t="s">
        <v>6987</v>
      </c>
      <c r="G633" s="28">
        <v>0</v>
      </c>
    </row>
    <row r="634" spans="1:7">
      <c r="A634" s="28">
        <v>33223</v>
      </c>
      <c r="B634" s="28" t="s">
        <v>6990</v>
      </c>
      <c r="C634" s="54">
        <v>2</v>
      </c>
      <c r="D634" s="28" t="s">
        <v>6700</v>
      </c>
      <c r="E634" s="28" t="s">
        <v>6991</v>
      </c>
      <c r="F634" s="28" t="s">
        <v>6987</v>
      </c>
      <c r="G634" s="28">
        <v>0</v>
      </c>
    </row>
    <row r="635" spans="1:7">
      <c r="A635" s="28">
        <v>33224</v>
      </c>
      <c r="B635" s="28" t="s">
        <v>6992</v>
      </c>
      <c r="C635" s="54">
        <v>2</v>
      </c>
      <c r="D635" s="28" t="s">
        <v>6700</v>
      </c>
      <c r="E635" s="28" t="s">
        <v>6993</v>
      </c>
      <c r="F635" s="28" t="s">
        <v>6987</v>
      </c>
      <c r="G635" s="28">
        <v>0</v>
      </c>
    </row>
    <row r="636" spans="1:7">
      <c r="A636" s="28">
        <v>33225</v>
      </c>
      <c r="B636" s="28" t="s">
        <v>6994</v>
      </c>
      <c r="C636" s="54">
        <v>2</v>
      </c>
      <c r="D636" s="28" t="s">
        <v>6700</v>
      </c>
      <c r="E636" s="28" t="s">
        <v>6995</v>
      </c>
      <c r="F636" s="28" t="s">
        <v>6987</v>
      </c>
      <c r="G636" s="28">
        <v>0</v>
      </c>
    </row>
    <row r="637" spans="1:7">
      <c r="A637" s="28">
        <v>33226</v>
      </c>
      <c r="B637" s="28" t="s">
        <v>6996</v>
      </c>
      <c r="C637" s="54">
        <v>2</v>
      </c>
      <c r="D637" s="28" t="s">
        <v>6700</v>
      </c>
      <c r="E637" s="28" t="s">
        <v>6997</v>
      </c>
      <c r="F637" s="28" t="s">
        <v>6987</v>
      </c>
      <c r="G637" s="28">
        <v>0</v>
      </c>
    </row>
    <row r="638" spans="1:7">
      <c r="A638" s="28">
        <v>33231</v>
      </c>
      <c r="B638" s="28" t="s">
        <v>6985</v>
      </c>
      <c r="C638" s="54">
        <v>3</v>
      </c>
      <c r="D638" s="28" t="s">
        <v>6700</v>
      </c>
      <c r="E638" s="28" t="s">
        <v>6986</v>
      </c>
      <c r="F638" s="28" t="s">
        <v>6998</v>
      </c>
      <c r="G638" s="28">
        <v>0</v>
      </c>
    </row>
    <row r="639" spans="1:7">
      <c r="A639" s="28">
        <v>33232</v>
      </c>
      <c r="B639" s="28" t="s">
        <v>6988</v>
      </c>
      <c r="C639" s="54">
        <v>3</v>
      </c>
      <c r="D639" s="28" t="s">
        <v>6700</v>
      </c>
      <c r="E639" s="28" t="s">
        <v>6989</v>
      </c>
      <c r="F639" s="28" t="s">
        <v>6998</v>
      </c>
      <c r="G639" s="28">
        <v>0</v>
      </c>
    </row>
    <row r="640" spans="1:7">
      <c r="A640" s="28">
        <v>33233</v>
      </c>
      <c r="B640" s="28" t="s">
        <v>6990</v>
      </c>
      <c r="C640" s="54">
        <v>3</v>
      </c>
      <c r="D640" s="28" t="s">
        <v>6700</v>
      </c>
      <c r="E640" s="28" t="s">
        <v>6991</v>
      </c>
      <c r="F640" s="28" t="s">
        <v>6998</v>
      </c>
      <c r="G640" s="28">
        <v>0</v>
      </c>
    </row>
    <row r="641" spans="1:7">
      <c r="A641" s="28">
        <v>33234</v>
      </c>
      <c r="B641" s="28" t="s">
        <v>6992</v>
      </c>
      <c r="C641" s="54">
        <v>3</v>
      </c>
      <c r="D641" s="54" t="s">
        <v>6700</v>
      </c>
      <c r="E641" s="28" t="s">
        <v>6993</v>
      </c>
      <c r="F641" s="28" t="s">
        <v>6998</v>
      </c>
      <c r="G641" s="28">
        <v>0</v>
      </c>
    </row>
    <row r="642" spans="1:7">
      <c r="A642" s="28">
        <v>33235</v>
      </c>
      <c r="B642" s="28" t="s">
        <v>6994</v>
      </c>
      <c r="C642" s="54">
        <v>3</v>
      </c>
      <c r="D642" s="54" t="s">
        <v>6700</v>
      </c>
      <c r="E642" s="28" t="s">
        <v>6995</v>
      </c>
      <c r="F642" s="28" t="s">
        <v>6998</v>
      </c>
      <c r="G642" s="28">
        <v>0</v>
      </c>
    </row>
    <row r="643" spans="1:7">
      <c r="A643" s="28">
        <v>33236</v>
      </c>
      <c r="B643" s="28" t="s">
        <v>6996</v>
      </c>
      <c r="C643" s="54">
        <v>3</v>
      </c>
      <c r="D643" s="54" t="s">
        <v>6700</v>
      </c>
      <c r="E643" s="28" t="s">
        <v>6997</v>
      </c>
      <c r="F643" s="28" t="s">
        <v>6998</v>
      </c>
      <c r="G643" s="28">
        <v>0</v>
      </c>
    </row>
    <row r="644" spans="1:7">
      <c r="A644" s="28">
        <v>33241</v>
      </c>
      <c r="B644" s="28" t="s">
        <v>6985</v>
      </c>
      <c r="C644" s="54">
        <v>4</v>
      </c>
      <c r="D644" s="54" t="s">
        <v>6700</v>
      </c>
      <c r="E644" s="28" t="s">
        <v>6986</v>
      </c>
      <c r="F644" s="28" t="s">
        <v>6999</v>
      </c>
      <c r="G644" s="28">
        <v>0</v>
      </c>
    </row>
    <row r="645" spans="1:7">
      <c r="A645" s="28">
        <v>33242</v>
      </c>
      <c r="B645" s="28" t="s">
        <v>6988</v>
      </c>
      <c r="C645" s="54">
        <v>4</v>
      </c>
      <c r="D645" s="54" t="s">
        <v>6700</v>
      </c>
      <c r="E645" s="28" t="s">
        <v>6989</v>
      </c>
      <c r="F645" s="28" t="s">
        <v>6999</v>
      </c>
      <c r="G645" s="28">
        <v>0</v>
      </c>
    </row>
    <row r="646" spans="1:7">
      <c r="A646" s="28">
        <v>33243</v>
      </c>
      <c r="B646" s="28" t="s">
        <v>6990</v>
      </c>
      <c r="C646" s="54">
        <v>4</v>
      </c>
      <c r="D646" s="54" t="s">
        <v>6700</v>
      </c>
      <c r="E646" s="28" t="s">
        <v>6991</v>
      </c>
      <c r="F646" s="28" t="s">
        <v>6999</v>
      </c>
      <c r="G646" s="28">
        <v>0</v>
      </c>
    </row>
    <row r="647" spans="1:7">
      <c r="A647" s="28">
        <v>33244</v>
      </c>
      <c r="B647" s="28" t="s">
        <v>6992</v>
      </c>
      <c r="C647" s="28">
        <v>4</v>
      </c>
      <c r="D647" s="54" t="s">
        <v>6700</v>
      </c>
      <c r="E647" s="28" t="s">
        <v>6993</v>
      </c>
      <c r="F647" s="28" t="s">
        <v>6999</v>
      </c>
      <c r="G647" s="28">
        <v>0</v>
      </c>
    </row>
    <row r="648" spans="1:7">
      <c r="A648" s="28">
        <v>33245</v>
      </c>
      <c r="B648" s="28" t="s">
        <v>6994</v>
      </c>
      <c r="C648" s="54">
        <v>4</v>
      </c>
      <c r="D648" s="54" t="s">
        <v>6700</v>
      </c>
      <c r="E648" s="28" t="s">
        <v>6995</v>
      </c>
      <c r="F648" s="28" t="s">
        <v>6999</v>
      </c>
      <c r="G648" s="28">
        <v>0</v>
      </c>
    </row>
    <row r="649" spans="1:7">
      <c r="A649" s="28">
        <v>33246</v>
      </c>
      <c r="B649" s="28" t="s">
        <v>6996</v>
      </c>
      <c r="C649" s="28">
        <v>4</v>
      </c>
      <c r="D649" s="54" t="s">
        <v>6700</v>
      </c>
      <c r="E649" s="28" t="s">
        <v>6997</v>
      </c>
      <c r="F649" s="28" t="s">
        <v>6999</v>
      </c>
      <c r="G649" s="28">
        <v>0</v>
      </c>
    </row>
    <row r="650" spans="1:7">
      <c r="A650" s="28">
        <v>33321</v>
      </c>
      <c r="B650" s="28" t="s">
        <v>7000</v>
      </c>
      <c r="C650" s="28">
        <v>2</v>
      </c>
      <c r="D650" s="54" t="s">
        <v>6700</v>
      </c>
      <c r="E650" s="28" t="s">
        <v>7001</v>
      </c>
      <c r="F650" s="28" t="s">
        <v>7002</v>
      </c>
      <c r="G650" s="28">
        <v>0</v>
      </c>
    </row>
    <row r="651" spans="1:7">
      <c r="A651" s="28">
        <v>33322</v>
      </c>
      <c r="B651" s="28" t="s">
        <v>7003</v>
      </c>
      <c r="C651" s="28">
        <v>2</v>
      </c>
      <c r="D651" s="54" t="s">
        <v>6700</v>
      </c>
      <c r="E651" s="28" t="s">
        <v>7004</v>
      </c>
      <c r="F651" s="28" t="s">
        <v>7002</v>
      </c>
      <c r="G651" s="28">
        <v>0</v>
      </c>
    </row>
    <row r="652" spans="1:7">
      <c r="A652" s="28">
        <v>33323</v>
      </c>
      <c r="B652" s="28" t="s">
        <v>7005</v>
      </c>
      <c r="C652" s="28">
        <v>2</v>
      </c>
      <c r="D652" s="54" t="s">
        <v>6700</v>
      </c>
      <c r="E652" s="28" t="s">
        <v>7006</v>
      </c>
      <c r="F652" s="28" t="s">
        <v>7002</v>
      </c>
      <c r="G652" s="28">
        <v>0</v>
      </c>
    </row>
    <row r="653" spans="1:7">
      <c r="A653" s="28">
        <v>33324</v>
      </c>
      <c r="B653" s="28" t="s">
        <v>7007</v>
      </c>
      <c r="C653" s="28">
        <v>2</v>
      </c>
      <c r="D653" s="54" t="s">
        <v>6700</v>
      </c>
      <c r="E653" s="28" t="s">
        <v>7008</v>
      </c>
      <c r="F653" s="28" t="s">
        <v>7002</v>
      </c>
      <c r="G653" s="28">
        <v>0</v>
      </c>
    </row>
    <row r="654" spans="1:7">
      <c r="A654" s="28">
        <v>33325</v>
      </c>
      <c r="B654" s="28" t="s">
        <v>7009</v>
      </c>
      <c r="C654" s="28">
        <v>2</v>
      </c>
      <c r="D654" s="54" t="s">
        <v>6700</v>
      </c>
      <c r="E654" s="28" t="s">
        <v>7010</v>
      </c>
      <c r="F654" s="28" t="s">
        <v>7002</v>
      </c>
      <c r="G654" s="28">
        <v>0</v>
      </c>
    </row>
    <row r="655" spans="1:7">
      <c r="A655" s="28">
        <v>33326</v>
      </c>
      <c r="B655" s="28" t="s">
        <v>7011</v>
      </c>
      <c r="C655" s="28">
        <v>2</v>
      </c>
      <c r="D655" s="54" t="s">
        <v>6700</v>
      </c>
      <c r="E655" s="28" t="s">
        <v>7012</v>
      </c>
      <c r="F655" s="28" t="s">
        <v>7002</v>
      </c>
      <c r="G655" s="28">
        <v>0</v>
      </c>
    </row>
    <row r="656" spans="1:7">
      <c r="A656" s="28">
        <v>33331</v>
      </c>
      <c r="B656" s="28" t="s">
        <v>7000</v>
      </c>
      <c r="C656" s="28">
        <v>3</v>
      </c>
      <c r="D656" s="54" t="s">
        <v>6700</v>
      </c>
      <c r="E656" s="28" t="s">
        <v>7001</v>
      </c>
      <c r="F656" s="28" t="s">
        <v>7013</v>
      </c>
      <c r="G656" s="28">
        <v>0</v>
      </c>
    </row>
    <row r="657" spans="1:7">
      <c r="A657" s="28">
        <v>33332</v>
      </c>
      <c r="B657" s="28" t="s">
        <v>7003</v>
      </c>
      <c r="C657" s="28">
        <v>3</v>
      </c>
      <c r="D657" s="54" t="s">
        <v>6700</v>
      </c>
      <c r="E657" s="28" t="s">
        <v>7004</v>
      </c>
      <c r="F657" s="28" t="s">
        <v>7013</v>
      </c>
      <c r="G657" s="28">
        <v>0</v>
      </c>
    </row>
    <row r="658" spans="1:7">
      <c r="A658" s="28">
        <v>33333</v>
      </c>
      <c r="B658" s="28" t="s">
        <v>7005</v>
      </c>
      <c r="C658" s="28">
        <v>3</v>
      </c>
      <c r="D658" s="54" t="s">
        <v>6700</v>
      </c>
      <c r="E658" s="28" t="s">
        <v>7006</v>
      </c>
      <c r="F658" s="28" t="s">
        <v>7013</v>
      </c>
      <c r="G658" s="28">
        <v>0</v>
      </c>
    </row>
    <row r="659" spans="1:7">
      <c r="A659" s="28">
        <v>33334</v>
      </c>
      <c r="B659" s="28" t="s">
        <v>7007</v>
      </c>
      <c r="C659" s="28">
        <v>3</v>
      </c>
      <c r="D659" s="54" t="s">
        <v>6700</v>
      </c>
      <c r="E659" s="28" t="s">
        <v>7008</v>
      </c>
      <c r="F659" s="28" t="s">
        <v>7013</v>
      </c>
      <c r="G659" s="28">
        <v>0</v>
      </c>
    </row>
    <row r="660" spans="1:7">
      <c r="A660" s="28">
        <v>33335</v>
      </c>
      <c r="B660" s="28" t="s">
        <v>7009</v>
      </c>
      <c r="C660" s="28">
        <v>3</v>
      </c>
      <c r="D660" s="54" t="s">
        <v>6700</v>
      </c>
      <c r="E660" s="28" t="s">
        <v>7010</v>
      </c>
      <c r="F660" s="28" t="s">
        <v>7013</v>
      </c>
      <c r="G660" s="28">
        <v>0</v>
      </c>
    </row>
    <row r="661" spans="1:7">
      <c r="A661" s="28">
        <v>33336</v>
      </c>
      <c r="B661" s="28" t="s">
        <v>7011</v>
      </c>
      <c r="C661" s="28">
        <v>3</v>
      </c>
      <c r="D661" s="54" t="s">
        <v>6700</v>
      </c>
      <c r="E661" s="28" t="s">
        <v>7012</v>
      </c>
      <c r="F661" s="28" t="s">
        <v>7013</v>
      </c>
      <c r="G661" s="28">
        <v>0</v>
      </c>
    </row>
    <row r="662" spans="1:7">
      <c r="A662" s="28">
        <v>33341</v>
      </c>
      <c r="B662" s="28" t="s">
        <v>7000</v>
      </c>
      <c r="C662" s="28">
        <v>4</v>
      </c>
      <c r="D662" s="54" t="s">
        <v>6700</v>
      </c>
      <c r="E662" s="28" t="s">
        <v>7001</v>
      </c>
      <c r="F662" s="28" t="s">
        <v>7014</v>
      </c>
      <c r="G662" s="28">
        <v>0</v>
      </c>
    </row>
    <row r="663" spans="1:7">
      <c r="A663" s="28">
        <v>33342</v>
      </c>
      <c r="B663" s="28" t="s">
        <v>7003</v>
      </c>
      <c r="C663" s="28">
        <v>4</v>
      </c>
      <c r="D663" s="54" t="s">
        <v>6700</v>
      </c>
      <c r="E663" s="28" t="s">
        <v>7004</v>
      </c>
      <c r="F663" s="28" t="s">
        <v>7014</v>
      </c>
      <c r="G663" s="28">
        <v>0</v>
      </c>
    </row>
    <row r="664" spans="1:7">
      <c r="A664" s="28">
        <v>33343</v>
      </c>
      <c r="B664" s="28" t="s">
        <v>7005</v>
      </c>
      <c r="C664" s="28">
        <v>4</v>
      </c>
      <c r="D664" s="54" t="s">
        <v>6700</v>
      </c>
      <c r="E664" s="28" t="s">
        <v>7006</v>
      </c>
      <c r="F664" s="28" t="s">
        <v>7014</v>
      </c>
      <c r="G664" s="28">
        <v>0</v>
      </c>
    </row>
    <row r="665" spans="1:7">
      <c r="A665" s="28">
        <v>33344</v>
      </c>
      <c r="B665" s="28" t="s">
        <v>7007</v>
      </c>
      <c r="C665" s="28">
        <v>4</v>
      </c>
      <c r="D665" s="54" t="s">
        <v>6700</v>
      </c>
      <c r="E665" s="28" t="s">
        <v>7008</v>
      </c>
      <c r="F665" s="28" t="s">
        <v>7014</v>
      </c>
      <c r="G665" s="28">
        <v>0</v>
      </c>
    </row>
    <row r="666" spans="1:7">
      <c r="A666" s="28">
        <v>33345</v>
      </c>
      <c r="B666" s="28" t="s">
        <v>7009</v>
      </c>
      <c r="C666" s="28">
        <v>4</v>
      </c>
      <c r="D666" s="54" t="s">
        <v>6700</v>
      </c>
      <c r="E666" s="28" t="s">
        <v>7010</v>
      </c>
      <c r="F666" s="28" t="s">
        <v>7014</v>
      </c>
      <c r="G666" s="28">
        <v>0</v>
      </c>
    </row>
    <row r="667" spans="1:7">
      <c r="A667" s="28">
        <v>33346</v>
      </c>
      <c r="B667" s="28" t="s">
        <v>7011</v>
      </c>
      <c r="C667" s="28">
        <v>4</v>
      </c>
      <c r="D667" s="54" t="s">
        <v>6700</v>
      </c>
      <c r="E667" s="28" t="s">
        <v>7012</v>
      </c>
      <c r="F667" s="28" t="s">
        <v>7014</v>
      </c>
      <c r="G667" s="28">
        <v>0</v>
      </c>
    </row>
    <row r="668" spans="1:7">
      <c r="A668" s="28">
        <v>33421</v>
      </c>
      <c r="B668" s="28" t="s">
        <v>7015</v>
      </c>
      <c r="C668" s="28">
        <v>2</v>
      </c>
      <c r="D668" s="54" t="s">
        <v>6700</v>
      </c>
      <c r="E668" s="28" t="s">
        <v>7016</v>
      </c>
      <c r="F668" s="28" t="s">
        <v>7017</v>
      </c>
      <c r="G668" s="28">
        <v>0</v>
      </c>
    </row>
    <row r="669" spans="1:7">
      <c r="A669" s="28">
        <v>33422</v>
      </c>
      <c r="B669" s="28" t="s">
        <v>7018</v>
      </c>
      <c r="C669" s="28">
        <v>2</v>
      </c>
      <c r="D669" s="54" t="s">
        <v>6700</v>
      </c>
      <c r="E669" s="28" t="s">
        <v>7019</v>
      </c>
      <c r="F669" s="28" t="s">
        <v>7017</v>
      </c>
      <c r="G669" s="28">
        <v>0</v>
      </c>
    </row>
    <row r="670" spans="1:7">
      <c r="A670" s="28">
        <v>33423</v>
      </c>
      <c r="B670" s="28" t="s">
        <v>7020</v>
      </c>
      <c r="C670" s="28">
        <v>2</v>
      </c>
      <c r="D670" s="54" t="s">
        <v>6700</v>
      </c>
      <c r="E670" s="28" t="s">
        <v>7021</v>
      </c>
      <c r="F670" s="28" t="s">
        <v>7017</v>
      </c>
      <c r="G670" s="28">
        <v>0</v>
      </c>
    </row>
    <row r="671" spans="1:7">
      <c r="A671" s="28">
        <v>33424</v>
      </c>
      <c r="B671" s="28" t="s">
        <v>7022</v>
      </c>
      <c r="C671" s="28">
        <v>2</v>
      </c>
      <c r="D671" s="54" t="s">
        <v>6700</v>
      </c>
      <c r="E671" s="28" t="s">
        <v>7023</v>
      </c>
      <c r="F671" s="28" t="s">
        <v>7017</v>
      </c>
      <c r="G671" s="28">
        <v>0</v>
      </c>
    </row>
    <row r="672" spans="1:7">
      <c r="A672" s="28">
        <v>33425</v>
      </c>
      <c r="B672" s="28" t="s">
        <v>7024</v>
      </c>
      <c r="C672" s="28">
        <v>2</v>
      </c>
      <c r="D672" s="54" t="s">
        <v>6700</v>
      </c>
      <c r="E672" s="28" t="s">
        <v>7025</v>
      </c>
      <c r="F672" s="28" t="s">
        <v>7017</v>
      </c>
      <c r="G672" s="28">
        <v>0</v>
      </c>
    </row>
    <row r="673" spans="1:7">
      <c r="A673" s="28">
        <v>33426</v>
      </c>
      <c r="B673" s="28" t="s">
        <v>7026</v>
      </c>
      <c r="C673" s="28">
        <v>2</v>
      </c>
      <c r="D673" s="54" t="s">
        <v>6700</v>
      </c>
      <c r="E673" s="28" t="s">
        <v>7027</v>
      </c>
      <c r="F673" s="28" t="s">
        <v>7017</v>
      </c>
      <c r="G673" s="28">
        <v>0</v>
      </c>
    </row>
    <row r="674" spans="1:7">
      <c r="A674" s="28">
        <v>33431</v>
      </c>
      <c r="B674" s="28" t="s">
        <v>7015</v>
      </c>
      <c r="C674" s="28">
        <v>3</v>
      </c>
      <c r="D674" s="54" t="s">
        <v>6700</v>
      </c>
      <c r="E674" s="28" t="s">
        <v>7016</v>
      </c>
      <c r="F674" s="28" t="s">
        <v>7028</v>
      </c>
      <c r="G674" s="28">
        <v>0</v>
      </c>
    </row>
    <row r="675" spans="1:7">
      <c r="A675" s="28">
        <v>33432</v>
      </c>
      <c r="B675" s="28" t="s">
        <v>7018</v>
      </c>
      <c r="C675" s="28">
        <v>3</v>
      </c>
      <c r="D675" s="54" t="s">
        <v>6700</v>
      </c>
      <c r="E675" s="28" t="s">
        <v>7019</v>
      </c>
      <c r="F675" s="28" t="s">
        <v>7028</v>
      </c>
      <c r="G675" s="28">
        <v>0</v>
      </c>
    </row>
    <row r="676" spans="1:7">
      <c r="A676" s="28">
        <v>33433</v>
      </c>
      <c r="B676" s="28" t="s">
        <v>7020</v>
      </c>
      <c r="C676" s="28">
        <v>3</v>
      </c>
      <c r="D676" s="54" t="s">
        <v>6700</v>
      </c>
      <c r="E676" s="28" t="s">
        <v>7021</v>
      </c>
      <c r="F676" s="28" t="s">
        <v>7028</v>
      </c>
      <c r="G676" s="28">
        <v>0</v>
      </c>
    </row>
    <row r="677" spans="1:7">
      <c r="A677" s="28">
        <v>33434</v>
      </c>
      <c r="B677" s="28" t="s">
        <v>7022</v>
      </c>
      <c r="C677" s="28">
        <v>3</v>
      </c>
      <c r="D677" s="54" t="s">
        <v>6700</v>
      </c>
      <c r="E677" s="28" t="s">
        <v>7023</v>
      </c>
      <c r="F677" s="28" t="s">
        <v>7028</v>
      </c>
      <c r="G677" s="28">
        <v>0</v>
      </c>
    </row>
    <row r="678" spans="1:7">
      <c r="A678" s="28">
        <v>33435</v>
      </c>
      <c r="B678" s="28" t="s">
        <v>7024</v>
      </c>
      <c r="C678" s="28">
        <v>3</v>
      </c>
      <c r="D678" s="54" t="s">
        <v>6700</v>
      </c>
      <c r="E678" s="28" t="s">
        <v>7025</v>
      </c>
      <c r="F678" s="28" t="s">
        <v>7028</v>
      </c>
      <c r="G678" s="28">
        <v>0</v>
      </c>
    </row>
    <row r="679" spans="1:7">
      <c r="A679" s="28">
        <v>33436</v>
      </c>
      <c r="B679" s="28" t="s">
        <v>7026</v>
      </c>
      <c r="C679" s="28">
        <v>3</v>
      </c>
      <c r="D679" s="54" t="s">
        <v>6700</v>
      </c>
      <c r="E679" s="28" t="s">
        <v>7027</v>
      </c>
      <c r="F679" s="28" t="s">
        <v>7028</v>
      </c>
      <c r="G679" s="28">
        <v>0</v>
      </c>
    </row>
    <row r="680" spans="1:7">
      <c r="A680" s="28">
        <v>33441</v>
      </c>
      <c r="B680" s="28" t="s">
        <v>7015</v>
      </c>
      <c r="C680" s="28">
        <v>4</v>
      </c>
      <c r="D680" s="54" t="s">
        <v>6700</v>
      </c>
      <c r="E680" s="28" t="s">
        <v>7016</v>
      </c>
      <c r="F680" s="28" t="s">
        <v>7029</v>
      </c>
      <c r="G680" s="28">
        <v>0</v>
      </c>
    </row>
    <row r="681" spans="1:7">
      <c r="A681" s="28">
        <v>33442</v>
      </c>
      <c r="B681" s="28" t="s">
        <v>7018</v>
      </c>
      <c r="C681" s="28">
        <v>4</v>
      </c>
      <c r="D681" s="54" t="s">
        <v>6700</v>
      </c>
      <c r="E681" s="28" t="s">
        <v>7019</v>
      </c>
      <c r="F681" s="28" t="s">
        <v>7029</v>
      </c>
      <c r="G681" s="28">
        <v>0</v>
      </c>
    </row>
    <row r="682" spans="1:7">
      <c r="A682" s="28">
        <v>33443</v>
      </c>
      <c r="B682" s="28" t="s">
        <v>7020</v>
      </c>
      <c r="C682" s="28">
        <v>4</v>
      </c>
      <c r="D682" s="54" t="s">
        <v>6700</v>
      </c>
      <c r="E682" s="28" t="s">
        <v>7021</v>
      </c>
      <c r="F682" s="28" t="s">
        <v>7029</v>
      </c>
      <c r="G682" s="28">
        <v>0</v>
      </c>
    </row>
    <row r="683" spans="1:7">
      <c r="A683" s="28">
        <v>33444</v>
      </c>
      <c r="B683" s="28" t="s">
        <v>7022</v>
      </c>
      <c r="C683" s="28">
        <v>4</v>
      </c>
      <c r="D683" s="54" t="s">
        <v>6700</v>
      </c>
      <c r="E683" s="28" t="s">
        <v>7023</v>
      </c>
      <c r="F683" s="28" t="s">
        <v>7029</v>
      </c>
      <c r="G683" s="28">
        <v>0</v>
      </c>
    </row>
    <row r="684" spans="1:7">
      <c r="A684" s="28">
        <v>33445</v>
      </c>
      <c r="B684" s="28" t="s">
        <v>7024</v>
      </c>
      <c r="C684" s="28">
        <v>4</v>
      </c>
      <c r="D684" s="54" t="s">
        <v>6700</v>
      </c>
      <c r="E684" s="28" t="s">
        <v>7025</v>
      </c>
      <c r="F684" s="28" t="s">
        <v>7029</v>
      </c>
      <c r="G684" s="28">
        <v>0</v>
      </c>
    </row>
    <row r="685" spans="1:7">
      <c r="A685" s="28">
        <v>33446</v>
      </c>
      <c r="B685" s="28" t="s">
        <v>7026</v>
      </c>
      <c r="C685" s="28">
        <v>4</v>
      </c>
      <c r="D685" s="54" t="s">
        <v>6700</v>
      </c>
      <c r="E685" s="28" t="s">
        <v>7027</v>
      </c>
      <c r="F685" s="28" t="s">
        <v>7029</v>
      </c>
      <c r="G685" s="28">
        <v>0</v>
      </c>
    </row>
    <row r="686" spans="1:7">
      <c r="A686" s="28">
        <v>33521</v>
      </c>
      <c r="B686" s="28" t="s">
        <v>7030</v>
      </c>
      <c r="C686" s="28">
        <v>2</v>
      </c>
      <c r="D686" s="54" t="s">
        <v>6700</v>
      </c>
      <c r="E686" s="28" t="s">
        <v>7031</v>
      </c>
      <c r="F686" s="28" t="s">
        <v>7032</v>
      </c>
      <c r="G686" s="28">
        <v>0</v>
      </c>
    </row>
    <row r="687" spans="1:7">
      <c r="A687" s="28">
        <v>33522</v>
      </c>
      <c r="B687" s="28" t="s">
        <v>7033</v>
      </c>
      <c r="C687" s="28">
        <v>2</v>
      </c>
      <c r="D687" s="54" t="s">
        <v>6700</v>
      </c>
      <c r="E687" s="28" t="s">
        <v>7034</v>
      </c>
      <c r="F687" s="28" t="s">
        <v>7032</v>
      </c>
      <c r="G687" s="28">
        <v>0</v>
      </c>
    </row>
    <row r="688" spans="1:7">
      <c r="A688" s="28">
        <v>33523</v>
      </c>
      <c r="B688" s="28" t="s">
        <v>7035</v>
      </c>
      <c r="C688" s="28">
        <v>2</v>
      </c>
      <c r="D688" s="54" t="s">
        <v>6700</v>
      </c>
      <c r="E688" s="28" t="s">
        <v>7036</v>
      </c>
      <c r="F688" s="28" t="s">
        <v>7032</v>
      </c>
      <c r="G688" s="28">
        <v>0</v>
      </c>
    </row>
    <row r="689" spans="1:7">
      <c r="A689" s="28">
        <v>33524</v>
      </c>
      <c r="B689" s="28" t="s">
        <v>7037</v>
      </c>
      <c r="C689" s="28">
        <v>2</v>
      </c>
      <c r="D689" s="54" t="s">
        <v>6700</v>
      </c>
      <c r="E689" s="28" t="s">
        <v>7038</v>
      </c>
      <c r="F689" s="28" t="s">
        <v>7032</v>
      </c>
      <c r="G689" s="28">
        <v>0</v>
      </c>
    </row>
    <row r="690" spans="1:7">
      <c r="A690" s="28">
        <v>33525</v>
      </c>
      <c r="B690" s="28" t="s">
        <v>7039</v>
      </c>
      <c r="C690" s="28">
        <v>2</v>
      </c>
      <c r="D690" s="54" t="s">
        <v>6700</v>
      </c>
      <c r="E690" s="28" t="s">
        <v>7040</v>
      </c>
      <c r="F690" s="28" t="s">
        <v>7032</v>
      </c>
      <c r="G690" s="28">
        <v>0</v>
      </c>
    </row>
    <row r="691" spans="1:7">
      <c r="A691" s="28">
        <v>33526</v>
      </c>
      <c r="B691" s="28" t="s">
        <v>7041</v>
      </c>
      <c r="C691" s="54">
        <v>2</v>
      </c>
      <c r="D691" s="54" t="s">
        <v>6700</v>
      </c>
      <c r="E691" s="28" t="s">
        <v>7042</v>
      </c>
      <c r="F691" s="28" t="s">
        <v>7032</v>
      </c>
      <c r="G691" s="28">
        <v>0</v>
      </c>
    </row>
    <row r="692" spans="1:7">
      <c r="A692" s="28">
        <v>33531</v>
      </c>
      <c r="B692" s="28" t="s">
        <v>7030</v>
      </c>
      <c r="C692" s="54">
        <v>3</v>
      </c>
      <c r="D692" s="54" t="s">
        <v>6700</v>
      </c>
      <c r="E692" s="28" t="s">
        <v>7031</v>
      </c>
      <c r="F692" s="28" t="s">
        <v>7043</v>
      </c>
      <c r="G692" s="28">
        <v>0</v>
      </c>
    </row>
    <row r="693" spans="1:7">
      <c r="A693" s="28">
        <v>33532</v>
      </c>
      <c r="B693" s="28" t="s">
        <v>7033</v>
      </c>
      <c r="C693" s="54">
        <v>3</v>
      </c>
      <c r="D693" s="54" t="s">
        <v>6700</v>
      </c>
      <c r="E693" s="28" t="s">
        <v>7034</v>
      </c>
      <c r="F693" s="28" t="s">
        <v>7043</v>
      </c>
      <c r="G693" s="28">
        <v>0</v>
      </c>
    </row>
    <row r="694" spans="1:7">
      <c r="A694" s="28">
        <v>33533</v>
      </c>
      <c r="B694" s="54" t="s">
        <v>7035</v>
      </c>
      <c r="C694" s="28">
        <v>3</v>
      </c>
      <c r="D694" s="54" t="s">
        <v>6700</v>
      </c>
      <c r="E694" s="28" t="s">
        <v>7036</v>
      </c>
      <c r="F694" s="28" t="s">
        <v>7043</v>
      </c>
      <c r="G694" s="28">
        <v>0</v>
      </c>
    </row>
    <row r="695" spans="1:7">
      <c r="A695" s="28">
        <v>33534</v>
      </c>
      <c r="B695" s="54" t="s">
        <v>7037</v>
      </c>
      <c r="C695" s="54">
        <v>3</v>
      </c>
      <c r="D695" s="54" t="s">
        <v>6700</v>
      </c>
      <c r="E695" s="28" t="s">
        <v>7038</v>
      </c>
      <c r="F695" s="28" t="s">
        <v>7043</v>
      </c>
      <c r="G695" s="28">
        <v>0</v>
      </c>
    </row>
    <row r="696" spans="1:7">
      <c r="A696" s="28">
        <v>33535</v>
      </c>
      <c r="B696" s="28" t="s">
        <v>7039</v>
      </c>
      <c r="C696" s="54">
        <v>3</v>
      </c>
      <c r="D696" s="54" t="s">
        <v>6700</v>
      </c>
      <c r="E696" s="28" t="s">
        <v>7040</v>
      </c>
      <c r="F696" s="28" t="s">
        <v>7043</v>
      </c>
      <c r="G696" s="28">
        <v>0</v>
      </c>
    </row>
    <row r="697" spans="1:7">
      <c r="A697" s="28">
        <v>33536</v>
      </c>
      <c r="B697" s="28" t="s">
        <v>7041</v>
      </c>
      <c r="C697" s="54">
        <v>3</v>
      </c>
      <c r="D697" s="54" t="s">
        <v>6700</v>
      </c>
      <c r="E697" s="28" t="s">
        <v>7042</v>
      </c>
      <c r="F697" s="28" t="s">
        <v>7043</v>
      </c>
      <c r="G697" s="28">
        <v>0</v>
      </c>
    </row>
    <row r="698" spans="1:7">
      <c r="A698" s="28">
        <v>33541</v>
      </c>
      <c r="B698" s="28" t="s">
        <v>7030</v>
      </c>
      <c r="C698" s="54">
        <v>4</v>
      </c>
      <c r="D698" s="54" t="s">
        <v>6700</v>
      </c>
      <c r="E698" s="28" t="s">
        <v>7031</v>
      </c>
      <c r="F698" s="28" t="s">
        <v>7044</v>
      </c>
      <c r="G698" s="28">
        <v>0</v>
      </c>
    </row>
    <row r="699" spans="1:7">
      <c r="A699" s="28">
        <v>33542</v>
      </c>
      <c r="B699" s="28" t="s">
        <v>7033</v>
      </c>
      <c r="C699" s="54">
        <v>4</v>
      </c>
      <c r="D699" s="54" t="s">
        <v>6700</v>
      </c>
      <c r="E699" s="28" t="s">
        <v>7034</v>
      </c>
      <c r="F699" s="28" t="s">
        <v>7044</v>
      </c>
      <c r="G699" s="28">
        <v>0</v>
      </c>
    </row>
    <row r="700" spans="1:7">
      <c r="A700" s="28">
        <v>33543</v>
      </c>
      <c r="B700" s="28" t="s">
        <v>7035</v>
      </c>
      <c r="C700" s="54">
        <v>4</v>
      </c>
      <c r="D700" s="54" t="s">
        <v>6700</v>
      </c>
      <c r="E700" s="28" t="s">
        <v>7036</v>
      </c>
      <c r="F700" s="28" t="s">
        <v>7044</v>
      </c>
      <c r="G700" s="28">
        <v>0</v>
      </c>
    </row>
    <row r="701" spans="1:7">
      <c r="A701" s="28">
        <v>33544</v>
      </c>
      <c r="B701" s="28" t="s">
        <v>7037</v>
      </c>
      <c r="C701" s="54">
        <v>4</v>
      </c>
      <c r="D701" s="54" t="s">
        <v>6700</v>
      </c>
      <c r="E701" s="28" t="s">
        <v>7038</v>
      </c>
      <c r="F701" s="28" t="s">
        <v>7044</v>
      </c>
      <c r="G701" s="28">
        <v>0</v>
      </c>
    </row>
    <row r="702" spans="1:7">
      <c r="A702" s="28">
        <v>33545</v>
      </c>
      <c r="B702" s="28" t="s">
        <v>7039</v>
      </c>
      <c r="C702" s="54">
        <v>4</v>
      </c>
      <c r="D702" s="54" t="s">
        <v>6700</v>
      </c>
      <c r="E702" s="28" t="s">
        <v>7040</v>
      </c>
      <c r="F702" s="28" t="s">
        <v>7044</v>
      </c>
      <c r="G702" s="28">
        <v>0</v>
      </c>
    </row>
    <row r="703" spans="1:7">
      <c r="A703" s="28">
        <v>33546</v>
      </c>
      <c r="B703" s="28" t="s">
        <v>7041</v>
      </c>
      <c r="C703" s="54">
        <v>4</v>
      </c>
      <c r="D703" s="54" t="s">
        <v>6700</v>
      </c>
      <c r="E703" s="28" t="s">
        <v>7042</v>
      </c>
      <c r="F703" s="28" t="s">
        <v>7044</v>
      </c>
      <c r="G703" s="28">
        <v>0</v>
      </c>
    </row>
    <row r="704" spans="1:7">
      <c r="A704" s="28">
        <v>33621</v>
      </c>
      <c r="B704" s="28" t="s">
        <v>7045</v>
      </c>
      <c r="C704" s="54">
        <v>2</v>
      </c>
      <c r="D704" s="54" t="s">
        <v>6700</v>
      </c>
      <c r="E704" s="28" t="s">
        <v>7046</v>
      </c>
      <c r="F704" s="28" t="s">
        <v>7047</v>
      </c>
      <c r="G704" s="28">
        <v>0</v>
      </c>
    </row>
    <row r="705" spans="1:7">
      <c r="A705" s="28">
        <v>33622</v>
      </c>
      <c r="B705" s="28" t="s">
        <v>7048</v>
      </c>
      <c r="C705" s="54">
        <v>2</v>
      </c>
      <c r="D705" s="54" t="s">
        <v>6700</v>
      </c>
      <c r="E705" s="28" t="s">
        <v>7049</v>
      </c>
      <c r="F705" s="28" t="s">
        <v>7047</v>
      </c>
      <c r="G705" s="28">
        <v>0</v>
      </c>
    </row>
    <row r="706" spans="1:7">
      <c r="A706" s="28">
        <v>33623</v>
      </c>
      <c r="B706" s="28" t="s">
        <v>7050</v>
      </c>
      <c r="C706" s="54">
        <v>2</v>
      </c>
      <c r="D706" s="54" t="s">
        <v>6700</v>
      </c>
      <c r="E706" s="28" t="s">
        <v>7051</v>
      </c>
      <c r="F706" s="28" t="s">
        <v>7047</v>
      </c>
      <c r="G706" s="28">
        <v>0</v>
      </c>
    </row>
    <row r="707" spans="1:7">
      <c r="A707" s="28">
        <v>33624</v>
      </c>
      <c r="B707" s="28" t="s">
        <v>7052</v>
      </c>
      <c r="C707" s="54">
        <v>2</v>
      </c>
      <c r="D707" s="54" t="s">
        <v>6700</v>
      </c>
      <c r="E707" s="28" t="s">
        <v>7053</v>
      </c>
      <c r="F707" s="28" t="s">
        <v>7047</v>
      </c>
      <c r="G707" s="28">
        <v>0</v>
      </c>
    </row>
    <row r="708" spans="1:7">
      <c r="A708" s="28">
        <v>33625</v>
      </c>
      <c r="B708" s="28" t="s">
        <v>7054</v>
      </c>
      <c r="C708" s="54">
        <v>2</v>
      </c>
      <c r="D708" s="54" t="s">
        <v>6700</v>
      </c>
      <c r="E708" s="28" t="s">
        <v>7055</v>
      </c>
      <c r="F708" s="28" t="s">
        <v>7047</v>
      </c>
      <c r="G708" s="28">
        <v>0</v>
      </c>
    </row>
    <row r="709" spans="1:7">
      <c r="A709" s="28">
        <v>33626</v>
      </c>
      <c r="B709" s="28" t="s">
        <v>7056</v>
      </c>
      <c r="C709" s="54">
        <v>2</v>
      </c>
      <c r="D709" s="54" t="s">
        <v>6700</v>
      </c>
      <c r="E709" s="28" t="s">
        <v>7057</v>
      </c>
      <c r="F709" s="28" t="s">
        <v>7047</v>
      </c>
      <c r="G709" s="28">
        <v>0</v>
      </c>
    </row>
    <row r="710" spans="1:7">
      <c r="A710" s="28">
        <v>33631</v>
      </c>
      <c r="B710" s="28" t="s">
        <v>7045</v>
      </c>
      <c r="C710" s="54">
        <v>3</v>
      </c>
      <c r="D710" s="54" t="s">
        <v>6700</v>
      </c>
      <c r="E710" s="28" t="s">
        <v>7046</v>
      </c>
      <c r="F710" s="28" t="s">
        <v>7058</v>
      </c>
      <c r="G710" s="28">
        <v>0</v>
      </c>
    </row>
    <row r="711" spans="1:7">
      <c r="A711" s="28">
        <v>33632</v>
      </c>
      <c r="B711" s="28" t="s">
        <v>7048</v>
      </c>
      <c r="C711" s="54">
        <v>3</v>
      </c>
      <c r="D711" s="54" t="s">
        <v>6700</v>
      </c>
      <c r="E711" s="28" t="s">
        <v>7049</v>
      </c>
      <c r="F711" s="28" t="s">
        <v>7058</v>
      </c>
      <c r="G711" s="28">
        <v>0</v>
      </c>
    </row>
    <row r="712" spans="1:7">
      <c r="A712" s="28">
        <v>33633</v>
      </c>
      <c r="B712" s="28" t="s">
        <v>7050</v>
      </c>
      <c r="C712" s="54">
        <v>3</v>
      </c>
      <c r="D712" s="54" t="s">
        <v>6700</v>
      </c>
      <c r="E712" s="28" t="s">
        <v>7051</v>
      </c>
      <c r="F712" s="28" t="s">
        <v>7058</v>
      </c>
      <c r="G712" s="28">
        <v>0</v>
      </c>
    </row>
    <row r="713" spans="1:7">
      <c r="A713" s="28">
        <v>33634</v>
      </c>
      <c r="B713" s="28" t="s">
        <v>7052</v>
      </c>
      <c r="C713" s="54">
        <v>3</v>
      </c>
      <c r="D713" s="54" t="s">
        <v>6700</v>
      </c>
      <c r="E713" s="28" t="s">
        <v>7053</v>
      </c>
      <c r="F713" s="28" t="s">
        <v>7058</v>
      </c>
      <c r="G713" s="28">
        <v>0</v>
      </c>
    </row>
    <row r="714" spans="1:7">
      <c r="A714" s="28">
        <v>33635</v>
      </c>
      <c r="B714" s="28" t="s">
        <v>7054</v>
      </c>
      <c r="C714" s="54">
        <v>3</v>
      </c>
      <c r="D714" s="54" t="s">
        <v>6700</v>
      </c>
      <c r="E714" s="28" t="s">
        <v>7055</v>
      </c>
      <c r="F714" s="28" t="s">
        <v>7058</v>
      </c>
      <c r="G714" s="28">
        <v>0</v>
      </c>
    </row>
    <row r="715" spans="1:7">
      <c r="A715" s="28">
        <v>33636</v>
      </c>
      <c r="B715" s="28" t="s">
        <v>7056</v>
      </c>
      <c r="C715" s="54">
        <v>3</v>
      </c>
      <c r="D715" s="54" t="s">
        <v>6700</v>
      </c>
      <c r="E715" s="28" t="s">
        <v>7057</v>
      </c>
      <c r="F715" s="28" t="s">
        <v>7058</v>
      </c>
      <c r="G715" s="28">
        <v>0</v>
      </c>
    </row>
    <row r="716" spans="1:7">
      <c r="A716" s="28">
        <v>33641</v>
      </c>
      <c r="B716" s="28" t="s">
        <v>7045</v>
      </c>
      <c r="C716" s="54">
        <v>4</v>
      </c>
      <c r="D716" s="54" t="s">
        <v>6700</v>
      </c>
      <c r="E716" s="28" t="s">
        <v>7046</v>
      </c>
      <c r="F716" s="28" t="s">
        <v>7059</v>
      </c>
      <c r="G716" s="28">
        <v>0</v>
      </c>
    </row>
    <row r="717" spans="1:7">
      <c r="A717" s="28">
        <v>33642</v>
      </c>
      <c r="B717" s="28" t="s">
        <v>7048</v>
      </c>
      <c r="C717" s="54">
        <v>4</v>
      </c>
      <c r="D717" s="54" t="s">
        <v>6700</v>
      </c>
      <c r="E717" s="28" t="s">
        <v>7049</v>
      </c>
      <c r="F717" s="28" t="s">
        <v>7059</v>
      </c>
      <c r="G717" s="28">
        <v>0</v>
      </c>
    </row>
    <row r="718" spans="1:7">
      <c r="A718" s="28">
        <v>33643</v>
      </c>
      <c r="B718" s="28" t="s">
        <v>7050</v>
      </c>
      <c r="C718" s="54">
        <v>4</v>
      </c>
      <c r="D718" s="54" t="s">
        <v>6700</v>
      </c>
      <c r="E718" s="28" t="s">
        <v>7051</v>
      </c>
      <c r="F718" s="28" t="s">
        <v>7059</v>
      </c>
      <c r="G718" s="28">
        <v>0</v>
      </c>
    </row>
    <row r="719" spans="1:7">
      <c r="A719" s="28">
        <v>33644</v>
      </c>
      <c r="B719" s="28" t="s">
        <v>7052</v>
      </c>
      <c r="C719" s="54">
        <v>4</v>
      </c>
      <c r="D719" s="54" t="s">
        <v>6700</v>
      </c>
      <c r="E719" s="28" t="s">
        <v>7053</v>
      </c>
      <c r="F719" s="28" t="s">
        <v>7059</v>
      </c>
      <c r="G719" s="28">
        <v>0</v>
      </c>
    </row>
    <row r="720" spans="1:7">
      <c r="A720" s="28">
        <v>33645</v>
      </c>
      <c r="B720" s="28" t="s">
        <v>7054</v>
      </c>
      <c r="C720" s="54">
        <v>4</v>
      </c>
      <c r="D720" s="54" t="s">
        <v>6700</v>
      </c>
      <c r="E720" s="28" t="s">
        <v>7055</v>
      </c>
      <c r="F720" s="28" t="s">
        <v>7059</v>
      </c>
      <c r="G720" s="28">
        <v>0</v>
      </c>
    </row>
    <row r="721" spans="1:7">
      <c r="A721" s="28">
        <v>33646</v>
      </c>
      <c r="B721" s="28" t="s">
        <v>7056</v>
      </c>
      <c r="C721" s="54">
        <v>4</v>
      </c>
      <c r="D721" s="54" t="s">
        <v>6700</v>
      </c>
      <c r="E721" s="28" t="s">
        <v>7057</v>
      </c>
      <c r="F721" s="28" t="s">
        <v>7059</v>
      </c>
      <c r="G721" s="28">
        <v>0</v>
      </c>
    </row>
    <row r="722" spans="1:7">
      <c r="A722" s="28">
        <v>50001</v>
      </c>
      <c r="B722" s="28" t="s">
        <v>5899</v>
      </c>
      <c r="C722" s="54">
        <v>3</v>
      </c>
      <c r="D722" s="54" t="s">
        <v>7060</v>
      </c>
      <c r="E722" s="28" t="s">
        <v>5899</v>
      </c>
      <c r="F722" s="28" t="s">
        <v>6789</v>
      </c>
      <c r="G722" s="28">
        <v>0</v>
      </c>
    </row>
    <row r="723" spans="1:7">
      <c r="A723" s="28">
        <v>53001</v>
      </c>
      <c r="B723" s="28" t="s">
        <v>5898</v>
      </c>
      <c r="C723" s="28">
        <v>3</v>
      </c>
      <c r="D723" s="54" t="s">
        <v>7060</v>
      </c>
      <c r="E723" s="28" t="s">
        <v>7061</v>
      </c>
      <c r="F723" s="28" t="s">
        <v>7062</v>
      </c>
      <c r="G723" s="28">
        <v>0</v>
      </c>
    </row>
    <row r="724" spans="1:7">
      <c r="A724" s="28">
        <v>53002</v>
      </c>
      <c r="B724" s="54" t="s">
        <v>5897</v>
      </c>
      <c r="C724" s="28">
        <v>3</v>
      </c>
      <c r="D724" s="54" t="s">
        <v>7060</v>
      </c>
      <c r="E724" s="28" t="s">
        <v>7063</v>
      </c>
      <c r="F724" s="28" t="s">
        <v>7064</v>
      </c>
      <c r="G724" s="28">
        <v>0</v>
      </c>
    </row>
    <row r="725" spans="1:7">
      <c r="A725" s="28">
        <v>53003</v>
      </c>
      <c r="B725" s="54" t="s">
        <v>5896</v>
      </c>
      <c r="C725" s="28">
        <v>3</v>
      </c>
      <c r="D725" s="54" t="s">
        <v>7060</v>
      </c>
      <c r="E725" s="28" t="s">
        <v>7065</v>
      </c>
      <c r="F725" s="28" t="s">
        <v>7066</v>
      </c>
      <c r="G725" s="28">
        <v>0</v>
      </c>
    </row>
    <row r="726" spans="1:7">
      <c r="A726" s="28">
        <v>53004</v>
      </c>
      <c r="B726" s="28" t="s">
        <v>5895</v>
      </c>
      <c r="C726" s="28">
        <v>3</v>
      </c>
      <c r="D726" s="54" t="s">
        <v>7060</v>
      </c>
      <c r="E726" s="28" t="s">
        <v>7067</v>
      </c>
      <c r="F726" s="28" t="s">
        <v>7068</v>
      </c>
      <c r="G726" s="28">
        <v>0</v>
      </c>
    </row>
    <row r="727" spans="1:7">
      <c r="A727" s="28">
        <v>53005</v>
      </c>
      <c r="B727" s="28" t="s">
        <v>5894</v>
      </c>
      <c r="C727" s="28">
        <v>3</v>
      </c>
      <c r="D727" s="54" t="s">
        <v>7060</v>
      </c>
      <c r="E727" s="28" t="s">
        <v>7069</v>
      </c>
      <c r="F727" s="28" t="s">
        <v>7070</v>
      </c>
      <c r="G727" s="28">
        <v>0</v>
      </c>
    </row>
    <row r="728" spans="1:7">
      <c r="A728" s="28">
        <v>53006</v>
      </c>
      <c r="B728" s="28" t="s">
        <v>5893</v>
      </c>
      <c r="C728" s="28">
        <v>3</v>
      </c>
      <c r="D728" s="54" t="s">
        <v>7060</v>
      </c>
      <c r="E728" s="28" t="s">
        <v>7071</v>
      </c>
      <c r="F728" s="28" t="s">
        <v>7072</v>
      </c>
      <c r="G728" s="28">
        <v>0</v>
      </c>
    </row>
    <row r="729" spans="1:7">
      <c r="A729" s="28">
        <v>53007</v>
      </c>
      <c r="B729" s="28" t="s">
        <v>5892</v>
      </c>
      <c r="C729" s="28">
        <v>3</v>
      </c>
      <c r="D729" s="54" t="s">
        <v>7060</v>
      </c>
      <c r="E729" s="28" t="s">
        <v>7073</v>
      </c>
      <c r="F729" s="28" t="s">
        <v>7074</v>
      </c>
      <c r="G729" s="28">
        <v>0</v>
      </c>
    </row>
    <row r="730" spans="1:7">
      <c r="A730" s="28">
        <v>53008</v>
      </c>
      <c r="B730" s="28" t="s">
        <v>5891</v>
      </c>
      <c r="C730" s="28">
        <v>3</v>
      </c>
      <c r="D730" s="54" t="s">
        <v>7060</v>
      </c>
      <c r="E730" s="28" t="s">
        <v>7075</v>
      </c>
      <c r="F730" s="28" t="s">
        <v>7076</v>
      </c>
      <c r="G730" s="28">
        <v>0</v>
      </c>
    </row>
    <row r="731" spans="1:7">
      <c r="A731" s="28">
        <v>53009</v>
      </c>
      <c r="B731" s="28" t="s">
        <v>5890</v>
      </c>
      <c r="C731" s="28">
        <v>3</v>
      </c>
      <c r="D731" s="54" t="s">
        <v>7060</v>
      </c>
      <c r="E731" s="28" t="s">
        <v>7077</v>
      </c>
      <c r="F731" s="28" t="s">
        <v>7078</v>
      </c>
      <c r="G731" s="28">
        <v>0</v>
      </c>
    </row>
    <row r="732" spans="1:7">
      <c r="A732" s="28">
        <v>53010</v>
      </c>
      <c r="B732" s="28" t="s">
        <v>5889</v>
      </c>
      <c r="C732" s="28">
        <v>3</v>
      </c>
      <c r="D732" s="54" t="s">
        <v>7060</v>
      </c>
      <c r="E732" s="28" t="s">
        <v>7079</v>
      </c>
      <c r="F732" s="28" t="s">
        <v>7080</v>
      </c>
      <c r="G732" s="28">
        <v>0</v>
      </c>
    </row>
    <row r="733" spans="1:7">
      <c r="A733" s="28">
        <v>53011</v>
      </c>
      <c r="B733" s="28" t="s">
        <v>5888</v>
      </c>
      <c r="C733" s="28">
        <v>3</v>
      </c>
      <c r="D733" s="54" t="s">
        <v>7060</v>
      </c>
      <c r="E733" s="28" t="s">
        <v>7081</v>
      </c>
      <c r="F733" s="28" t="s">
        <v>7082</v>
      </c>
      <c r="G733" s="28">
        <v>0</v>
      </c>
    </row>
    <row r="734" spans="1:7">
      <c r="A734" s="28">
        <v>53012</v>
      </c>
      <c r="B734" s="28" t="s">
        <v>5887</v>
      </c>
      <c r="C734" s="28">
        <v>3</v>
      </c>
      <c r="D734" s="54" t="s">
        <v>7060</v>
      </c>
      <c r="E734" s="28" t="s">
        <v>7083</v>
      </c>
      <c r="F734" s="28" t="s">
        <v>7084</v>
      </c>
      <c r="G734" s="28">
        <v>0</v>
      </c>
    </row>
    <row r="735" spans="1:7">
      <c r="A735" s="28">
        <v>53013</v>
      </c>
      <c r="B735" s="28" t="s">
        <v>5886</v>
      </c>
      <c r="C735" s="28">
        <v>3</v>
      </c>
      <c r="D735" s="54" t="s">
        <v>7060</v>
      </c>
      <c r="E735" s="28" t="s">
        <v>7085</v>
      </c>
      <c r="F735" s="28" t="s">
        <v>7086</v>
      </c>
      <c r="G735" s="28">
        <v>0</v>
      </c>
    </row>
    <row r="736" spans="1:7">
      <c r="A736" s="28">
        <v>53014</v>
      </c>
      <c r="B736" s="28" t="s">
        <v>5885</v>
      </c>
      <c r="C736" s="28">
        <v>3</v>
      </c>
      <c r="D736" s="54" t="s">
        <v>7060</v>
      </c>
      <c r="E736" s="28" t="s">
        <v>7087</v>
      </c>
      <c r="F736" s="28" t="s">
        <v>7088</v>
      </c>
      <c r="G736" s="28">
        <v>0</v>
      </c>
    </row>
    <row r="737" spans="1:7">
      <c r="A737" s="28">
        <v>53015</v>
      </c>
      <c r="B737" s="28" t="s">
        <v>5884</v>
      </c>
      <c r="C737" s="28">
        <v>3</v>
      </c>
      <c r="D737" s="54" t="s">
        <v>7060</v>
      </c>
      <c r="E737" s="28" t="s">
        <v>7089</v>
      </c>
      <c r="F737" s="28" t="s">
        <v>7090</v>
      </c>
      <c r="G737" s="28">
        <v>0</v>
      </c>
    </row>
    <row r="738" spans="1:7">
      <c r="A738" s="28">
        <v>53016</v>
      </c>
      <c r="B738" s="28" t="s">
        <v>5883</v>
      </c>
      <c r="C738" s="28">
        <v>3</v>
      </c>
      <c r="D738" s="54" t="s">
        <v>7060</v>
      </c>
      <c r="E738" s="28" t="s">
        <v>7091</v>
      </c>
      <c r="F738" s="28" t="s">
        <v>7092</v>
      </c>
      <c r="G738" s="28">
        <v>0</v>
      </c>
    </row>
    <row r="739" spans="1:7">
      <c r="A739" s="28">
        <v>53017</v>
      </c>
      <c r="B739" s="28" t="s">
        <v>5882</v>
      </c>
      <c r="C739" s="28">
        <v>3</v>
      </c>
      <c r="D739" s="54" t="s">
        <v>7060</v>
      </c>
      <c r="E739" s="28" t="s">
        <v>7093</v>
      </c>
      <c r="F739" s="28" t="s">
        <v>7094</v>
      </c>
      <c r="G739" s="28">
        <v>0</v>
      </c>
    </row>
    <row r="740" spans="1:7">
      <c r="A740" s="28">
        <v>53019</v>
      </c>
      <c r="B740" s="28" t="s">
        <v>5881</v>
      </c>
      <c r="C740" s="28">
        <v>3</v>
      </c>
      <c r="D740" s="54" t="s">
        <v>7060</v>
      </c>
      <c r="E740" s="54" t="s">
        <v>7095</v>
      </c>
      <c r="F740" s="28" t="s">
        <v>7094</v>
      </c>
      <c r="G740" s="28">
        <v>0</v>
      </c>
    </row>
    <row r="741" spans="1:7">
      <c r="A741" s="28">
        <v>54001</v>
      </c>
      <c r="B741" s="28" t="s">
        <v>5880</v>
      </c>
      <c r="C741" s="28">
        <v>4</v>
      </c>
      <c r="D741" s="54" t="s">
        <v>7060</v>
      </c>
      <c r="E741" s="54" t="s">
        <v>7096</v>
      </c>
      <c r="F741" s="28" t="s">
        <v>7097</v>
      </c>
      <c r="G741" s="28">
        <v>0</v>
      </c>
    </row>
    <row r="742" spans="1:7">
      <c r="A742" s="28">
        <v>54002</v>
      </c>
      <c r="B742" s="28" t="s">
        <v>5879</v>
      </c>
      <c r="C742" s="28">
        <v>4</v>
      </c>
      <c r="D742" s="54" t="s">
        <v>7060</v>
      </c>
      <c r="E742" s="54" t="s">
        <v>7098</v>
      </c>
      <c r="F742" s="28" t="s">
        <v>7099</v>
      </c>
      <c r="G742" s="28">
        <v>0</v>
      </c>
    </row>
    <row r="743" spans="1:7">
      <c r="A743" s="28">
        <v>54003</v>
      </c>
      <c r="B743" s="28" t="s">
        <v>5878</v>
      </c>
      <c r="C743" s="28">
        <v>3</v>
      </c>
      <c r="D743" s="54" t="s">
        <v>7060</v>
      </c>
      <c r="E743" s="54" t="s">
        <v>7100</v>
      </c>
      <c r="F743" s="28" t="s">
        <v>7101</v>
      </c>
      <c r="G743" s="28">
        <v>0</v>
      </c>
    </row>
    <row r="744" spans="1:7">
      <c r="A744" s="28">
        <v>54004</v>
      </c>
      <c r="B744" s="28" t="s">
        <v>5877</v>
      </c>
      <c r="C744" s="28">
        <v>4</v>
      </c>
      <c r="D744" s="54" t="s">
        <v>7060</v>
      </c>
      <c r="E744" s="54" t="s">
        <v>7102</v>
      </c>
      <c r="F744" s="28" t="s">
        <v>7103</v>
      </c>
      <c r="G744" s="28">
        <v>0</v>
      </c>
    </row>
    <row r="745" spans="1:7">
      <c r="A745" s="28">
        <v>54005</v>
      </c>
      <c r="B745" s="28" t="s">
        <v>5876</v>
      </c>
      <c r="C745" s="28">
        <v>4</v>
      </c>
      <c r="D745" s="54" t="s">
        <v>7060</v>
      </c>
      <c r="E745" s="54" t="s">
        <v>7104</v>
      </c>
      <c r="F745" s="28" t="s">
        <v>7105</v>
      </c>
      <c r="G745" s="28">
        <v>0</v>
      </c>
    </row>
    <row r="746" spans="1:7">
      <c r="A746" s="28">
        <v>54006</v>
      </c>
      <c r="B746" s="28" t="s">
        <v>5875</v>
      </c>
      <c r="C746" s="28">
        <v>4</v>
      </c>
      <c r="D746" s="54" t="s">
        <v>7060</v>
      </c>
      <c r="E746" s="54" t="s">
        <v>7106</v>
      </c>
      <c r="F746" s="28" t="s">
        <v>7107</v>
      </c>
      <c r="G746" s="28">
        <v>0</v>
      </c>
    </row>
    <row r="747" spans="1:7">
      <c r="A747" s="28">
        <v>54008</v>
      </c>
      <c r="B747" s="28" t="s">
        <v>5874</v>
      </c>
      <c r="C747" s="28">
        <v>4</v>
      </c>
      <c r="D747" s="54" t="s">
        <v>7060</v>
      </c>
      <c r="E747" s="54" t="s">
        <v>7108</v>
      </c>
      <c r="F747" s="28" t="s">
        <v>7109</v>
      </c>
      <c r="G747" s="28">
        <v>0</v>
      </c>
    </row>
    <row r="748" spans="1:7">
      <c r="A748" s="28">
        <v>54009</v>
      </c>
      <c r="B748" s="28" t="s">
        <v>5873</v>
      </c>
      <c r="C748" s="28">
        <v>4</v>
      </c>
      <c r="D748" s="54" t="s">
        <v>7060</v>
      </c>
      <c r="E748" s="54" t="s">
        <v>7110</v>
      </c>
      <c r="F748" s="28" t="s">
        <v>7111</v>
      </c>
      <c r="G748" s="28">
        <v>0</v>
      </c>
    </row>
    <row r="749" spans="1:7">
      <c r="A749" s="28">
        <v>54010</v>
      </c>
      <c r="B749" s="28" t="s">
        <v>5872</v>
      </c>
      <c r="C749" s="28">
        <v>4</v>
      </c>
      <c r="D749" s="54" t="s">
        <v>7060</v>
      </c>
      <c r="E749" s="54" t="s">
        <v>7112</v>
      </c>
      <c r="F749" s="28" t="s">
        <v>7113</v>
      </c>
      <c r="G749" s="28">
        <v>0</v>
      </c>
    </row>
    <row r="750" spans="1:7">
      <c r="A750" s="28">
        <v>54011</v>
      </c>
      <c r="B750" s="28" t="s">
        <v>5871</v>
      </c>
      <c r="C750" s="28">
        <v>4</v>
      </c>
      <c r="D750" s="54" t="s">
        <v>7060</v>
      </c>
      <c r="E750" s="54" t="s">
        <v>7114</v>
      </c>
      <c r="F750" s="28" t="s">
        <v>7115</v>
      </c>
      <c r="G750" s="28">
        <v>0</v>
      </c>
    </row>
    <row r="751" spans="1:7">
      <c r="A751" s="28">
        <v>54012</v>
      </c>
      <c r="B751" s="28" t="s">
        <v>5870</v>
      </c>
      <c r="C751" s="28">
        <v>4</v>
      </c>
      <c r="D751" s="54" t="s">
        <v>7060</v>
      </c>
      <c r="E751" s="54" t="s">
        <v>7116</v>
      </c>
      <c r="F751" s="28" t="s">
        <v>7117</v>
      </c>
      <c r="G751" s="28">
        <v>0</v>
      </c>
    </row>
    <row r="752" spans="1:7">
      <c r="A752" s="28">
        <v>54013</v>
      </c>
      <c r="B752" s="28" t="s">
        <v>5869</v>
      </c>
      <c r="C752" s="28">
        <v>4</v>
      </c>
      <c r="D752" s="54" t="s">
        <v>7060</v>
      </c>
      <c r="E752" s="54" t="s">
        <v>7118</v>
      </c>
      <c r="F752" s="28" t="s">
        <v>7119</v>
      </c>
      <c r="G752" s="28">
        <v>0</v>
      </c>
    </row>
    <row r="753" spans="1:7">
      <c r="A753" s="28">
        <v>54014</v>
      </c>
      <c r="B753" s="28" t="s">
        <v>5868</v>
      </c>
      <c r="C753" s="28">
        <v>4</v>
      </c>
      <c r="D753" s="54" t="s">
        <v>7060</v>
      </c>
      <c r="E753" s="54" t="s">
        <v>7120</v>
      </c>
      <c r="F753" s="28" t="s">
        <v>7121</v>
      </c>
      <c r="G753" s="28">
        <v>0</v>
      </c>
    </row>
    <row r="754" spans="1:7">
      <c r="A754" s="28">
        <v>54015</v>
      </c>
      <c r="B754" s="28" t="s">
        <v>5867</v>
      </c>
      <c r="C754" s="28">
        <v>4</v>
      </c>
      <c r="D754" s="54" t="s">
        <v>7060</v>
      </c>
      <c r="E754" s="54" t="s">
        <v>7122</v>
      </c>
      <c r="F754" s="28" t="s">
        <v>7123</v>
      </c>
      <c r="G754" s="28">
        <v>0</v>
      </c>
    </row>
    <row r="755" spans="1:7">
      <c r="A755" s="28">
        <v>54016</v>
      </c>
      <c r="B755" s="28" t="s">
        <v>5866</v>
      </c>
      <c r="C755" s="28">
        <v>4</v>
      </c>
      <c r="D755" s="54" t="s">
        <v>7060</v>
      </c>
      <c r="E755" s="54" t="s">
        <v>7124</v>
      </c>
      <c r="F755" s="28" t="s">
        <v>7125</v>
      </c>
      <c r="G755" s="28">
        <v>0</v>
      </c>
    </row>
    <row r="756" spans="1:7">
      <c r="A756" s="28">
        <v>54017</v>
      </c>
      <c r="B756" s="28" t="s">
        <v>5865</v>
      </c>
      <c r="C756" s="28">
        <v>4</v>
      </c>
      <c r="D756" s="54" t="s">
        <v>7060</v>
      </c>
      <c r="E756" s="54" t="s">
        <v>7126</v>
      </c>
      <c r="F756" s="28" t="s">
        <v>7127</v>
      </c>
      <c r="G756" s="28">
        <v>0</v>
      </c>
    </row>
    <row r="757" spans="1:7">
      <c r="A757" s="28">
        <v>54018</v>
      </c>
      <c r="B757" s="28" t="s">
        <v>5864</v>
      </c>
      <c r="C757" s="28">
        <v>4</v>
      </c>
      <c r="D757" s="54" t="s">
        <v>7060</v>
      </c>
      <c r="E757" s="54" t="s">
        <v>7128</v>
      </c>
      <c r="F757" s="28" t="s">
        <v>7129</v>
      </c>
      <c r="G757" s="28">
        <v>0</v>
      </c>
    </row>
    <row r="758" spans="1:7">
      <c r="A758" s="28">
        <v>54019</v>
      </c>
      <c r="B758" s="28" t="s">
        <v>5863</v>
      </c>
      <c r="C758" s="28">
        <v>4</v>
      </c>
      <c r="D758" s="54" t="s">
        <v>7060</v>
      </c>
      <c r="E758" s="54" t="s">
        <v>7130</v>
      </c>
      <c r="F758" s="28" t="s">
        <v>7131</v>
      </c>
      <c r="G758" s="28">
        <v>0</v>
      </c>
    </row>
    <row r="759" spans="1:7">
      <c r="A759" s="28">
        <v>54020</v>
      </c>
      <c r="B759" s="28" t="s">
        <v>5862</v>
      </c>
      <c r="C759" s="28">
        <v>4</v>
      </c>
      <c r="D759" s="54" t="s">
        <v>7060</v>
      </c>
      <c r="E759" s="54" t="s">
        <v>7132</v>
      </c>
      <c r="F759" s="28" t="s">
        <v>7133</v>
      </c>
      <c r="G759" s="28">
        <v>0</v>
      </c>
    </row>
    <row r="760" spans="1:7">
      <c r="A760" s="28">
        <v>54021</v>
      </c>
      <c r="B760" s="28" t="s">
        <v>5861</v>
      </c>
      <c r="C760" s="28">
        <v>4</v>
      </c>
      <c r="D760" s="54" t="s">
        <v>7060</v>
      </c>
      <c r="E760" s="54" t="s">
        <v>7134</v>
      </c>
      <c r="F760" s="28" t="s">
        <v>7135</v>
      </c>
      <c r="G760" s="28">
        <v>0</v>
      </c>
    </row>
    <row r="761" spans="1:7">
      <c r="A761" s="28">
        <v>100110</v>
      </c>
      <c r="B761" s="28" t="s">
        <v>7136</v>
      </c>
      <c r="C761" s="28">
        <v>1</v>
      </c>
      <c r="D761" s="54" t="s">
        <v>7137</v>
      </c>
      <c r="E761" s="54" t="s">
        <v>7138</v>
      </c>
      <c r="F761" s="28" t="s">
        <v>7139</v>
      </c>
      <c r="G761" s="28">
        <v>999999</v>
      </c>
    </row>
    <row r="762" spans="1:7">
      <c r="A762" s="28">
        <v>100111</v>
      </c>
      <c r="B762" s="28" t="s">
        <v>7140</v>
      </c>
      <c r="C762" s="28">
        <v>1</v>
      </c>
      <c r="D762" s="54" t="s">
        <v>7141</v>
      </c>
      <c r="E762" s="54" t="s">
        <v>7142</v>
      </c>
      <c r="F762" s="28" t="s">
        <v>7143</v>
      </c>
      <c r="G762" s="28">
        <v>999999</v>
      </c>
    </row>
    <row r="763" spans="1:7">
      <c r="A763" s="28">
        <v>100112</v>
      </c>
      <c r="B763" s="54" t="s">
        <v>7144</v>
      </c>
      <c r="C763" s="28">
        <v>1</v>
      </c>
      <c r="D763" s="54" t="s">
        <v>7145</v>
      </c>
      <c r="E763" s="28" t="s">
        <v>7146</v>
      </c>
      <c r="F763" s="28" t="s">
        <v>7147</v>
      </c>
      <c r="G763" s="28">
        <v>999999</v>
      </c>
    </row>
    <row r="764" spans="1:7">
      <c r="A764" s="28">
        <v>100113</v>
      </c>
      <c r="B764" s="28" t="s">
        <v>7148</v>
      </c>
      <c r="C764" s="28">
        <v>1</v>
      </c>
      <c r="D764" s="54" t="s">
        <v>7149</v>
      </c>
      <c r="E764" s="28" t="s">
        <v>7150</v>
      </c>
      <c r="F764" s="28" t="s">
        <v>7151</v>
      </c>
      <c r="G764" s="28">
        <v>999999</v>
      </c>
    </row>
    <row r="765" spans="1:7">
      <c r="A765" s="28">
        <v>100115</v>
      </c>
      <c r="B765" s="28" t="s">
        <v>7152</v>
      </c>
      <c r="C765" s="28">
        <v>1</v>
      </c>
      <c r="D765" s="54" t="s">
        <v>7153</v>
      </c>
      <c r="E765" s="28" t="s">
        <v>7154</v>
      </c>
      <c r="F765" s="28" t="s">
        <v>7155</v>
      </c>
      <c r="G765" s="28">
        <v>999999</v>
      </c>
    </row>
    <row r="766" spans="1:7">
      <c r="A766" s="28">
        <v>100120</v>
      </c>
      <c r="B766" s="28" t="s">
        <v>7156</v>
      </c>
      <c r="C766" s="28">
        <v>2</v>
      </c>
      <c r="D766" s="54" t="s">
        <v>7137</v>
      </c>
      <c r="E766" s="28" t="s">
        <v>7157</v>
      </c>
      <c r="F766" s="28" t="s">
        <v>7158</v>
      </c>
      <c r="G766" s="28">
        <v>999999</v>
      </c>
    </row>
    <row r="767" spans="1:7">
      <c r="A767" s="28">
        <v>100121</v>
      </c>
      <c r="B767" s="28" t="s">
        <v>7159</v>
      </c>
      <c r="C767" s="28">
        <v>2</v>
      </c>
      <c r="D767" s="54" t="s">
        <v>7141</v>
      </c>
      <c r="E767" s="28" t="s">
        <v>7160</v>
      </c>
      <c r="F767" s="28" t="s">
        <v>7161</v>
      </c>
      <c r="G767" s="28">
        <v>999999</v>
      </c>
    </row>
    <row r="768" spans="1:7">
      <c r="A768" s="28">
        <v>100122</v>
      </c>
      <c r="B768" s="28" t="s">
        <v>7162</v>
      </c>
      <c r="C768" s="28">
        <v>2</v>
      </c>
      <c r="D768" s="54" t="s">
        <v>7145</v>
      </c>
      <c r="E768" s="28" t="s">
        <v>7163</v>
      </c>
      <c r="F768" s="28" t="s">
        <v>7164</v>
      </c>
      <c r="G768" s="28">
        <v>999999</v>
      </c>
    </row>
    <row r="769" spans="1:7">
      <c r="A769" s="28">
        <v>100123</v>
      </c>
      <c r="B769" s="28" t="s">
        <v>7165</v>
      </c>
      <c r="C769" s="28">
        <v>2</v>
      </c>
      <c r="D769" s="54" t="s">
        <v>7149</v>
      </c>
      <c r="E769" s="28" t="s">
        <v>7166</v>
      </c>
      <c r="F769" s="28" t="s">
        <v>7167</v>
      </c>
      <c r="G769" s="28">
        <v>999999</v>
      </c>
    </row>
    <row r="770" spans="1:7">
      <c r="A770" s="28">
        <v>100125</v>
      </c>
      <c r="B770" s="54" t="s">
        <v>7168</v>
      </c>
      <c r="C770" s="28">
        <v>2</v>
      </c>
      <c r="D770" s="54" t="s">
        <v>7153</v>
      </c>
      <c r="E770" s="54" t="s">
        <v>7169</v>
      </c>
      <c r="F770" s="28" t="s">
        <v>7170</v>
      </c>
      <c r="G770" s="28">
        <v>999999</v>
      </c>
    </row>
    <row r="771" spans="1:7">
      <c r="A771" s="28">
        <v>100130</v>
      </c>
      <c r="B771" s="28" t="s">
        <v>7171</v>
      </c>
      <c r="C771" s="28">
        <v>3</v>
      </c>
      <c r="D771" s="54" t="s">
        <v>7137</v>
      </c>
      <c r="E771" s="54" t="s">
        <v>7172</v>
      </c>
      <c r="F771" s="28" t="s">
        <v>7173</v>
      </c>
      <c r="G771" s="28">
        <v>999999</v>
      </c>
    </row>
    <row r="772" spans="1:7">
      <c r="A772" s="28">
        <v>100131</v>
      </c>
      <c r="B772" s="28" t="s">
        <v>7174</v>
      </c>
      <c r="C772" s="28">
        <v>3</v>
      </c>
      <c r="D772" s="54" t="s">
        <v>7141</v>
      </c>
      <c r="E772" s="54" t="s">
        <v>7175</v>
      </c>
      <c r="F772" s="28" t="s">
        <v>7176</v>
      </c>
      <c r="G772" s="28">
        <v>999999</v>
      </c>
    </row>
    <row r="773" spans="1:7">
      <c r="A773" s="28">
        <v>100132</v>
      </c>
      <c r="B773" s="28" t="s">
        <v>7177</v>
      </c>
      <c r="C773" s="28">
        <v>3</v>
      </c>
      <c r="D773" s="54" t="s">
        <v>7145</v>
      </c>
      <c r="E773" s="54" t="s">
        <v>7178</v>
      </c>
      <c r="F773" s="28" t="s">
        <v>7179</v>
      </c>
      <c r="G773" s="28">
        <v>999999</v>
      </c>
    </row>
    <row r="774" spans="1:7">
      <c r="A774" s="28">
        <v>100133</v>
      </c>
      <c r="B774" s="28" t="s">
        <v>7180</v>
      </c>
      <c r="C774" s="28">
        <v>3</v>
      </c>
      <c r="D774" s="54" t="s">
        <v>7149</v>
      </c>
      <c r="E774" s="54" t="s">
        <v>7181</v>
      </c>
      <c r="F774" s="28" t="s">
        <v>7182</v>
      </c>
      <c r="G774" s="28">
        <v>999999</v>
      </c>
    </row>
    <row r="775" spans="1:7">
      <c r="A775" s="28">
        <v>100135</v>
      </c>
      <c r="B775" s="28" t="s">
        <v>7183</v>
      </c>
      <c r="C775" s="28">
        <v>3</v>
      </c>
      <c r="D775" s="54" t="s">
        <v>7153</v>
      </c>
      <c r="E775" s="54" t="s">
        <v>7184</v>
      </c>
      <c r="F775" s="28" t="s">
        <v>7185</v>
      </c>
      <c r="G775" s="28">
        <v>999999</v>
      </c>
    </row>
    <row r="776" spans="1:7">
      <c r="A776" s="28">
        <v>100211</v>
      </c>
      <c r="B776" s="28" t="s">
        <v>7186</v>
      </c>
      <c r="C776" s="28">
        <v>1</v>
      </c>
      <c r="D776" s="54" t="s">
        <v>7187</v>
      </c>
      <c r="E776" s="54" t="s">
        <v>7188</v>
      </c>
      <c r="F776" s="28" t="s">
        <v>7189</v>
      </c>
      <c r="G776" s="28">
        <v>999999</v>
      </c>
    </row>
    <row r="777" spans="1:7">
      <c r="A777" s="28">
        <v>100212</v>
      </c>
      <c r="B777" s="28" t="s">
        <v>7190</v>
      </c>
      <c r="C777" s="28">
        <v>1</v>
      </c>
      <c r="D777" s="54" t="s">
        <v>7191</v>
      </c>
      <c r="E777" s="54" t="s">
        <v>7192</v>
      </c>
      <c r="F777" s="28" t="s">
        <v>7193</v>
      </c>
      <c r="G777" s="28">
        <v>999999</v>
      </c>
    </row>
    <row r="778" spans="1:7">
      <c r="A778" s="28">
        <v>100213</v>
      </c>
      <c r="B778" s="28" t="s">
        <v>7194</v>
      </c>
      <c r="C778" s="28">
        <v>1</v>
      </c>
      <c r="D778" s="54" t="s">
        <v>7195</v>
      </c>
      <c r="E778" s="54" t="s">
        <v>7196</v>
      </c>
      <c r="F778" s="28" t="s">
        <v>7197</v>
      </c>
      <c r="G778" s="28">
        <v>999999</v>
      </c>
    </row>
    <row r="779" spans="1:7">
      <c r="A779" s="28">
        <v>100214</v>
      </c>
      <c r="B779" s="28" t="s">
        <v>7198</v>
      </c>
      <c r="C779" s="28">
        <v>1</v>
      </c>
      <c r="D779" s="54" t="s">
        <v>7199</v>
      </c>
      <c r="E779" s="54" t="s">
        <v>7200</v>
      </c>
      <c r="F779" s="28" t="s">
        <v>7201</v>
      </c>
      <c r="G779" s="28">
        <v>999999</v>
      </c>
    </row>
    <row r="780" spans="1:7">
      <c r="A780" s="28">
        <v>100215</v>
      </c>
      <c r="B780" s="28" t="s">
        <v>7202</v>
      </c>
      <c r="C780" s="28">
        <v>1</v>
      </c>
      <c r="D780" s="54" t="s">
        <v>7203</v>
      </c>
      <c r="E780" s="54" t="s">
        <v>7204</v>
      </c>
      <c r="F780" s="28" t="s">
        <v>7205</v>
      </c>
      <c r="G780" s="28">
        <v>999999</v>
      </c>
    </row>
    <row r="781" spans="1:7">
      <c r="A781" s="28">
        <v>100216</v>
      </c>
      <c r="B781" s="28" t="s">
        <v>7206</v>
      </c>
      <c r="C781" s="28">
        <v>1</v>
      </c>
      <c r="D781" s="54" t="s">
        <v>7207</v>
      </c>
      <c r="E781" s="54" t="s">
        <v>7208</v>
      </c>
      <c r="F781" s="28" t="s">
        <v>7209</v>
      </c>
      <c r="G781" s="28">
        <v>999999</v>
      </c>
    </row>
    <row r="782" spans="1:7">
      <c r="A782" s="28">
        <v>100221</v>
      </c>
      <c r="B782" s="28" t="s">
        <v>7210</v>
      </c>
      <c r="C782" s="28">
        <v>2</v>
      </c>
      <c r="D782" s="54" t="s">
        <v>7211</v>
      </c>
      <c r="E782" s="54" t="s">
        <v>7212</v>
      </c>
      <c r="F782" s="28" t="s">
        <v>7213</v>
      </c>
      <c r="G782" s="28">
        <v>999999</v>
      </c>
    </row>
    <row r="783" spans="1:7">
      <c r="A783" s="28">
        <v>100222</v>
      </c>
      <c r="B783" s="28" t="s">
        <v>7214</v>
      </c>
      <c r="C783" s="28">
        <v>2</v>
      </c>
      <c r="D783" s="54" t="s">
        <v>7215</v>
      </c>
      <c r="E783" s="54" t="s">
        <v>7216</v>
      </c>
      <c r="F783" s="28" t="s">
        <v>7217</v>
      </c>
      <c r="G783" s="28">
        <v>999999</v>
      </c>
    </row>
    <row r="784" spans="1:7">
      <c r="A784" s="28">
        <v>100223</v>
      </c>
      <c r="B784" s="28" t="s">
        <v>7218</v>
      </c>
      <c r="C784" s="28">
        <v>2</v>
      </c>
      <c r="D784" s="54" t="s">
        <v>7219</v>
      </c>
      <c r="E784" s="54" t="s">
        <v>7220</v>
      </c>
      <c r="F784" s="28" t="s">
        <v>7221</v>
      </c>
      <c r="G784" s="28">
        <v>999999</v>
      </c>
    </row>
    <row r="785" spans="1:7">
      <c r="A785" s="28">
        <v>100224</v>
      </c>
      <c r="B785" s="28" t="s">
        <v>7222</v>
      </c>
      <c r="C785" s="28">
        <v>2</v>
      </c>
      <c r="D785" s="54" t="s">
        <v>7223</v>
      </c>
      <c r="E785" s="54" t="s">
        <v>7224</v>
      </c>
      <c r="F785" s="28" t="s">
        <v>7225</v>
      </c>
      <c r="G785" s="28">
        <v>999999</v>
      </c>
    </row>
    <row r="786" spans="1:7">
      <c r="A786" s="28">
        <v>100225</v>
      </c>
      <c r="B786" s="28" t="s">
        <v>7226</v>
      </c>
      <c r="C786" s="28">
        <v>2</v>
      </c>
      <c r="D786" s="54" t="s">
        <v>7227</v>
      </c>
      <c r="E786" s="54" t="s">
        <v>7228</v>
      </c>
      <c r="F786" s="28" t="s">
        <v>7229</v>
      </c>
      <c r="G786" s="28">
        <v>999999</v>
      </c>
    </row>
    <row r="787" spans="1:7">
      <c r="A787" s="28">
        <v>100226</v>
      </c>
      <c r="B787" s="28" t="s">
        <v>7230</v>
      </c>
      <c r="C787" s="28">
        <v>2</v>
      </c>
      <c r="D787" s="54" t="s">
        <v>7231</v>
      </c>
      <c r="E787" s="54" t="s">
        <v>7232</v>
      </c>
      <c r="F787" s="28" t="s">
        <v>7233</v>
      </c>
      <c r="G787" s="28">
        <v>999999</v>
      </c>
    </row>
    <row r="788" spans="1:7">
      <c r="A788" s="28">
        <v>100231</v>
      </c>
      <c r="B788" s="28" t="s">
        <v>7234</v>
      </c>
      <c r="C788" s="28">
        <v>3</v>
      </c>
      <c r="D788" s="54" t="s">
        <v>7235</v>
      </c>
      <c r="E788" s="54" t="s">
        <v>7236</v>
      </c>
      <c r="F788" s="28" t="s">
        <v>7237</v>
      </c>
      <c r="G788" s="28">
        <v>999999</v>
      </c>
    </row>
    <row r="789" spans="1:7">
      <c r="A789" s="28">
        <v>100232</v>
      </c>
      <c r="B789" s="28" t="s">
        <v>7238</v>
      </c>
      <c r="C789" s="28">
        <v>3</v>
      </c>
      <c r="D789" s="54" t="s">
        <v>7239</v>
      </c>
      <c r="E789" s="54" t="s">
        <v>7240</v>
      </c>
      <c r="F789" s="28" t="s">
        <v>7241</v>
      </c>
      <c r="G789" s="28">
        <v>999999</v>
      </c>
    </row>
    <row r="790" spans="1:7">
      <c r="A790" s="28">
        <v>100233</v>
      </c>
      <c r="B790" s="28" t="s">
        <v>7242</v>
      </c>
      <c r="C790" s="28">
        <v>3</v>
      </c>
      <c r="D790" s="54" t="s">
        <v>7243</v>
      </c>
      <c r="E790" s="54" t="s">
        <v>7244</v>
      </c>
      <c r="F790" s="28" t="s">
        <v>7245</v>
      </c>
      <c r="G790" s="28">
        <v>999999</v>
      </c>
    </row>
    <row r="791" spans="1:7">
      <c r="A791" s="28">
        <v>100234</v>
      </c>
      <c r="B791" s="28" t="s">
        <v>7246</v>
      </c>
      <c r="C791" s="28">
        <v>3</v>
      </c>
      <c r="D791" s="54" t="s">
        <v>7247</v>
      </c>
      <c r="E791" s="54" t="s">
        <v>7248</v>
      </c>
      <c r="F791" s="28" t="s">
        <v>7249</v>
      </c>
      <c r="G791" s="28">
        <v>999999</v>
      </c>
    </row>
    <row r="792" spans="1:7">
      <c r="A792" s="28">
        <v>100235</v>
      </c>
      <c r="B792" s="28" t="s">
        <v>7250</v>
      </c>
      <c r="C792" s="28">
        <v>3</v>
      </c>
      <c r="D792" s="54" t="s">
        <v>7251</v>
      </c>
      <c r="E792" s="54" t="s">
        <v>7252</v>
      </c>
      <c r="F792" s="28" t="s">
        <v>7253</v>
      </c>
      <c r="G792" s="28">
        <v>999999</v>
      </c>
    </row>
    <row r="793" spans="1:7">
      <c r="A793" s="28">
        <v>100236</v>
      </c>
      <c r="B793" s="28" t="s">
        <v>7254</v>
      </c>
      <c r="C793" s="28">
        <v>3</v>
      </c>
      <c r="D793" s="54" t="s">
        <v>7255</v>
      </c>
      <c r="E793" s="54" t="s">
        <v>7256</v>
      </c>
      <c r="F793" s="28" t="s">
        <v>7257</v>
      </c>
      <c r="G793" s="28">
        <v>999999</v>
      </c>
    </row>
    <row r="794" spans="1:7">
      <c r="A794" s="28">
        <v>100941</v>
      </c>
      <c r="B794" s="28" t="s">
        <v>7258</v>
      </c>
      <c r="C794" s="28">
        <v>4</v>
      </c>
      <c r="D794" s="54" t="s">
        <v>7259</v>
      </c>
      <c r="E794" s="54" t="s">
        <v>7260</v>
      </c>
      <c r="F794" s="28" t="s">
        <v>7261</v>
      </c>
      <c r="G794" s="28">
        <v>999999</v>
      </c>
    </row>
    <row r="795" spans="1:7">
      <c r="A795" s="28">
        <v>100942</v>
      </c>
      <c r="B795" s="28" t="s">
        <v>7262</v>
      </c>
      <c r="C795" s="28">
        <v>4</v>
      </c>
      <c r="D795" s="54" t="s">
        <v>7263</v>
      </c>
      <c r="E795" s="54" t="s">
        <v>7264</v>
      </c>
      <c r="F795" s="28" t="s">
        <v>7265</v>
      </c>
      <c r="G795" s="28">
        <v>999999</v>
      </c>
    </row>
    <row r="796" spans="1:7">
      <c r="A796" s="28">
        <v>100943</v>
      </c>
      <c r="B796" s="28" t="s">
        <v>7266</v>
      </c>
      <c r="C796" s="28">
        <v>4</v>
      </c>
      <c r="D796" s="54" t="s">
        <v>7267</v>
      </c>
      <c r="E796" s="54" t="s">
        <v>7268</v>
      </c>
      <c r="F796" s="28" t="s">
        <v>7269</v>
      </c>
      <c r="G796" s="28">
        <v>999999</v>
      </c>
    </row>
    <row r="797" spans="1:7">
      <c r="A797" s="28">
        <v>100944</v>
      </c>
      <c r="B797" s="28" t="s">
        <v>7270</v>
      </c>
      <c r="C797" s="28">
        <v>4</v>
      </c>
      <c r="D797" s="54" t="s">
        <v>7271</v>
      </c>
      <c r="E797" s="54" t="s">
        <v>7272</v>
      </c>
      <c r="F797" s="28" t="s">
        <v>7273</v>
      </c>
      <c r="G797" s="28">
        <v>999999</v>
      </c>
    </row>
    <row r="798" spans="1:7">
      <c r="A798" s="28">
        <v>101010</v>
      </c>
      <c r="B798" s="28" t="s">
        <v>7274</v>
      </c>
      <c r="C798" s="28">
        <v>1</v>
      </c>
      <c r="D798" s="54" t="s">
        <v>7275</v>
      </c>
      <c r="E798" s="54" t="s">
        <v>7276</v>
      </c>
      <c r="F798" s="28" t="s">
        <v>7277</v>
      </c>
      <c r="G798" s="28">
        <v>999999</v>
      </c>
    </row>
    <row r="799" spans="1:7">
      <c r="A799" s="28">
        <v>101011</v>
      </c>
      <c r="B799" s="28" t="s">
        <v>7278</v>
      </c>
      <c r="C799" s="28">
        <v>1</v>
      </c>
      <c r="D799" s="54" t="s">
        <v>7279</v>
      </c>
      <c r="E799" s="54" t="s">
        <v>7280</v>
      </c>
      <c r="F799" s="28" t="s">
        <v>7281</v>
      </c>
      <c r="G799" s="28">
        <v>999999</v>
      </c>
    </row>
    <row r="800" spans="1:7">
      <c r="A800" s="28">
        <v>101012</v>
      </c>
      <c r="B800" s="28" t="s">
        <v>7282</v>
      </c>
      <c r="C800" s="28">
        <v>1</v>
      </c>
      <c r="D800" s="54" t="s">
        <v>7283</v>
      </c>
      <c r="E800" s="54" t="s">
        <v>7284</v>
      </c>
      <c r="F800" s="28" t="s">
        <v>7285</v>
      </c>
      <c r="G800" s="28">
        <v>999999</v>
      </c>
    </row>
    <row r="801" spans="1:7">
      <c r="A801" s="28">
        <v>101013</v>
      </c>
      <c r="B801" s="28" t="s">
        <v>7286</v>
      </c>
      <c r="C801" s="28">
        <v>1</v>
      </c>
      <c r="D801" s="54" t="s">
        <v>7287</v>
      </c>
      <c r="E801" s="54" t="s">
        <v>7288</v>
      </c>
      <c r="F801" s="28" t="s">
        <v>7289</v>
      </c>
      <c r="G801" s="28">
        <v>999999</v>
      </c>
    </row>
    <row r="802" spans="1:7">
      <c r="A802" s="28">
        <v>101014</v>
      </c>
      <c r="B802" s="28" t="s">
        <v>7290</v>
      </c>
      <c r="C802" s="28">
        <v>1</v>
      </c>
      <c r="D802" s="54" t="s">
        <v>7291</v>
      </c>
      <c r="E802" s="54" t="s">
        <v>7292</v>
      </c>
      <c r="F802" s="28" t="s">
        <v>7293</v>
      </c>
      <c r="G802" s="28">
        <v>999999</v>
      </c>
    </row>
    <row r="803" spans="1:7">
      <c r="A803" s="28">
        <v>101015</v>
      </c>
      <c r="B803" s="28" t="s">
        <v>7294</v>
      </c>
      <c r="C803" s="28">
        <v>1</v>
      </c>
      <c r="D803" s="54" t="s">
        <v>7295</v>
      </c>
      <c r="E803" s="54" t="s">
        <v>7296</v>
      </c>
      <c r="F803" s="28" t="s">
        <v>7297</v>
      </c>
      <c r="G803" s="28">
        <v>999999</v>
      </c>
    </row>
    <row r="804" spans="1:7">
      <c r="A804" s="28">
        <v>101020</v>
      </c>
      <c r="B804" s="28" t="s">
        <v>7298</v>
      </c>
      <c r="C804" s="28">
        <v>2</v>
      </c>
      <c r="D804" s="54" t="s">
        <v>7299</v>
      </c>
      <c r="E804" s="54" t="s">
        <v>7300</v>
      </c>
      <c r="F804" s="28" t="s">
        <v>7301</v>
      </c>
      <c r="G804" s="28">
        <v>999999</v>
      </c>
    </row>
    <row r="805" spans="1:7">
      <c r="A805" s="28">
        <v>101021</v>
      </c>
      <c r="B805" s="28" t="s">
        <v>7302</v>
      </c>
      <c r="C805" s="28">
        <v>2</v>
      </c>
      <c r="D805" s="54" t="s">
        <v>7303</v>
      </c>
      <c r="E805" s="54" t="s">
        <v>7304</v>
      </c>
      <c r="F805" s="28" t="s">
        <v>7305</v>
      </c>
      <c r="G805" s="28">
        <v>999999</v>
      </c>
    </row>
    <row r="806" spans="1:7">
      <c r="A806" s="28">
        <v>101022</v>
      </c>
      <c r="B806" s="28" t="s">
        <v>7306</v>
      </c>
      <c r="C806" s="28">
        <v>2</v>
      </c>
      <c r="D806" s="54" t="s">
        <v>7307</v>
      </c>
      <c r="E806" s="54" t="s">
        <v>7308</v>
      </c>
      <c r="F806" s="28" t="s">
        <v>7309</v>
      </c>
      <c r="G806" s="28">
        <v>999999</v>
      </c>
    </row>
    <row r="807" spans="1:7">
      <c r="A807" s="28">
        <v>101023</v>
      </c>
      <c r="B807" s="28" t="s">
        <v>7310</v>
      </c>
      <c r="C807" s="28">
        <v>2</v>
      </c>
      <c r="D807" s="54" t="s">
        <v>7311</v>
      </c>
      <c r="E807" s="54" t="s">
        <v>7312</v>
      </c>
      <c r="F807" s="28" t="s">
        <v>7313</v>
      </c>
      <c r="G807" s="28">
        <v>999999</v>
      </c>
    </row>
    <row r="808" spans="1:7">
      <c r="A808" s="28">
        <v>101024</v>
      </c>
      <c r="B808" s="28" t="s">
        <v>7314</v>
      </c>
      <c r="C808" s="28">
        <v>2</v>
      </c>
      <c r="D808" s="54" t="s">
        <v>7315</v>
      </c>
      <c r="E808" s="54" t="s">
        <v>7316</v>
      </c>
      <c r="F808" s="28" t="s">
        <v>7317</v>
      </c>
      <c r="G808" s="28">
        <v>999999</v>
      </c>
    </row>
    <row r="809" spans="1:7">
      <c r="A809" s="28">
        <v>101025</v>
      </c>
      <c r="B809" s="28" t="s">
        <v>7318</v>
      </c>
      <c r="C809" s="28">
        <v>2</v>
      </c>
      <c r="D809" s="54" t="s">
        <v>7319</v>
      </c>
      <c r="E809" s="54" t="s">
        <v>7320</v>
      </c>
      <c r="F809" s="28" t="s">
        <v>7321</v>
      </c>
      <c r="G809" s="28">
        <v>999999</v>
      </c>
    </row>
    <row r="810" spans="1:7">
      <c r="A810" s="28">
        <v>101030</v>
      </c>
      <c r="B810" s="28" t="s">
        <v>7322</v>
      </c>
      <c r="C810" s="28">
        <v>3</v>
      </c>
      <c r="D810" s="54" t="s">
        <v>7323</v>
      </c>
      <c r="E810" s="54" t="s">
        <v>7324</v>
      </c>
      <c r="F810" s="28" t="s">
        <v>7325</v>
      </c>
      <c r="G810" s="28">
        <v>999999</v>
      </c>
    </row>
    <row r="811" spans="1:7">
      <c r="A811" s="28">
        <v>101031</v>
      </c>
      <c r="B811" s="28" t="s">
        <v>7326</v>
      </c>
      <c r="C811" s="28">
        <v>3</v>
      </c>
      <c r="D811" s="54" t="s">
        <v>7327</v>
      </c>
      <c r="E811" s="54" t="s">
        <v>7328</v>
      </c>
      <c r="F811" s="28" t="s">
        <v>7329</v>
      </c>
      <c r="G811" s="28">
        <v>999999</v>
      </c>
    </row>
    <row r="812" spans="1:7">
      <c r="A812" s="28">
        <v>101032</v>
      </c>
      <c r="B812" s="28" t="s">
        <v>7330</v>
      </c>
      <c r="C812" s="28">
        <v>3</v>
      </c>
      <c r="D812" s="54" t="s">
        <v>7331</v>
      </c>
      <c r="E812" s="54" t="s">
        <v>7332</v>
      </c>
      <c r="F812" s="28" t="s">
        <v>7333</v>
      </c>
      <c r="G812" s="28">
        <v>999999</v>
      </c>
    </row>
    <row r="813" spans="1:7">
      <c r="A813" s="28">
        <v>101033</v>
      </c>
      <c r="B813" s="28" t="s">
        <v>7334</v>
      </c>
      <c r="C813" s="28">
        <v>3</v>
      </c>
      <c r="D813" s="54" t="s">
        <v>7335</v>
      </c>
      <c r="E813" s="54" t="s">
        <v>7336</v>
      </c>
      <c r="F813" s="28" t="s">
        <v>7337</v>
      </c>
      <c r="G813" s="28">
        <v>999999</v>
      </c>
    </row>
    <row r="814" spans="1:7">
      <c r="A814" s="28">
        <v>101034</v>
      </c>
      <c r="B814" s="28" t="s">
        <v>7338</v>
      </c>
      <c r="C814" s="28">
        <v>3</v>
      </c>
      <c r="D814" s="54" t="s">
        <v>7339</v>
      </c>
      <c r="E814" s="28" t="s">
        <v>7340</v>
      </c>
      <c r="F814" s="28" t="s">
        <v>7341</v>
      </c>
      <c r="G814" s="28">
        <v>999999</v>
      </c>
    </row>
    <row r="815" spans="1:7">
      <c r="A815" s="28">
        <v>101035</v>
      </c>
      <c r="B815" s="28" t="s">
        <v>7342</v>
      </c>
      <c r="C815" s="28">
        <v>3</v>
      </c>
      <c r="D815" s="54" t="s">
        <v>7343</v>
      </c>
      <c r="E815" s="54" t="s">
        <v>7344</v>
      </c>
      <c r="F815" s="28" t="s">
        <v>7345</v>
      </c>
      <c r="G815" s="28">
        <v>999999</v>
      </c>
    </row>
    <row r="816" spans="1:7">
      <c r="A816" s="28">
        <v>102010</v>
      </c>
      <c r="B816" s="28" t="s">
        <v>7346</v>
      </c>
      <c r="C816" s="28">
        <v>1</v>
      </c>
      <c r="D816" s="54" t="s">
        <v>7347</v>
      </c>
      <c r="E816" s="54" t="s">
        <v>7348</v>
      </c>
      <c r="F816" s="28" t="s">
        <v>7349</v>
      </c>
      <c r="G816" s="28">
        <v>999999</v>
      </c>
    </row>
    <row r="817" spans="1:7">
      <c r="A817" s="28">
        <v>102020</v>
      </c>
      <c r="B817" s="28" t="s">
        <v>7350</v>
      </c>
      <c r="C817" s="28">
        <v>2</v>
      </c>
      <c r="D817" s="54" t="s">
        <v>7351</v>
      </c>
      <c r="E817" s="54" t="s">
        <v>7352</v>
      </c>
      <c r="F817" s="28" t="s">
        <v>7353</v>
      </c>
      <c r="G817" s="28">
        <v>999999</v>
      </c>
    </row>
    <row r="818" spans="1:7">
      <c r="A818" s="28">
        <v>102030</v>
      </c>
      <c r="B818" s="28" t="s">
        <v>7354</v>
      </c>
      <c r="C818" s="28">
        <v>3</v>
      </c>
      <c r="D818" s="54" t="s">
        <v>7355</v>
      </c>
      <c r="E818" s="54" t="s">
        <v>7356</v>
      </c>
      <c r="F818" s="28" t="s">
        <v>7357</v>
      </c>
      <c r="G818" s="28">
        <v>999999</v>
      </c>
    </row>
    <row r="819" spans="1:7">
      <c r="A819" s="28">
        <v>103020</v>
      </c>
      <c r="B819" s="28" t="s">
        <v>7358</v>
      </c>
      <c r="C819" s="28">
        <v>2</v>
      </c>
      <c r="D819" s="54" t="s">
        <v>7359</v>
      </c>
      <c r="E819" s="54" t="s">
        <v>7360</v>
      </c>
      <c r="F819" s="28" t="s">
        <v>7361</v>
      </c>
      <c r="G819" s="28">
        <v>999999</v>
      </c>
    </row>
    <row r="820" spans="1:7">
      <c r="A820" s="28">
        <v>103030</v>
      </c>
      <c r="B820" s="28" t="s">
        <v>7362</v>
      </c>
      <c r="C820" s="28">
        <v>3</v>
      </c>
      <c r="D820" s="54" t="s">
        <v>7363</v>
      </c>
      <c r="E820" s="54" t="s">
        <v>7364</v>
      </c>
      <c r="F820" s="28" t="s">
        <v>7365</v>
      </c>
      <c r="G820" s="28">
        <v>999999</v>
      </c>
    </row>
    <row r="821" spans="1:7">
      <c r="A821" s="28">
        <v>103040</v>
      </c>
      <c r="B821" s="28" t="s">
        <v>7366</v>
      </c>
      <c r="C821" s="28">
        <v>4</v>
      </c>
      <c r="D821" s="28" t="s">
        <v>7367</v>
      </c>
      <c r="E821" s="54" t="s">
        <v>7368</v>
      </c>
      <c r="F821" s="28" t="s">
        <v>7369</v>
      </c>
      <c r="G821" s="28">
        <v>999999</v>
      </c>
    </row>
    <row r="822" spans="1:7">
      <c r="A822" s="28">
        <v>104001</v>
      </c>
      <c r="B822" s="28" t="s">
        <v>7370</v>
      </c>
      <c r="C822" s="28">
        <v>3</v>
      </c>
      <c r="D822" s="28" t="s">
        <v>7371</v>
      </c>
      <c r="E822" s="54" t="s">
        <v>7372</v>
      </c>
      <c r="F822" s="28" t="s">
        <v>7373</v>
      </c>
      <c r="G822" s="28">
        <v>999999</v>
      </c>
    </row>
    <row r="823" spans="1:7">
      <c r="A823" s="28">
        <v>104002</v>
      </c>
      <c r="B823" s="28" t="s">
        <v>7374</v>
      </c>
      <c r="C823" s="28">
        <v>3</v>
      </c>
      <c r="D823" s="28" t="s">
        <v>7375</v>
      </c>
      <c r="E823" s="54" t="s">
        <v>7376</v>
      </c>
      <c r="F823" s="28" t="s">
        <v>7377</v>
      </c>
      <c r="G823" s="28">
        <v>999999</v>
      </c>
    </row>
    <row r="824" spans="1:7">
      <c r="A824" s="28">
        <v>104003</v>
      </c>
      <c r="B824" s="28" t="s">
        <v>7378</v>
      </c>
      <c r="C824" s="28">
        <v>3</v>
      </c>
      <c r="D824" s="28" t="s">
        <v>7379</v>
      </c>
      <c r="E824" s="54" t="s">
        <v>7380</v>
      </c>
      <c r="F824" s="28" t="s">
        <v>7381</v>
      </c>
      <c r="G824" s="28">
        <v>999999</v>
      </c>
    </row>
    <row r="825" spans="1:7">
      <c r="A825" s="28">
        <v>110001</v>
      </c>
      <c r="B825" s="28" t="s">
        <v>7382</v>
      </c>
      <c r="C825" s="28">
        <v>4</v>
      </c>
      <c r="D825" s="28" t="s">
        <v>7383</v>
      </c>
      <c r="E825" s="54" t="s">
        <v>7384</v>
      </c>
      <c r="F825" s="28" t="s"/>
      <c r="G825" s="28">
        <v>999999</v>
      </c>
    </row>
    <row r="826" spans="1:7">
      <c r="A826" s="28">
        <v>110002</v>
      </c>
      <c r="B826" s="28" t="s">
        <v>7385</v>
      </c>
      <c r="C826" s="28">
        <v>4</v>
      </c>
      <c r="D826" s="28" t="s">
        <v>7383</v>
      </c>
      <c r="E826" s="54" t="s">
        <v>7386</v>
      </c>
      <c r="F826" s="28" t="s"/>
      <c r="G826" s="28">
        <v>999999</v>
      </c>
    </row>
    <row r="827" spans="1:7">
      <c r="A827" s="28">
        <v>110003</v>
      </c>
      <c r="B827" s="28" t="s">
        <v>7387</v>
      </c>
      <c r="C827" s="28">
        <v>4</v>
      </c>
      <c r="D827" s="28" t="s">
        <v>7383</v>
      </c>
      <c r="E827" s="54" t="s">
        <v>7388</v>
      </c>
      <c r="F827" s="28" t="s"/>
      <c r="G827" s="28">
        <v>999999</v>
      </c>
    </row>
    <row r="828" spans="1:7">
      <c r="A828" s="28">
        <v>110004</v>
      </c>
      <c r="B828" s="28" t="s">
        <v>7389</v>
      </c>
      <c r="C828" s="28">
        <v>4</v>
      </c>
      <c r="D828" s="28" t="s">
        <v>7383</v>
      </c>
      <c r="E828" s="54" t="s">
        <v>7390</v>
      </c>
      <c r="F828" s="28" t="s"/>
      <c r="G828" s="28">
        <v>999999</v>
      </c>
    </row>
    <row r="829" spans="1:7">
      <c r="A829" s="28">
        <v>110005</v>
      </c>
      <c r="B829" s="28" t="s">
        <v>7391</v>
      </c>
      <c r="C829" s="28">
        <v>4</v>
      </c>
      <c r="D829" s="28" t="s">
        <v>7383</v>
      </c>
      <c r="E829" s="54" t="s">
        <v>7392</v>
      </c>
      <c r="F829" s="28" t="s"/>
      <c r="G829" s="28">
        <v>999999</v>
      </c>
    </row>
    <row r="830" spans="1:7">
      <c r="A830" s="28">
        <v>110006</v>
      </c>
      <c r="B830" s="28" t="s">
        <v>7393</v>
      </c>
      <c r="C830" s="28">
        <v>4</v>
      </c>
      <c r="D830" s="28" t="s">
        <v>7383</v>
      </c>
      <c r="E830" s="54" t="s">
        <v>7394</v>
      </c>
      <c r="F830" s="28" t="s"/>
      <c r="G830" s="28">
        <v>999999</v>
      </c>
    </row>
    <row r="831" spans="1:7">
      <c r="A831" s="28">
        <v>110007</v>
      </c>
      <c r="B831" s="28" t="s">
        <v>7395</v>
      </c>
      <c r="C831" s="28">
        <v>4</v>
      </c>
      <c r="D831" s="28" t="s">
        <v>7383</v>
      </c>
      <c r="E831" s="54" t="s">
        <v>7396</v>
      </c>
      <c r="F831" s="28" t="s"/>
      <c r="G831" s="28">
        <v>999999</v>
      </c>
    </row>
    <row r="832" spans="1:7">
      <c r="A832" s="28">
        <v>110008</v>
      </c>
      <c r="B832" s="28" t="s">
        <v>7397</v>
      </c>
      <c r="C832" s="28">
        <v>4</v>
      </c>
      <c r="D832" s="28" t="s">
        <v>7383</v>
      </c>
      <c r="E832" s="54" t="s">
        <v>7398</v>
      </c>
      <c r="F832" s="28" t="s"/>
      <c r="G832" s="28">
        <v>999999</v>
      </c>
    </row>
    <row r="833" spans="1:7">
      <c r="A833" s="28">
        <v>110501</v>
      </c>
      <c r="B833" s="28" t="s">
        <v>7399</v>
      </c>
      <c r="C833" s="28">
        <v>3</v>
      </c>
      <c r="D833" s="28" t="s">
        <v>7400</v>
      </c>
      <c r="E833" s="54" t="s">
        <v>7401</v>
      </c>
      <c r="F833" s="28" t="s"/>
      <c r="G833" s="28">
        <v>999999</v>
      </c>
    </row>
    <row r="834" spans="1:7">
      <c r="A834" s="28">
        <v>110502</v>
      </c>
      <c r="B834" s="28" t="s">
        <v>7402</v>
      </c>
      <c r="C834" s="28">
        <v>3</v>
      </c>
      <c r="D834" s="28" t="s">
        <v>7400</v>
      </c>
      <c r="E834" s="54" t="s">
        <v>7403</v>
      </c>
      <c r="F834" s="28" t="s"/>
      <c r="G834" s="28">
        <v>999999</v>
      </c>
    </row>
    <row r="835" spans="1:7">
      <c r="A835" s="28">
        <v>110503</v>
      </c>
      <c r="B835" s="54" t="s">
        <v>7404</v>
      </c>
      <c r="C835" s="28">
        <v>3</v>
      </c>
      <c r="D835" s="54" t="s">
        <v>7400</v>
      </c>
      <c r="E835" s="54" t="s">
        <v>7405</v>
      </c>
      <c r="F835" s="28" t="s"/>
      <c r="G835" s="28">
        <v>999999</v>
      </c>
    </row>
    <row r="836" spans="1:7">
      <c r="A836" s="28">
        <v>110504</v>
      </c>
      <c r="B836" s="28" t="s">
        <v>7406</v>
      </c>
      <c r="C836" s="28">
        <v>3</v>
      </c>
      <c r="D836" s="54" t="s">
        <v>7400</v>
      </c>
      <c r="E836" s="54" t="s">
        <v>7407</v>
      </c>
      <c r="F836" s="28" t="s"/>
      <c r="G836" s="28">
        <v>999999</v>
      </c>
    </row>
    <row r="837" spans="1:7">
      <c r="A837" s="28">
        <v>110505</v>
      </c>
      <c r="B837" s="28" t="s">
        <v>7408</v>
      </c>
      <c r="C837" s="28">
        <v>3</v>
      </c>
      <c r="D837" s="54" t="s">
        <v>7400</v>
      </c>
      <c r="E837" s="54" t="s">
        <v>7409</v>
      </c>
      <c r="F837" s="28" t="s"/>
      <c r="G837" s="28">
        <v>999999</v>
      </c>
    </row>
    <row r="838" spans="1:7">
      <c r="A838" s="28">
        <v>110506</v>
      </c>
      <c r="B838" s="28" t="s">
        <v>7410</v>
      </c>
      <c r="C838" s="28">
        <v>3</v>
      </c>
      <c r="D838" s="54" t="s">
        <v>7400</v>
      </c>
      <c r="E838" s="54" t="s">
        <v>7411</v>
      </c>
      <c r="F838" s="28" t="s"/>
      <c r="G838" s="28">
        <v>999999</v>
      </c>
    </row>
    <row r="839" spans="1:7">
      <c r="A839" s="28">
        <v>110507</v>
      </c>
      <c r="B839" s="28" t="s">
        <v>7412</v>
      </c>
      <c r="C839" s="28">
        <v>3</v>
      </c>
      <c r="D839" s="54" t="s">
        <v>7400</v>
      </c>
      <c r="E839" s="54" t="s">
        <v>7413</v>
      </c>
      <c r="F839" s="28" t="s"/>
      <c r="G839" s="28">
        <v>999999</v>
      </c>
    </row>
    <row r="840" spans="1:7">
      <c r="A840" s="28">
        <v>110508</v>
      </c>
      <c r="B840" s="28" t="s">
        <v>7414</v>
      </c>
      <c r="C840" s="28">
        <v>3</v>
      </c>
      <c r="D840" s="28" t="s">
        <v>7400</v>
      </c>
      <c r="E840" s="65" t="s">
        <v>7415</v>
      </c>
      <c r="F840" s="28" t="s"/>
      <c r="G840" s="28">
        <v>999999</v>
      </c>
    </row>
    <row r="841" spans="1:7">
      <c r="A841" s="28">
        <v>110509</v>
      </c>
      <c r="B841" s="28" t="s">
        <v>7416</v>
      </c>
      <c r="C841" s="28">
        <v>3</v>
      </c>
      <c r="D841" s="54" t="s">
        <v>7400</v>
      </c>
      <c r="E841" s="65" t="s">
        <v>7417</v>
      </c>
      <c r="F841" s="28" t="s"/>
      <c r="G841" s="28">
        <v>999999</v>
      </c>
    </row>
    <row r="842" spans="1:7">
      <c r="A842" s="28">
        <v>110510</v>
      </c>
      <c r="B842" s="28" t="s">
        <v>7418</v>
      </c>
      <c r="C842" s="28">
        <v>3</v>
      </c>
      <c r="D842" s="54" t="s">
        <v>7400</v>
      </c>
      <c r="E842" s="65" t="s">
        <v>7419</v>
      </c>
      <c r="F842" s="28" t="s"/>
      <c r="G842" s="28">
        <v>999999</v>
      </c>
    </row>
    <row r="843" spans="1:7">
      <c r="A843" s="28">
        <v>110511</v>
      </c>
      <c r="B843" s="28" t="s">
        <v>7420</v>
      </c>
      <c r="C843" s="28">
        <v>3</v>
      </c>
      <c r="D843" s="54" t="s">
        <v>7400</v>
      </c>
      <c r="E843" s="64" t="s">
        <v>7421</v>
      </c>
      <c r="F843" s="28" t="s"/>
      <c r="G843" s="28">
        <v>999999</v>
      </c>
    </row>
    <row r="844" spans="1:7">
      <c r="A844" s="28">
        <v>110512</v>
      </c>
      <c r="B844" s="28" t="s">
        <v>7422</v>
      </c>
      <c r="C844" s="28">
        <v>3</v>
      </c>
      <c r="D844" s="54" t="s">
        <v>7400</v>
      </c>
      <c r="E844" s="64" t="s">
        <v>7423</v>
      </c>
      <c r="F844" s="28" t="s"/>
      <c r="G844" s="28">
        <v>999999</v>
      </c>
    </row>
    <row r="845" spans="1:7">
      <c r="A845" s="28">
        <v>110513</v>
      </c>
      <c r="B845" s="28" t="s">
        <v>7424</v>
      </c>
      <c r="C845" s="28">
        <v>3</v>
      </c>
      <c r="D845" s="54" t="s">
        <v>7400</v>
      </c>
      <c r="E845" s="64" t="s">
        <v>7425</v>
      </c>
      <c r="F845" s="28" t="s"/>
      <c r="G845" s="28">
        <v>999999</v>
      </c>
    </row>
    <row r="846" spans="1:7">
      <c r="A846" s="28">
        <v>110514</v>
      </c>
      <c r="B846" s="28" t="s">
        <v>7426</v>
      </c>
      <c r="C846" s="28">
        <v>3</v>
      </c>
      <c r="D846" s="54" t="s">
        <v>7400</v>
      </c>
      <c r="E846" s="64" t="s">
        <v>7427</v>
      </c>
      <c r="F846" s="28" t="s"/>
      <c r="G846" s="28">
        <v>999999</v>
      </c>
    </row>
    <row r="847" spans="1:7">
      <c r="A847" s="28">
        <v>120001</v>
      </c>
      <c r="B847" s="28" t="s">
        <v>7428</v>
      </c>
      <c r="C847" s="28">
        <v>2</v>
      </c>
      <c r="D847" s="54" t="s">
        <v>7429</v>
      </c>
      <c r="E847" s="64" t="s">
        <v>7430</v>
      </c>
      <c r="F847" s="28" t="s">
        <v>7431</v>
      </c>
      <c r="G847" s="28">
        <v>999999</v>
      </c>
    </row>
    <row r="848" spans="1:7">
      <c r="A848" s="28">
        <v>150101</v>
      </c>
      <c r="B848" s="28" t="s">
        <v>7432</v>
      </c>
      <c r="C848" s="28">
        <v>2</v>
      </c>
      <c r="D848" s="54" t="s">
        <v>7433</v>
      </c>
      <c r="E848" s="64" t="s">
        <v>7434</v>
      </c>
      <c r="F848" s="28" t="s">
        <v>7435</v>
      </c>
      <c r="G848" s="28">
        <v>999999</v>
      </c>
    </row>
    <row r="849" spans="1:7">
      <c r="A849" s="28">
        <v>150102</v>
      </c>
      <c r="B849" s="54" t="s">
        <v>7436</v>
      </c>
      <c r="C849" s="28">
        <v>2</v>
      </c>
      <c r="D849" s="54" t="s">
        <v>7433</v>
      </c>
      <c r="E849" s="64" t="s">
        <v>7434</v>
      </c>
      <c r="F849" s="28" t="s">
        <v>7437</v>
      </c>
      <c r="G849" s="28">
        <v>999999</v>
      </c>
    </row>
    <row r="850" spans="1:7">
      <c r="A850" s="28">
        <v>150103</v>
      </c>
      <c r="B850" s="28" t="s">
        <v>7438</v>
      </c>
      <c r="C850" s="28">
        <v>2</v>
      </c>
      <c r="D850" s="54" t="s">
        <v>7433</v>
      </c>
      <c r="E850" s="54" t="s">
        <v>7434</v>
      </c>
      <c r="F850" s="28" t="s">
        <v>7439</v>
      </c>
      <c r="G850" s="28">
        <v>999999</v>
      </c>
    </row>
    <row r="851" spans="1:7">
      <c r="A851" s="28">
        <v>150104</v>
      </c>
      <c r="B851" s="28" t="s">
        <v>7440</v>
      </c>
      <c r="C851" s="54">
        <v>2</v>
      </c>
      <c r="D851" s="54" t="s">
        <v>7441</v>
      </c>
      <c r="E851" s="54" t="s">
        <v>7442</v>
      </c>
      <c r="F851" s="28" t="s">
        <v>7443</v>
      </c>
      <c r="G851" s="28">
        <v>999999</v>
      </c>
    </row>
    <row r="852" spans="1:7">
      <c r="A852" s="28">
        <v>150105</v>
      </c>
      <c r="B852" s="28" t="s">
        <v>7444</v>
      </c>
      <c r="C852" s="28">
        <v>3</v>
      </c>
      <c r="D852" s="54" t="s">
        <v>7445</v>
      </c>
      <c r="E852" s="54" t="s">
        <v>7446</v>
      </c>
      <c r="F852" s="28" t="s">
        <v>7447</v>
      </c>
      <c r="G852" s="28">
        <v>999999</v>
      </c>
    </row>
    <row r="853" spans="1:7">
      <c r="A853" s="28">
        <v>150201</v>
      </c>
      <c r="B853" s="28" t="s">
        <v>7448</v>
      </c>
      <c r="C853" s="28">
        <v>2</v>
      </c>
      <c r="D853" s="54" t="s">
        <v>7449</v>
      </c>
      <c r="E853" s="54" t="s">
        <v>7450</v>
      </c>
      <c r="F853" s="28" t="s">
        <v>7451</v>
      </c>
      <c r="G853" s="28">
        <v>999999</v>
      </c>
    </row>
    <row r="854" spans="1:7">
      <c r="A854" s="28">
        <v>150202</v>
      </c>
      <c r="B854" s="28" t="s">
        <v>7436</v>
      </c>
      <c r="C854" s="54">
        <v>3</v>
      </c>
      <c r="D854" s="54" t="s">
        <v>7433</v>
      </c>
      <c r="E854" s="54" t="s">
        <v>7434</v>
      </c>
      <c r="F854" s="28" t="s">
        <v>7437</v>
      </c>
      <c r="G854" s="28">
        <v>999999</v>
      </c>
    </row>
    <row r="855" spans="1:7">
      <c r="A855" s="28">
        <v>200001</v>
      </c>
      <c r="B855" s="54" t="s">
        <v>7452</v>
      </c>
      <c r="C855" s="28">
        <v>1</v>
      </c>
      <c r="D855" s="54" t="s">
        <v>7453</v>
      </c>
      <c r="E855" s="54" t="s"/>
      <c r="F855" s="28" t="s">
        <v>7454</v>
      </c>
      <c r="G855" s="28">
        <v>9999</v>
      </c>
    </row>
    <row r="856" spans="1:7">
      <c r="A856" s="28">
        <v>200002</v>
      </c>
      <c r="B856" s="28" t="s">
        <v>7452</v>
      </c>
      <c r="C856" s="28">
        <v>1</v>
      </c>
      <c r="D856" s="54" t="s">
        <v>7453</v>
      </c>
      <c r="E856" s="54" t="s"/>
      <c r="F856" s="28" t="s">
        <v>7454</v>
      </c>
      <c r="G856" s="28">
        <v>9999</v>
      </c>
    </row>
    <row r="857" spans="1:7">
      <c r="A857" s="28">
        <v>200005</v>
      </c>
      <c r="B857" s="28" t="s">
        <v>7455</v>
      </c>
      <c r="C857" s="28">
        <v>2</v>
      </c>
      <c r="D857" s="54" t="s">
        <v>7456</v>
      </c>
      <c r="E857" s="54" t="s"/>
      <c r="F857" s="28" t="s">
        <v>7454</v>
      </c>
      <c r="G857" s="28">
        <v>9999</v>
      </c>
    </row>
    <row r="858" spans="1:7">
      <c r="A858" s="28">
        <v>200010</v>
      </c>
      <c r="B858" s="28" t="s">
        <v>7457</v>
      </c>
      <c r="C858" s="28">
        <v>3</v>
      </c>
      <c r="D858" s="54" t="s">
        <v>7458</v>
      </c>
      <c r="E858" s="54" t="s"/>
      <c r="F858" s="28" t="s">
        <v>7454</v>
      </c>
      <c r="G858" s="28">
        <v>9999</v>
      </c>
    </row>
    <row r="859" spans="1:7">
      <c r="A859" s="28">
        <v>200020</v>
      </c>
      <c r="B859" s="28" t="s">
        <v>7457</v>
      </c>
      <c r="C859" s="28">
        <v>3</v>
      </c>
      <c r="D859" s="54" t="s">
        <v>7459</v>
      </c>
      <c r="E859" s="54" t="s"/>
      <c r="F859" s="28" t="s">
        <v>7454</v>
      </c>
      <c r="G859" s="28">
        <v>9999</v>
      </c>
    </row>
    <row r="860" spans="1:7">
      <c r="A860" s="28">
        <v>200050</v>
      </c>
      <c r="B860" s="28" t="s">
        <v>7460</v>
      </c>
      <c r="C860" s="28">
        <v>4</v>
      </c>
      <c r="D860" s="28" t="s">
        <v>7461</v>
      </c>
      <c r="E860" s="54" t="s"/>
      <c r="F860" s="28" t="s">
        <v>7454</v>
      </c>
      <c r="G860" s="28">
        <v>9999</v>
      </c>
    </row>
    <row r="861" spans="1:7">
      <c r="A861" s="28">
        <v>201001</v>
      </c>
      <c r="B861" s="54" t="s">
        <v>7462</v>
      </c>
      <c r="C861" s="28">
        <v>1</v>
      </c>
      <c r="D861" s="54" t="s">
        <v>7463</v>
      </c>
      <c r="E861" s="54" t="s"/>
      <c r="F861" s="28" t="s">
        <v>7464</v>
      </c>
      <c r="G861" s="28">
        <v>9999</v>
      </c>
    </row>
    <row r="862" spans="1:7">
      <c r="A862" s="28">
        <v>201005</v>
      </c>
      <c r="B862" s="28" t="s">
        <v>7465</v>
      </c>
      <c r="C862" s="28">
        <v>2</v>
      </c>
      <c r="D862" s="54" t="s">
        <v>7466</v>
      </c>
      <c r="E862" s="54" t="s"/>
      <c r="F862" s="28" t="s">
        <v>7464</v>
      </c>
      <c r="G862" s="28">
        <v>9999</v>
      </c>
    </row>
    <row r="863" spans="1:7">
      <c r="A863" s="28">
        <v>201010</v>
      </c>
      <c r="B863" s="28" t="s">
        <v>7467</v>
      </c>
      <c r="C863" s="28">
        <v>3</v>
      </c>
      <c r="D863" s="28" t="s">
        <v>7468</v>
      </c>
      <c r="E863" s="54" t="s"/>
      <c r="F863" s="28" t="s">
        <v>7464</v>
      </c>
      <c r="G863" s="28">
        <v>9999</v>
      </c>
    </row>
    <row r="864" spans="1:7">
      <c r="A864" s="28">
        <v>201050</v>
      </c>
      <c r="B864" s="28" t="s">
        <v>7469</v>
      </c>
      <c r="C864" s="28">
        <v>4</v>
      </c>
      <c r="D864" s="28" t="s">
        <v>7470</v>
      </c>
      <c r="E864" s="54" t="s"/>
      <c r="F864" s="28" t="s">
        <v>7464</v>
      </c>
      <c r="G864" s="28">
        <v>9999</v>
      </c>
    </row>
    <row r="865" spans="1:7">
      <c r="A865" s="28">
        <v>201101</v>
      </c>
      <c r="B865" s="28" t="s">
        <v>7462</v>
      </c>
      <c r="C865" s="28">
        <v>1</v>
      </c>
      <c r="D865" s="28" t="s"/>
      <c r="E865" s="54" t="s"/>
      <c r="F865" s="28" t="s">
        <v>7464</v>
      </c>
      <c r="G865" s="28">
        <v>9999</v>
      </c>
    </row>
    <row r="866" spans="1:7">
      <c r="A866" s="28">
        <v>201102</v>
      </c>
      <c r="B866" s="28" t="s">
        <v>7462</v>
      </c>
      <c r="C866" s="28">
        <v>2</v>
      </c>
      <c r="D866" s="28" t="s"/>
      <c r="E866" s="54" t="s"/>
      <c r="F866" s="28" t="s">
        <v>7464</v>
      </c>
      <c r="G866" s="28">
        <v>9999</v>
      </c>
    </row>
    <row r="867" spans="1:7">
      <c r="A867" s="28">
        <v>201103</v>
      </c>
      <c r="B867" s="28" t="s">
        <v>7462</v>
      </c>
      <c r="C867" s="28">
        <v>3</v>
      </c>
      <c r="D867" s="28" t="s"/>
      <c r="E867" s="54" t="s"/>
      <c r="F867" s="28" t="s">
        <v>7464</v>
      </c>
      <c r="G867" s="28">
        <v>9999</v>
      </c>
    </row>
    <row r="868" spans="1:7">
      <c r="A868" s="28">
        <v>201200</v>
      </c>
      <c r="B868" s="54" t="s">
        <v>6364</v>
      </c>
      <c r="C868" s="28">
        <v>4</v>
      </c>
      <c r="D868" s="54" t="s">
        <v>7471</v>
      </c>
      <c r="E868" s="54" t="s">
        <v>7472</v>
      </c>
      <c r="F868" s="28" t="s">
        <v>6367</v>
      </c>
      <c r="G868" s="28">
        <v>999999</v>
      </c>
    </row>
    <row r="869" spans="1:7">
      <c r="A869" s="28">
        <v>201201</v>
      </c>
      <c r="B869" s="54" t="s">
        <v>7473</v>
      </c>
      <c r="C869" s="28">
        <v>3</v>
      </c>
      <c r="D869" s="54" t="s"/>
      <c r="E869" s="54" t="s"/>
      <c r="F869" s="28" t="s">
        <v>7464</v>
      </c>
      <c r="G869" s="28">
        <v>9999</v>
      </c>
    </row>
    <row r="870" spans="1:7">
      <c r="A870" s="28">
        <v>201202</v>
      </c>
      <c r="B870" s="28" t="s">
        <v>7473</v>
      </c>
      <c r="C870" s="28">
        <v>3</v>
      </c>
      <c r="D870" s="54" t="s"/>
      <c r="E870" s="54" t="s"/>
      <c r="F870" s="28" t="s">
        <v>7464</v>
      </c>
      <c r="G870" s="28">
        <v>9999</v>
      </c>
    </row>
    <row r="871" spans="1:7">
      <c r="A871" s="28">
        <v>201203</v>
      </c>
      <c r="B871" s="28" t="s">
        <v>7473</v>
      </c>
      <c r="C871" s="28">
        <v>3</v>
      </c>
      <c r="D871" s="54" t="s"/>
      <c r="E871" s="54" t="s"/>
      <c r="F871" s="28" t="s">
        <v>7464</v>
      </c>
      <c r="G871" s="28">
        <v>9999</v>
      </c>
    </row>
    <row r="872" spans="1:7">
      <c r="A872" s="28">
        <v>201204</v>
      </c>
      <c r="B872" s="28" t="s">
        <v>7473</v>
      </c>
      <c r="C872" s="28">
        <v>3</v>
      </c>
      <c r="D872" s="54" t="s"/>
      <c r="E872" s="65" t="s"/>
      <c r="F872" s="28" t="s">
        <v>7464</v>
      </c>
      <c r="G872" s="28">
        <v>9999</v>
      </c>
    </row>
    <row r="873" spans="1:7">
      <c r="A873" s="28">
        <v>201205</v>
      </c>
      <c r="B873" s="28" t="s">
        <v>7473</v>
      </c>
      <c r="C873" s="28">
        <v>3</v>
      </c>
      <c r="D873" s="54" t="s"/>
      <c r="E873" s="65" t="s"/>
      <c r="F873" s="28" t="s">
        <v>7464</v>
      </c>
      <c r="G873" s="28">
        <v>9999</v>
      </c>
    </row>
    <row r="874" spans="1:7">
      <c r="A874" s="28">
        <v>201206</v>
      </c>
      <c r="B874" s="28" t="s">
        <v>7473</v>
      </c>
      <c r="C874" s="28">
        <v>3</v>
      </c>
      <c r="D874" s="54" t="s"/>
      <c r="E874" s="65" t="s"/>
      <c r="F874" s="28" t="s">
        <v>7464</v>
      </c>
      <c r="G874" s="28">
        <v>9999</v>
      </c>
    </row>
    <row r="875" spans="1:7">
      <c r="A875" s="28">
        <v>201207</v>
      </c>
      <c r="B875" s="28" t="s">
        <v>7473</v>
      </c>
      <c r="C875" s="28">
        <v>3</v>
      </c>
      <c r="D875" s="54" t="s"/>
      <c r="E875" s="64" t="s"/>
      <c r="F875" s="28" t="s">
        <v>7464</v>
      </c>
      <c r="G875" s="28">
        <v>9999</v>
      </c>
    </row>
    <row r="876" spans="1:7">
      <c r="A876" s="28">
        <v>201208</v>
      </c>
      <c r="B876" s="28" t="s">
        <v>7473</v>
      </c>
      <c r="C876" s="28">
        <v>3</v>
      </c>
      <c r="D876" s="28" t="s"/>
      <c r="E876" s="64" t="s"/>
      <c r="F876" s="28" t="s">
        <v>7464</v>
      </c>
      <c r="G876" s="28">
        <v>9999</v>
      </c>
    </row>
    <row r="877" spans="1:7">
      <c r="A877" s="28">
        <v>201209</v>
      </c>
      <c r="B877" s="28" t="s">
        <v>7473</v>
      </c>
      <c r="C877" s="28">
        <v>3</v>
      </c>
      <c r="D877" s="54" t="s"/>
      <c r="E877" s="64" t="s"/>
      <c r="F877" s="28" t="s">
        <v>7464</v>
      </c>
      <c r="G877" s="28">
        <v>9999</v>
      </c>
    </row>
    <row r="878" spans="1:7">
      <c r="A878" s="28">
        <v>201301</v>
      </c>
      <c r="B878" s="28" t="s">
        <v>7473</v>
      </c>
      <c r="C878" s="28">
        <v>1</v>
      </c>
      <c r="D878" s="54" t="s"/>
      <c r="E878" s="64" t="s"/>
      <c r="F878" s="28" t="s">
        <v>7464</v>
      </c>
      <c r="G878" s="28">
        <v>9999</v>
      </c>
    </row>
    <row r="879" spans="1:7">
      <c r="A879" s="28">
        <v>201302</v>
      </c>
      <c r="B879" s="28" t="s">
        <v>7473</v>
      </c>
      <c r="C879" s="28">
        <v>2</v>
      </c>
      <c r="D879" s="54" t="s"/>
      <c r="E879" s="64" t="s"/>
      <c r="F879" s="28" t="s">
        <v>7464</v>
      </c>
      <c r="G879" s="28">
        <v>9999</v>
      </c>
    </row>
    <row r="880" spans="1:7">
      <c r="A880" s="28">
        <v>201303</v>
      </c>
      <c r="B880" s="28" t="s">
        <v>7473</v>
      </c>
      <c r="C880" s="28">
        <v>3</v>
      </c>
      <c r="D880" s="54" t="s"/>
      <c r="E880" s="64" t="s"/>
      <c r="F880" s="28" t="s">
        <v>7464</v>
      </c>
      <c r="G880" s="28">
        <v>9999</v>
      </c>
    </row>
    <row r="881" spans="1:7">
      <c r="A881" s="28">
        <v>201304</v>
      </c>
      <c r="B881" s="28" t="s">
        <v>6106</v>
      </c>
      <c r="C881" s="54">
        <v>4</v>
      </c>
      <c r="D881" s="54" t="s"/>
      <c r="E881" s="64" t="s"/>
      <c r="F881" s="28" t="s">
        <v>6109</v>
      </c>
      <c r="G881" s="28">
        <v>9999</v>
      </c>
    </row>
    <row r="882" spans="1:7">
      <c r="A882" s="28">
        <v>201305</v>
      </c>
      <c r="B882" s="28" t="s">
        <v>7473</v>
      </c>
      <c r="C882" s="28">
        <v>5</v>
      </c>
      <c r="D882" s="28" t="s"/>
      <c r="E882" s="64" t="s"/>
      <c r="F882" s="28" t="s">
        <v>7464</v>
      </c>
      <c r="G882" s="28">
        <v>9999</v>
      </c>
    </row>
    <row r="883" spans="1:7">
      <c r="A883" s="28">
        <v>201306</v>
      </c>
      <c r="B883" s="28" t="s">
        <v>7473</v>
      </c>
      <c r="C883" s="54">
        <v>5</v>
      </c>
      <c r="D883" s="28" t="s"/>
      <c r="E883" s="64" t="s"/>
      <c r="F883" s="28" t="s">
        <v>7464</v>
      </c>
      <c r="G883" s="28">
        <v>9999</v>
      </c>
    </row>
    <row r="884" spans="1:7">
      <c r="A884" s="28">
        <v>201307</v>
      </c>
      <c r="B884" s="28" t="s">
        <v>7473</v>
      </c>
      <c r="C884" s="28">
        <v>5</v>
      </c>
      <c r="D884" s="28" t="s"/>
      <c r="E884" s="64" t="s"/>
      <c r="F884" s="28" t="s">
        <v>7464</v>
      </c>
      <c r="G884" s="28">
        <v>9999</v>
      </c>
    </row>
    <row r="885" spans="1:7">
      <c r="A885" s="28">
        <v>201401</v>
      </c>
      <c r="B885" s="28" t="s">
        <v>6102</v>
      </c>
      <c r="C885" s="28">
        <v>1</v>
      </c>
      <c r="D885" s="54" t="s"/>
      <c r="E885" s="64" t="s"/>
      <c r="F885" s="28" t="s">
        <v>6105</v>
      </c>
      <c r="G885" s="28">
        <v>9999</v>
      </c>
    </row>
    <row r="886" spans="1:7">
      <c r="A886" s="28">
        <v>201402</v>
      </c>
      <c r="B886" s="28" t="s">
        <v>6102</v>
      </c>
      <c r="C886" s="54">
        <v>1</v>
      </c>
      <c r="D886" s="54" t="s"/>
      <c r="E886" s="64" t="s"/>
      <c r="F886" s="28" t="s">
        <v>6105</v>
      </c>
      <c r="G886" s="28">
        <v>9999</v>
      </c>
    </row>
    <row r="887" spans="1:7">
      <c r="A887" s="28">
        <v>201512</v>
      </c>
      <c r="B887" s="28" t="s">
        <v>7474</v>
      </c>
      <c r="C887" s="28">
        <v>1</v>
      </c>
      <c r="D887" s="54" t="s">
        <v>7475</v>
      </c>
      <c r="E887" s="64" t="s"/>
      <c r="F887" s="28" t="s">
        <v>7476</v>
      </c>
      <c r="G887" s="28">
        <v>9999</v>
      </c>
    </row>
    <row r="888" spans="1:7">
      <c r="A888" s="28">
        <v>201513</v>
      </c>
      <c r="B888" s="28" t="s">
        <v>7474</v>
      </c>
      <c r="C888" s="54">
        <v>1</v>
      </c>
      <c r="D888" s="54" t="s">
        <v>7477</v>
      </c>
      <c r="E888" s="64" t="s"/>
      <c r="F888" s="28" t="s">
        <v>7476</v>
      </c>
      <c r="G888" s="28">
        <v>9999</v>
      </c>
    </row>
    <row r="889" spans="1:7">
      <c r="A889" s="28">
        <v>201514</v>
      </c>
      <c r="B889" s="54" t="s">
        <v>7474</v>
      </c>
      <c r="C889" s="28">
        <v>1</v>
      </c>
      <c r="D889" s="54" t="s">
        <v>7478</v>
      </c>
      <c r="E889" s="64" t="s"/>
      <c r="F889" s="28" t="s">
        <v>7476</v>
      </c>
      <c r="G889" s="28">
        <v>9999</v>
      </c>
    </row>
    <row r="890" spans="1:7">
      <c r="A890" s="28">
        <v>201515</v>
      </c>
      <c r="B890" s="28" t="s">
        <v>7474</v>
      </c>
      <c r="C890" s="28">
        <v>1</v>
      </c>
      <c r="D890" s="54" t="s">
        <v>7479</v>
      </c>
      <c r="E890" s="64" t="s"/>
      <c r="F890" s="28" t="s">
        <v>7476</v>
      </c>
      <c r="G890" s="28">
        <v>9999</v>
      </c>
    </row>
    <row r="891" spans="1:7">
      <c r="A891" s="28">
        <v>201516</v>
      </c>
      <c r="B891" s="28" t="s">
        <v>7474</v>
      </c>
      <c r="C891" s="28">
        <v>1</v>
      </c>
      <c r="D891" s="54" t="s">
        <v>7480</v>
      </c>
      <c r="E891" s="64" t="s"/>
      <c r="F891" s="28" t="s">
        <v>7476</v>
      </c>
      <c r="G891" s="28">
        <v>9999</v>
      </c>
    </row>
    <row r="892" spans="1:7">
      <c r="A892" s="28">
        <v>201517</v>
      </c>
      <c r="B892" s="28" t="s">
        <v>7474</v>
      </c>
      <c r="C892" s="28">
        <v>1</v>
      </c>
      <c r="D892" s="54" t="s">
        <v>7481</v>
      </c>
      <c r="E892" s="64" t="s"/>
      <c r="F892" s="28" t="s">
        <v>7476</v>
      </c>
      <c r="G892" s="28">
        <v>9999</v>
      </c>
    </row>
    <row r="893" spans="1:7">
      <c r="A893" s="28">
        <v>201518</v>
      </c>
      <c r="B893" s="28" t="s">
        <v>7474</v>
      </c>
      <c r="C893" s="28">
        <v>1</v>
      </c>
      <c r="D893" s="54" t="s">
        <v>7482</v>
      </c>
      <c r="E893" s="64" t="s"/>
      <c r="F893" s="28" t="s">
        <v>7476</v>
      </c>
      <c r="G893" s="28">
        <v>9999</v>
      </c>
    </row>
    <row r="894" spans="1:7">
      <c r="A894" s="28">
        <v>202001</v>
      </c>
      <c r="B894" s="28" t="s">
        <v>7483</v>
      </c>
      <c r="C894" s="28">
        <v>1</v>
      </c>
      <c r="D894" s="54" t="s">
        <v>7484</v>
      </c>
      <c r="E894" s="64" t="s"/>
      <c r="F894" s="28" t="s">
        <v>7485</v>
      </c>
      <c r="G894" s="28">
        <v>9999</v>
      </c>
    </row>
    <row r="895" spans="1:7">
      <c r="A895" s="28">
        <v>202005</v>
      </c>
      <c r="B895" s="28" t="s">
        <v>7486</v>
      </c>
      <c r="C895" s="28">
        <v>2</v>
      </c>
      <c r="D895" s="28" t="s">
        <v>7487</v>
      </c>
      <c r="E895" s="64" t="s"/>
      <c r="F895" s="28" t="s">
        <v>7485</v>
      </c>
      <c r="G895" s="28">
        <v>9999</v>
      </c>
    </row>
    <row r="896" spans="1:7">
      <c r="A896" s="28">
        <v>202010</v>
      </c>
      <c r="B896" s="28" t="s">
        <v>7488</v>
      </c>
      <c r="C896" s="28">
        <v>3</v>
      </c>
      <c r="D896" s="28" t="s">
        <v>7489</v>
      </c>
      <c r="E896" s="64" t="s"/>
      <c r="F896" s="28" t="s">
        <v>7485</v>
      </c>
      <c r="G896" s="28">
        <v>9999</v>
      </c>
    </row>
    <row r="897" spans="1:7">
      <c r="A897" s="28">
        <v>202050</v>
      </c>
      <c r="B897" s="28" t="s">
        <v>7490</v>
      </c>
      <c r="C897" s="28">
        <v>4</v>
      </c>
      <c r="D897" s="28" t="s">
        <v>7491</v>
      </c>
      <c r="E897" s="64" t="s"/>
      <c r="F897" s="28" t="s">
        <v>7485</v>
      </c>
      <c r="G897" s="28">
        <v>9999</v>
      </c>
    </row>
    <row r="898" spans="1:7">
      <c r="A898" s="28">
        <v>202051</v>
      </c>
      <c r="B898" s="28" t="s">
        <v>7492</v>
      </c>
      <c r="C898" s="28">
        <v>4</v>
      </c>
      <c r="D898" s="28" t="s">
        <v>7493</v>
      </c>
      <c r="E898" s="64" t="s"/>
      <c r="F898" s="28" t="s">
        <v>7494</v>
      </c>
      <c r="G898" s="28">
        <v>9999</v>
      </c>
    </row>
    <row r="899" spans="1:7">
      <c r="A899" s="28">
        <v>202052</v>
      </c>
      <c r="B899" s="28" t="s">
        <v>7495</v>
      </c>
      <c r="C899" s="28">
        <v>4</v>
      </c>
      <c r="D899" s="28" t="s">
        <v>7496</v>
      </c>
      <c r="E899" s="64" t="s"/>
      <c r="F899" s="28" t="s">
        <v>7494</v>
      </c>
      <c r="G899" s="28">
        <v>9999</v>
      </c>
    </row>
    <row r="900" spans="1:7">
      <c r="A900" s="28">
        <v>203001</v>
      </c>
      <c r="B900" s="28" t="s">
        <v>7497</v>
      </c>
      <c r="C900" s="28">
        <v>1</v>
      </c>
      <c r="D900" s="28" t="s">
        <v>7498</v>
      </c>
      <c r="E900" s="64" t="s"/>
      <c r="F900" s="28" t="s">
        <v>7464</v>
      </c>
      <c r="G900" s="28">
        <v>9999</v>
      </c>
    </row>
    <row r="901" spans="1:7">
      <c r="A901" s="28">
        <v>203005</v>
      </c>
      <c r="B901" s="28" t="s">
        <v>7499</v>
      </c>
      <c r="C901" s="28">
        <v>2</v>
      </c>
      <c r="D901" s="54" t="s">
        <v>7500</v>
      </c>
      <c r="E901" s="64" t="s"/>
      <c r="F901" s="28" t="s">
        <v>7464</v>
      </c>
      <c r="G901" s="28">
        <v>9999</v>
      </c>
    </row>
    <row r="902" spans="1:7">
      <c r="A902" s="28">
        <v>203010</v>
      </c>
      <c r="B902" s="28" t="s">
        <v>7501</v>
      </c>
      <c r="C902" s="28">
        <v>3</v>
      </c>
      <c r="D902" s="54" t="s">
        <v>7502</v>
      </c>
      <c r="E902" s="64" t="s"/>
      <c r="F902" s="28" t="s">
        <v>7464</v>
      </c>
      <c r="G902" s="28">
        <v>9999</v>
      </c>
    </row>
    <row r="903" spans="1:7">
      <c r="A903" s="28">
        <v>203050</v>
      </c>
      <c r="B903" s="28" t="s">
        <v>7503</v>
      </c>
      <c r="C903" s="28">
        <v>4</v>
      </c>
      <c r="D903" s="54" t="s">
        <v>7504</v>
      </c>
      <c r="E903" s="54" t="s"/>
      <c r="F903" s="28" t="s">
        <v>7464</v>
      </c>
      <c r="G903" s="28">
        <v>9999</v>
      </c>
    </row>
    <row r="904" spans="1:7">
      <c r="A904" s="28">
        <v>204005</v>
      </c>
      <c r="B904" s="28" t="s">
        <v>7505</v>
      </c>
      <c r="C904" s="28">
        <v>1</v>
      </c>
      <c r="D904" s="28" t="s">
        <v>7506</v>
      </c>
      <c r="E904" s="54" t="s"/>
      <c r="F904" s="28" t="s">
        <v>7507</v>
      </c>
      <c r="G904" s="28">
        <v>9999</v>
      </c>
    </row>
    <row r="905" spans="1:7">
      <c r="A905" s="28">
        <v>204010</v>
      </c>
      <c r="B905" s="28" t="s">
        <v>7508</v>
      </c>
      <c r="C905" s="28">
        <v>2</v>
      </c>
      <c r="D905" s="54" t="s">
        <v>7509</v>
      </c>
      <c r="E905" s="54" t="s"/>
      <c r="F905" s="28" t="s">
        <v>7507</v>
      </c>
      <c r="G905" s="28">
        <v>9999</v>
      </c>
    </row>
    <row r="906" spans="1:7">
      <c r="A906" s="28">
        <v>204020</v>
      </c>
      <c r="B906" s="28" t="s">
        <v>7510</v>
      </c>
      <c r="C906" s="28">
        <v>3</v>
      </c>
      <c r="D906" s="28" t="s">
        <v>7511</v>
      </c>
      <c r="E906" s="54" t="s"/>
      <c r="F906" s="28" t="s">
        <v>7507</v>
      </c>
      <c r="G906" s="28">
        <v>9999</v>
      </c>
    </row>
    <row r="907" spans="1:7">
      <c r="A907" s="28">
        <v>204050</v>
      </c>
      <c r="B907" s="28" t="s">
        <v>7512</v>
      </c>
      <c r="C907" s="28">
        <v>4</v>
      </c>
      <c r="D907" s="54" t="s">
        <v>7513</v>
      </c>
      <c r="E907" s="54" t="s"/>
      <c r="F907" s="28" t="s">
        <v>7507</v>
      </c>
      <c r="G907" s="28">
        <v>9999</v>
      </c>
    </row>
    <row r="908" spans="1:7">
      <c r="A908" s="28">
        <v>204051</v>
      </c>
      <c r="B908" s="28" t="s">
        <v>7514</v>
      </c>
      <c r="C908" s="28">
        <v>4</v>
      </c>
      <c r="D908" s="54" t="s">
        <v>7515</v>
      </c>
      <c r="E908" s="54" t="s"/>
      <c r="F908" s="28" t="s">
        <v>7494</v>
      </c>
      <c r="G908" s="28">
        <v>9999</v>
      </c>
    </row>
    <row r="909" spans="1:7">
      <c r="A909" s="28">
        <v>204052</v>
      </c>
      <c r="B909" s="28" t="s">
        <v>7516</v>
      </c>
      <c r="C909" s="28">
        <v>4</v>
      </c>
      <c r="D909" s="54" t="s">
        <v>7517</v>
      </c>
      <c r="E909" s="54" t="s"/>
      <c r="F909" s="28" t="s">
        <v>7494</v>
      </c>
      <c r="G909" s="28">
        <v>9999</v>
      </c>
    </row>
    <row r="910" spans="1:7">
      <c r="A910" s="28">
        <v>204053</v>
      </c>
      <c r="B910" s="28" t="s">
        <v>7518</v>
      </c>
      <c r="C910" s="28">
        <v>4</v>
      </c>
      <c r="D910" s="54" t="s">
        <v>7519</v>
      </c>
      <c r="E910" s="64" t="s"/>
      <c r="F910" s="28" t="s">
        <v>6176</v>
      </c>
      <c r="G910" s="28">
        <v>9999</v>
      </c>
    </row>
    <row r="911" spans="1:7">
      <c r="A911" s="28">
        <v>204054</v>
      </c>
      <c r="B911" s="28" t="s">
        <v>7520</v>
      </c>
      <c r="C911" s="28">
        <v>4</v>
      </c>
      <c r="D911" s="54" t="s">
        <v>7521</v>
      </c>
      <c r="E911" s="64" t="s"/>
      <c r="F911" s="28" t="s">
        <v>6176</v>
      </c>
      <c r="G911" s="28">
        <v>9999</v>
      </c>
    </row>
    <row r="912" spans="1:7">
      <c r="A912" s="28">
        <v>204055</v>
      </c>
      <c r="B912" s="28" t="s">
        <v>7522</v>
      </c>
      <c r="C912" s="28">
        <v>3</v>
      </c>
      <c r="D912" s="54" t="s">
        <v>7523</v>
      </c>
      <c r="E912" s="64" t="s"/>
      <c r="F912" s="28" t="s">
        <v>6176</v>
      </c>
      <c r="G912" s="28">
        <v>9999</v>
      </c>
    </row>
    <row r="913" spans="1:7">
      <c r="A913" s="28">
        <v>204056</v>
      </c>
      <c r="B913" s="28" t="s">
        <v>7524</v>
      </c>
      <c r="C913" s="28">
        <v>2</v>
      </c>
      <c r="D913" s="54" t="s">
        <v>7525</v>
      </c>
      <c r="E913" s="64" t="s"/>
      <c r="F913" s="28" t="s">
        <v>6176</v>
      </c>
      <c r="G913" s="28">
        <v>9999</v>
      </c>
    </row>
    <row r="914" spans="1:7">
      <c r="A914" s="28">
        <v>205001</v>
      </c>
      <c r="B914" s="28" t="s">
        <v>7526</v>
      </c>
      <c r="C914" s="28">
        <v>1</v>
      </c>
      <c r="D914" s="54" t="s">
        <v>7527</v>
      </c>
      <c r="E914" s="54" t="s"/>
      <c r="F914" s="28" t="s">
        <v>6101</v>
      </c>
      <c r="G914" s="28">
        <v>9999</v>
      </c>
    </row>
    <row r="915" spans="1:7">
      <c r="A915" s="28">
        <v>205005</v>
      </c>
      <c r="B915" s="28" t="s">
        <v>7528</v>
      </c>
      <c r="C915" s="28">
        <v>2</v>
      </c>
      <c r="D915" s="54" t="s">
        <v>7529</v>
      </c>
      <c r="E915" s="54" t="s"/>
      <c r="F915" s="28" t="s">
        <v>6101</v>
      </c>
      <c r="G915" s="28">
        <v>9999</v>
      </c>
    </row>
    <row r="916" spans="1:7">
      <c r="A916" s="28">
        <v>205010</v>
      </c>
      <c r="B916" s="28" t="s">
        <v>7530</v>
      </c>
      <c r="C916" s="28">
        <v>3</v>
      </c>
      <c r="D916" s="54" t="s">
        <v>7531</v>
      </c>
      <c r="E916" s="54" t="s"/>
      <c r="F916" s="28" t="s">
        <v>6101</v>
      </c>
      <c r="G916" s="28">
        <v>9999</v>
      </c>
    </row>
    <row r="917" spans="1:7">
      <c r="A917" s="28">
        <v>205050</v>
      </c>
      <c r="B917" s="28" t="s">
        <v>7532</v>
      </c>
      <c r="C917" s="28">
        <v>4</v>
      </c>
      <c r="D917" s="54" t="s">
        <v>7531</v>
      </c>
      <c r="E917" s="64" t="s"/>
      <c r="F917" s="28" t="s">
        <v>6101</v>
      </c>
      <c r="G917" s="28">
        <v>9999</v>
      </c>
    </row>
    <row r="918" spans="1:7">
      <c r="A918" s="28">
        <v>206001</v>
      </c>
      <c r="B918" s="28" t="s">
        <v>6100</v>
      </c>
      <c r="C918" s="28">
        <v>1</v>
      </c>
      <c r="D918" s="54" t="s"/>
      <c r="E918" s="64" t="s"/>
      <c r="F918" s="28" t="s">
        <v>6101</v>
      </c>
      <c r="G918" s="28">
        <v>9999</v>
      </c>
    </row>
    <row r="919" spans="1:7">
      <c r="A919" s="28">
        <v>206002</v>
      </c>
      <c r="B919" s="28" t="s">
        <v>6100</v>
      </c>
      <c r="C919" s="28">
        <v>1</v>
      </c>
      <c r="D919" s="54" t="s"/>
      <c r="E919" s="64" t="s"/>
      <c r="F919" s="28" t="s">
        <v>6101</v>
      </c>
      <c r="G919" s="28">
        <v>9999</v>
      </c>
    </row>
    <row r="920" spans="1:7">
      <c r="A920" s="28">
        <v>206003</v>
      </c>
      <c r="B920" s="28" t="s">
        <v>6100</v>
      </c>
      <c r="C920" s="28">
        <v>1</v>
      </c>
      <c r="D920" s="54" t="s"/>
      <c r="E920" s="64" t="s"/>
      <c r="F920" s="28" t="s">
        <v>6101</v>
      </c>
      <c r="G920" s="28">
        <v>9999</v>
      </c>
    </row>
    <row r="921" spans="1:7">
      <c r="A921" s="28">
        <v>206004</v>
      </c>
      <c r="B921" s="28" t="s">
        <v>6100</v>
      </c>
      <c r="C921" s="28">
        <v>1</v>
      </c>
      <c r="D921" s="54" t="s"/>
      <c r="E921" s="64" t="s"/>
      <c r="F921" s="28" t="s">
        <v>6101</v>
      </c>
      <c r="G921" s="28">
        <v>9999</v>
      </c>
    </row>
    <row r="922" spans="1:7">
      <c r="A922" s="28">
        <v>206005</v>
      </c>
      <c r="B922" s="28" t="s">
        <v>6100</v>
      </c>
      <c r="C922" s="28">
        <v>1</v>
      </c>
      <c r="D922" s="54" t="s"/>
      <c r="E922" s="64" t="s"/>
      <c r="F922" s="28" t="s">
        <v>6101</v>
      </c>
      <c r="G922" s="28">
        <v>9999</v>
      </c>
    </row>
    <row r="923" spans="1:7">
      <c r="A923" s="28">
        <v>206999</v>
      </c>
      <c r="B923" s="28" t="s">
        <v>6100</v>
      </c>
      <c r="C923" s="28">
        <v>1</v>
      </c>
      <c r="D923" s="54" t="s"/>
      <c r="E923" s="64" t="s"/>
      <c r="F923" s="28" t="s">
        <v>6101</v>
      </c>
      <c r="G923" s="28">
        <v>9999</v>
      </c>
    </row>
    <row r="924" spans="1:7">
      <c r="A924" s="28">
        <v>207001</v>
      </c>
      <c r="B924" s="28" t="s">
        <v>6102</v>
      </c>
      <c r="C924" s="28">
        <v>1</v>
      </c>
      <c r="D924" s="54" t="s"/>
      <c r="E924" s="64" t="s"/>
      <c r="F924" s="28" t="s">
        <v>6105</v>
      </c>
      <c r="G924" s="28">
        <v>9999</v>
      </c>
    </row>
    <row r="925" spans="1:7">
      <c r="A925" s="28">
        <v>207002</v>
      </c>
      <c r="B925" s="28" t="s">
        <v>7533</v>
      </c>
      <c r="C925" s="28">
        <v>1</v>
      </c>
      <c r="D925" s="54" t="s">
        <v>7534</v>
      </c>
      <c r="E925" s="64" t="s"/>
      <c r="F925" s="28" t="s">
        <v>6176</v>
      </c>
      <c r="G925" s="28">
        <v>9999</v>
      </c>
    </row>
    <row r="926" spans="1:7">
      <c r="A926" s="28">
        <v>207003</v>
      </c>
      <c r="B926" s="28" t="s">
        <v>7535</v>
      </c>
      <c r="C926" s="28">
        <v>2</v>
      </c>
      <c r="D926" s="54" t="s">
        <v>7536</v>
      </c>
      <c r="E926" s="64" t="s"/>
      <c r="F926" s="28" t="s">
        <v>6176</v>
      </c>
      <c r="G926" s="28">
        <v>9999</v>
      </c>
    </row>
    <row r="927" spans="1:7">
      <c r="A927" s="28">
        <v>207004</v>
      </c>
      <c r="B927" s="28" t="s">
        <v>7537</v>
      </c>
      <c r="C927" s="28">
        <v>3</v>
      </c>
      <c r="D927" s="54" t="s">
        <v>7538</v>
      </c>
      <c r="E927" s="64" t="s"/>
      <c r="F927" s="28" t="s">
        <v>6176</v>
      </c>
      <c r="G927" s="28">
        <v>9999</v>
      </c>
    </row>
    <row r="928" spans="1:7">
      <c r="A928" s="28">
        <v>207005</v>
      </c>
      <c r="B928" s="28" t="s">
        <v>7539</v>
      </c>
      <c r="C928" s="28">
        <v>4</v>
      </c>
      <c r="D928" s="54" t="s">
        <v>7540</v>
      </c>
      <c r="E928" s="64" t="s"/>
      <c r="F928" s="28" t="s">
        <v>6176</v>
      </c>
      <c r="G928" s="28">
        <v>9999</v>
      </c>
    </row>
    <row r="929" spans="1:7">
      <c r="A929" s="28">
        <v>207010</v>
      </c>
      <c r="B929" s="28" t="s">
        <v>7541</v>
      </c>
      <c r="C929" s="28">
        <v>2</v>
      </c>
      <c r="D929" s="54" t="s">
        <v>7542</v>
      </c>
      <c r="E929" s="64" t="s">
        <v>7543</v>
      </c>
      <c r="F929" s="28" t="s">
        <v>7544</v>
      </c>
      <c r="G929" s="28">
        <v>9999</v>
      </c>
    </row>
    <row r="930" spans="1:7">
      <c r="A930" s="28">
        <v>207011</v>
      </c>
      <c r="B930" s="28" t="s">
        <v>7545</v>
      </c>
      <c r="C930" s="28">
        <v>3</v>
      </c>
      <c r="D930" s="54" t="s">
        <v>7546</v>
      </c>
      <c r="E930" s="64" t="s">
        <v>7547</v>
      </c>
      <c r="F930" s="28" t="s">
        <v>7548</v>
      </c>
      <c r="G930" s="28">
        <v>9999</v>
      </c>
    </row>
    <row r="931" spans="1:7">
      <c r="A931" s="28">
        <v>207012</v>
      </c>
      <c r="B931" s="28" t="s">
        <v>7549</v>
      </c>
      <c r="C931" s="28">
        <v>4</v>
      </c>
      <c r="D931" s="54" t="s">
        <v>7550</v>
      </c>
      <c r="E931" s="64" t="s">
        <v>7551</v>
      </c>
      <c r="F931" s="28" t="s">
        <v>7552</v>
      </c>
      <c r="G931" s="28">
        <v>9999</v>
      </c>
    </row>
    <row r="932" spans="1:7">
      <c r="A932" s="28">
        <v>207014</v>
      </c>
      <c r="B932" s="28" t="s">
        <v>7553</v>
      </c>
      <c r="C932" s="28">
        <v>2</v>
      </c>
      <c r="D932" s="54" t="s">
        <v>7554</v>
      </c>
      <c r="E932" s="64" t="s"/>
      <c r="F932" s="28" t="s">
        <v>7555</v>
      </c>
      <c r="G932" s="28">
        <v>9999</v>
      </c>
    </row>
    <row r="933" spans="1:7">
      <c r="A933" s="28">
        <v>207015</v>
      </c>
      <c r="B933" s="28" t="s">
        <v>7556</v>
      </c>
      <c r="C933" s="28">
        <v>3</v>
      </c>
      <c r="D933" s="54" t="s">
        <v>7557</v>
      </c>
      <c r="E933" s="64" t="s"/>
      <c r="F933" s="28" t="s">
        <v>7558</v>
      </c>
      <c r="G933" s="28">
        <v>9999</v>
      </c>
    </row>
    <row r="934" spans="1:7">
      <c r="A934" s="28">
        <v>207016</v>
      </c>
      <c r="B934" s="28" t="s">
        <v>7559</v>
      </c>
      <c r="C934" s="28">
        <v>4</v>
      </c>
      <c r="D934" s="54" t="s">
        <v>7560</v>
      </c>
      <c r="E934" s="64" t="s"/>
      <c r="F934" s="28" t="s">
        <v>7561</v>
      </c>
      <c r="G934" s="28">
        <v>9999</v>
      </c>
    </row>
    <row r="935" spans="1:7">
      <c r="A935" s="28">
        <v>207017</v>
      </c>
      <c r="B935" s="28" t="s">
        <v>7457</v>
      </c>
      <c r="C935" s="28">
        <v>3</v>
      </c>
      <c r="D935" s="54" t="s">
        <v>7458</v>
      </c>
      <c r="E935" s="64" t="s"/>
      <c r="F935" s="28" t="s">
        <v>7454</v>
      </c>
      <c r="G935" s="28">
        <v>9999</v>
      </c>
    </row>
    <row r="936" spans="1:7">
      <c r="A936" s="28">
        <v>207101</v>
      </c>
      <c r="B936" s="28" t="s">
        <v>7457</v>
      </c>
      <c r="C936" s="28">
        <v>3</v>
      </c>
      <c r="D936" s="54" t="s">
        <v>7459</v>
      </c>
      <c r="E936" s="64" t="s"/>
      <c r="F936" s="28" t="s">
        <v>7454</v>
      </c>
      <c r="G936" s="28">
        <v>9999</v>
      </c>
    </row>
    <row r="937" spans="1:7">
      <c r="A937" s="28">
        <v>207102</v>
      </c>
      <c r="B937" s="28" t="s">
        <v>7457</v>
      </c>
      <c r="C937" s="28">
        <v>3</v>
      </c>
      <c r="D937" s="54" t="s">
        <v>7459</v>
      </c>
      <c r="E937" s="64" t="s"/>
      <c r="F937" s="28" t="s">
        <v>7454</v>
      </c>
      <c r="G937" s="28">
        <v>9999</v>
      </c>
    </row>
    <row r="938" spans="1:7">
      <c r="A938" s="28">
        <v>207103</v>
      </c>
      <c r="B938" s="28" t="s">
        <v>7457</v>
      </c>
      <c r="C938" s="28">
        <v>3</v>
      </c>
      <c r="D938" s="54" t="s">
        <v>7459</v>
      </c>
      <c r="E938" s="64" t="s"/>
      <c r="F938" s="28" t="s">
        <v>7454</v>
      </c>
      <c r="G938" s="28">
        <v>9999</v>
      </c>
    </row>
    <row r="939" spans="1:7">
      <c r="A939" s="28">
        <v>207104</v>
      </c>
      <c r="B939" s="28" t="s">
        <v>7457</v>
      </c>
      <c r="C939" s="28">
        <v>3</v>
      </c>
      <c r="D939" s="54" t="s">
        <v>7459</v>
      </c>
      <c r="E939" s="64" t="s"/>
      <c r="F939" s="28" t="s">
        <v>7454</v>
      </c>
      <c r="G939" s="28">
        <v>9999</v>
      </c>
    </row>
    <row r="940" spans="1:7">
      <c r="A940" s="28">
        <v>207105</v>
      </c>
      <c r="B940" s="28" t="s">
        <v>7457</v>
      </c>
      <c r="C940" s="28">
        <v>3</v>
      </c>
      <c r="D940" s="54" t="s">
        <v>7459</v>
      </c>
      <c r="E940" s="64" t="s"/>
      <c r="F940" s="28" t="s">
        <v>7454</v>
      </c>
      <c r="G940" s="28">
        <v>9999</v>
      </c>
    </row>
    <row r="941" spans="1:7">
      <c r="A941" s="28">
        <v>207106</v>
      </c>
      <c r="B941" s="28" t="s">
        <v>7457</v>
      </c>
      <c r="C941" s="28">
        <v>3</v>
      </c>
      <c r="D941" s="54" t="s">
        <v>7459</v>
      </c>
      <c r="E941" s="64" t="s"/>
      <c r="F941" s="28" t="s">
        <v>7454</v>
      </c>
      <c r="G941" s="28">
        <v>9999</v>
      </c>
    </row>
    <row r="942" spans="1:7">
      <c r="A942" s="28">
        <v>207107</v>
      </c>
      <c r="B942" s="28" t="s">
        <v>7457</v>
      </c>
      <c r="C942" s="28">
        <v>3</v>
      </c>
      <c r="D942" s="54" t="s">
        <v>7459</v>
      </c>
      <c r="E942" s="64" t="s"/>
      <c r="F942" s="28" t="s">
        <v>7454</v>
      </c>
      <c r="G942" s="28">
        <v>9999</v>
      </c>
    </row>
    <row r="943" spans="1:7">
      <c r="A943" s="28">
        <v>207108</v>
      </c>
      <c r="B943" s="28" t="s">
        <v>7457</v>
      </c>
      <c r="C943" s="28">
        <v>3</v>
      </c>
      <c r="D943" s="54" t="s">
        <v>7459</v>
      </c>
      <c r="E943" s="64" t="s"/>
      <c r="F943" s="28" t="s">
        <v>7454</v>
      </c>
      <c r="G943" s="28">
        <v>9999</v>
      </c>
    </row>
    <row r="944" spans="1:7">
      <c r="A944" s="28">
        <v>207109</v>
      </c>
      <c r="B944" s="28" t="s">
        <v>7457</v>
      </c>
      <c r="C944" s="28">
        <v>3</v>
      </c>
      <c r="D944" s="54" t="s">
        <v>7459</v>
      </c>
      <c r="E944" s="64" t="s"/>
      <c r="F944" s="28" t="s">
        <v>7454</v>
      </c>
      <c r="G944" s="28">
        <v>9999</v>
      </c>
    </row>
    <row r="945" spans="1:7">
      <c r="A945" s="28">
        <v>207110</v>
      </c>
      <c r="B945" s="28" t="s">
        <v>7457</v>
      </c>
      <c r="C945" s="28">
        <v>3</v>
      </c>
      <c r="D945" s="54" t="s">
        <v>7459</v>
      </c>
      <c r="E945" s="64" t="s"/>
      <c r="F945" s="28" t="s">
        <v>7454</v>
      </c>
      <c r="G945" s="28">
        <v>9999</v>
      </c>
    </row>
    <row r="946" spans="1:7">
      <c r="A946" s="28">
        <v>207111</v>
      </c>
      <c r="B946" s="28" t="s">
        <v>7457</v>
      </c>
      <c r="C946" s="28">
        <v>3</v>
      </c>
      <c r="D946" s="54" t="s">
        <v>7459</v>
      </c>
      <c r="E946" s="64" t="s"/>
      <c r="F946" s="28" t="s">
        <v>7454</v>
      </c>
      <c r="G946" s="28">
        <v>9999</v>
      </c>
    </row>
    <row r="947" spans="1:7">
      <c r="A947" s="28">
        <v>207112</v>
      </c>
      <c r="B947" s="28" t="s">
        <v>7457</v>
      </c>
      <c r="C947" s="28">
        <v>3</v>
      </c>
      <c r="D947" s="54" t="s">
        <v>7459</v>
      </c>
      <c r="E947" s="64" t="s"/>
      <c r="F947" s="28" t="s">
        <v>7454</v>
      </c>
      <c r="G947" s="28">
        <v>9999</v>
      </c>
    </row>
    <row r="948" spans="1:7">
      <c r="A948" s="28">
        <v>207113</v>
      </c>
      <c r="B948" s="28" t="s">
        <v>7457</v>
      </c>
      <c r="C948" s="54">
        <v>3</v>
      </c>
      <c r="D948" s="54" t="s">
        <v>7459</v>
      </c>
      <c r="E948" s="64" t="s"/>
      <c r="F948" s="28" t="s">
        <v>7454</v>
      </c>
      <c r="G948" s="28">
        <v>9999</v>
      </c>
    </row>
    <row r="949" spans="1:7">
      <c r="A949" s="28">
        <v>207114</v>
      </c>
      <c r="B949" s="28" t="s">
        <v>7457</v>
      </c>
      <c r="C949" s="28">
        <v>3</v>
      </c>
      <c r="D949" s="54" t="s">
        <v>7459</v>
      </c>
      <c r="E949" s="64" t="s"/>
      <c r="F949" s="28" t="s">
        <v>7454</v>
      </c>
      <c r="G949" s="28">
        <v>9999</v>
      </c>
    </row>
    <row r="950" spans="1:7">
      <c r="A950" s="28">
        <v>207120</v>
      </c>
      <c r="B950" s="28" t="s">
        <v>7528</v>
      </c>
      <c r="C950" s="28">
        <v>2</v>
      </c>
      <c r="D950" s="54" t="s">
        <v>7529</v>
      </c>
      <c r="E950" s="64" t="s"/>
      <c r="F950" s="28" t="s">
        <v>6101</v>
      </c>
      <c r="G950" s="28">
        <v>9999</v>
      </c>
    </row>
    <row r="951" spans="1:7">
      <c r="A951" s="28">
        <v>207121</v>
      </c>
      <c r="B951" s="54" t="s">
        <v>7528</v>
      </c>
      <c r="C951" s="28">
        <v>2</v>
      </c>
      <c r="D951" s="54" t="s">
        <v>7529</v>
      </c>
      <c r="E951" s="64" t="s"/>
      <c r="F951" s="28" t="s">
        <v>6101</v>
      </c>
      <c r="G951" s="28">
        <v>9999</v>
      </c>
    </row>
    <row r="952" spans="1:7">
      <c r="A952" s="28">
        <v>207122</v>
      </c>
      <c r="B952" s="28" t="s">
        <v>7528</v>
      </c>
      <c r="C952" s="28">
        <v>2</v>
      </c>
      <c r="D952" s="54" t="s">
        <v>7529</v>
      </c>
      <c r="E952" s="64" t="s"/>
      <c r="F952" s="28" t="s">
        <v>6101</v>
      </c>
      <c r="G952" s="28">
        <v>9999</v>
      </c>
    </row>
    <row r="953" spans="1:7">
      <c r="A953" s="28">
        <v>207123</v>
      </c>
      <c r="B953" s="28" t="s">
        <v>7528</v>
      </c>
      <c r="C953" s="54">
        <v>2</v>
      </c>
      <c r="D953" s="54" t="s">
        <v>7529</v>
      </c>
      <c r="E953" s="64" t="s"/>
      <c r="F953" s="28" t="s">
        <v>6101</v>
      </c>
      <c r="G953" s="28">
        <v>9999</v>
      </c>
    </row>
    <row r="954" spans="1:7">
      <c r="A954" s="28">
        <v>207124</v>
      </c>
      <c r="B954" s="28" t="s">
        <v>7528</v>
      </c>
      <c r="C954" s="28">
        <v>2</v>
      </c>
      <c r="D954" s="54" t="s">
        <v>7529</v>
      </c>
      <c r="E954" s="64" t="s"/>
      <c r="F954" s="28" t="s">
        <v>6101</v>
      </c>
      <c r="G954" s="28">
        <v>9999</v>
      </c>
    </row>
    <row r="955" spans="1:7">
      <c r="A955" s="28">
        <v>207125</v>
      </c>
      <c r="B955" s="28" t="s">
        <v>7528</v>
      </c>
      <c r="C955" s="28">
        <v>2</v>
      </c>
      <c r="D955" s="54" t="s">
        <v>7529</v>
      </c>
      <c r="E955" s="64" t="s"/>
      <c r="F955" s="28" t="s">
        <v>6101</v>
      </c>
      <c r="G955" s="28">
        <v>9999</v>
      </c>
    </row>
    <row r="956" spans="1:7">
      <c r="A956" s="28">
        <v>207126</v>
      </c>
      <c r="B956" s="28" t="s">
        <v>7528</v>
      </c>
      <c r="C956" s="28">
        <v>2</v>
      </c>
      <c r="D956" s="54" t="s">
        <v>7529</v>
      </c>
      <c r="E956" s="64" t="s"/>
      <c r="F956" s="28" t="s">
        <v>6101</v>
      </c>
      <c r="G956" s="28">
        <v>9999</v>
      </c>
    </row>
    <row r="957" spans="1:7">
      <c r="A957" s="28">
        <v>207127</v>
      </c>
      <c r="B957" s="28" t="s">
        <v>7528</v>
      </c>
      <c r="C957" s="28">
        <v>2</v>
      </c>
      <c r="D957" s="54" t="s">
        <v>7529</v>
      </c>
      <c r="E957" s="64" t="s"/>
      <c r="F957" s="28" t="s">
        <v>6101</v>
      </c>
      <c r="G957" s="28">
        <v>9999</v>
      </c>
    </row>
    <row r="958" spans="1:7">
      <c r="A958" s="28">
        <v>207128</v>
      </c>
      <c r="B958" s="54" t="s">
        <v>7528</v>
      </c>
      <c r="C958" s="28">
        <v>2</v>
      </c>
      <c r="D958" s="54" t="s">
        <v>7529</v>
      </c>
      <c r="E958" s="64" t="s"/>
      <c r="F958" s="28" t="s">
        <v>6101</v>
      </c>
      <c r="G958" s="28">
        <v>9999</v>
      </c>
    </row>
    <row r="959" spans="1:7">
      <c r="A959" s="28">
        <v>207129</v>
      </c>
      <c r="B959" s="28" t="s">
        <v>7528</v>
      </c>
      <c r="C959" s="28">
        <v>2</v>
      </c>
      <c r="D959" s="54" t="s">
        <v>7529</v>
      </c>
      <c r="E959" s="64" t="s"/>
      <c r="F959" s="28" t="s">
        <v>6101</v>
      </c>
      <c r="G959" s="28">
        <v>9999</v>
      </c>
    </row>
    <row r="960" spans="1:7">
      <c r="A960" s="28">
        <v>207130</v>
      </c>
      <c r="B960" s="28" t="s">
        <v>7528</v>
      </c>
      <c r="C960" s="28">
        <v>2</v>
      </c>
      <c r="D960" s="54" t="s">
        <v>7529</v>
      </c>
      <c r="E960" s="64" t="s"/>
      <c r="F960" s="28" t="s">
        <v>6101</v>
      </c>
      <c r="G960" s="28">
        <v>9999</v>
      </c>
    </row>
    <row r="961" spans="1:7">
      <c r="A961" s="28">
        <v>207131</v>
      </c>
      <c r="B961" s="28" t="s">
        <v>7528</v>
      </c>
      <c r="C961" s="28">
        <v>2</v>
      </c>
      <c r="D961" s="54" t="s">
        <v>7529</v>
      </c>
      <c r="E961" s="64" t="s"/>
      <c r="F961" s="28" t="s">
        <v>6101</v>
      </c>
      <c r="G961" s="28">
        <v>9999</v>
      </c>
    </row>
    <row r="962" spans="1:7">
      <c r="A962" s="28">
        <v>207132</v>
      </c>
      <c r="B962" s="28" t="s">
        <v>7528</v>
      </c>
      <c r="C962" s="28">
        <v>2</v>
      </c>
      <c r="D962" s="54" t="s">
        <v>7529</v>
      </c>
      <c r="E962" s="64" t="s"/>
      <c r="F962" s="28" t="s">
        <v>6101</v>
      </c>
      <c r="G962" s="28">
        <v>9999</v>
      </c>
    </row>
    <row r="963" spans="1:7">
      <c r="A963" s="28">
        <v>207133</v>
      </c>
      <c r="B963" s="28" t="s">
        <v>7528</v>
      </c>
      <c r="C963" s="28">
        <v>2</v>
      </c>
      <c r="D963" s="54" t="s">
        <v>7529</v>
      </c>
      <c r="E963" s="64" t="s"/>
      <c r="F963" s="28" t="s">
        <v>6101</v>
      </c>
      <c r="G963" s="28">
        <v>9999</v>
      </c>
    </row>
    <row r="964" spans="1:7">
      <c r="A964" s="28">
        <v>207134</v>
      </c>
      <c r="B964" s="28" t="s">
        <v>7528</v>
      </c>
      <c r="C964" s="54">
        <v>2</v>
      </c>
      <c r="D964" s="54" t="s">
        <v>7529</v>
      </c>
      <c r="E964" s="64" t="s"/>
      <c r="F964" s="28" t="s">
        <v>6101</v>
      </c>
      <c r="G964" s="28">
        <v>9999</v>
      </c>
    </row>
    <row r="965" spans="1:7">
      <c r="A965" s="28">
        <v>207135</v>
      </c>
      <c r="B965" s="28" t="s">
        <v>7528</v>
      </c>
      <c r="C965" s="54">
        <v>2</v>
      </c>
      <c r="D965" s="54" t="s">
        <v>7529</v>
      </c>
      <c r="E965" s="64" t="s"/>
      <c r="F965" s="28" t="s">
        <v>6101</v>
      </c>
      <c r="G965" s="28">
        <v>9999</v>
      </c>
    </row>
    <row r="966" spans="1:7">
      <c r="A966" s="28">
        <v>207136</v>
      </c>
      <c r="B966" s="54" t="s">
        <v>7528</v>
      </c>
      <c r="C966" s="28">
        <v>2</v>
      </c>
      <c r="D966" s="54" t="s">
        <v>7529</v>
      </c>
      <c r="E966" s="64" t="s"/>
      <c r="F966" s="28" t="s">
        <v>6101</v>
      </c>
      <c r="G966" s="28">
        <v>9999</v>
      </c>
    </row>
    <row r="967" spans="1:7">
      <c r="A967" s="28">
        <v>207137</v>
      </c>
      <c r="B967" s="28" t="s">
        <v>7528</v>
      </c>
      <c r="C967" s="28">
        <v>2</v>
      </c>
      <c r="D967" s="54" t="s">
        <v>7529</v>
      </c>
      <c r="E967" s="28" t="s"/>
      <c r="F967" s="28" t="s">
        <v>6101</v>
      </c>
      <c r="G967" s="28">
        <v>9999</v>
      </c>
    </row>
    <row r="968" spans="1:7">
      <c r="A968" s="28">
        <v>207138</v>
      </c>
      <c r="B968" s="28" t="s">
        <v>7528</v>
      </c>
      <c r="C968" s="28">
        <v>2</v>
      </c>
      <c r="D968" s="54" t="s">
        <v>7529</v>
      </c>
      <c r="E968" s="28" t="s"/>
      <c r="F968" s="28" t="s">
        <v>6101</v>
      </c>
      <c r="G968" s="28">
        <v>9999</v>
      </c>
    </row>
    <row r="969" spans="1:7">
      <c r="A969" s="28">
        <v>207150</v>
      </c>
      <c r="B969" s="28" t="s">
        <v>7457</v>
      </c>
      <c r="C969" s="54">
        <v>3</v>
      </c>
      <c r="D969" s="54" t="s">
        <v>7459</v>
      </c>
      <c r="E969" s="28" t="s"/>
      <c r="F969" s="28" t="s">
        <v>7454</v>
      </c>
      <c r="G969" s="28">
        <v>9999</v>
      </c>
    </row>
    <row r="970" spans="1:7">
      <c r="A970" s="28">
        <v>207151</v>
      </c>
      <c r="B970" s="28" t="s">
        <v>7457</v>
      </c>
      <c r="C970" s="54">
        <v>3</v>
      </c>
      <c r="D970" s="54" t="s">
        <v>7459</v>
      </c>
      <c r="E970" s="28" t="s"/>
      <c r="F970" s="28" t="s">
        <v>7454</v>
      </c>
      <c r="G970" s="28">
        <v>9999</v>
      </c>
    </row>
    <row r="971" spans="1:7">
      <c r="A971" s="28">
        <v>207152</v>
      </c>
      <c r="B971" s="28" t="s">
        <v>7457</v>
      </c>
      <c r="C971" s="28">
        <v>3</v>
      </c>
      <c r="D971" s="54" t="s">
        <v>7459</v>
      </c>
      <c r="E971" s="28" t="s"/>
      <c r="F971" s="28" t="s">
        <v>7454</v>
      </c>
      <c r="G971" s="28">
        <v>9999</v>
      </c>
    </row>
    <row r="972" spans="1:7">
      <c r="A972" s="28">
        <v>207153</v>
      </c>
      <c r="B972" s="28" t="s">
        <v>7457</v>
      </c>
      <c r="C972" s="28">
        <v>3</v>
      </c>
      <c r="D972" s="54" t="s">
        <v>7459</v>
      </c>
      <c r="E972" s="28" t="s"/>
      <c r="F972" s="28" t="s">
        <v>7454</v>
      </c>
      <c r="G972" s="28">
        <v>9999</v>
      </c>
    </row>
    <row r="973" spans="1:7">
      <c r="A973" s="28">
        <v>207154</v>
      </c>
      <c r="B973" s="54" t="s">
        <v>7457</v>
      </c>
      <c r="C973" s="28">
        <v>3</v>
      </c>
      <c r="D973" s="54" t="s">
        <v>7459</v>
      </c>
      <c r="E973" s="28" t="s"/>
      <c r="F973" s="28" t="s">
        <v>7454</v>
      </c>
      <c r="G973" s="28">
        <v>9999</v>
      </c>
    </row>
    <row r="974" spans="1:7">
      <c r="A974" s="28">
        <v>207155</v>
      </c>
      <c r="B974" s="28" t="s">
        <v>7457</v>
      </c>
      <c r="C974" s="28">
        <v>3</v>
      </c>
      <c r="D974" s="54" t="s">
        <v>7459</v>
      </c>
      <c r="E974" s="28" t="s"/>
      <c r="F974" s="28" t="s">
        <v>7454</v>
      </c>
      <c r="G974" s="28">
        <v>9999</v>
      </c>
    </row>
    <row r="975" spans="1:7">
      <c r="A975" s="28">
        <v>207156</v>
      </c>
      <c r="B975" s="28" t="s">
        <v>7457</v>
      </c>
      <c r="C975" s="28">
        <v>3</v>
      </c>
      <c r="D975" s="54" t="s">
        <v>7459</v>
      </c>
      <c r="E975" s="28" t="s"/>
      <c r="F975" s="28" t="s">
        <v>7454</v>
      </c>
      <c r="G975" s="28">
        <v>9999</v>
      </c>
    </row>
    <row r="976" spans="1:7">
      <c r="A976" s="28">
        <v>207157</v>
      </c>
      <c r="B976" s="28" t="s">
        <v>7457</v>
      </c>
      <c r="C976" s="28">
        <v>3</v>
      </c>
      <c r="D976" s="54" t="s">
        <v>7459</v>
      </c>
      <c r="E976" s="28" t="s"/>
      <c r="F976" s="28" t="s">
        <v>7454</v>
      </c>
      <c r="G976" s="28">
        <v>9999</v>
      </c>
    </row>
    <row r="977" spans="1:7">
      <c r="A977" s="28">
        <v>207158</v>
      </c>
      <c r="B977" s="54" t="s">
        <v>7457</v>
      </c>
      <c r="C977" s="28">
        <v>3</v>
      </c>
      <c r="D977" s="54" t="s">
        <v>7459</v>
      </c>
      <c r="E977" s="28" t="s"/>
      <c r="F977" s="28" t="s">
        <v>7454</v>
      </c>
      <c r="G977" s="28">
        <v>9999</v>
      </c>
    </row>
    <row r="978" spans="1:7">
      <c r="A978" s="28">
        <v>207159</v>
      </c>
      <c r="B978" s="28" t="s">
        <v>7457</v>
      </c>
      <c r="C978" s="28">
        <v>3</v>
      </c>
      <c r="D978" s="54" t="s">
        <v>7459</v>
      </c>
      <c r="E978" s="28" t="s"/>
      <c r="F978" s="28" t="s">
        <v>7454</v>
      </c>
      <c r="G978" s="28">
        <v>9999</v>
      </c>
    </row>
    <row r="979" spans="1:7">
      <c r="A979" s="28">
        <v>207160</v>
      </c>
      <c r="B979" s="28" t="s">
        <v>7457</v>
      </c>
      <c r="C979" s="28">
        <v>3</v>
      </c>
      <c r="D979" s="54" t="s">
        <v>7459</v>
      </c>
      <c r="E979" s="28" t="s"/>
      <c r="F979" s="28" t="s">
        <v>7454</v>
      </c>
      <c r="G979" s="28">
        <v>9999</v>
      </c>
    </row>
    <row r="980" spans="1:7">
      <c r="A980" s="28">
        <v>207161</v>
      </c>
      <c r="B980" s="28" t="s">
        <v>7457</v>
      </c>
      <c r="C980" s="28">
        <v>3</v>
      </c>
      <c r="D980" s="54" t="s">
        <v>7459</v>
      </c>
      <c r="E980" s="28" t="s"/>
      <c r="F980" s="28" t="s">
        <v>7454</v>
      </c>
      <c r="G980" s="28">
        <v>9999</v>
      </c>
    </row>
    <row r="981" spans="1:7">
      <c r="A981" s="28">
        <v>207162</v>
      </c>
      <c r="B981" s="28" t="s">
        <v>7457</v>
      </c>
      <c r="C981" s="28">
        <v>3</v>
      </c>
      <c r="D981" s="28" t="s">
        <v>7459</v>
      </c>
      <c r="E981" s="28" t="s"/>
      <c r="F981" s="28" t="s">
        <v>7454</v>
      </c>
      <c r="G981" s="28">
        <v>9999</v>
      </c>
    </row>
    <row r="982" spans="1:7">
      <c r="A982" s="28">
        <v>207163</v>
      </c>
      <c r="B982" s="28" t="s">
        <v>7457</v>
      </c>
      <c r="C982" s="28">
        <v>3</v>
      </c>
      <c r="D982" s="28" t="s">
        <v>7459</v>
      </c>
      <c r="E982" s="28" t="s"/>
      <c r="F982" s="28" t="s">
        <v>7454</v>
      </c>
      <c r="G982" s="28">
        <v>9999</v>
      </c>
    </row>
    <row r="983" spans="1:7">
      <c r="A983" s="28">
        <v>230001</v>
      </c>
      <c r="B983" s="28" t="s">
        <v>7562</v>
      </c>
      <c r="C983" s="28">
        <v>2</v>
      </c>
      <c r="D983" s="28" t="s">
        <v>7563</v>
      </c>
      <c r="E983" s="28" t="s">
        <v>7564</v>
      </c>
      <c r="F983" s="28" t="s">
        <v>7565</v>
      </c>
      <c r="G983" s="28">
        <v>1</v>
      </c>
    </row>
    <row r="984" spans="1:7">
      <c r="A984" s="28">
        <v>230002</v>
      </c>
      <c r="B984" s="28" t="s">
        <v>7566</v>
      </c>
      <c r="C984" s="28">
        <v>2</v>
      </c>
      <c r="D984" s="28" t="s">
        <v>7567</v>
      </c>
      <c r="E984" s="54" t="s">
        <v>7568</v>
      </c>
      <c r="F984" s="28" t="s">
        <v>7569</v>
      </c>
      <c r="G984" s="28">
        <v>1</v>
      </c>
    </row>
    <row r="985" spans="1:7">
      <c r="A985" s="28">
        <v>230003</v>
      </c>
      <c r="B985" s="28" t="s">
        <v>7570</v>
      </c>
      <c r="C985" s="28">
        <v>2</v>
      </c>
      <c r="D985" s="28" t="s">
        <v>7571</v>
      </c>
      <c r="E985" s="54" t="s">
        <v>7572</v>
      </c>
      <c r="F985" s="28" t="s">
        <v>7573</v>
      </c>
      <c r="G985" s="28">
        <v>1</v>
      </c>
    </row>
    <row r="986" spans="1:7">
      <c r="A986" s="28">
        <v>230004</v>
      </c>
      <c r="B986" s="54" t="s">
        <v>7574</v>
      </c>
      <c r="C986" s="28">
        <v>3</v>
      </c>
      <c r="D986" s="54" t="s">
        <v>7575</v>
      </c>
      <c r="E986" s="54" t="s">
        <v>7576</v>
      </c>
      <c r="F986" s="28" t="s">
        <v>7577</v>
      </c>
      <c r="G986" s="28">
        <v>1</v>
      </c>
    </row>
    <row r="987" spans="1:7">
      <c r="A987" s="28">
        <v>230005</v>
      </c>
      <c r="B987" s="28" t="s">
        <v>7578</v>
      </c>
      <c r="C987" s="28">
        <v>3</v>
      </c>
      <c r="D987" s="54" t="s">
        <v>7579</v>
      </c>
      <c r="E987" s="54" t="s">
        <v>7568</v>
      </c>
      <c r="F987" s="28" t="s">
        <v>7580</v>
      </c>
      <c r="G987" s="28">
        <v>1</v>
      </c>
    </row>
    <row r="988" spans="1:7">
      <c r="A988" s="28">
        <v>230006</v>
      </c>
      <c r="B988" s="28" t="s">
        <v>7581</v>
      </c>
      <c r="C988" s="28">
        <v>3</v>
      </c>
      <c r="D988" s="28" t="s">
        <v>7582</v>
      </c>
      <c r="E988" s="54" t="s">
        <v>7572</v>
      </c>
      <c r="F988" s="28" t="s">
        <v>7583</v>
      </c>
      <c r="G988" s="28">
        <v>1</v>
      </c>
    </row>
    <row r="989" spans="1:7">
      <c r="A989" s="28">
        <v>230007</v>
      </c>
      <c r="B989" s="28" t="s">
        <v>7584</v>
      </c>
      <c r="C989" s="28">
        <v>3</v>
      </c>
      <c r="D989" s="28" t="s">
        <v>7585</v>
      </c>
      <c r="E989" s="28" t="s">
        <v>7586</v>
      </c>
      <c r="F989" s="28" t="s">
        <v>7587</v>
      </c>
      <c r="G989" s="28">
        <v>1</v>
      </c>
    </row>
    <row r="990" spans="1:7">
      <c r="A990" s="28">
        <v>230008</v>
      </c>
      <c r="B990" s="28" t="s">
        <v>7588</v>
      </c>
      <c r="C990" s="28">
        <v>3</v>
      </c>
      <c r="D990" s="54" t="s">
        <v>7589</v>
      </c>
      <c r="E990" s="54" t="s">
        <v>7590</v>
      </c>
      <c r="F990" s="28" t="s">
        <v>7577</v>
      </c>
      <c r="G990" s="28">
        <v>1</v>
      </c>
    </row>
    <row r="991" spans="1:7">
      <c r="A991" s="28">
        <v>230009</v>
      </c>
      <c r="B991" s="28" t="s">
        <v>7591</v>
      </c>
      <c r="C991" s="28">
        <v>3</v>
      </c>
      <c r="D991" s="28" t="s">
        <v>7592</v>
      </c>
      <c r="E991" s="54" t="s">
        <v>7593</v>
      </c>
      <c r="F991" s="28" t="s">
        <v>7580</v>
      </c>
      <c r="G991" s="28">
        <v>1</v>
      </c>
    </row>
    <row r="992" spans="1:7">
      <c r="A992" s="28">
        <v>230010</v>
      </c>
      <c r="B992" s="28" t="s">
        <v>7594</v>
      </c>
      <c r="C992" s="28">
        <v>4</v>
      </c>
      <c r="D992" s="28" t="s">
        <v>7595</v>
      </c>
      <c r="E992" s="54" t="s">
        <v>7576</v>
      </c>
      <c r="F992" s="28" t="s">
        <v>7596</v>
      </c>
      <c r="G992" s="28">
        <v>1</v>
      </c>
    </row>
    <row r="993" spans="1:7">
      <c r="A993" s="28">
        <v>230011</v>
      </c>
      <c r="B993" s="28" t="s">
        <v>7597</v>
      </c>
      <c r="C993" s="28">
        <v>4</v>
      </c>
      <c r="D993" s="54" t="s">
        <v>7598</v>
      </c>
      <c r="E993" s="28" t="s">
        <v>7568</v>
      </c>
      <c r="F993" s="28" t="s">
        <v>7599</v>
      </c>
      <c r="G993" s="28">
        <v>1</v>
      </c>
    </row>
    <row r="994" spans="1:7">
      <c r="A994" s="28">
        <v>230012</v>
      </c>
      <c r="B994" s="28" t="s">
        <v>7600</v>
      </c>
      <c r="C994" s="28">
        <v>4</v>
      </c>
      <c r="D994" s="28" t="s">
        <v>7601</v>
      </c>
      <c r="E994" s="54" t="s">
        <v>7572</v>
      </c>
      <c r="F994" s="28" t="s">
        <v>7602</v>
      </c>
      <c r="G994" s="28">
        <v>1</v>
      </c>
    </row>
    <row r="995" spans="1:7">
      <c r="A995" s="28">
        <v>230013</v>
      </c>
      <c r="B995" s="28" t="s">
        <v>7603</v>
      </c>
      <c r="C995" s="28">
        <v>4</v>
      </c>
      <c r="D995" s="28" t="s">
        <v>7604</v>
      </c>
      <c r="E995" s="54" t="s">
        <v>7605</v>
      </c>
      <c r="F995" s="28" t="s">
        <v>7606</v>
      </c>
      <c r="G995" s="28">
        <v>1</v>
      </c>
    </row>
    <row r="996" spans="1:7">
      <c r="A996" s="28">
        <v>230014</v>
      </c>
      <c r="B996" s="28" t="s">
        <v>7607</v>
      </c>
      <c r="C996" s="28">
        <v>4</v>
      </c>
      <c r="D996" s="28" t="s">
        <v>7608</v>
      </c>
      <c r="E996" s="64" t="s">
        <v>7590</v>
      </c>
      <c r="F996" s="28" t="s">
        <v>7609</v>
      </c>
      <c r="G996" s="28">
        <v>1</v>
      </c>
    </row>
    <row r="997" spans="1:7">
      <c r="A997" s="28">
        <v>230015</v>
      </c>
      <c r="B997" s="28" t="s">
        <v>7610</v>
      </c>
      <c r="C997" s="28">
        <v>4</v>
      </c>
      <c r="D997" s="28" t="s">
        <v>7611</v>
      </c>
      <c r="E997" s="64" t="s">
        <v>7593</v>
      </c>
      <c r="F997" s="28" t="s">
        <v>7612</v>
      </c>
      <c r="G997" s="28">
        <v>1</v>
      </c>
    </row>
    <row r="998" spans="1:7">
      <c r="A998" s="28">
        <v>230016</v>
      </c>
      <c r="B998" s="28" t="s">
        <v>7613</v>
      </c>
      <c r="C998" s="28">
        <v>4</v>
      </c>
      <c r="D998" s="28" t="s">
        <v>7614</v>
      </c>
      <c r="E998" s="64" t="s">
        <v>7615</v>
      </c>
      <c r="F998" s="28" t="s">
        <v>7616</v>
      </c>
      <c r="G998" s="28">
        <v>1</v>
      </c>
    </row>
    <row r="999" spans="1:7">
      <c r="A999" s="28">
        <v>230017</v>
      </c>
      <c r="B999" s="54" t="s">
        <v>7617</v>
      </c>
      <c r="C999" s="28">
        <v>4</v>
      </c>
      <c r="D999" s="54" t="s">
        <v>7618</v>
      </c>
      <c r="E999" s="64" t="s">
        <v>7619</v>
      </c>
      <c r="F999" s="28" t="s">
        <v>7620</v>
      </c>
      <c r="G999" s="28">
        <v>1</v>
      </c>
    </row>
    <row r="1000" spans="1:7">
      <c r="A1000" s="28">
        <v>300001</v>
      </c>
      <c r="B1000" s="28" t="s">
        <v>7621</v>
      </c>
      <c r="C1000" s="28">
        <v>1</v>
      </c>
      <c r="D1000" s="54" t="s">
        <v>7622</v>
      </c>
      <c r="E1000" s="64" t="s">
        <v>7623</v>
      </c>
      <c r="F1000" s="28" t="s">
        <v>7624</v>
      </c>
      <c r="G1000" s="28">
        <v>99999</v>
      </c>
    </row>
    <row r="1001" spans="1:7">
      <c r="A1001" s="28">
        <v>300002</v>
      </c>
      <c r="B1001" s="28" t="s">
        <v>7625</v>
      </c>
      <c r="C1001" s="28">
        <v>2</v>
      </c>
      <c r="D1001" s="54" t="s">
        <v>7626</v>
      </c>
      <c r="E1001" s="54" t="s">
        <v>7627</v>
      </c>
      <c r="F1001" s="28" t="s">
        <v>7628</v>
      </c>
      <c r="G1001" s="28">
        <v>99999</v>
      </c>
    </row>
    <row r="1002" spans="1:7">
      <c r="A1002" s="28">
        <v>300003</v>
      </c>
      <c r="B1002" s="28" t="s">
        <v>7629</v>
      </c>
      <c r="C1002" s="28">
        <v>3</v>
      </c>
      <c r="D1002" s="54" t="s">
        <v>7630</v>
      </c>
      <c r="E1002" s="64" t="s">
        <v>7631</v>
      </c>
      <c r="F1002" s="28" t="s">
        <v>7632</v>
      </c>
      <c r="G1002" s="28">
        <v>99999</v>
      </c>
    </row>
    <row r="1003" spans="1:7">
      <c r="A1003" s="28">
        <v>301001</v>
      </c>
      <c r="B1003" s="54" t="s">
        <v>7633</v>
      </c>
      <c r="C1003" s="28">
        <v>1</v>
      </c>
      <c r="D1003" s="54" t="s">
        <v>7634</v>
      </c>
      <c r="E1003" s="64" t="s">
        <v>7635</v>
      </c>
      <c r="F1003" s="28" t="s">
        <v>7636</v>
      </c>
      <c r="G1003" s="28">
        <v>99999</v>
      </c>
    </row>
    <row r="1004" spans="1:7">
      <c r="A1004" s="28">
        <v>301002</v>
      </c>
      <c r="B1004" s="28" t="s">
        <v>7637</v>
      </c>
      <c r="C1004" s="28">
        <v>2</v>
      </c>
      <c r="D1004" s="54" t="s">
        <v>7638</v>
      </c>
      <c r="E1004" s="64" t="s">
        <v>7639</v>
      </c>
      <c r="F1004" s="28" t="s">
        <v>7640</v>
      </c>
      <c r="G1004" s="28">
        <v>99999</v>
      </c>
    </row>
    <row r="1005" spans="1:7">
      <c r="A1005" s="28">
        <v>301003</v>
      </c>
      <c r="B1005" s="28" t="s">
        <v>7641</v>
      </c>
      <c r="C1005" s="28">
        <v>3</v>
      </c>
      <c r="D1005" s="54" t="s">
        <v>7642</v>
      </c>
      <c r="E1005" s="54" t="s">
        <v>7643</v>
      </c>
      <c r="F1005" s="28" t="s">
        <v>7644</v>
      </c>
      <c r="G1005" s="28">
        <v>99999</v>
      </c>
    </row>
    <row r="1006" spans="1:7">
      <c r="A1006" s="28">
        <v>302001</v>
      </c>
      <c r="B1006" s="54" t="s">
        <v>7645</v>
      </c>
      <c r="C1006" s="28">
        <v>1</v>
      </c>
      <c r="D1006" s="54" t="s">
        <v>7646</v>
      </c>
      <c r="E1006" s="54" t="s">
        <v>7647</v>
      </c>
      <c r="F1006" s="28" t="s">
        <v>7648</v>
      </c>
      <c r="G1006" s="28">
        <v>99999</v>
      </c>
    </row>
    <row r="1007" spans="1:7">
      <c r="A1007" s="28">
        <v>302002</v>
      </c>
      <c r="B1007" s="54" t="s">
        <v>7649</v>
      </c>
      <c r="C1007" s="28">
        <v>2</v>
      </c>
      <c r="D1007" s="54" t="s">
        <v>7650</v>
      </c>
      <c r="E1007" s="54" t="s">
        <v>7651</v>
      </c>
      <c r="F1007" s="28" t="s">
        <v>7652</v>
      </c>
      <c r="G1007" s="28">
        <v>99999</v>
      </c>
    </row>
    <row r="1008" spans="1:7">
      <c r="A1008" s="28">
        <v>302003</v>
      </c>
      <c r="B1008" s="28" t="s">
        <v>7653</v>
      </c>
      <c r="C1008" s="28">
        <v>3</v>
      </c>
      <c r="D1008" s="54" t="s">
        <v>7654</v>
      </c>
      <c r="E1008" s="64" t="s">
        <v>7655</v>
      </c>
      <c r="F1008" s="28" t="s">
        <v>7656</v>
      </c>
      <c r="G1008" s="28">
        <v>99999</v>
      </c>
    </row>
    <row r="1009" spans="1:7">
      <c r="A1009" s="28">
        <v>303001</v>
      </c>
      <c r="B1009" s="28" t="s">
        <v>7657</v>
      </c>
      <c r="C1009" s="28">
        <v>1</v>
      </c>
      <c r="D1009" s="54" t="s">
        <v>7658</v>
      </c>
      <c r="E1009" s="54" t="s">
        <v>7659</v>
      </c>
      <c r="F1009" s="28" t="s">
        <v>7660</v>
      </c>
      <c r="G1009" s="28">
        <v>99999</v>
      </c>
    </row>
    <row r="1010" spans="1:7">
      <c r="A1010" s="28">
        <v>303002</v>
      </c>
      <c r="B1010" s="54" t="s">
        <v>7661</v>
      </c>
      <c r="C1010" s="28">
        <v>2</v>
      </c>
      <c r="D1010" s="54" t="s">
        <v>7662</v>
      </c>
      <c r="E1010" s="54" t="s">
        <v>7663</v>
      </c>
      <c r="F1010" s="28" t="s">
        <v>7664</v>
      </c>
      <c r="G1010" s="28">
        <v>99999</v>
      </c>
    </row>
    <row r="1011" spans="1:7">
      <c r="A1011" s="28">
        <v>303003</v>
      </c>
      <c r="B1011" s="28" t="s">
        <v>7665</v>
      </c>
      <c r="C1011" s="28">
        <v>3</v>
      </c>
      <c r="D1011" s="54" t="s">
        <v>7666</v>
      </c>
      <c r="E1011" s="54" t="s">
        <v>7667</v>
      </c>
      <c r="F1011" s="28" t="s">
        <v>7668</v>
      </c>
      <c r="G1011" s="28">
        <v>99999</v>
      </c>
    </row>
    <row r="1012" spans="1:7">
      <c r="A1012" s="28">
        <v>304000</v>
      </c>
      <c r="B1012" s="28" t="s">
        <v>7669</v>
      </c>
      <c r="C1012" s="28">
        <v>3</v>
      </c>
      <c r="D1012" s="54" t="s">
        <v>7670</v>
      </c>
      <c r="E1012" s="54" t="s"/>
      <c r="F1012" s="28" t="s">
        <v>7671</v>
      </c>
      <c r="G1012" s="28">
        <v>1</v>
      </c>
    </row>
    <row r="1013" spans="1:7">
      <c r="A1013" s="28">
        <v>304001</v>
      </c>
      <c r="B1013" s="28" t="s">
        <v>7672</v>
      </c>
      <c r="C1013" s="28">
        <v>3</v>
      </c>
      <c r="D1013" s="54" t="s">
        <v>7673</v>
      </c>
      <c r="E1013" s="54" t="s"/>
      <c r="F1013" s="28" t="s">
        <v>7674</v>
      </c>
      <c r="G1013" s="28">
        <v>1</v>
      </c>
    </row>
    <row r="1014" spans="1:7">
      <c r="A1014" s="28">
        <v>304002</v>
      </c>
      <c r="B1014" s="28" t="s">
        <v>7675</v>
      </c>
      <c r="C1014" s="28">
        <v>3</v>
      </c>
      <c r="D1014" s="54" t="s">
        <v>7676</v>
      </c>
      <c r="E1014" s="54" t="s"/>
      <c r="F1014" s="28" t="s">
        <v>7677</v>
      </c>
      <c r="G1014" s="28">
        <v>1</v>
      </c>
    </row>
    <row r="1015" spans="1:7">
      <c r="A1015" s="28">
        <v>304003</v>
      </c>
      <c r="B1015" s="28" t="s">
        <v>7678</v>
      </c>
      <c r="C1015" s="28">
        <v>3</v>
      </c>
      <c r="D1015" s="54" t="s">
        <v>7679</v>
      </c>
      <c r="E1015" s="54" t="s"/>
      <c r="F1015" s="28" t="s">
        <v>7680</v>
      </c>
      <c r="G1015" s="28">
        <v>1</v>
      </c>
    </row>
    <row r="1016" spans="1:7">
      <c r="A1016" s="28">
        <v>304004</v>
      </c>
      <c r="B1016" s="28" t="s">
        <v>7681</v>
      </c>
      <c r="C1016" s="28">
        <v>3</v>
      </c>
      <c r="D1016" s="54" t="s">
        <v>7682</v>
      </c>
      <c r="E1016" s="54" t="s"/>
      <c r="F1016" s="28" t="s">
        <v>7683</v>
      </c>
      <c r="G1016" s="28">
        <v>1</v>
      </c>
    </row>
    <row r="1017" spans="1:7">
      <c r="A1017" s="28">
        <v>304005</v>
      </c>
      <c r="B1017" s="54" t="s">
        <v>7684</v>
      </c>
      <c r="C1017" s="28">
        <v>4</v>
      </c>
      <c r="D1017" s="54" t="s">
        <v>7685</v>
      </c>
      <c r="E1017" s="54" t="s">
        <v>7686</v>
      </c>
      <c r="F1017" s="28" t="s">
        <v>7687</v>
      </c>
      <c r="G1017" s="28">
        <v>9999</v>
      </c>
    </row>
    <row r="1018" spans="1:7">
      <c r="A1018" s="28">
        <v>304006</v>
      </c>
      <c r="B1018" s="28" t="s">
        <v>7688</v>
      </c>
      <c r="C1018" s="28">
        <v>3</v>
      </c>
      <c r="D1018" s="54" t="s">
        <v>7689</v>
      </c>
      <c r="E1018" s="54" t="s"/>
      <c r="F1018" s="28" t="s">
        <v>7690</v>
      </c>
      <c r="G1018" s="28">
        <v>9999</v>
      </c>
    </row>
    <row r="1019" spans="1:7">
      <c r="A1019" s="28">
        <v>304007</v>
      </c>
      <c r="B1019" s="28" t="s">
        <v>7691</v>
      </c>
      <c r="C1019" s="28">
        <v>3</v>
      </c>
      <c r="D1019" s="54" t="s">
        <v>7692</v>
      </c>
      <c r="E1019" s="54" t="s"/>
      <c r="F1019" s="28" t="s">
        <v>7693</v>
      </c>
      <c r="G1019" s="28">
        <v>1</v>
      </c>
    </row>
    <row r="1020" spans="1:7">
      <c r="A1020" s="28">
        <v>304008</v>
      </c>
      <c r="B1020" s="28" t="s">
        <v>7694</v>
      </c>
      <c r="C1020" s="28">
        <v>3</v>
      </c>
      <c r="D1020" s="54" t="s">
        <v>7695</v>
      </c>
      <c r="E1020" s="54" t="s"/>
      <c r="F1020" s="28" t="s">
        <v>7696</v>
      </c>
      <c r="G1020" s="28">
        <v>1</v>
      </c>
    </row>
    <row r="1021" spans="1:7">
      <c r="A1021" s="28">
        <v>304009</v>
      </c>
      <c r="B1021" s="54" t="s">
        <v>7697</v>
      </c>
      <c r="C1021" s="28">
        <v>3</v>
      </c>
      <c r="D1021" s="54" t="s">
        <v>7698</v>
      </c>
      <c r="E1021" s="28" t="s">
        <v>7699</v>
      </c>
      <c r="F1021" s="28" t="s">
        <v>7700</v>
      </c>
      <c r="G1021" s="28">
        <v>9999</v>
      </c>
    </row>
    <row r="1022" spans="1:7">
      <c r="A1022" s="28">
        <v>304010</v>
      </c>
      <c r="B1022" s="28" t="s">
        <v>7701</v>
      </c>
      <c r="C1022" s="28">
        <v>3</v>
      </c>
      <c r="D1022" s="54" t="s">
        <v>7702</v>
      </c>
      <c r="E1022" s="28" t="s">
        <v>7703</v>
      </c>
      <c r="F1022" s="28" t="s">
        <v>7704</v>
      </c>
      <c r="G1022" s="28">
        <v>9999</v>
      </c>
    </row>
    <row r="1023" spans="1:7">
      <c r="A1023" s="28">
        <v>304011</v>
      </c>
      <c r="B1023" s="54" t="s">
        <v>7705</v>
      </c>
      <c r="C1023" s="28">
        <v>3</v>
      </c>
      <c r="D1023" s="54" t="s">
        <v>7706</v>
      </c>
      <c r="E1023" s="28" t="s">
        <v>7707</v>
      </c>
      <c r="F1023" s="28" t="s">
        <v>7708</v>
      </c>
      <c r="G1023" s="28">
        <v>9999</v>
      </c>
    </row>
    <row r="1024" spans="1:7">
      <c r="A1024" s="28">
        <v>304012</v>
      </c>
      <c r="B1024" s="28" t="s">
        <v>7709</v>
      </c>
      <c r="C1024" s="28">
        <v>3</v>
      </c>
      <c r="D1024" s="54" t="s">
        <v>7710</v>
      </c>
      <c r="E1024" s="54" t="s"/>
      <c r="F1024" s="28" t="s">
        <v>6176</v>
      </c>
      <c r="G1024" s="28">
        <v>9999</v>
      </c>
    </row>
    <row r="1025" spans="1:7">
      <c r="A1025" s="28">
        <v>304013</v>
      </c>
      <c r="B1025" s="28" t="s">
        <v>7711</v>
      </c>
      <c r="C1025" s="28">
        <v>3</v>
      </c>
      <c r="D1025" s="54" t="s">
        <v>7712</v>
      </c>
      <c r="E1025" s="54" t="s">
        <v>7713</v>
      </c>
      <c r="F1025" s="28" t="s">
        <v>7714</v>
      </c>
      <c r="G1025" s="28">
        <v>9999</v>
      </c>
    </row>
    <row r="1026" spans="1:7">
      <c r="A1026" s="28">
        <v>304014</v>
      </c>
      <c r="B1026" s="28" t="s">
        <v>7715</v>
      </c>
      <c r="C1026" s="28">
        <v>3</v>
      </c>
      <c r="D1026" s="54" t="s">
        <v>7716</v>
      </c>
      <c r="E1026" s="54" t="s">
        <v>7717</v>
      </c>
      <c r="F1026" s="28" t="s">
        <v>7718</v>
      </c>
      <c r="G1026" s="28">
        <v>1</v>
      </c>
    </row>
    <row r="1027" spans="1:7">
      <c r="A1027" s="28">
        <v>304015</v>
      </c>
      <c r="B1027" s="28" t="s">
        <v>7719</v>
      </c>
      <c r="C1027" s="28">
        <v>3</v>
      </c>
      <c r="D1027" s="54" t="s">
        <v>7720</v>
      </c>
      <c r="E1027" s="54" t="s">
        <v>7721</v>
      </c>
      <c r="F1027" s="28" t="s">
        <v>7722</v>
      </c>
      <c r="G1027" s="28">
        <v>1</v>
      </c>
    </row>
    <row r="1028" spans="1:7">
      <c r="A1028" s="28">
        <v>304016</v>
      </c>
      <c r="B1028" s="28" t="s">
        <v>7723</v>
      </c>
      <c r="C1028" s="28">
        <v>1</v>
      </c>
      <c r="D1028" s="54" t="s">
        <v>7724</v>
      </c>
      <c r="E1028" s="54" t="s">
        <v>7725</v>
      </c>
      <c r="F1028" s="28" t="s">
        <v>7726</v>
      </c>
      <c r="G1028" s="28">
        <v>9999</v>
      </c>
    </row>
    <row r="1029" spans="1:7">
      <c r="A1029" s="28">
        <v>304017</v>
      </c>
      <c r="B1029" s="28" t="s">
        <v>7727</v>
      </c>
      <c r="C1029" s="28">
        <v>4</v>
      </c>
      <c r="D1029" s="54" t="s">
        <v>7728</v>
      </c>
      <c r="E1029" s="28" t="s">
        <v>7686</v>
      </c>
      <c r="F1029" s="28" t="s">
        <v>7729</v>
      </c>
      <c r="G1029" s="28">
        <v>9999</v>
      </c>
    </row>
    <row r="1030" spans="1:7">
      <c r="A1030" s="28">
        <v>304018</v>
      </c>
      <c r="B1030" s="28" t="s">
        <v>7730</v>
      </c>
      <c r="C1030" s="28">
        <v>4</v>
      </c>
      <c r="D1030" s="54" t="s">
        <v>7731</v>
      </c>
      <c r="E1030" s="28" t="s">
        <v>7686</v>
      </c>
      <c r="F1030" s="28" t="s">
        <v>7732</v>
      </c>
      <c r="G1030" s="28">
        <v>9999</v>
      </c>
    </row>
    <row r="1031" spans="1:7">
      <c r="A1031" s="28">
        <v>304019</v>
      </c>
      <c r="B1031" s="28" t="s">
        <v>7733</v>
      </c>
      <c r="C1031" s="28">
        <v>4</v>
      </c>
      <c r="D1031" s="54" t="s">
        <v>7734</v>
      </c>
      <c r="E1031" s="54" t="s">
        <v>7735</v>
      </c>
      <c r="F1031" s="28" t="s">
        <v>7736</v>
      </c>
      <c r="G1031" s="28">
        <v>9999</v>
      </c>
    </row>
    <row r="1032" spans="1:7">
      <c r="A1032" s="28">
        <v>304030</v>
      </c>
      <c r="B1032" s="28" t="s">
        <v>7737</v>
      </c>
      <c r="C1032" s="28">
        <v>2</v>
      </c>
      <c r="D1032" s="54" t="s">
        <v>7738</v>
      </c>
      <c r="E1032" s="54" t="s">
        <v>7739</v>
      </c>
      <c r="F1032" s="28" t="s">
        <v>7740</v>
      </c>
      <c r="G1032" s="28">
        <v>1</v>
      </c>
    </row>
    <row r="1033" spans="1:7">
      <c r="A1033" s="28">
        <v>304031</v>
      </c>
      <c r="B1033" s="28" t="s">
        <v>7737</v>
      </c>
      <c r="C1033" s="28">
        <v>2</v>
      </c>
      <c r="D1033" s="54" t="s">
        <v>7738</v>
      </c>
      <c r="E1033" s="54" t="s">
        <v>7739</v>
      </c>
      <c r="F1033" s="28" t="s">
        <v>7740</v>
      </c>
      <c r="G1033" s="28">
        <v>1</v>
      </c>
    </row>
    <row r="1034" spans="1:7">
      <c r="A1034" s="28">
        <v>304032</v>
      </c>
      <c r="B1034" s="28" t="s">
        <v>7737</v>
      </c>
      <c r="C1034" s="28">
        <v>2</v>
      </c>
      <c r="D1034" s="54" t="s">
        <v>7738</v>
      </c>
      <c r="E1034" s="54" t="s">
        <v>7739</v>
      </c>
      <c r="F1034" s="28" t="s">
        <v>7740</v>
      </c>
      <c r="G1034" s="28">
        <v>1</v>
      </c>
    </row>
    <row r="1035" spans="1:7">
      <c r="A1035" s="28">
        <v>304033</v>
      </c>
      <c r="B1035" s="28" t="s">
        <v>7737</v>
      </c>
      <c r="C1035" s="28">
        <v>2</v>
      </c>
      <c r="D1035" s="54" t="s">
        <v>7738</v>
      </c>
      <c r="E1035" s="28" t="s">
        <v>7739</v>
      </c>
      <c r="F1035" s="28" t="s">
        <v>7740</v>
      </c>
      <c r="G1035" s="28">
        <v>1</v>
      </c>
    </row>
    <row r="1036" spans="1:7">
      <c r="A1036" s="28">
        <v>304034</v>
      </c>
      <c r="B1036" s="28" t="s">
        <v>7737</v>
      </c>
      <c r="C1036" s="28">
        <v>2</v>
      </c>
      <c r="D1036" s="54" t="s">
        <v>7738</v>
      </c>
      <c r="E1036" s="65" t="s">
        <v>7739</v>
      </c>
      <c r="F1036" s="28" t="s">
        <v>7740</v>
      </c>
      <c r="G1036" s="28">
        <v>1</v>
      </c>
    </row>
    <row r="1037" spans="1:7">
      <c r="A1037" s="28">
        <v>304035</v>
      </c>
      <c r="B1037" s="28" t="s">
        <v>7741</v>
      </c>
      <c r="C1037" s="28">
        <v>3</v>
      </c>
      <c r="D1037" s="54" t="s">
        <v>7742</v>
      </c>
      <c r="E1037" s="28" t="s">
        <v>7743</v>
      </c>
      <c r="F1037" s="28" t="s">
        <v>7744</v>
      </c>
      <c r="G1037" s="28">
        <v>1</v>
      </c>
    </row>
    <row r="1038" spans="1:7">
      <c r="A1038" s="28">
        <v>304036</v>
      </c>
      <c r="B1038" s="28" t="s">
        <v>7741</v>
      </c>
      <c r="C1038" s="28">
        <v>3</v>
      </c>
      <c r="D1038" s="54" t="s">
        <v>7742</v>
      </c>
      <c r="E1038" s="28" t="s">
        <v>7743</v>
      </c>
      <c r="F1038" s="28" t="s">
        <v>7744</v>
      </c>
      <c r="G1038" s="28">
        <v>1</v>
      </c>
    </row>
    <row r="1039" spans="1:7">
      <c r="A1039" s="28">
        <v>304037</v>
      </c>
      <c r="B1039" s="28" t="s">
        <v>7745</v>
      </c>
      <c r="C1039" s="28">
        <v>3</v>
      </c>
      <c r="D1039" s="54" t="s">
        <v>7746</v>
      </c>
      <c r="E1039" s="28" t="s">
        <v>7743</v>
      </c>
      <c r="F1039" s="28" t="s">
        <v>7744</v>
      </c>
      <c r="G1039" s="28">
        <v>1</v>
      </c>
    </row>
    <row r="1040" spans="1:7">
      <c r="A1040" s="28">
        <v>304038</v>
      </c>
      <c r="B1040" s="28" t="s">
        <v>7745</v>
      </c>
      <c r="C1040" s="28">
        <v>3</v>
      </c>
      <c r="D1040" s="54" t="s">
        <v>7746</v>
      </c>
      <c r="E1040" s="28" t="s">
        <v>7743</v>
      </c>
      <c r="F1040" s="28" t="s">
        <v>7744</v>
      </c>
      <c r="G1040" s="28">
        <v>1</v>
      </c>
    </row>
    <row r="1041" spans="1:7">
      <c r="A1041" s="28">
        <v>304039</v>
      </c>
      <c r="B1041" s="28" t="s">
        <v>7747</v>
      </c>
      <c r="C1041" s="28">
        <v>4</v>
      </c>
      <c r="D1041" s="54" t="s">
        <v>7748</v>
      </c>
      <c r="E1041" s="28" t="s">
        <v>7749</v>
      </c>
      <c r="F1041" s="28" t="s">
        <v>7750</v>
      </c>
      <c r="G1041" s="28">
        <v>1</v>
      </c>
    </row>
    <row r="1042" spans="1:7">
      <c r="A1042" s="28">
        <v>304040</v>
      </c>
      <c r="B1042" s="28" t="s">
        <v>7747</v>
      </c>
      <c r="C1042" s="28">
        <v>4</v>
      </c>
      <c r="D1042" s="54" t="s">
        <v>7748</v>
      </c>
      <c r="E1042" s="28" t="s">
        <v>7749</v>
      </c>
      <c r="F1042" s="28" t="s">
        <v>7750</v>
      </c>
      <c r="G1042" s="28">
        <v>1</v>
      </c>
    </row>
    <row r="1043" spans="1:7">
      <c r="A1043" s="28">
        <v>304041</v>
      </c>
      <c r="B1043" s="28" t="s">
        <v>7751</v>
      </c>
      <c r="C1043" s="28">
        <v>5</v>
      </c>
      <c r="D1043" s="54" t="s">
        <v>7752</v>
      </c>
      <c r="E1043" s="28" t="s">
        <v>7753</v>
      </c>
      <c r="F1043" s="28" t="s">
        <v>7754</v>
      </c>
      <c r="G1043" s="28">
        <v>1</v>
      </c>
    </row>
    <row r="1044" spans="1:7">
      <c r="A1044" s="28">
        <v>304042</v>
      </c>
      <c r="B1044" s="28" t="s">
        <v>7745</v>
      </c>
      <c r="C1044" s="28">
        <v>2</v>
      </c>
      <c r="D1044" s="54" t="s">
        <v>7746</v>
      </c>
      <c r="E1044" s="28" t="s">
        <v>7743</v>
      </c>
      <c r="F1044" s="28" t="s">
        <v>7740</v>
      </c>
      <c r="G1044" s="28">
        <v>1</v>
      </c>
    </row>
    <row r="1045" spans="1:7">
      <c r="A1045" s="28">
        <v>304043</v>
      </c>
      <c r="B1045" s="28" t="s">
        <v>7745</v>
      </c>
      <c r="C1045" s="28">
        <v>2</v>
      </c>
      <c r="D1045" s="54" t="s">
        <v>7746</v>
      </c>
      <c r="E1045" s="28" t="s">
        <v>7743</v>
      </c>
      <c r="F1045" s="28" t="s">
        <v>7740</v>
      </c>
      <c r="G1045" s="28">
        <v>1</v>
      </c>
    </row>
    <row r="1046" spans="1:7">
      <c r="A1046" s="28">
        <v>304044</v>
      </c>
      <c r="B1046" s="28" t="s">
        <v>7745</v>
      </c>
      <c r="C1046" s="28">
        <v>2</v>
      </c>
      <c r="D1046" s="54" t="s">
        <v>7746</v>
      </c>
      <c r="E1046" s="28" t="s">
        <v>7743</v>
      </c>
      <c r="F1046" s="28" t="s">
        <v>7740</v>
      </c>
      <c r="G1046" s="28">
        <v>1</v>
      </c>
    </row>
    <row r="1047" spans="1:7">
      <c r="A1047" s="28">
        <v>304045</v>
      </c>
      <c r="B1047" s="28" t="s">
        <v>7745</v>
      </c>
      <c r="C1047" s="28">
        <v>3</v>
      </c>
      <c r="D1047" s="54" t="s">
        <v>7746</v>
      </c>
      <c r="E1047" s="28" t="s">
        <v>7743</v>
      </c>
      <c r="F1047" s="28" t="s">
        <v>7744</v>
      </c>
      <c r="G1047" s="28">
        <v>1</v>
      </c>
    </row>
    <row r="1048" spans="1:7">
      <c r="A1048" s="28">
        <v>304046</v>
      </c>
      <c r="B1048" s="28" t="s">
        <v>7755</v>
      </c>
      <c r="C1048" s="28">
        <v>2</v>
      </c>
      <c r="D1048" s="54" t="s">
        <v>7756</v>
      </c>
      <c r="E1048" s="54" t="s">
        <v>7757</v>
      </c>
      <c r="F1048" s="28" t="s">
        <v>6595</v>
      </c>
      <c r="G1048" s="28">
        <v>1</v>
      </c>
    </row>
    <row r="1049" spans="1:7">
      <c r="A1049" s="28">
        <v>304047</v>
      </c>
      <c r="B1049" s="28" t="s">
        <v>7758</v>
      </c>
      <c r="C1049" s="28">
        <v>2</v>
      </c>
      <c r="D1049" s="54" t="s">
        <v>7759</v>
      </c>
      <c r="E1049" s="54" t="s">
        <v>7760</v>
      </c>
      <c r="F1049" s="28" t="s">
        <v>7761</v>
      </c>
      <c r="G1049" s="28">
        <v>3</v>
      </c>
    </row>
    <row r="1050" spans="1:7">
      <c r="A1050" s="28">
        <v>304048</v>
      </c>
      <c r="B1050" s="28" t="s">
        <v>7755</v>
      </c>
      <c r="C1050" s="28">
        <v>2</v>
      </c>
      <c r="D1050" s="54" t="s">
        <v>7756</v>
      </c>
      <c r="E1050" s="28" t="s">
        <v>7757</v>
      </c>
      <c r="F1050" s="28" t="s">
        <v>6595</v>
      </c>
      <c r="G1050" s="28">
        <v>1</v>
      </c>
    </row>
    <row r="1051" spans="1:7">
      <c r="A1051" s="28">
        <v>304049</v>
      </c>
      <c r="B1051" s="28" t="s">
        <v>7762</v>
      </c>
      <c r="C1051" s="28">
        <v>3</v>
      </c>
      <c r="D1051" s="54" t="s">
        <v>7763</v>
      </c>
      <c r="E1051" s="28" t="s">
        <v>7764</v>
      </c>
      <c r="F1051" s="28" t="s">
        <v>7765</v>
      </c>
      <c r="G1051" s="28">
        <v>0</v>
      </c>
    </row>
    <row r="1052" spans="1:7">
      <c r="A1052" s="28">
        <v>304050</v>
      </c>
      <c r="B1052" s="28" t="s">
        <v>7766</v>
      </c>
      <c r="C1052" s="28">
        <v>1</v>
      </c>
      <c r="D1052" s="54" t="s">
        <v>7767</v>
      </c>
      <c r="E1052" s="54" t="s"/>
      <c r="F1052" s="28" t="s">
        <v>7768</v>
      </c>
      <c r="G1052" s="28">
        <v>1</v>
      </c>
    </row>
    <row r="1053" spans="1:7">
      <c r="A1053" s="28">
        <v>304051</v>
      </c>
      <c r="B1053" s="28" t="s">
        <v>7769</v>
      </c>
      <c r="C1053" s="28">
        <v>2</v>
      </c>
      <c r="D1053" s="54" t="s">
        <v>7770</v>
      </c>
      <c r="E1053" s="28" t="s">
        <v>7771</v>
      </c>
      <c r="F1053" s="28" t="s">
        <v>7772</v>
      </c>
      <c r="G1053" s="28">
        <v>1</v>
      </c>
    </row>
    <row r="1054" spans="1:7">
      <c r="A1054" s="28">
        <v>304052</v>
      </c>
      <c r="B1054" s="28" t="s">
        <v>7773</v>
      </c>
      <c r="C1054" s="28">
        <v>2</v>
      </c>
      <c r="D1054" s="54" t="s">
        <v>7774</v>
      </c>
      <c r="E1054" s="28" t="s">
        <v>7775</v>
      </c>
      <c r="F1054" s="28" t="s">
        <v>7776</v>
      </c>
      <c r="G1054" s="28">
        <v>1</v>
      </c>
    </row>
    <row r="1055" spans="1:7">
      <c r="A1055" s="28">
        <v>304053</v>
      </c>
      <c r="B1055" s="28" t="s">
        <v>7777</v>
      </c>
      <c r="C1055" s="28">
        <v>2</v>
      </c>
      <c r="D1055" s="54" t="s">
        <v>7778</v>
      </c>
      <c r="E1055" s="54" t="s">
        <v>7779</v>
      </c>
      <c r="F1055" s="28" t="s">
        <v>7780</v>
      </c>
      <c r="G1055" s="28">
        <v>1</v>
      </c>
    </row>
    <row r="1056" spans="1:7">
      <c r="A1056" s="28">
        <v>304054</v>
      </c>
      <c r="B1056" s="28" t="s">
        <v>6255</v>
      </c>
      <c r="C1056" s="28">
        <v>3</v>
      </c>
      <c r="D1056" s="54" t="s">
        <v>6256</v>
      </c>
      <c r="E1056" s="54" t="s">
        <v>6257</v>
      </c>
      <c r="F1056" s="28" t="s">
        <v>6258</v>
      </c>
      <c r="G1056" s="28">
        <v>0</v>
      </c>
    </row>
    <row r="1057" spans="1:7">
      <c r="A1057" s="28">
        <v>304055</v>
      </c>
      <c r="B1057" s="28" t="s">
        <v>7781</v>
      </c>
      <c r="C1057" s="28">
        <v>4</v>
      </c>
      <c r="D1057" s="54" t="s">
        <v>7782</v>
      </c>
      <c r="E1057" s="66" t="s">
        <v>7783</v>
      </c>
      <c r="F1057" s="28" t="s">
        <v>7784</v>
      </c>
      <c r="G1057" s="28">
        <v>500</v>
      </c>
    </row>
    <row r="1058" spans="1:7">
      <c r="A1058" s="28">
        <v>304056</v>
      </c>
      <c r="B1058" s="28" t="s">
        <v>7785</v>
      </c>
      <c r="C1058" s="28">
        <v>2</v>
      </c>
      <c r="D1058" s="54" t="s">
        <v>7786</v>
      </c>
      <c r="E1058" s="28" t="s">
        <v>7787</v>
      </c>
      <c r="F1058" s="28" t="s">
        <v>7788</v>
      </c>
      <c r="G1058" s="28">
        <v>1</v>
      </c>
    </row>
    <row r="1059" spans="1:7">
      <c r="A1059" s="28">
        <v>304057</v>
      </c>
      <c r="B1059" s="28" t="s">
        <v>7789</v>
      </c>
      <c r="C1059" s="28">
        <v>2</v>
      </c>
      <c r="D1059" s="54" t="s">
        <v>7790</v>
      </c>
      <c r="E1059" s="28" t="s">
        <v>7791</v>
      </c>
      <c r="F1059" s="28" t="s">
        <v>7792</v>
      </c>
      <c r="G1059" s="28">
        <v>10</v>
      </c>
    </row>
    <row r="1060" spans="1:7">
      <c r="A1060" s="28">
        <v>304058</v>
      </c>
      <c r="B1060" s="54" t="s">
        <v>7793</v>
      </c>
      <c r="C1060" s="28">
        <v>2</v>
      </c>
      <c r="D1060" s="54" t="s">
        <v>7794</v>
      </c>
      <c r="E1060" s="54" t="s">
        <v>7795</v>
      </c>
      <c r="F1060" s="28" t="s">
        <v>7796</v>
      </c>
      <c r="G1060" s="28">
        <v>1</v>
      </c>
    </row>
    <row r="1061" spans="1:7">
      <c r="A1061" s="28">
        <v>304059</v>
      </c>
      <c r="B1061" s="28" t="s">
        <v>7797</v>
      </c>
      <c r="C1061" s="28">
        <v>2</v>
      </c>
      <c r="D1061" s="54" t="s">
        <v>7798</v>
      </c>
      <c r="E1061" s="54" t="s">
        <v>7799</v>
      </c>
      <c r="F1061" s="28" t="s">
        <v>7800</v>
      </c>
      <c r="G1061" s="28">
        <v>1</v>
      </c>
    </row>
    <row r="1062" spans="1:7">
      <c r="A1062" s="28">
        <v>304060</v>
      </c>
      <c r="B1062" s="28" t="s">
        <v>7801</v>
      </c>
      <c r="C1062" s="28">
        <v>2</v>
      </c>
      <c r="D1062" s="54" t="s">
        <v>7802</v>
      </c>
      <c r="E1062" s="54" t="s">
        <v>7803</v>
      </c>
      <c r="F1062" s="28" t="s">
        <v>7804</v>
      </c>
      <c r="G1062" s="28">
        <v>1</v>
      </c>
    </row>
    <row r="1063" spans="1:7">
      <c r="A1063" s="28">
        <v>304061</v>
      </c>
      <c r="B1063" s="28" t="s">
        <v>7805</v>
      </c>
      <c r="C1063" s="28">
        <v>3</v>
      </c>
      <c r="D1063" s="54" t="s">
        <v>7806</v>
      </c>
      <c r="E1063" s="54" t="s">
        <v>7807</v>
      </c>
      <c r="F1063" s="28" t="s">
        <v>7808</v>
      </c>
      <c r="G1063" s="28">
        <v>1</v>
      </c>
    </row>
    <row r="1064" spans="1:7">
      <c r="A1064" s="28">
        <v>304062</v>
      </c>
      <c r="B1064" s="28" t="s">
        <v>7809</v>
      </c>
      <c r="C1064" s="28">
        <v>2</v>
      </c>
      <c r="D1064" s="54" t="s">
        <v>7810</v>
      </c>
      <c r="E1064" s="54" t="s">
        <v>7811</v>
      </c>
      <c r="F1064" s="28" t="s">
        <v>7812</v>
      </c>
      <c r="G1064" s="28">
        <v>2</v>
      </c>
    </row>
    <row r="1065" spans="1:7">
      <c r="A1065" s="28">
        <v>304063</v>
      </c>
      <c r="B1065" s="28" t="s">
        <v>7809</v>
      </c>
      <c r="C1065" s="28">
        <v>2</v>
      </c>
      <c r="D1065" s="54" t="s">
        <v>7810</v>
      </c>
      <c r="E1065" s="54" t="s">
        <v>7811</v>
      </c>
      <c r="F1065" s="28" t="s">
        <v>7813</v>
      </c>
      <c r="G1065" s="28">
        <v>2</v>
      </c>
    </row>
    <row r="1066" spans="1:7">
      <c r="A1066" s="28">
        <v>304064</v>
      </c>
      <c r="B1066" s="28" t="s">
        <v>7809</v>
      </c>
      <c r="C1066" s="28">
        <v>2</v>
      </c>
      <c r="D1066" s="54" t="s">
        <v>7810</v>
      </c>
      <c r="E1066" s="54" t="s">
        <v>7811</v>
      </c>
      <c r="F1066" s="28" t="s">
        <v>7814</v>
      </c>
      <c r="G1066" s="28">
        <v>2</v>
      </c>
    </row>
    <row r="1067" spans="1:7">
      <c r="A1067" s="28">
        <v>304065</v>
      </c>
      <c r="B1067" s="28" t="s">
        <v>7815</v>
      </c>
      <c r="C1067" s="28">
        <v>3</v>
      </c>
      <c r="D1067" s="54" t="s">
        <v>7816</v>
      </c>
      <c r="E1067" s="28" t="s">
        <v>7817</v>
      </c>
      <c r="F1067" s="28" t="s">
        <v>6187</v>
      </c>
      <c r="G1067" s="28">
        <v>1</v>
      </c>
    </row>
    <row r="1068" spans="1:7">
      <c r="A1068" s="28">
        <v>304066</v>
      </c>
      <c r="B1068" s="54" t="s">
        <v>7818</v>
      </c>
      <c r="C1068" s="28">
        <v>4</v>
      </c>
      <c r="D1068" s="54" t="s">
        <v>7819</v>
      </c>
      <c r="E1068" s="54" t="s">
        <v>7820</v>
      </c>
      <c r="F1068" s="28" t="s">
        <v>7821</v>
      </c>
      <c r="G1068" s="28">
        <v>999</v>
      </c>
    </row>
    <row r="1069" spans="1:7">
      <c r="A1069" s="28">
        <v>304067</v>
      </c>
      <c r="B1069" s="28" t="s">
        <v>7822</v>
      </c>
      <c r="C1069" s="28">
        <v>4</v>
      </c>
      <c r="D1069" s="54" t="s">
        <v>7823</v>
      </c>
      <c r="E1069" s="54" t="s">
        <v>7824</v>
      </c>
      <c r="F1069" s="28" t="s">
        <v>7825</v>
      </c>
      <c r="G1069" s="28">
        <v>999</v>
      </c>
    </row>
    <row r="1070" spans="1:7">
      <c r="A1070" s="28">
        <v>304068</v>
      </c>
      <c r="B1070" s="28" t="s">
        <v>7826</v>
      </c>
      <c r="C1070" s="28">
        <v>2</v>
      </c>
      <c r="D1070" s="54" t="s">
        <v>7827</v>
      </c>
      <c r="E1070" s="54" t="s">
        <v>7828</v>
      </c>
      <c r="F1070" s="28" t="s">
        <v>7829</v>
      </c>
      <c r="G1070" s="28">
        <v>3</v>
      </c>
    </row>
    <row r="1071" spans="1:7">
      <c r="A1071" s="28">
        <v>304069</v>
      </c>
      <c r="B1071" s="28" t="s">
        <v>7830</v>
      </c>
      <c r="C1071" s="28">
        <v>4</v>
      </c>
      <c r="D1071" s="54" t="s">
        <v>7831</v>
      </c>
      <c r="E1071" s="54" t="s">
        <v>7832</v>
      </c>
      <c r="F1071" s="28" t="s">
        <v>7833</v>
      </c>
      <c r="G1071" s="28">
        <v>1</v>
      </c>
    </row>
    <row r="1072" spans="1:7">
      <c r="A1072" s="28">
        <v>304070</v>
      </c>
      <c r="B1072" s="28" t="s">
        <v>7834</v>
      </c>
      <c r="C1072" s="28">
        <v>4</v>
      </c>
      <c r="D1072" s="54" t="s">
        <v>7835</v>
      </c>
      <c r="E1072" s="54" t="s">
        <v>7832</v>
      </c>
      <c r="F1072" s="28" t="s">
        <v>7833</v>
      </c>
      <c r="G1072" s="28">
        <v>1</v>
      </c>
    </row>
    <row r="1073" spans="1:7">
      <c r="A1073" s="28">
        <v>304071</v>
      </c>
      <c r="B1073" s="28" t="s">
        <v>7836</v>
      </c>
      <c r="C1073" s="28">
        <v>4</v>
      </c>
      <c r="D1073" s="54" t="s">
        <v>7837</v>
      </c>
      <c r="E1073" s="54" t="s">
        <v>7838</v>
      </c>
      <c r="F1073" s="28" t="s">
        <v>7833</v>
      </c>
      <c r="G1073" s="28">
        <v>1</v>
      </c>
    </row>
    <row r="1074" spans="1:7">
      <c r="A1074" s="28">
        <v>304072</v>
      </c>
      <c r="B1074" s="28" t="s">
        <v>7839</v>
      </c>
      <c r="C1074" s="28">
        <v>4</v>
      </c>
      <c r="D1074" s="54" t="s">
        <v>7840</v>
      </c>
      <c r="E1074" s="54" t="s">
        <v>7838</v>
      </c>
      <c r="F1074" s="28" t="s">
        <v>7833</v>
      </c>
      <c r="G1074" s="28">
        <v>1</v>
      </c>
    </row>
    <row r="1075" spans="1:7">
      <c r="A1075" s="28">
        <v>305001</v>
      </c>
      <c r="B1075" s="28" t="s">
        <v>7841</v>
      </c>
      <c r="C1075" s="28">
        <v>2</v>
      </c>
      <c r="D1075" s="54" t="s">
        <v>7842</v>
      </c>
      <c r="E1075" s="54" t="s">
        <v>7843</v>
      </c>
      <c r="F1075" s="28" t="s">
        <v>7844</v>
      </c>
      <c r="G1075" s="28">
        <v>1</v>
      </c>
    </row>
    <row r="1076" spans="1:7">
      <c r="A1076" s="28">
        <v>305002</v>
      </c>
      <c r="B1076" s="28" t="s">
        <v>7841</v>
      </c>
      <c r="C1076" s="28">
        <v>2</v>
      </c>
      <c r="D1076" s="54" t="s">
        <v>7842</v>
      </c>
      <c r="E1076" s="54" t="s">
        <v>7843</v>
      </c>
      <c r="F1076" s="28" t="s">
        <v>7844</v>
      </c>
      <c r="G1076" s="28">
        <v>1</v>
      </c>
    </row>
    <row r="1077" spans="1:7">
      <c r="A1077" s="28">
        <v>305003</v>
      </c>
      <c r="B1077" s="28" t="s">
        <v>7845</v>
      </c>
      <c r="C1077" s="28">
        <v>2</v>
      </c>
      <c r="D1077" s="54" t="s">
        <v>7846</v>
      </c>
      <c r="E1077" s="54" t="s">
        <v>7847</v>
      </c>
      <c r="F1077" s="28" t="s">
        <v>7848</v>
      </c>
      <c r="G1077" s="28">
        <v>1</v>
      </c>
    </row>
    <row r="1078" spans="1:7">
      <c r="A1078" s="28">
        <v>305004</v>
      </c>
      <c r="B1078" s="28" t="s">
        <v>7849</v>
      </c>
      <c r="C1078" s="28">
        <v>2</v>
      </c>
      <c r="D1078" s="54" t="s">
        <v>7850</v>
      </c>
      <c r="E1078" s="54" t="s">
        <v>7851</v>
      </c>
      <c r="F1078" s="28" t="s">
        <v>7852</v>
      </c>
      <c r="G1078" s="28">
        <v>1</v>
      </c>
    </row>
    <row r="1079" spans="1:7">
      <c r="A1079" s="28">
        <v>305005</v>
      </c>
      <c r="B1079" s="28" t="s">
        <v>7841</v>
      </c>
      <c r="C1079" s="28">
        <v>2</v>
      </c>
      <c r="D1079" s="54" t="s">
        <v>7842</v>
      </c>
      <c r="E1079" s="54" t="s">
        <v>7843</v>
      </c>
      <c r="F1079" s="28" t="s">
        <v>7844</v>
      </c>
      <c r="G1079" s="28">
        <v>1</v>
      </c>
    </row>
    <row r="1080" spans="1:7">
      <c r="A1080" s="28">
        <v>305006</v>
      </c>
      <c r="B1080" s="28" t="s">
        <v>7841</v>
      </c>
      <c r="C1080" s="28">
        <v>2</v>
      </c>
      <c r="D1080" s="54" t="s">
        <v>7842</v>
      </c>
      <c r="E1080" s="54" t="s">
        <v>7843</v>
      </c>
      <c r="F1080" s="28" t="s">
        <v>7844</v>
      </c>
      <c r="G1080" s="28">
        <v>1</v>
      </c>
    </row>
    <row r="1081" spans="1:7">
      <c r="A1081" s="28">
        <v>305007</v>
      </c>
      <c r="B1081" s="28" t="s">
        <v>7853</v>
      </c>
      <c r="C1081" s="28">
        <v>2</v>
      </c>
      <c r="D1081" s="54" t="s">
        <v>7854</v>
      </c>
      <c r="E1081" s="54" t="s">
        <v>7855</v>
      </c>
      <c r="F1081" s="28" t="s">
        <v>7856</v>
      </c>
      <c r="G1081" s="28">
        <v>1</v>
      </c>
    </row>
    <row r="1082" spans="1:7">
      <c r="A1082" s="28">
        <v>305008</v>
      </c>
      <c r="B1082" s="28" t="s">
        <v>7841</v>
      </c>
      <c r="C1082" s="28">
        <v>2</v>
      </c>
      <c r="D1082" s="54" t="s">
        <v>7842</v>
      </c>
      <c r="E1082" s="54" t="s">
        <v>7843</v>
      </c>
      <c r="F1082" s="28" t="s">
        <v>7844</v>
      </c>
      <c r="G1082" s="28">
        <v>1</v>
      </c>
    </row>
    <row r="1083" spans="1:7">
      <c r="A1083" s="28">
        <v>305009</v>
      </c>
      <c r="B1083" s="54" t="s">
        <v>7841</v>
      </c>
      <c r="C1083" s="28">
        <v>2</v>
      </c>
      <c r="D1083" s="54" t="s">
        <v>7842</v>
      </c>
      <c r="E1083" s="54" t="s">
        <v>7843</v>
      </c>
      <c r="F1083" s="28" t="s">
        <v>7844</v>
      </c>
      <c r="G1083" s="28">
        <v>1</v>
      </c>
    </row>
    <row r="1084" spans="1:7">
      <c r="A1084" s="28">
        <v>305010</v>
      </c>
      <c r="B1084" s="28" t="s">
        <v>7857</v>
      </c>
      <c r="C1084" s="28">
        <v>2</v>
      </c>
      <c r="D1084" s="54" t="s">
        <v>7858</v>
      </c>
      <c r="E1084" s="54" t="s">
        <v>7859</v>
      </c>
      <c r="F1084" s="28" t="s">
        <v>7860</v>
      </c>
      <c r="G1084" s="28">
        <v>1</v>
      </c>
    </row>
    <row r="1085" spans="1:7">
      <c r="A1085" s="28">
        <v>305011</v>
      </c>
      <c r="B1085" s="28" t="s">
        <v>7861</v>
      </c>
      <c r="C1085" s="28">
        <v>2</v>
      </c>
      <c r="D1085" s="54" t="s">
        <v>7862</v>
      </c>
      <c r="E1085" s="54" t="s">
        <v>7863</v>
      </c>
      <c r="F1085" s="28" t="s">
        <v>7864</v>
      </c>
      <c r="G1085" s="28">
        <v>1</v>
      </c>
    </row>
    <row r="1086" spans="1:7">
      <c r="A1086" s="28">
        <v>305012</v>
      </c>
      <c r="B1086" s="28" t="s">
        <v>7841</v>
      </c>
      <c r="C1086" s="28">
        <v>2</v>
      </c>
      <c r="D1086" s="54" t="s">
        <v>7842</v>
      </c>
      <c r="E1086" s="54" t="s">
        <v>7843</v>
      </c>
      <c r="F1086" s="28" t="s">
        <v>7844</v>
      </c>
      <c r="G1086" s="28">
        <v>1</v>
      </c>
    </row>
    <row r="1087" spans="1:7">
      <c r="A1087" s="28">
        <v>305013</v>
      </c>
      <c r="B1087" s="28" t="s">
        <v>7865</v>
      </c>
      <c r="C1087" s="28">
        <v>2</v>
      </c>
      <c r="D1087" s="54" t="s">
        <v>7866</v>
      </c>
      <c r="E1087" s="54" t="s">
        <v>7867</v>
      </c>
      <c r="F1087" s="28" t="s">
        <v>7868</v>
      </c>
      <c r="G1087" s="28">
        <v>1</v>
      </c>
    </row>
    <row r="1088" spans="1:7">
      <c r="A1088" s="28">
        <v>305014</v>
      </c>
      <c r="B1088" s="28" t="s">
        <v>7869</v>
      </c>
      <c r="C1088" s="28">
        <v>2</v>
      </c>
      <c r="D1088" s="54" t="s">
        <v>7870</v>
      </c>
      <c r="E1088" s="54" t="s">
        <v>7871</v>
      </c>
      <c r="F1088" s="28" t="s">
        <v>7872</v>
      </c>
      <c r="G1088" s="28">
        <v>1</v>
      </c>
    </row>
    <row r="1089" spans="1:7">
      <c r="A1089" s="28">
        <v>305015</v>
      </c>
      <c r="B1089" s="28" t="s">
        <v>7873</v>
      </c>
      <c r="C1089" s="28">
        <v>2</v>
      </c>
      <c r="D1089" s="54" t="s">
        <v>7874</v>
      </c>
      <c r="E1089" s="54" t="s">
        <v>7875</v>
      </c>
      <c r="F1089" s="28" t="s">
        <v>7876</v>
      </c>
      <c r="G1089" s="28">
        <v>1</v>
      </c>
    </row>
    <row r="1090" spans="1:7">
      <c r="A1090" s="28">
        <v>305016</v>
      </c>
      <c r="B1090" s="28" t="s">
        <v>7841</v>
      </c>
      <c r="C1090" s="28">
        <v>2</v>
      </c>
      <c r="D1090" s="54" t="s">
        <v>7842</v>
      </c>
      <c r="E1090" s="54" t="s">
        <v>7843</v>
      </c>
      <c r="F1090" s="28" t="s">
        <v>7844</v>
      </c>
      <c r="G1090" s="28">
        <v>1</v>
      </c>
    </row>
    <row r="1091" spans="1:7">
      <c r="A1091" s="28">
        <v>305017</v>
      </c>
      <c r="B1091" s="28" t="s">
        <v>7841</v>
      </c>
      <c r="C1091" s="28">
        <v>2</v>
      </c>
      <c r="D1091" s="54" t="s">
        <v>7842</v>
      </c>
      <c r="E1091" s="54" t="s">
        <v>7843</v>
      </c>
      <c r="F1091" s="28" t="s">
        <v>7844</v>
      </c>
      <c r="G1091" s="28">
        <v>1</v>
      </c>
    </row>
    <row r="1092" spans="1:7">
      <c r="A1092" s="28">
        <v>305018</v>
      </c>
      <c r="B1092" s="28" t="s">
        <v>7877</v>
      </c>
      <c r="C1092" s="28">
        <v>2</v>
      </c>
      <c r="D1092" s="54" t="s">
        <v>7878</v>
      </c>
      <c r="E1092" s="54" t="s">
        <v>7879</v>
      </c>
      <c r="F1092" s="28" t="s">
        <v>7880</v>
      </c>
      <c r="G1092" s="28">
        <v>1</v>
      </c>
    </row>
    <row r="1093" spans="1:7">
      <c r="A1093" s="28">
        <v>305019</v>
      </c>
      <c r="B1093" s="28" t="s">
        <v>7881</v>
      </c>
      <c r="C1093" s="28">
        <v>2</v>
      </c>
      <c r="D1093" s="54" t="s">
        <v>7882</v>
      </c>
      <c r="E1093" s="54" t="s">
        <v>7883</v>
      </c>
      <c r="F1093" s="28" t="s">
        <v>7884</v>
      </c>
      <c r="G1093" s="28">
        <v>1</v>
      </c>
    </row>
    <row r="1094" spans="1:7">
      <c r="A1094" s="28">
        <v>305020</v>
      </c>
      <c r="B1094" s="28" t="s">
        <v>7885</v>
      </c>
      <c r="C1094" s="28">
        <v>2</v>
      </c>
      <c r="D1094" s="54" t="s">
        <v>7886</v>
      </c>
      <c r="E1094" s="54" t="s">
        <v>7887</v>
      </c>
      <c r="F1094" s="28" t="s">
        <v>7888</v>
      </c>
      <c r="G1094" s="28">
        <v>1</v>
      </c>
    </row>
    <row r="1095" spans="1:7">
      <c r="A1095" s="28">
        <v>305021</v>
      </c>
      <c r="B1095" s="28" t="s">
        <v>7841</v>
      </c>
      <c r="C1095" s="28">
        <v>2</v>
      </c>
      <c r="D1095" s="54" t="s">
        <v>7842</v>
      </c>
      <c r="E1095" s="54" t="s">
        <v>7843</v>
      </c>
      <c r="F1095" s="28" t="s">
        <v>7844</v>
      </c>
      <c r="G1095" s="28">
        <v>1</v>
      </c>
    </row>
    <row r="1096" spans="1:7">
      <c r="A1096" s="28">
        <v>305022</v>
      </c>
      <c r="B1096" s="28" t="s">
        <v>7841</v>
      </c>
      <c r="C1096" s="28">
        <v>2</v>
      </c>
      <c r="D1096" s="54" t="s">
        <v>7842</v>
      </c>
      <c r="E1096" s="54" t="s">
        <v>7843</v>
      </c>
      <c r="F1096" s="28" t="s">
        <v>7844</v>
      </c>
      <c r="G1096" s="28">
        <v>1</v>
      </c>
    </row>
    <row r="1097" spans="1:7">
      <c r="A1097" s="28">
        <v>305023</v>
      </c>
      <c r="B1097" s="28" t="s">
        <v>7889</v>
      </c>
      <c r="C1097" s="28">
        <v>2</v>
      </c>
      <c r="D1097" s="54" t="s">
        <v>7890</v>
      </c>
      <c r="E1097" s="54" t="s">
        <v>7891</v>
      </c>
      <c r="F1097" s="28" t="s">
        <v>7892</v>
      </c>
      <c r="G1097" s="28">
        <v>1</v>
      </c>
    </row>
    <row r="1098" spans="1:7">
      <c r="A1098" s="28">
        <v>305024</v>
      </c>
      <c r="B1098" s="28" t="s">
        <v>7841</v>
      </c>
      <c r="C1098" s="28">
        <v>2</v>
      </c>
      <c r="D1098" s="54" t="s">
        <v>7842</v>
      </c>
      <c r="E1098" s="54" t="s">
        <v>7843</v>
      </c>
      <c r="F1098" s="28" t="s">
        <v>7844</v>
      </c>
      <c r="G1098" s="28">
        <v>1</v>
      </c>
    </row>
    <row r="1099" spans="1:7">
      <c r="A1099" s="28">
        <v>305025</v>
      </c>
      <c r="B1099" s="28" t="s">
        <v>7841</v>
      </c>
      <c r="C1099" s="28">
        <v>2</v>
      </c>
      <c r="D1099" s="54" t="s">
        <v>7842</v>
      </c>
      <c r="E1099" s="54" t="s">
        <v>7843</v>
      </c>
      <c r="F1099" s="28" t="s">
        <v>7844</v>
      </c>
      <c r="G1099" s="28">
        <v>1</v>
      </c>
    </row>
    <row r="1100" spans="1:7">
      <c r="A1100" s="28">
        <v>305026</v>
      </c>
      <c r="B1100" s="28" t="s">
        <v>7893</v>
      </c>
      <c r="C1100" s="28">
        <v>2</v>
      </c>
      <c r="D1100" s="54" t="s">
        <v>7894</v>
      </c>
      <c r="E1100" s="54" t="s">
        <v>7895</v>
      </c>
      <c r="F1100" s="28" t="s">
        <v>7896</v>
      </c>
      <c r="G1100" s="28">
        <v>1</v>
      </c>
    </row>
    <row r="1101" spans="1:7">
      <c r="A1101" s="28">
        <v>305027</v>
      </c>
      <c r="B1101" s="28" t="s">
        <v>7841</v>
      </c>
      <c r="C1101" s="28">
        <v>2</v>
      </c>
      <c r="D1101" s="54" t="s">
        <v>7842</v>
      </c>
      <c r="E1101" s="54" t="s">
        <v>7843</v>
      </c>
      <c r="F1101" s="28" t="s">
        <v>7844</v>
      </c>
      <c r="G1101" s="28">
        <v>1</v>
      </c>
    </row>
    <row r="1102" spans="1:7">
      <c r="A1102" s="28">
        <v>305028</v>
      </c>
      <c r="B1102" s="28" t="s">
        <v>7897</v>
      </c>
      <c r="C1102" s="28">
        <v>2</v>
      </c>
      <c r="D1102" s="54" t="s">
        <v>7898</v>
      </c>
      <c r="E1102" s="54" t="s">
        <v>7899</v>
      </c>
      <c r="F1102" s="28" t="s">
        <v>7900</v>
      </c>
      <c r="G1102" s="28">
        <v>1</v>
      </c>
    </row>
    <row r="1103" spans="1:7">
      <c r="A1103" s="28">
        <v>305029</v>
      </c>
      <c r="B1103" s="28" t="s">
        <v>7901</v>
      </c>
      <c r="C1103" s="28">
        <v>2</v>
      </c>
      <c r="D1103" s="54" t="s">
        <v>7902</v>
      </c>
      <c r="E1103" s="65" t="s">
        <v>7903</v>
      </c>
      <c r="F1103" s="28" t="s">
        <v>7904</v>
      </c>
      <c r="G1103" s="28">
        <v>1</v>
      </c>
    </row>
    <row r="1104" spans="1:7">
      <c r="A1104" s="28">
        <v>305030</v>
      </c>
      <c r="B1104" s="28" t="s">
        <v>7905</v>
      </c>
      <c r="C1104" s="28">
        <v>2</v>
      </c>
      <c r="D1104" s="54" t="s">
        <v>7906</v>
      </c>
      <c r="E1104" s="65" t="s">
        <v>7907</v>
      </c>
      <c r="F1104" s="28" t="s">
        <v>7908</v>
      </c>
      <c r="G1104" s="28">
        <v>1</v>
      </c>
    </row>
    <row r="1105" spans="1:7">
      <c r="A1105" s="28">
        <v>305031</v>
      </c>
      <c r="B1105" s="28" t="s">
        <v>7905</v>
      </c>
      <c r="C1105" s="28">
        <v>2</v>
      </c>
      <c r="D1105" s="54" t="s">
        <v>7909</v>
      </c>
      <c r="E1105" s="65" t="s">
        <v>7910</v>
      </c>
      <c r="F1105" s="28" t="s">
        <v>7908</v>
      </c>
      <c r="G1105" s="28">
        <v>1</v>
      </c>
    </row>
    <row r="1106" spans="1:7">
      <c r="A1106" s="28">
        <v>305032</v>
      </c>
      <c r="B1106" s="28" t="s">
        <v>7905</v>
      </c>
      <c r="C1106" s="28">
        <v>2</v>
      </c>
      <c r="D1106" s="54" t="s">
        <v>7911</v>
      </c>
      <c r="E1106" s="65" t="s">
        <v>7912</v>
      </c>
      <c r="F1106" s="28" t="s">
        <v>7908</v>
      </c>
      <c r="G1106" s="28">
        <v>1</v>
      </c>
    </row>
    <row r="1107" spans="1:7">
      <c r="A1107" s="28">
        <v>305033</v>
      </c>
      <c r="B1107" s="28" t="s">
        <v>7905</v>
      </c>
      <c r="C1107" s="28">
        <v>2</v>
      </c>
      <c r="D1107" s="54" t="s">
        <v>7913</v>
      </c>
      <c r="E1107" s="64" t="s">
        <v>7914</v>
      </c>
      <c r="F1107" s="28" t="s">
        <v>7908</v>
      </c>
      <c r="G1107" s="28">
        <v>1</v>
      </c>
    </row>
    <row r="1108" spans="1:7">
      <c r="A1108" s="28">
        <v>305034</v>
      </c>
      <c r="B1108" s="28" t="s">
        <v>7915</v>
      </c>
      <c r="C1108" s="28">
        <v>2</v>
      </c>
      <c r="D1108" s="28" t="s">
        <v>7916</v>
      </c>
      <c r="E1108" s="64" t="s">
        <v>7917</v>
      </c>
      <c r="F1108" s="28" t="s">
        <v>7918</v>
      </c>
      <c r="G1108" s="28">
        <v>1</v>
      </c>
    </row>
    <row r="1109" spans="1:7">
      <c r="A1109" s="28">
        <v>305035</v>
      </c>
      <c r="B1109" s="28" t="s">
        <v>7919</v>
      </c>
      <c r="C1109" s="28">
        <v>2</v>
      </c>
      <c r="D1109" s="28" t="s">
        <v>7916</v>
      </c>
      <c r="E1109" s="54" t="s">
        <v>7917</v>
      </c>
      <c r="F1109" s="28" t="s">
        <v>7920</v>
      </c>
      <c r="G1109" s="28">
        <v>1</v>
      </c>
    </row>
    <row r="1110" spans="1:7">
      <c r="A1110" s="28">
        <v>305036</v>
      </c>
      <c r="B1110" s="28" t="s">
        <v>7921</v>
      </c>
      <c r="C1110" s="28">
        <v>2</v>
      </c>
      <c r="D1110" s="28" t="s">
        <v>7916</v>
      </c>
      <c r="E1110" s="64" t="s">
        <v>7917</v>
      </c>
      <c r="F1110" s="28" t="s">
        <v>7922</v>
      </c>
      <c r="G1110" s="28">
        <v>1</v>
      </c>
    </row>
    <row r="1111" spans="1:7">
      <c r="A1111" s="28">
        <v>305037</v>
      </c>
      <c r="B1111" s="28" t="s">
        <v>7923</v>
      </c>
      <c r="C1111" s="28">
        <v>2</v>
      </c>
      <c r="D1111" s="28" t="s">
        <v>7916</v>
      </c>
      <c r="E1111" s="64" t="s">
        <v>7917</v>
      </c>
      <c r="F1111" s="28" t="s">
        <v>7924</v>
      </c>
      <c r="G1111" s="28">
        <v>1</v>
      </c>
    </row>
    <row r="1112" spans="1:7">
      <c r="A1112" s="28">
        <v>305038</v>
      </c>
      <c r="B1112" s="28" t="s">
        <v>7925</v>
      </c>
      <c r="C1112" s="28">
        <v>2</v>
      </c>
      <c r="D1112" s="28" t="s">
        <v>7916</v>
      </c>
      <c r="E1112" s="64" t="s">
        <v>7917</v>
      </c>
      <c r="F1112" s="28" t="s">
        <v>7926</v>
      </c>
      <c r="G1112" s="28">
        <v>1</v>
      </c>
    </row>
    <row r="1113" spans="1:7">
      <c r="A1113" s="28">
        <v>306001</v>
      </c>
      <c r="B1113" s="28" t="s">
        <v>7927</v>
      </c>
      <c r="C1113" s="28">
        <v>2</v>
      </c>
      <c r="D1113" s="28" t="s">
        <v>7928</v>
      </c>
      <c r="E1113" s="65" t="s">
        <v>7929</v>
      </c>
      <c r="F1113" s="28" t="s">
        <v>7690</v>
      </c>
      <c r="G1113" s="28">
        <v>1</v>
      </c>
    </row>
    <row r="1114" spans="1:7">
      <c r="A1114" s="28">
        <v>306002</v>
      </c>
      <c r="B1114" s="28" t="s">
        <v>7930</v>
      </c>
      <c r="C1114" s="28">
        <v>2</v>
      </c>
      <c r="D1114" s="28" t="s">
        <v>7931</v>
      </c>
      <c r="E1114" s="64" t="s">
        <v>7932</v>
      </c>
      <c r="F1114" s="28" t="s">
        <v>7690</v>
      </c>
      <c r="G1114" s="28">
        <v>1</v>
      </c>
    </row>
    <row r="1115" spans="1:7">
      <c r="A1115" s="28">
        <v>306003</v>
      </c>
      <c r="B1115" s="28" t="s">
        <v>7933</v>
      </c>
      <c r="C1115" s="28">
        <v>2</v>
      </c>
      <c r="D1115" s="28" t="s">
        <v>7934</v>
      </c>
      <c r="E1115" s="54" t="s">
        <v>7935</v>
      </c>
      <c r="F1115" s="28" t="s">
        <v>7687</v>
      </c>
      <c r="G1115" s="28">
        <v>1</v>
      </c>
    </row>
    <row r="1116" spans="1:7">
      <c r="A1116" s="28">
        <v>306004</v>
      </c>
      <c r="B1116" s="28" t="s">
        <v>7936</v>
      </c>
      <c r="C1116" s="28">
        <v>2</v>
      </c>
      <c r="D1116" s="28" t="s">
        <v>7937</v>
      </c>
      <c r="E1116" s="54" t="s">
        <v>7938</v>
      </c>
      <c r="F1116" s="28" t="s">
        <v>7687</v>
      </c>
      <c r="G1116" s="28">
        <v>1</v>
      </c>
    </row>
    <row r="1117" spans="1:7">
      <c r="A1117" s="28">
        <v>306005</v>
      </c>
      <c r="B1117" s="28" t="s">
        <v>7939</v>
      </c>
      <c r="C1117" s="28">
        <v>2</v>
      </c>
      <c r="D1117" s="28" t="s">
        <v>7940</v>
      </c>
      <c r="E1117" s="54" t="s">
        <v>7941</v>
      </c>
      <c r="F1117" s="28" t="s">
        <v>7690</v>
      </c>
      <c r="G1117" s="28">
        <v>1</v>
      </c>
    </row>
    <row r="1118" spans="1:7">
      <c r="A1118" s="28">
        <v>306006</v>
      </c>
      <c r="B1118" s="28" t="s">
        <v>7942</v>
      </c>
      <c r="C1118" s="28">
        <v>2</v>
      </c>
      <c r="D1118" s="28" t="s">
        <v>7943</v>
      </c>
      <c r="E1118" s="64" t="s">
        <v>7944</v>
      </c>
      <c r="F1118" s="28" t="s">
        <v>7690</v>
      </c>
      <c r="G1118" s="28">
        <v>1</v>
      </c>
    </row>
    <row r="1119" spans="1:7">
      <c r="A1119" s="28">
        <v>306010</v>
      </c>
      <c r="B1119" s="28" t="s">
        <v>7945</v>
      </c>
      <c r="C1119" s="28">
        <v>2</v>
      </c>
      <c r="D1119" s="28" t="s">
        <v>7946</v>
      </c>
      <c r="E1119" s="64" t="s"/>
      <c r="F1119" s="28" t="s">
        <v>7690</v>
      </c>
      <c r="G1119" s="28">
        <v>1</v>
      </c>
    </row>
    <row r="1120" spans="1:7">
      <c r="A1120" s="28">
        <v>306011</v>
      </c>
      <c r="B1120" s="28" t="s">
        <v>7947</v>
      </c>
      <c r="C1120" s="28">
        <v>2</v>
      </c>
      <c r="D1120" s="28" t="s">
        <v>7948</v>
      </c>
      <c r="E1120" s="54" t="s"/>
      <c r="F1120" s="28" t="s">
        <v>7690</v>
      </c>
      <c r="G1120" s="28">
        <v>1</v>
      </c>
    </row>
    <row r="1121" spans="1:7">
      <c r="A1121" s="28">
        <v>306013</v>
      </c>
      <c r="B1121" s="28" t="s">
        <v>7949</v>
      </c>
      <c r="C1121" s="28">
        <v>2</v>
      </c>
      <c r="D1121" s="28" t="s">
        <v>7950</v>
      </c>
      <c r="E1121" s="28" t="s"/>
      <c r="F1121" s="28" t="s">
        <v>7690</v>
      </c>
      <c r="G1121" s="28">
        <v>1</v>
      </c>
    </row>
    <row r="1122" spans="1:7">
      <c r="A1122" s="28">
        <v>306014</v>
      </c>
      <c r="B1122" s="28" t="s">
        <v>7951</v>
      </c>
      <c r="C1122" s="28">
        <v>2</v>
      </c>
      <c r="D1122" s="28" t="s">
        <v>7952</v>
      </c>
      <c r="E1122" s="28" t="s"/>
      <c r="F1122" s="28" t="s">
        <v>7690</v>
      </c>
      <c r="G1122" s="28">
        <v>1</v>
      </c>
    </row>
    <row r="1123" spans="1:7">
      <c r="A1123" s="28">
        <v>306015</v>
      </c>
      <c r="B1123" s="28" t="s">
        <v>7953</v>
      </c>
      <c r="C1123" s="28">
        <v>2</v>
      </c>
      <c r="D1123" s="28" t="s">
        <v>7954</v>
      </c>
      <c r="E1123" s="28" t="s"/>
      <c r="F1123" s="28" t="s">
        <v>7690</v>
      </c>
      <c r="G1123" s="28">
        <v>1</v>
      </c>
    </row>
    <row r="1124" spans="1:7">
      <c r="A1124" s="28">
        <v>306016</v>
      </c>
      <c r="B1124" s="28" t="s">
        <v>7955</v>
      </c>
      <c r="C1124" s="28">
        <v>2</v>
      </c>
      <c r="D1124" s="28" t="s">
        <v>7956</v>
      </c>
      <c r="E1124" s="54" t="s"/>
      <c r="F1124" s="28" t="s">
        <v>7690</v>
      </c>
      <c r="G1124" s="28">
        <v>1</v>
      </c>
    </row>
    <row r="1125" spans="1:7">
      <c r="A1125" s="28">
        <v>306017</v>
      </c>
      <c r="B1125" s="28" t="s">
        <v>7957</v>
      </c>
      <c r="C1125" s="54">
        <v>2</v>
      </c>
      <c r="D1125" s="28" t="s"/>
      <c r="E1125" s="54" t="s">
        <v>7958</v>
      </c>
      <c r="F1125" s="28" t="s">
        <v>7690</v>
      </c>
      <c r="G1125" s="28">
        <v>1</v>
      </c>
    </row>
    <row r="1126" spans="1:7">
      <c r="A1126" s="28">
        <v>306023</v>
      </c>
      <c r="B1126" s="28" t="s">
        <v>7959</v>
      </c>
      <c r="C1126" s="28">
        <v>2</v>
      </c>
      <c r="D1126" s="28" t="s">
        <v>7960</v>
      </c>
      <c r="E1126" s="64" t="s"/>
      <c r="F1126" s="28" t="s">
        <v>7690</v>
      </c>
      <c r="G1126" s="28">
        <v>1</v>
      </c>
    </row>
    <row r="1127" spans="1:7">
      <c r="A1127" s="28">
        <v>306024</v>
      </c>
      <c r="B1127" s="28" t="s">
        <v>7961</v>
      </c>
      <c r="C1127" s="28">
        <v>2</v>
      </c>
      <c r="D1127" s="28" t="s">
        <v>7962</v>
      </c>
      <c r="E1127" s="64" t="s"/>
      <c r="F1127" s="28" t="s">
        <v>7690</v>
      </c>
      <c r="G1127" s="28">
        <v>1</v>
      </c>
    </row>
    <row r="1128" spans="1:7">
      <c r="A1128" s="28">
        <v>306025</v>
      </c>
      <c r="B1128" s="28" t="s">
        <v>7963</v>
      </c>
      <c r="C1128" s="28">
        <v>2</v>
      </c>
      <c r="D1128" s="28" t="s">
        <v>7964</v>
      </c>
      <c r="E1128" s="64" t="s"/>
      <c r="F1128" s="28" t="s">
        <v>7690</v>
      </c>
      <c r="G1128" s="28">
        <v>1</v>
      </c>
    </row>
    <row r="1129" spans="1:7">
      <c r="A1129" s="28">
        <v>306026</v>
      </c>
      <c r="B1129" s="28" t="s">
        <v>7965</v>
      </c>
      <c r="C1129" s="28">
        <v>2</v>
      </c>
      <c r="D1129" s="28" t="s">
        <v>7966</v>
      </c>
      <c r="E1129" s="28" t="s"/>
      <c r="F1129" s="28" t="s">
        <v>7690</v>
      </c>
      <c r="G1129" s="28">
        <v>1</v>
      </c>
    </row>
    <row r="1130" spans="1:7">
      <c r="A1130" s="28">
        <v>306027</v>
      </c>
      <c r="B1130" s="28" t="s">
        <v>7967</v>
      </c>
      <c r="C1130" s="28">
        <v>2</v>
      </c>
      <c r="D1130" s="28" t="s">
        <v>7968</v>
      </c>
      <c r="E1130" s="28" t="s"/>
      <c r="F1130" s="28" t="s">
        <v>7690</v>
      </c>
      <c r="G1130" s="28">
        <v>1</v>
      </c>
    </row>
    <row r="1131" spans="1:7">
      <c r="A1131" s="28">
        <v>306028</v>
      </c>
      <c r="B1131" s="28" t="s">
        <v>7969</v>
      </c>
      <c r="C1131" s="28">
        <v>2</v>
      </c>
      <c r="D1131" s="28" t="s">
        <v>7886</v>
      </c>
      <c r="E1131" s="28" t="s">
        <v>7970</v>
      </c>
      <c r="F1131" s="28" t="s">
        <v>7690</v>
      </c>
      <c r="G1131" s="28">
        <v>1</v>
      </c>
    </row>
    <row r="1132" spans="1:7">
      <c r="A1132" s="28">
        <v>306029</v>
      </c>
      <c r="B1132" s="28" t="s">
        <v>7971</v>
      </c>
      <c r="C1132" s="28">
        <v>2</v>
      </c>
      <c r="D1132" s="28" t="s"/>
      <c r="E1132" s="28" t="s">
        <v>7972</v>
      </c>
      <c r="F1132" s="28" t="s">
        <v>7690</v>
      </c>
      <c r="G1132" s="28">
        <v>1</v>
      </c>
    </row>
    <row r="1133" spans="1:7">
      <c r="A1133" s="28">
        <v>306030</v>
      </c>
      <c r="B1133" s="28" t="s">
        <v>7973</v>
      </c>
      <c r="C1133" s="28">
        <v>2</v>
      </c>
      <c r="D1133" s="28" t="s"/>
      <c r="E1133" s="28" t="s">
        <v>7974</v>
      </c>
      <c r="F1133" s="28" t="s">
        <v>7690</v>
      </c>
      <c r="G1133" s="28">
        <v>1</v>
      </c>
    </row>
    <row r="1134" spans="1:7">
      <c r="A1134" s="28">
        <v>306031</v>
      </c>
      <c r="B1134" s="54" t="s">
        <v>7975</v>
      </c>
      <c r="C1134" s="28">
        <v>2</v>
      </c>
      <c r="D1134" s="54" t="s">
        <v>7976</v>
      </c>
      <c r="E1134" s="28" t="s"/>
      <c r="F1134" s="28" t="s">
        <v>7690</v>
      </c>
      <c r="G1134" s="28">
        <v>1</v>
      </c>
    </row>
    <row r="1135" spans="1:7">
      <c r="A1135" s="28">
        <v>306032</v>
      </c>
      <c r="B1135" s="54" t="s">
        <v>7975</v>
      </c>
      <c r="C1135" s="28">
        <v>2</v>
      </c>
      <c r="D1135" s="54" t="s">
        <v>7977</v>
      </c>
      <c r="E1135" s="28" t="s"/>
      <c r="F1135" s="28" t="s">
        <v>7690</v>
      </c>
      <c r="G1135" s="28">
        <v>1</v>
      </c>
    </row>
    <row r="1136" spans="1:7">
      <c r="A1136" s="28">
        <v>306056</v>
      </c>
      <c r="B1136" s="28" t="s">
        <v>7978</v>
      </c>
      <c r="C1136" s="28">
        <v>3</v>
      </c>
      <c r="D1136" s="54" t="s">
        <v>7979</v>
      </c>
      <c r="E1136" s="28" t="s">
        <v>7980</v>
      </c>
      <c r="F1136" s="28" t="s">
        <v>7981</v>
      </c>
      <c r="G1136" s="28">
        <v>3</v>
      </c>
    </row>
    <row r="1137" spans="1:7">
      <c r="A1137" s="28">
        <v>306057</v>
      </c>
      <c r="B1137" s="28" t="s">
        <v>7982</v>
      </c>
      <c r="C1137" s="28">
        <v>2</v>
      </c>
      <c r="D1137" s="54" t="s"/>
      <c r="E1137" s="66" t="s"/>
      <c r="F1137" s="28" t="s">
        <v>6101</v>
      </c>
      <c r="G1137" s="28">
        <v>9999999</v>
      </c>
    </row>
    <row r="1138" spans="1:7">
      <c r="A1138" s="28">
        <v>307001</v>
      </c>
      <c r="B1138" s="28" t="s">
        <v>7983</v>
      </c>
      <c r="C1138" s="28">
        <v>3</v>
      </c>
      <c r="D1138" s="54" t="s">
        <v>7984</v>
      </c>
      <c r="E1138" s="28" t="s">
        <v>7985</v>
      </c>
      <c r="F1138" s="28" t="s">
        <v>7986</v>
      </c>
      <c r="G1138" s="28">
        <v>4</v>
      </c>
    </row>
    <row r="1139" spans="1:7">
      <c r="A1139" s="28">
        <v>307002</v>
      </c>
      <c r="B1139" s="28" t="s">
        <v>7987</v>
      </c>
      <c r="C1139" s="28">
        <v>3</v>
      </c>
      <c r="D1139" s="54" t="s">
        <v>7988</v>
      </c>
      <c r="E1139" s="54" t="s">
        <v>7989</v>
      </c>
      <c r="F1139" s="28" t="s">
        <v>6616</v>
      </c>
      <c r="G1139" s="28">
        <v>4</v>
      </c>
    </row>
    <row r="1140" spans="1:7">
      <c r="A1140" s="28">
        <v>307003</v>
      </c>
      <c r="B1140" s="28" t="s">
        <v>7990</v>
      </c>
      <c r="C1140" s="28">
        <v>3</v>
      </c>
      <c r="D1140" s="54" t="s">
        <v>7991</v>
      </c>
      <c r="E1140" s="54" t="s">
        <v>7992</v>
      </c>
      <c r="F1140" s="28" t="s">
        <v>6617</v>
      </c>
      <c r="G1140" s="28">
        <v>4</v>
      </c>
    </row>
    <row r="1141" spans="1:7">
      <c r="A1141" s="28">
        <v>307004</v>
      </c>
      <c r="B1141" s="28" t="s">
        <v>7993</v>
      </c>
      <c r="C1141" s="28">
        <v>3</v>
      </c>
      <c r="D1141" s="54" t="s">
        <v>7994</v>
      </c>
      <c r="E1141" s="28" t="s">
        <v>7995</v>
      </c>
      <c r="F1141" s="28" t="s">
        <v>7996</v>
      </c>
      <c r="G1141" s="28">
        <v>4</v>
      </c>
    </row>
    <row r="1142" spans="1:7">
      <c r="A1142" s="28">
        <v>310104</v>
      </c>
      <c r="B1142" s="28" t="s">
        <v>7951</v>
      </c>
      <c r="C1142" s="28">
        <v>2</v>
      </c>
      <c r="D1142" s="54" t="s">
        <v>7952</v>
      </c>
      <c r="E1142" s="54" t="s"/>
      <c r="F1142" s="28" t="s">
        <v>7690</v>
      </c>
      <c r="G1142" s="28">
        <v>1</v>
      </c>
    </row>
    <row r="1143" spans="1:7">
      <c r="A1143" s="28">
        <v>310105</v>
      </c>
      <c r="B1143" s="28" t="s">
        <v>7953</v>
      </c>
      <c r="C1143" s="28">
        <v>2</v>
      </c>
      <c r="D1143" s="54" t="s">
        <v>7954</v>
      </c>
      <c r="E1143" s="54" t="s"/>
      <c r="F1143" s="28" t="s">
        <v>7690</v>
      </c>
      <c r="G1143" s="28">
        <v>1</v>
      </c>
    </row>
    <row r="1144" spans="1:7">
      <c r="A1144" s="28">
        <v>310106</v>
      </c>
      <c r="B1144" s="28" t="s">
        <v>7955</v>
      </c>
      <c r="C1144" s="28">
        <v>2</v>
      </c>
      <c r="D1144" s="54" t="s">
        <v>7956</v>
      </c>
      <c r="E1144" s="28" t="s"/>
      <c r="F1144" s="28" t="s">
        <v>7690</v>
      </c>
      <c r="G1144" s="28">
        <v>1</v>
      </c>
    </row>
    <row r="1145" spans="1:7">
      <c r="A1145" s="28">
        <v>400001</v>
      </c>
      <c r="B1145" s="28" t="s">
        <v>7997</v>
      </c>
      <c r="C1145" s="28">
        <v>2</v>
      </c>
      <c r="D1145" s="54" t="s">
        <v>7998</v>
      </c>
      <c r="E1145" s="28" t="s">
        <v>7999</v>
      </c>
      <c r="F1145" s="28" t="s">
        <v>8000</v>
      </c>
      <c r="G1145" s="28">
        <v>120</v>
      </c>
    </row>
    <row r="1146" spans="1:7">
      <c r="A1146" s="28">
        <v>400002</v>
      </c>
      <c r="B1146" s="28" t="s">
        <v>8001</v>
      </c>
      <c r="C1146" s="28">
        <v>3</v>
      </c>
      <c r="D1146" s="54" t="s">
        <v>8002</v>
      </c>
      <c r="E1146" s="54" t="s">
        <v>7999</v>
      </c>
      <c r="F1146" s="28" t="s">
        <v>8003</v>
      </c>
      <c r="G1146" s="28">
        <v>120</v>
      </c>
    </row>
    <row r="1147" spans="1:7">
      <c r="A1147" s="28">
        <v>400003</v>
      </c>
      <c r="B1147" s="28" t="s">
        <v>8004</v>
      </c>
      <c r="C1147" s="28">
        <v>2</v>
      </c>
      <c r="D1147" s="54" t="s">
        <v>8005</v>
      </c>
      <c r="E1147" s="28" t="s">
        <v>8006</v>
      </c>
      <c r="F1147" s="28" t="s">
        <v>8007</v>
      </c>
      <c r="G1147" s="28">
        <v>120</v>
      </c>
    </row>
    <row r="1148" spans="1:7">
      <c r="A1148" s="28">
        <v>400004</v>
      </c>
      <c r="B1148" s="28" t="s">
        <v>8008</v>
      </c>
      <c r="C1148" s="28">
        <v>3</v>
      </c>
      <c r="D1148" s="54" t="s">
        <v>8009</v>
      </c>
      <c r="E1148" s="28" t="s">
        <v>8010</v>
      </c>
      <c r="F1148" s="28" t="s">
        <v>8011</v>
      </c>
      <c r="G1148" s="28">
        <v>120</v>
      </c>
    </row>
    <row r="1149" spans="1:7">
      <c r="A1149" s="28">
        <v>400005</v>
      </c>
      <c r="B1149" s="28" t="s">
        <v>8012</v>
      </c>
      <c r="C1149" s="28">
        <v>2</v>
      </c>
      <c r="D1149" s="54" t="s">
        <v>8013</v>
      </c>
      <c r="E1149" s="28" t="s">
        <v>8014</v>
      </c>
      <c r="F1149" s="28" t="s">
        <v>8015</v>
      </c>
      <c r="G1149" s="28">
        <v>120</v>
      </c>
    </row>
    <row r="1150" spans="1:7">
      <c r="A1150" s="28">
        <v>400006</v>
      </c>
      <c r="B1150" s="28" t="s">
        <v>8016</v>
      </c>
      <c r="C1150" s="28">
        <v>3</v>
      </c>
      <c r="D1150" s="54" t="s">
        <v>8017</v>
      </c>
      <c r="E1150" s="28" t="s">
        <v>8018</v>
      </c>
      <c r="F1150" s="28" t="s">
        <v>8019</v>
      </c>
      <c r="G1150" s="28">
        <v>120</v>
      </c>
    </row>
    <row r="1151" spans="1:7">
      <c r="A1151" s="28">
        <v>400007</v>
      </c>
      <c r="B1151" s="28" t="s">
        <v>8020</v>
      </c>
      <c r="C1151" s="28">
        <v>2</v>
      </c>
      <c r="D1151" s="54" t="s">
        <v>8021</v>
      </c>
      <c r="E1151" s="28" t="s">
        <v>8022</v>
      </c>
      <c r="F1151" s="28" t="s">
        <v>8023</v>
      </c>
      <c r="G1151" s="28">
        <v>120</v>
      </c>
    </row>
    <row r="1152" spans="1:7">
      <c r="A1152" s="28">
        <v>400008</v>
      </c>
      <c r="B1152" s="28" t="s">
        <v>8024</v>
      </c>
      <c r="C1152" s="28">
        <v>2</v>
      </c>
      <c r="D1152" s="54" t="s">
        <v>8025</v>
      </c>
      <c r="E1152" s="28" t="s">
        <v>8022</v>
      </c>
      <c r="F1152" s="28" t="s">
        <v>8026</v>
      </c>
      <c r="G1152" s="28">
        <v>120</v>
      </c>
    </row>
    <row r="1153" spans="1:7">
      <c r="A1153" s="28">
        <v>400009</v>
      </c>
      <c r="B1153" s="28" t="s">
        <v>8027</v>
      </c>
      <c r="C1153" s="28">
        <v>3</v>
      </c>
      <c r="D1153" s="54" t="s">
        <v>8028</v>
      </c>
      <c r="E1153" s="54" t="s">
        <v>8029</v>
      </c>
      <c r="F1153" s="28" t="s">
        <v>8030</v>
      </c>
      <c r="G1153" s="28">
        <v>120</v>
      </c>
    </row>
    <row r="1154" spans="1:7">
      <c r="A1154" s="28">
        <v>400010</v>
      </c>
      <c r="B1154" s="28" t="s">
        <v>8031</v>
      </c>
      <c r="C1154" s="28">
        <v>2</v>
      </c>
      <c r="D1154" s="54" t="s">
        <v>8032</v>
      </c>
      <c r="E1154" s="54" t="s">
        <v>8029</v>
      </c>
      <c r="F1154" s="28" t="s">
        <v>8033</v>
      </c>
      <c r="G1154" s="28">
        <v>120</v>
      </c>
    </row>
    <row r="1155" spans="1:7">
      <c r="A1155" s="28">
        <v>400011</v>
      </c>
      <c r="B1155" s="28" t="s">
        <v>8034</v>
      </c>
      <c r="C1155" s="28">
        <v>3</v>
      </c>
      <c r="D1155" s="54" t="s">
        <v>8035</v>
      </c>
      <c r="E1155" s="54" t="s">
        <v>8036</v>
      </c>
      <c r="F1155" s="28" t="s">
        <v>8037</v>
      </c>
      <c r="G1155" s="28">
        <v>120</v>
      </c>
    </row>
    <row r="1156" spans="1:7">
      <c r="A1156" s="28">
        <v>400012</v>
      </c>
      <c r="B1156" s="28" t="s">
        <v>8038</v>
      </c>
      <c r="C1156" s="28">
        <v>2</v>
      </c>
      <c r="D1156" s="54" t="s">
        <v>8039</v>
      </c>
      <c r="E1156" s="64" t="s">
        <v>8036</v>
      </c>
      <c r="F1156" s="28" t="s">
        <v>8040</v>
      </c>
      <c r="G1156" s="28">
        <v>120</v>
      </c>
    </row>
    <row r="1157" spans="1:7">
      <c r="A1157" s="28">
        <v>400013</v>
      </c>
      <c r="B1157" s="28" t="s">
        <v>8041</v>
      </c>
      <c r="C1157" s="28">
        <v>3</v>
      </c>
      <c r="D1157" s="54" t="s">
        <v>8042</v>
      </c>
      <c r="E1157" s="64" t="s">
        <v>8043</v>
      </c>
      <c r="F1157" s="28" t="s">
        <v>8044</v>
      </c>
      <c r="G1157" s="28">
        <v>120</v>
      </c>
    </row>
    <row r="1158" spans="1:7">
      <c r="A1158" s="28">
        <v>400014</v>
      </c>
      <c r="B1158" s="54" t="s">
        <v>8045</v>
      </c>
      <c r="C1158" s="28">
        <v>4</v>
      </c>
      <c r="D1158" s="54" t="s">
        <v>7513</v>
      </c>
      <c r="E1158" s="54" t="s">
        <v>8046</v>
      </c>
      <c r="F1158" s="28" t="s">
        <v>8047</v>
      </c>
      <c r="G1158" s="28">
        <v>120</v>
      </c>
    </row>
    <row r="1159" spans="1:7">
      <c r="A1159" s="28">
        <v>400015</v>
      </c>
      <c r="B1159" s="28" t="s">
        <v>8048</v>
      </c>
      <c r="C1159" s="28">
        <v>3</v>
      </c>
      <c r="D1159" s="54" t="s">
        <v>8049</v>
      </c>
      <c r="E1159" s="54" t="s">
        <v>8050</v>
      </c>
      <c r="F1159" s="28" t="s">
        <v>8051</v>
      </c>
      <c r="G1159" s="28">
        <v>120</v>
      </c>
    </row>
    <row r="1160" spans="1:7">
      <c r="A1160" s="28">
        <v>400016</v>
      </c>
      <c r="B1160" s="28" t="s">
        <v>8052</v>
      </c>
      <c r="C1160" s="28">
        <v>2</v>
      </c>
      <c r="D1160" s="54" t="s">
        <v>8053</v>
      </c>
      <c r="E1160" s="64" t="s">
        <v>8054</v>
      </c>
      <c r="F1160" s="28" t="s">
        <v>8055</v>
      </c>
      <c r="G1160" s="28">
        <v>120</v>
      </c>
    </row>
    <row r="1161" spans="1:7">
      <c r="A1161" s="28">
        <v>400017</v>
      </c>
      <c r="B1161" s="28" t="s">
        <v>8056</v>
      </c>
      <c r="C1161" s="54">
        <v>3</v>
      </c>
      <c r="D1161" s="54" t="s">
        <v>8057</v>
      </c>
      <c r="E1161" s="54" t="s">
        <v>8058</v>
      </c>
      <c r="F1161" s="28" t="s">
        <v>8059</v>
      </c>
      <c r="G1161" s="28">
        <v>120</v>
      </c>
    </row>
    <row r="1162" spans="1:7">
      <c r="A1162" s="28">
        <v>400018</v>
      </c>
      <c r="B1162" s="28" t="s">
        <v>8060</v>
      </c>
      <c r="C1162" s="28">
        <v>2</v>
      </c>
      <c r="D1162" s="54" t="s">
        <v>8061</v>
      </c>
      <c r="E1162" s="54" t="s">
        <v>8062</v>
      </c>
      <c r="F1162" s="28" t="s">
        <v>8063</v>
      </c>
      <c r="G1162" s="28">
        <v>120</v>
      </c>
    </row>
    <row r="1163" spans="1:7">
      <c r="A1163" s="28">
        <v>400019</v>
      </c>
      <c r="B1163" s="28" t="s">
        <v>8064</v>
      </c>
      <c r="C1163" s="28">
        <v>3</v>
      </c>
      <c r="D1163" s="54" t="s">
        <v>8065</v>
      </c>
      <c r="E1163" s="64" t="s">
        <v>8066</v>
      </c>
      <c r="F1163" s="28" t="s">
        <v>8067</v>
      </c>
      <c r="G1163" s="28">
        <v>120</v>
      </c>
    </row>
    <row r="1164" spans="1:7">
      <c r="A1164" s="28">
        <v>400020</v>
      </c>
      <c r="B1164" s="28" t="s">
        <v>8068</v>
      </c>
      <c r="C1164" s="28">
        <v>2</v>
      </c>
      <c r="D1164" s="54" t="s">
        <v>8069</v>
      </c>
      <c r="E1164" s="54" t="s">
        <v>8066</v>
      </c>
      <c r="F1164" s="28" t="s">
        <v>8070</v>
      </c>
      <c r="G1164" s="28">
        <v>120</v>
      </c>
    </row>
    <row r="1165" spans="1:7">
      <c r="A1165" s="28">
        <v>400021</v>
      </c>
      <c r="B1165" s="28" t="s">
        <v>8071</v>
      </c>
      <c r="C1165" s="54">
        <v>2</v>
      </c>
      <c r="D1165" s="54" t="s">
        <v>8072</v>
      </c>
      <c r="E1165" s="54" t="s">
        <v>8073</v>
      </c>
      <c r="F1165" s="28" t="s">
        <v>8074</v>
      </c>
      <c r="G1165" s="28">
        <v>120</v>
      </c>
    </row>
    <row r="1166" spans="1:7">
      <c r="A1166" s="28">
        <v>400022</v>
      </c>
      <c r="B1166" s="28" t="s">
        <v>8075</v>
      </c>
      <c r="C1166" s="28">
        <v>2</v>
      </c>
      <c r="D1166" s="54" t="s">
        <v>8076</v>
      </c>
      <c r="E1166" s="54" t="s">
        <v>8077</v>
      </c>
      <c r="F1166" s="28" t="s">
        <v>8078</v>
      </c>
      <c r="G1166" s="28">
        <v>120</v>
      </c>
    </row>
    <row r="1167" spans="1:7">
      <c r="A1167" s="28">
        <v>400023</v>
      </c>
      <c r="B1167" s="28" t="s">
        <v>8079</v>
      </c>
      <c r="C1167" s="28">
        <v>3</v>
      </c>
      <c r="D1167" s="54" t="s">
        <v>8079</v>
      </c>
      <c r="E1167" s="54" t="s">
        <v>8079</v>
      </c>
      <c r="F1167" s="28" t="s">
        <v>8074</v>
      </c>
      <c r="G1167" s="28">
        <v>120</v>
      </c>
    </row>
    <row r="1168" spans="1:7">
      <c r="A1168" s="28">
        <v>400024</v>
      </c>
      <c r="B1168" s="28" t="s">
        <v>8079</v>
      </c>
      <c r="C1168" s="28">
        <v>2</v>
      </c>
      <c r="D1168" s="54" t="s">
        <v>8079</v>
      </c>
      <c r="E1168" s="54" t="s">
        <v>8079</v>
      </c>
      <c r="F1168" s="28" t="s">
        <v>8074</v>
      </c>
      <c r="G1168" s="28">
        <v>120</v>
      </c>
    </row>
    <row r="1169" spans="1:7">
      <c r="A1169" s="28">
        <v>400025</v>
      </c>
      <c r="B1169" s="28" t="s">
        <v>8080</v>
      </c>
      <c r="C1169" s="28">
        <v>2</v>
      </c>
      <c r="D1169" s="54" t="s">
        <v>7511</v>
      </c>
      <c r="E1169" s="54" t="s">
        <v>8081</v>
      </c>
      <c r="F1169" s="28" t="s">
        <v>8044</v>
      </c>
      <c r="G1169" s="28">
        <v>120</v>
      </c>
    </row>
    <row r="1170" spans="1:7">
      <c r="A1170" s="28">
        <v>400026</v>
      </c>
      <c r="B1170" s="28" t="s">
        <v>8079</v>
      </c>
      <c r="C1170" s="28">
        <v>3</v>
      </c>
      <c r="D1170" s="54" t="s">
        <v>8079</v>
      </c>
      <c r="E1170" s="65" t="s">
        <v>8079</v>
      </c>
      <c r="F1170" s="28" t="s"/>
      <c r="G1170" s="28">
        <v>120</v>
      </c>
    </row>
    <row r="1171" spans="1:7">
      <c r="A1171" s="28">
        <v>400027</v>
      </c>
      <c r="B1171" s="28" t="s">
        <v>8082</v>
      </c>
      <c r="C1171" s="28">
        <v>3</v>
      </c>
      <c r="D1171" s="54" t="s">
        <v>8083</v>
      </c>
      <c r="E1171" s="64" t="s">
        <v>8084</v>
      </c>
      <c r="F1171" s="28" t="s">
        <v>8085</v>
      </c>
      <c r="G1171" s="28">
        <v>120</v>
      </c>
    </row>
    <row r="1172" spans="1:7">
      <c r="A1172" s="28">
        <v>400028</v>
      </c>
      <c r="B1172" s="28" t="s">
        <v>8086</v>
      </c>
      <c r="C1172" s="28">
        <v>2</v>
      </c>
      <c r="D1172" s="54" t="s">
        <v>8087</v>
      </c>
      <c r="E1172" s="64" t="s"/>
      <c r="F1172" s="28" t="s">
        <v>8088</v>
      </c>
      <c r="G1172" s="28">
        <v>120</v>
      </c>
    </row>
    <row r="1173" spans="1:7">
      <c r="A1173" s="28">
        <v>400029</v>
      </c>
      <c r="B1173" s="28" t="s">
        <v>8086</v>
      </c>
      <c r="C1173" s="28">
        <v>3</v>
      </c>
      <c r="D1173" s="54" t="s">
        <v>8087</v>
      </c>
      <c r="E1173" s="54" t="s"/>
      <c r="F1173" s="28" t="s">
        <v>8089</v>
      </c>
      <c r="G1173" s="28">
        <v>120</v>
      </c>
    </row>
    <row r="1174" spans="1:7">
      <c r="A1174" s="28">
        <v>400030</v>
      </c>
      <c r="B1174" s="28" t="s">
        <v>8079</v>
      </c>
      <c r="C1174" s="28">
        <v>2</v>
      </c>
      <c r="D1174" s="54" t="s">
        <v>8079</v>
      </c>
      <c r="E1174" s="64" t="s">
        <v>8079</v>
      </c>
      <c r="F1174" s="28" t="s"/>
      <c r="G1174" s="28">
        <v>120</v>
      </c>
    </row>
    <row r="1175" spans="1:7">
      <c r="A1175" s="28">
        <v>400031</v>
      </c>
      <c r="B1175" s="28" t="s">
        <v>8079</v>
      </c>
      <c r="C1175" s="28">
        <v>3</v>
      </c>
      <c r="D1175" s="54" t="s">
        <v>8079</v>
      </c>
      <c r="E1175" s="54" t="s">
        <v>8079</v>
      </c>
      <c r="F1175" s="28" t="s"/>
      <c r="G1175" s="28">
        <v>120</v>
      </c>
    </row>
    <row r="1176" spans="1:7">
      <c r="A1176" s="28">
        <v>400032</v>
      </c>
      <c r="B1176" s="28" t="s">
        <v>8090</v>
      </c>
      <c r="C1176" s="28">
        <v>2</v>
      </c>
      <c r="D1176" s="54" t="s">
        <v>8091</v>
      </c>
      <c r="E1176" s="64" t="s"/>
      <c r="F1176" s="28" t="s">
        <v>8092</v>
      </c>
      <c r="G1176" s="28">
        <v>120</v>
      </c>
    </row>
    <row r="1177" spans="1:7">
      <c r="A1177" s="28">
        <v>400033</v>
      </c>
      <c r="B1177" s="28" t="s">
        <v>8079</v>
      </c>
      <c r="C1177" s="28">
        <v>3</v>
      </c>
      <c r="D1177" s="54" t="s">
        <v>8079</v>
      </c>
      <c r="E1177" s="65" t="s">
        <v>8079</v>
      </c>
      <c r="F1177" s="28" t="s"/>
      <c r="G1177" s="28">
        <v>120</v>
      </c>
    </row>
    <row r="1178" spans="1:7">
      <c r="A1178" s="28">
        <v>400034</v>
      </c>
      <c r="B1178" s="28" t="s">
        <v>8079</v>
      </c>
      <c r="C1178" s="28">
        <v>2</v>
      </c>
      <c r="D1178" s="54" t="s">
        <v>8079</v>
      </c>
      <c r="E1178" s="64" t="s">
        <v>8079</v>
      </c>
      <c r="F1178" s="28" t="s"/>
      <c r="G1178" s="28">
        <v>120</v>
      </c>
    </row>
    <row r="1179" spans="1:7">
      <c r="A1179" s="28">
        <v>400035</v>
      </c>
      <c r="B1179" s="28" t="s">
        <v>8093</v>
      </c>
      <c r="C1179" s="28">
        <v>3</v>
      </c>
      <c r="D1179" s="54" t="s">
        <v>8094</v>
      </c>
      <c r="E1179" s="64" t="s"/>
      <c r="F1179" s="28" t="s"/>
      <c r="G1179" s="28">
        <v>120</v>
      </c>
    </row>
    <row r="1180" spans="1:7">
      <c r="A1180" s="28">
        <v>400036</v>
      </c>
      <c r="B1180" s="28" t="s">
        <v>8079</v>
      </c>
      <c r="C1180" s="28">
        <v>2</v>
      </c>
      <c r="D1180" s="54" t="s">
        <v>8079</v>
      </c>
      <c r="E1180" s="64" t="s">
        <v>8079</v>
      </c>
      <c r="F1180" s="28" t="s"/>
      <c r="G1180" s="28">
        <v>120</v>
      </c>
    </row>
    <row r="1181" spans="1:7">
      <c r="A1181" s="28">
        <v>400037</v>
      </c>
      <c r="B1181" s="28" t="s">
        <v>8079</v>
      </c>
      <c r="C1181" s="28">
        <v>3</v>
      </c>
      <c r="D1181" s="54" t="s">
        <v>8079</v>
      </c>
      <c r="E1181" s="64" t="s">
        <v>8079</v>
      </c>
      <c r="F1181" s="28" t="s"/>
      <c r="G1181" s="28">
        <v>120</v>
      </c>
    </row>
    <row r="1182" spans="1:7">
      <c r="A1182" s="28">
        <v>400038</v>
      </c>
      <c r="B1182" s="28" t="s">
        <v>8079</v>
      </c>
      <c r="C1182" s="28">
        <v>2</v>
      </c>
      <c r="D1182" s="54" t="s">
        <v>8079</v>
      </c>
      <c r="E1182" s="64" t="s">
        <v>8079</v>
      </c>
      <c r="F1182" s="28" t="s"/>
      <c r="G1182" s="28">
        <v>120</v>
      </c>
    </row>
    <row r="1183" spans="1:7">
      <c r="A1183" s="28">
        <v>400039</v>
      </c>
      <c r="B1183" s="28" t="s">
        <v>8079</v>
      </c>
      <c r="C1183" s="28">
        <v>3</v>
      </c>
      <c r="D1183" s="54" t="s">
        <v>8079</v>
      </c>
      <c r="E1183" s="64" t="s">
        <v>8079</v>
      </c>
      <c r="F1183" s="28" t="s"/>
      <c r="G1183" s="28">
        <v>120</v>
      </c>
    </row>
    <row r="1184" spans="1:7">
      <c r="A1184" s="28">
        <v>400040</v>
      </c>
      <c r="B1184" s="28" t="s">
        <v>8095</v>
      </c>
      <c r="C1184" s="28">
        <v>2</v>
      </c>
      <c r="D1184" s="54" t="s">
        <v>8096</v>
      </c>
      <c r="E1184" s="64" t="s">
        <v>8097</v>
      </c>
      <c r="F1184" s="28" t="s">
        <v>8051</v>
      </c>
      <c r="G1184" s="28">
        <v>120</v>
      </c>
    </row>
    <row r="1185" spans="1:7">
      <c r="A1185" s="28">
        <v>400041</v>
      </c>
      <c r="B1185" s="28" t="s">
        <v>8095</v>
      </c>
      <c r="C1185" s="28">
        <v>2</v>
      </c>
      <c r="D1185" s="54" t="s">
        <v>8098</v>
      </c>
      <c r="E1185" s="64" t="s">
        <v>8097</v>
      </c>
      <c r="F1185" s="28" t="s">
        <v>8051</v>
      </c>
      <c r="G1185" s="28">
        <v>120</v>
      </c>
    </row>
    <row r="1186" spans="1:7">
      <c r="A1186" s="28">
        <v>400043</v>
      </c>
      <c r="B1186" s="28" t="s">
        <v>8099</v>
      </c>
      <c r="C1186" s="28">
        <v>3</v>
      </c>
      <c r="D1186" s="54" t="s">
        <v>8100</v>
      </c>
      <c r="E1186" s="64" t="s"/>
      <c r="F1186" s="28" t="s">
        <v>8101</v>
      </c>
      <c r="G1186" s="28">
        <v>120</v>
      </c>
    </row>
    <row r="1187" spans="1:7">
      <c r="A1187" s="28">
        <v>400044</v>
      </c>
      <c r="B1187" s="28" t="s">
        <v>8102</v>
      </c>
      <c r="C1187" s="28">
        <v>3</v>
      </c>
      <c r="D1187" s="54" t="s">
        <v>8103</v>
      </c>
      <c r="E1187" s="64" t="s"/>
      <c r="F1187" s="28" t="s">
        <v>8104</v>
      </c>
      <c r="G1187" s="28">
        <v>120</v>
      </c>
    </row>
    <row r="1188" spans="1:7">
      <c r="A1188" s="28">
        <v>400045</v>
      </c>
      <c r="B1188" s="28" t="s">
        <v>8105</v>
      </c>
      <c r="C1188" s="28">
        <v>3</v>
      </c>
      <c r="D1188" s="54" t="s">
        <v>8106</v>
      </c>
      <c r="E1188" s="64" t="s"/>
      <c r="F1188" s="28" t="s">
        <v>8107</v>
      </c>
      <c r="G1188" s="28">
        <v>120</v>
      </c>
    </row>
    <row r="1189" spans="1:7">
      <c r="A1189" s="28">
        <v>400046</v>
      </c>
      <c r="B1189" s="28" t="s">
        <v>8108</v>
      </c>
      <c r="C1189" s="28">
        <v>3</v>
      </c>
      <c r="D1189" s="54" t="s">
        <v>8109</v>
      </c>
      <c r="E1189" s="64" t="s">
        <v>8110</v>
      </c>
      <c r="F1189" s="28" t="s">
        <v>8078</v>
      </c>
      <c r="G1189" s="28">
        <v>120</v>
      </c>
    </row>
    <row r="1190" spans="1:7">
      <c r="A1190" s="28">
        <v>400047</v>
      </c>
      <c r="B1190" s="28" t="s">
        <v>8034</v>
      </c>
      <c r="C1190" s="28">
        <v>3</v>
      </c>
      <c r="D1190" s="54" t="s">
        <v>8111</v>
      </c>
      <c r="E1190" s="64" t="s"/>
      <c r="F1190" s="28" t="s">
        <v>8112</v>
      </c>
      <c r="G1190" s="28">
        <v>120</v>
      </c>
    </row>
    <row r="1191" spans="1:7">
      <c r="A1191" s="28">
        <v>400048</v>
      </c>
      <c r="B1191" s="28" t="s">
        <v>8113</v>
      </c>
      <c r="C1191" s="28">
        <v>3</v>
      </c>
      <c r="D1191" s="54" t="s">
        <v>8114</v>
      </c>
      <c r="E1191" s="64" t="s">
        <v>8115</v>
      </c>
      <c r="F1191" s="28" t="s">
        <v>8116</v>
      </c>
      <c r="G1191" s="28">
        <v>120</v>
      </c>
    </row>
    <row r="1192" spans="1:7">
      <c r="A1192" s="28">
        <v>400050</v>
      </c>
      <c r="B1192" s="28" t="s">
        <v>8105</v>
      </c>
      <c r="C1192" s="28">
        <v>3</v>
      </c>
      <c r="D1192" s="54" t="s">
        <v>8117</v>
      </c>
      <c r="E1192" s="64" t="s"/>
      <c r="F1192" s="28" t="s">
        <v>8118</v>
      </c>
      <c r="G1192" s="28">
        <v>120</v>
      </c>
    </row>
    <row r="1193" spans="1:7">
      <c r="A1193" s="28">
        <v>400051</v>
      </c>
      <c r="B1193" s="28" t="s">
        <v>8119</v>
      </c>
      <c r="C1193" s="28">
        <v>4</v>
      </c>
      <c r="D1193" s="54" t="s">
        <v>8120</v>
      </c>
      <c r="E1193" s="64" t="s"/>
      <c r="F1193" s="28" t="s">
        <v>8121</v>
      </c>
      <c r="G1193" s="28">
        <v>120</v>
      </c>
    </row>
    <row r="1194" spans="1:7">
      <c r="A1194" s="28">
        <v>400052</v>
      </c>
      <c r="B1194" s="28" t="s">
        <v>8122</v>
      </c>
      <c r="C1194" s="28">
        <v>3</v>
      </c>
      <c r="D1194" s="54" t="s">
        <v>8123</v>
      </c>
      <c r="E1194" s="64" t="s"/>
      <c r="F1194" s="28" t="s">
        <v>8124</v>
      </c>
      <c r="G1194" s="28">
        <v>120</v>
      </c>
    </row>
    <row r="1195" spans="1:7">
      <c r="A1195" s="28">
        <v>400053</v>
      </c>
      <c r="B1195" s="28" t="s">
        <v>8125</v>
      </c>
      <c r="C1195" s="28">
        <v>2</v>
      </c>
      <c r="D1195" s="54" t="s">
        <v>8126</v>
      </c>
      <c r="E1195" s="64" t="s"/>
      <c r="F1195" s="28" t="s">
        <v>8127</v>
      </c>
      <c r="G1195" s="28">
        <v>120</v>
      </c>
    </row>
    <row r="1196" spans="1:7">
      <c r="A1196" s="28">
        <v>400054</v>
      </c>
      <c r="B1196" s="28" t="s">
        <v>8128</v>
      </c>
      <c r="C1196" s="28">
        <v>2</v>
      </c>
      <c r="D1196" s="54" t="s">
        <v>8129</v>
      </c>
      <c r="E1196" s="64" t="s"/>
      <c r="F1196" s="28" t="s">
        <v>8127</v>
      </c>
      <c r="G1196" s="28">
        <v>120</v>
      </c>
    </row>
    <row r="1197" spans="1:7">
      <c r="A1197" s="28">
        <v>400055</v>
      </c>
      <c r="B1197" s="28" t="s">
        <v>8130</v>
      </c>
      <c r="C1197" s="28">
        <v>3</v>
      </c>
      <c r="D1197" s="54" t="s">
        <v>8131</v>
      </c>
      <c r="E1197" s="64" t="s"/>
      <c r="F1197" s="28" t="s">
        <v>8124</v>
      </c>
      <c r="G1197" s="28">
        <v>120</v>
      </c>
    </row>
    <row r="1198" spans="1:7">
      <c r="A1198" s="28">
        <v>400056</v>
      </c>
      <c r="B1198" s="28" t="s">
        <v>8132</v>
      </c>
      <c r="C1198" s="28">
        <v>3</v>
      </c>
      <c r="D1198" s="28" t="s">
        <v>8133</v>
      </c>
      <c r="E1198" s="64" t="s"/>
      <c r="F1198" s="28" t="s">
        <v>8124</v>
      </c>
      <c r="G1198" s="28">
        <v>120</v>
      </c>
    </row>
    <row r="1199" spans="1:7">
      <c r="A1199" s="28">
        <v>400057</v>
      </c>
      <c r="B1199" s="28" t="s">
        <v>8134</v>
      </c>
      <c r="C1199" s="28">
        <v>3</v>
      </c>
      <c r="D1199" s="28" t="s">
        <v>8135</v>
      </c>
      <c r="E1199" s="64" t="s"/>
      <c r="F1199" s="28" t="s">
        <v>8124</v>
      </c>
      <c r="G1199" s="28">
        <v>120</v>
      </c>
    </row>
    <row r="1200" spans="1:7">
      <c r="A1200" s="28">
        <v>400058</v>
      </c>
      <c r="B1200" s="28" t="s">
        <v>8136</v>
      </c>
      <c r="C1200" s="28">
        <v>3</v>
      </c>
      <c r="D1200" s="28" t="s">
        <v>8137</v>
      </c>
      <c r="E1200" s="64" t="s"/>
      <c r="F1200" s="28" t="s">
        <v>8124</v>
      </c>
      <c r="G1200" s="28">
        <v>120</v>
      </c>
    </row>
    <row r="1201" spans="1:7">
      <c r="A1201" s="28">
        <v>400059</v>
      </c>
      <c r="B1201" s="28" t="s">
        <v>8138</v>
      </c>
      <c r="C1201" s="28">
        <v>2</v>
      </c>
      <c r="D1201" s="28" t="s">
        <v>8139</v>
      </c>
      <c r="E1201" s="64" t="s"/>
      <c r="F1201" s="28" t="s">
        <v>8127</v>
      </c>
      <c r="G1201" s="28">
        <v>120</v>
      </c>
    </row>
    <row r="1202" spans="1:7">
      <c r="A1202" s="28">
        <v>400060</v>
      </c>
      <c r="B1202" s="28" t="s">
        <v>8140</v>
      </c>
      <c r="C1202" s="28">
        <v>2</v>
      </c>
      <c r="D1202" s="28" t="s">
        <v>8141</v>
      </c>
      <c r="E1202" s="64" t="s"/>
      <c r="F1202" s="28" t="s">
        <v>8127</v>
      </c>
      <c r="G1202" s="28">
        <v>120</v>
      </c>
    </row>
    <row r="1203" spans="1:7">
      <c r="A1203" s="28">
        <v>400061</v>
      </c>
      <c r="B1203" s="28" t="s">
        <v>8142</v>
      </c>
      <c r="C1203" s="28">
        <v>2</v>
      </c>
      <c r="D1203" s="28" t="s">
        <v>8143</v>
      </c>
      <c r="E1203" s="64" t="s"/>
      <c r="F1203" s="28" t="s">
        <v>8127</v>
      </c>
      <c r="G1203" s="28">
        <v>120</v>
      </c>
    </row>
    <row r="1204" spans="1:7">
      <c r="A1204" s="28">
        <v>400062</v>
      </c>
      <c r="B1204" s="28" t="s">
        <v>8144</v>
      </c>
      <c r="C1204" s="28">
        <v>3</v>
      </c>
      <c r="D1204" s="28" t="s">
        <v>8145</v>
      </c>
      <c r="E1204" s="64" t="s"/>
      <c r="F1204" s="28" t="s">
        <v>8124</v>
      </c>
      <c r="G1204" s="28">
        <v>120</v>
      </c>
    </row>
    <row r="1205" spans="1:7">
      <c r="A1205" s="28">
        <v>400063</v>
      </c>
      <c r="B1205" s="28" t="s">
        <v>8146</v>
      </c>
      <c r="C1205" s="28">
        <v>4</v>
      </c>
      <c r="D1205" s="28" t="s">
        <v>8147</v>
      </c>
      <c r="E1205" s="64" t="s"/>
      <c r="F1205" s="28" t="s">
        <v>8121</v>
      </c>
      <c r="G1205" s="28">
        <v>120</v>
      </c>
    </row>
    <row r="1206" spans="1:7">
      <c r="A1206" s="28">
        <v>400064</v>
      </c>
      <c r="B1206" s="28" t="s">
        <v>8148</v>
      </c>
      <c r="C1206" s="28">
        <v>4</v>
      </c>
      <c r="D1206" s="28" t="s">
        <v>8149</v>
      </c>
      <c r="E1206" s="64" t="s"/>
      <c r="F1206" s="28" t="s">
        <v>8121</v>
      </c>
      <c r="G1206" s="28">
        <v>120</v>
      </c>
    </row>
    <row r="1207" spans="1:7">
      <c r="A1207" s="28">
        <v>400065</v>
      </c>
      <c r="B1207" s="28" t="s">
        <v>8150</v>
      </c>
      <c r="C1207" s="28">
        <v>3</v>
      </c>
      <c r="D1207" s="28" t="s">
        <v>8151</v>
      </c>
      <c r="E1207" s="64" t="s"/>
      <c r="F1207" s="28" t="s">
        <v>8124</v>
      </c>
      <c r="G1207" s="28">
        <v>120</v>
      </c>
    </row>
    <row r="1208" spans="1:7">
      <c r="A1208" s="28">
        <v>400066</v>
      </c>
      <c r="B1208" s="28" t="s">
        <v>8152</v>
      </c>
      <c r="C1208" s="28">
        <v>2</v>
      </c>
      <c r="D1208" s="28" t="s">
        <v>8153</v>
      </c>
      <c r="E1208" s="64" t="s"/>
      <c r="F1208" s="28" t="s">
        <v>8127</v>
      </c>
      <c r="G1208" s="28">
        <v>120</v>
      </c>
    </row>
    <row r="1209" spans="1:7">
      <c r="A1209" s="28">
        <v>400067</v>
      </c>
      <c r="B1209" s="28" t="s">
        <v>8154</v>
      </c>
      <c r="C1209" s="28">
        <v>2</v>
      </c>
      <c r="D1209" s="28" t="s">
        <v>8155</v>
      </c>
      <c r="E1209" s="64" t="s"/>
      <c r="F1209" s="28" t="s">
        <v>8127</v>
      </c>
      <c r="G1209" s="28">
        <v>120</v>
      </c>
    </row>
    <row r="1210" spans="1:7">
      <c r="A1210" s="28">
        <v>400068</v>
      </c>
      <c r="B1210" s="28" t="s">
        <v>8156</v>
      </c>
      <c r="C1210" s="28">
        <v>4</v>
      </c>
      <c r="D1210" s="28" t="s">
        <v>8157</v>
      </c>
      <c r="E1210" s="64" t="s"/>
      <c r="F1210" s="28" t="s">
        <v>8121</v>
      </c>
      <c r="G1210" s="28">
        <v>120</v>
      </c>
    </row>
    <row r="1211" spans="1:7">
      <c r="A1211" s="28">
        <v>400069</v>
      </c>
      <c r="B1211" s="28" t="s">
        <v>8158</v>
      </c>
      <c r="C1211" s="28">
        <v>3</v>
      </c>
      <c r="D1211" s="28" t="s">
        <v>8159</v>
      </c>
      <c r="E1211" s="64" t="s"/>
      <c r="F1211" s="28" t="s">
        <v>8124</v>
      </c>
      <c r="G1211" s="28">
        <v>120</v>
      </c>
    </row>
    <row r="1212" spans="1:7">
      <c r="A1212" s="28">
        <v>400070</v>
      </c>
      <c r="B1212" s="28" t="s">
        <v>8160</v>
      </c>
      <c r="C1212" s="28">
        <v>4</v>
      </c>
      <c r="D1212" s="28" t="s">
        <v>8161</v>
      </c>
      <c r="E1212" s="54" t="s"/>
      <c r="F1212" s="28" t="s">
        <v>8121</v>
      </c>
      <c r="G1212" s="28">
        <v>120</v>
      </c>
    </row>
    <row r="1213" spans="1:7">
      <c r="A1213" s="28">
        <v>400071</v>
      </c>
      <c r="B1213" s="28" t="s">
        <v>8162</v>
      </c>
      <c r="C1213" s="28">
        <v>3</v>
      </c>
      <c r="D1213" s="28" t="s">
        <v>8163</v>
      </c>
      <c r="E1213" s="64" t="s"/>
      <c r="F1213" s="28" t="s">
        <v>8124</v>
      </c>
      <c r="G1213" s="28">
        <v>120</v>
      </c>
    </row>
    <row r="1214" spans="1:7">
      <c r="A1214" s="28">
        <v>400072</v>
      </c>
      <c r="B1214" s="28" t="s">
        <v>8164</v>
      </c>
      <c r="C1214" s="28">
        <v>3</v>
      </c>
      <c r="D1214" s="28" t="s">
        <v>8165</v>
      </c>
      <c r="E1214" s="64" t="s"/>
      <c r="F1214" s="28" t="s">
        <v>8124</v>
      </c>
      <c r="G1214" s="28">
        <v>120</v>
      </c>
    </row>
    <row r="1215" spans="1:7">
      <c r="A1215" s="28">
        <v>400073</v>
      </c>
      <c r="B1215" s="28" t="s">
        <v>8166</v>
      </c>
      <c r="C1215" s="28">
        <v>4</v>
      </c>
      <c r="D1215" s="28" t="s">
        <v>8167</v>
      </c>
      <c r="E1215" s="64" t="s"/>
      <c r="F1215" s="28" t="s">
        <v>8121</v>
      </c>
      <c r="G1215" s="28">
        <v>120</v>
      </c>
    </row>
    <row r="1216" spans="1:7">
      <c r="A1216" s="28">
        <v>400074</v>
      </c>
      <c r="B1216" s="28" t="s">
        <v>8168</v>
      </c>
      <c r="C1216" s="28">
        <v>3</v>
      </c>
      <c r="D1216" s="28" t="s">
        <v>8169</v>
      </c>
      <c r="E1216" s="54" t="s"/>
      <c r="F1216" s="28" t="s">
        <v>8124</v>
      </c>
      <c r="G1216" s="28">
        <v>120</v>
      </c>
    </row>
    <row r="1217" spans="1:7">
      <c r="A1217" s="28">
        <v>400075</v>
      </c>
      <c r="B1217" s="28" t="s">
        <v>8170</v>
      </c>
      <c r="C1217" s="28">
        <v>3</v>
      </c>
      <c r="D1217" s="28" t="s">
        <v>8171</v>
      </c>
      <c r="E1217" s="54" t="s"/>
      <c r="F1217" s="28" t="s">
        <v>8124</v>
      </c>
      <c r="G1217" s="28">
        <v>120</v>
      </c>
    </row>
    <row r="1218" spans="1:7">
      <c r="A1218" s="28">
        <v>400076</v>
      </c>
      <c r="B1218" s="28" t="s">
        <v>8172</v>
      </c>
      <c r="C1218" s="28">
        <v>3</v>
      </c>
      <c r="D1218" s="28" t="s">
        <v>8173</v>
      </c>
      <c r="E1218" s="54" t="s"/>
      <c r="F1218" s="28" t="s">
        <v>8124</v>
      </c>
      <c r="G1218" s="28">
        <v>120</v>
      </c>
    </row>
    <row r="1219" spans="1:7">
      <c r="A1219" s="28">
        <v>400077</v>
      </c>
      <c r="B1219" s="28" t="s">
        <v>8174</v>
      </c>
      <c r="C1219" s="28">
        <v>3</v>
      </c>
      <c r="D1219" s="28" t="s">
        <v>8175</v>
      </c>
      <c r="E1219" s="54" t="s"/>
      <c r="F1219" s="28" t="s">
        <v>8124</v>
      </c>
      <c r="G1219" s="28">
        <v>120</v>
      </c>
    </row>
    <row r="1220" spans="1:7">
      <c r="A1220" s="28">
        <v>400078</v>
      </c>
      <c r="B1220" s="28" t="s">
        <v>8176</v>
      </c>
      <c r="C1220" s="28">
        <v>3</v>
      </c>
      <c r="D1220" s="28" t="s">
        <v>8177</v>
      </c>
      <c r="E1220" s="54" t="s"/>
      <c r="F1220" s="28" t="s">
        <v>8124</v>
      </c>
      <c r="G1220" s="28">
        <v>120</v>
      </c>
    </row>
    <row r="1221" spans="1:7">
      <c r="A1221" s="28">
        <v>400079</v>
      </c>
      <c r="B1221" s="28" t="s">
        <v>8178</v>
      </c>
      <c r="C1221" s="28">
        <v>3</v>
      </c>
      <c r="D1221" s="28" t="s">
        <v>8179</v>
      </c>
      <c r="E1221" s="54" t="s"/>
      <c r="F1221" s="28" t="s">
        <v>8124</v>
      </c>
      <c r="G1221" s="28">
        <v>120</v>
      </c>
    </row>
    <row r="1222" spans="1:7">
      <c r="A1222" s="28">
        <v>400080</v>
      </c>
      <c r="B1222" s="28" t="s">
        <v>8180</v>
      </c>
      <c r="C1222" s="28">
        <v>3</v>
      </c>
      <c r="D1222" s="28" t="s">
        <v>8181</v>
      </c>
      <c r="E1222" s="54" t="s"/>
      <c r="F1222" s="28" t="s">
        <v>8124</v>
      </c>
      <c r="G1222" s="28">
        <v>120</v>
      </c>
    </row>
    <row r="1223" spans="1:7">
      <c r="A1223" s="28">
        <v>400081</v>
      </c>
      <c r="B1223" s="28" t="s">
        <v>8182</v>
      </c>
      <c r="C1223" s="28">
        <v>3</v>
      </c>
      <c r="D1223" s="28" t="s">
        <v>8183</v>
      </c>
      <c r="E1223" s="54" t="s"/>
      <c r="F1223" s="28" t="s">
        <v>8124</v>
      </c>
      <c r="G1223" s="28">
        <v>120</v>
      </c>
    </row>
    <row r="1224" spans="1:7">
      <c r="A1224" s="28">
        <v>400082</v>
      </c>
      <c r="B1224" s="28" t="s">
        <v>8184</v>
      </c>
      <c r="C1224" s="28">
        <v>3</v>
      </c>
      <c r="D1224" s="28" t="s">
        <v>8185</v>
      </c>
      <c r="E1224" s="54" t="s"/>
      <c r="F1224" s="28" t="s">
        <v>8124</v>
      </c>
      <c r="G1224" s="28">
        <v>120</v>
      </c>
    </row>
    <row r="1225" spans="1:7">
      <c r="A1225" s="28">
        <v>400083</v>
      </c>
      <c r="B1225" s="28" t="s">
        <v>8186</v>
      </c>
      <c r="C1225" s="28">
        <v>3</v>
      </c>
      <c r="D1225" s="28" t="s">
        <v>8187</v>
      </c>
      <c r="E1225" s="54" t="s"/>
      <c r="F1225" s="28" t="s">
        <v>8124</v>
      </c>
      <c r="G1225" s="28">
        <v>120</v>
      </c>
    </row>
    <row r="1226" spans="1:7">
      <c r="A1226" s="28">
        <v>400084</v>
      </c>
      <c r="B1226" s="28" t="s">
        <v>8188</v>
      </c>
      <c r="C1226" s="28">
        <v>3</v>
      </c>
      <c r="D1226" s="28" t="s">
        <v>8189</v>
      </c>
      <c r="E1226" s="54" t="s"/>
      <c r="F1226" s="28" t="s">
        <v>8124</v>
      </c>
      <c r="G1226" s="28">
        <v>120</v>
      </c>
    </row>
    <row r="1227" spans="1:7">
      <c r="A1227" s="28">
        <v>400085</v>
      </c>
      <c r="B1227" s="28" t="s">
        <v>8190</v>
      </c>
      <c r="C1227" s="28">
        <v>3</v>
      </c>
      <c r="D1227" s="28" t="s">
        <v>8191</v>
      </c>
      <c r="E1227" s="54" t="s"/>
      <c r="F1227" s="28" t="s">
        <v>8124</v>
      </c>
      <c r="G1227" s="28">
        <v>120</v>
      </c>
    </row>
    <row r="1228" spans="1:7">
      <c r="A1228" s="28">
        <v>400086</v>
      </c>
      <c r="B1228" s="28" t="s">
        <v>8192</v>
      </c>
      <c r="C1228" s="28">
        <v>3</v>
      </c>
      <c r="D1228" s="28" t="s">
        <v>8193</v>
      </c>
      <c r="E1228" s="54" t="s"/>
      <c r="F1228" s="28" t="s">
        <v>8124</v>
      </c>
      <c r="G1228" s="28">
        <v>120</v>
      </c>
    </row>
    <row r="1229" spans="1:7">
      <c r="A1229" s="28">
        <v>400087</v>
      </c>
      <c r="B1229" s="28" t="s">
        <v>8194</v>
      </c>
      <c r="C1229" s="28">
        <v>3</v>
      </c>
      <c r="D1229" s="28" t="s">
        <v>8195</v>
      </c>
      <c r="E1229" s="54" t="s"/>
      <c r="F1229" s="28" t="s">
        <v>8124</v>
      </c>
      <c r="G1229" s="28">
        <v>120</v>
      </c>
    </row>
    <row r="1230" spans="1:7">
      <c r="A1230" s="28">
        <v>400088</v>
      </c>
      <c r="B1230" s="28" t="s">
        <v>8196</v>
      </c>
      <c r="C1230" s="28">
        <v>3</v>
      </c>
      <c r="D1230" s="28" t="s">
        <v>8197</v>
      </c>
      <c r="E1230" s="54" t="s"/>
      <c r="F1230" s="28" t="s">
        <v>8124</v>
      </c>
      <c r="G1230" s="28">
        <v>120</v>
      </c>
    </row>
    <row r="1231" spans="1:7">
      <c r="A1231" s="28">
        <v>400089</v>
      </c>
      <c r="B1231" s="28" t="s">
        <v>8198</v>
      </c>
      <c r="C1231" s="28">
        <v>3</v>
      </c>
      <c r="D1231" s="28" t="s">
        <v>8199</v>
      </c>
      <c r="E1231" s="54" t="s"/>
      <c r="F1231" s="28" t="s">
        <v>8124</v>
      </c>
      <c r="G1231" s="28">
        <v>120</v>
      </c>
    </row>
    <row r="1232" spans="1:7">
      <c r="A1232" s="28">
        <v>411011</v>
      </c>
      <c r="B1232" s="28" t="s">
        <v>8200</v>
      </c>
      <c r="C1232" s="28">
        <v>2</v>
      </c>
      <c r="D1232" s="28" t="s">
        <v>8201</v>
      </c>
      <c r="E1232" s="54" t="s">
        <v>8202</v>
      </c>
      <c r="F1232" s="28" t="s">
        <v>8203</v>
      </c>
      <c r="G1232" s="28">
        <v>120</v>
      </c>
    </row>
    <row r="1233" spans="1:7">
      <c r="A1233" s="28">
        <v>411021</v>
      </c>
      <c r="B1233" s="28" t="s">
        <v>8204</v>
      </c>
      <c r="C1233" s="28">
        <v>2</v>
      </c>
      <c r="D1233" s="28" t="s">
        <v>8205</v>
      </c>
      <c r="E1233" s="54" t="s">
        <v>8202</v>
      </c>
      <c r="F1233" s="28" t="s">
        <v>8203</v>
      </c>
      <c r="G1233" s="28">
        <v>120</v>
      </c>
    </row>
    <row r="1234" spans="1:7">
      <c r="A1234" s="28">
        <v>411031</v>
      </c>
      <c r="B1234" s="28" t="s">
        <v>8206</v>
      </c>
      <c r="C1234" s="28">
        <v>2</v>
      </c>
      <c r="D1234" s="28" t="s">
        <v>8207</v>
      </c>
      <c r="E1234" s="54" t="s">
        <v>8202</v>
      </c>
      <c r="F1234" s="28" t="s">
        <v>8203</v>
      </c>
      <c r="G1234" s="28">
        <v>120</v>
      </c>
    </row>
    <row r="1235" spans="1:7">
      <c r="A1235" s="28">
        <v>411041</v>
      </c>
      <c r="B1235" s="28" t="s">
        <v>8208</v>
      </c>
      <c r="C1235" s="28">
        <v>2</v>
      </c>
      <c r="D1235" s="28" t="s">
        <v>8209</v>
      </c>
      <c r="E1235" s="54" t="s">
        <v>8202</v>
      </c>
      <c r="F1235" s="28" t="s">
        <v>8203</v>
      </c>
      <c r="G1235" s="28">
        <v>120</v>
      </c>
    </row>
    <row r="1236" spans="1:7">
      <c r="A1236" s="28">
        <v>411051</v>
      </c>
      <c r="B1236" s="28" t="s">
        <v>8210</v>
      </c>
      <c r="C1236" s="54">
        <v>2</v>
      </c>
      <c r="D1236" s="54" t="s">
        <v>8211</v>
      </c>
      <c r="E1236" s="54" t="s">
        <v>8202</v>
      </c>
      <c r="F1236" s="28" t="s">
        <v>8203</v>
      </c>
      <c r="G1236" s="28">
        <v>120</v>
      </c>
    </row>
    <row r="1237" spans="1:7">
      <c r="A1237" s="28">
        <v>411061</v>
      </c>
      <c r="B1237" s="28" t="s">
        <v>8212</v>
      </c>
      <c r="C1237" s="28">
        <v>2</v>
      </c>
      <c r="D1237" s="28" t="s">
        <v>8213</v>
      </c>
      <c r="E1237" s="64" t="s">
        <v>8202</v>
      </c>
      <c r="F1237" s="28" t="s">
        <v>8203</v>
      </c>
      <c r="G1237" s="28">
        <v>120</v>
      </c>
    </row>
    <row r="1238" spans="1:7">
      <c r="A1238" s="28">
        <v>411071</v>
      </c>
      <c r="B1238" s="28" t="s">
        <v>8214</v>
      </c>
      <c r="C1238" s="28">
        <v>2</v>
      </c>
      <c r="D1238" s="28" t="s">
        <v>8215</v>
      </c>
      <c r="E1238" s="54" t="s">
        <v>8202</v>
      </c>
      <c r="F1238" s="28" t="s">
        <v>8203</v>
      </c>
      <c r="G1238" s="28">
        <v>120</v>
      </c>
    </row>
    <row r="1239" spans="1:7">
      <c r="A1239" s="28">
        <v>411081</v>
      </c>
      <c r="B1239" s="28" t="s">
        <v>8216</v>
      </c>
      <c r="C1239" s="28">
        <v>2</v>
      </c>
      <c r="D1239" s="28" t="s">
        <v>8217</v>
      </c>
      <c r="E1239" s="54" t="s">
        <v>8202</v>
      </c>
      <c r="F1239" s="28" t="s">
        <v>8203</v>
      </c>
      <c r="G1239" s="28">
        <v>120</v>
      </c>
    </row>
    <row r="1240" spans="1:7">
      <c r="A1240" s="28">
        <v>411091</v>
      </c>
      <c r="B1240" s="28" t="s">
        <v>8218</v>
      </c>
      <c r="C1240" s="28">
        <v>2</v>
      </c>
      <c r="D1240" s="28" t="s">
        <v>8219</v>
      </c>
      <c r="E1240" s="54" t="s">
        <v>8202</v>
      </c>
      <c r="F1240" s="28" t="s">
        <v>8203</v>
      </c>
      <c r="G1240" s="28">
        <v>120</v>
      </c>
    </row>
    <row r="1241" spans="1:7">
      <c r="A1241" s="28">
        <v>411101</v>
      </c>
      <c r="B1241" s="28" t="s">
        <v>8220</v>
      </c>
      <c r="C1241" s="28">
        <v>2</v>
      </c>
      <c r="D1241" s="28" t="s">
        <v>8221</v>
      </c>
      <c r="E1241" s="54" t="s">
        <v>8202</v>
      </c>
      <c r="F1241" s="28" t="s">
        <v>8203</v>
      </c>
      <c r="G1241" s="28">
        <v>120</v>
      </c>
    </row>
    <row r="1242" spans="1:7">
      <c r="A1242" s="28">
        <v>411111</v>
      </c>
      <c r="B1242" s="28" t="s">
        <v>8222</v>
      </c>
      <c r="C1242" s="28">
        <v>2</v>
      </c>
      <c r="D1242" s="28" t="s">
        <v>8223</v>
      </c>
      <c r="E1242" s="54" t="s">
        <v>8202</v>
      </c>
      <c r="F1242" s="28" t="s">
        <v>8203</v>
      </c>
      <c r="G1242" s="28">
        <v>120</v>
      </c>
    </row>
    <row r="1243" spans="1:7">
      <c r="A1243" s="28">
        <v>411121</v>
      </c>
      <c r="B1243" s="28" t="s">
        <v>8224</v>
      </c>
      <c r="C1243" s="28">
        <v>2</v>
      </c>
      <c r="D1243" s="28" t="s">
        <v>8225</v>
      </c>
      <c r="E1243" s="54" t="s">
        <v>8202</v>
      </c>
      <c r="F1243" s="28" t="s">
        <v>8203</v>
      </c>
      <c r="G1243" s="28">
        <v>120</v>
      </c>
    </row>
    <row r="1244" spans="1:7">
      <c r="A1244" s="28">
        <v>411131</v>
      </c>
      <c r="B1244" s="28" t="s">
        <v>8226</v>
      </c>
      <c r="C1244" s="28">
        <v>2</v>
      </c>
      <c r="D1244" s="28" t="s">
        <v>8227</v>
      </c>
      <c r="E1244" s="54" t="s">
        <v>8202</v>
      </c>
      <c r="F1244" s="28" t="s">
        <v>8203</v>
      </c>
      <c r="G1244" s="28">
        <v>120</v>
      </c>
    </row>
    <row r="1245" spans="1:7">
      <c r="A1245" s="28">
        <v>411141</v>
      </c>
      <c r="B1245" s="28" t="s">
        <v>8228</v>
      </c>
      <c r="C1245" s="28">
        <v>2</v>
      </c>
      <c r="D1245" s="28" t="s">
        <v>8229</v>
      </c>
      <c r="E1245" s="54" t="s">
        <v>8202</v>
      </c>
      <c r="F1245" s="28" t="s">
        <v>8203</v>
      </c>
      <c r="G1245" s="28">
        <v>120</v>
      </c>
    </row>
    <row r="1246" spans="1:7">
      <c r="A1246" s="28">
        <v>411151</v>
      </c>
      <c r="B1246" s="28" t="s">
        <v>8230</v>
      </c>
      <c r="C1246" s="28">
        <v>2</v>
      </c>
      <c r="D1246" s="28" t="s">
        <v>8231</v>
      </c>
      <c r="E1246" s="54" t="s">
        <v>8202</v>
      </c>
      <c r="F1246" s="28" t="s">
        <v>8203</v>
      </c>
      <c r="G1246" s="28">
        <v>120</v>
      </c>
    </row>
    <row r="1247" spans="1:7">
      <c r="A1247" s="28">
        <v>411161</v>
      </c>
      <c r="B1247" s="28" t="s">
        <v>8232</v>
      </c>
      <c r="C1247" s="28">
        <v>2</v>
      </c>
      <c r="D1247" s="28" t="s">
        <v>8233</v>
      </c>
      <c r="E1247" s="54" t="s">
        <v>8202</v>
      </c>
      <c r="F1247" s="28" t="s">
        <v>8203</v>
      </c>
      <c r="G1247" s="28">
        <v>120</v>
      </c>
    </row>
    <row r="1248" spans="1:7">
      <c r="A1248" s="28">
        <v>411171</v>
      </c>
      <c r="B1248" s="28" t="s">
        <v>8234</v>
      </c>
      <c r="C1248" s="28">
        <v>2</v>
      </c>
      <c r="D1248" s="28" t="s">
        <v>8235</v>
      </c>
      <c r="E1248" s="54" t="s">
        <v>8202</v>
      </c>
      <c r="F1248" s="28" t="s">
        <v>8203</v>
      </c>
      <c r="G1248" s="28">
        <v>120</v>
      </c>
    </row>
    <row r="1249" spans="1:7">
      <c r="A1249" s="28">
        <v>411181</v>
      </c>
      <c r="B1249" s="28" t="s">
        <v>8236</v>
      </c>
      <c r="C1249" s="28">
        <v>2</v>
      </c>
      <c r="D1249" s="28" t="s">
        <v>8237</v>
      </c>
      <c r="E1249" s="54" t="s">
        <v>8202</v>
      </c>
      <c r="F1249" s="28" t="s">
        <v>8203</v>
      </c>
      <c r="G1249" s="28">
        <v>120</v>
      </c>
    </row>
    <row r="1250" spans="1:7">
      <c r="A1250" s="28">
        <v>411191</v>
      </c>
      <c r="B1250" s="28" t="s">
        <v>8238</v>
      </c>
      <c r="C1250" s="28">
        <v>2</v>
      </c>
      <c r="D1250" s="28" t="s">
        <v>8239</v>
      </c>
      <c r="E1250" s="54" t="s">
        <v>8202</v>
      </c>
      <c r="F1250" s="28" t="s">
        <v>8203</v>
      </c>
      <c r="G1250" s="28">
        <v>120</v>
      </c>
    </row>
    <row r="1251" spans="1:7">
      <c r="A1251" s="28">
        <v>411201</v>
      </c>
      <c r="B1251" s="28" t="s">
        <v>8240</v>
      </c>
      <c r="C1251" s="28">
        <v>2</v>
      </c>
      <c r="D1251" s="28" t="s">
        <v>8241</v>
      </c>
      <c r="E1251" s="54" t="s">
        <v>8202</v>
      </c>
      <c r="F1251" s="28" t="s">
        <v>8203</v>
      </c>
      <c r="G1251" s="28">
        <v>120</v>
      </c>
    </row>
    <row r="1252" spans="1:7">
      <c r="A1252" s="28">
        <v>411211</v>
      </c>
      <c r="B1252" s="28" t="s">
        <v>8242</v>
      </c>
      <c r="C1252" s="28">
        <v>2</v>
      </c>
      <c r="D1252" s="28" t="s">
        <v>8243</v>
      </c>
      <c r="E1252" s="54" t="s">
        <v>8202</v>
      </c>
      <c r="F1252" s="28" t="s">
        <v>8203</v>
      </c>
      <c r="G1252" s="28">
        <v>120</v>
      </c>
    </row>
    <row r="1253" spans="1:7">
      <c r="A1253" s="28">
        <v>411221</v>
      </c>
      <c r="B1253" s="28" t="s">
        <v>8244</v>
      </c>
      <c r="C1253" s="28">
        <v>2</v>
      </c>
      <c r="D1253" s="28" t="s">
        <v>8245</v>
      </c>
      <c r="E1253" s="54" t="s"/>
      <c r="F1253" s="28" t="s">
        <v>8203</v>
      </c>
      <c r="G1253" s="28">
        <v>120</v>
      </c>
    </row>
    <row r="1254" spans="1:7">
      <c r="A1254" s="28">
        <v>411241</v>
      </c>
      <c r="B1254" s="28" t="s">
        <v>8246</v>
      </c>
      <c r="C1254" s="28">
        <v>2</v>
      </c>
      <c r="D1254" s="28" t="s">
        <v>8247</v>
      </c>
      <c r="E1254" s="54" t="s">
        <v>8202</v>
      </c>
      <c r="F1254" s="28" t="s">
        <v>8203</v>
      </c>
      <c r="G1254" s="28">
        <v>120</v>
      </c>
    </row>
    <row r="1255" spans="1:7">
      <c r="A1255" s="28">
        <v>500010</v>
      </c>
      <c r="B1255" s="28" t="s">
        <v>8248</v>
      </c>
      <c r="C1255" s="28">
        <v>3</v>
      </c>
      <c r="D1255" s="28" t="s">
        <v>7060</v>
      </c>
      <c r="E1255" s="54" t="s">
        <v>8248</v>
      </c>
      <c r="F1255" s="28" t="s">
        <v>6789</v>
      </c>
      <c r="G1255" s="28">
        <v>0</v>
      </c>
    </row>
    <row r="1256" spans="1:7">
      <c r="A1256" s="28">
        <v>530010</v>
      </c>
      <c r="B1256" s="28" t="s">
        <v>8249</v>
      </c>
      <c r="C1256" s="28">
        <v>3</v>
      </c>
      <c r="D1256" s="28" t="s">
        <v>7060</v>
      </c>
      <c r="E1256" s="54" t="s">
        <v>7061</v>
      </c>
      <c r="F1256" s="28" t="s">
        <v>7062</v>
      </c>
      <c r="G1256" s="28">
        <v>0</v>
      </c>
    </row>
    <row r="1257" spans="1:7">
      <c r="A1257" s="28">
        <v>530020</v>
      </c>
      <c r="B1257" s="28" t="s">
        <v>8250</v>
      </c>
      <c r="C1257" s="28">
        <v>3</v>
      </c>
      <c r="D1257" s="28" t="s">
        <v>7060</v>
      </c>
      <c r="E1257" s="54" t="s">
        <v>7063</v>
      </c>
      <c r="F1257" s="28" t="s">
        <v>7064</v>
      </c>
      <c r="G1257" s="28">
        <v>0</v>
      </c>
    </row>
    <row r="1258" spans="1:7">
      <c r="A1258" s="28">
        <v>530030</v>
      </c>
      <c r="B1258" s="28" t="s">
        <v>8251</v>
      </c>
      <c r="C1258" s="28">
        <v>3</v>
      </c>
      <c r="D1258" s="28" t="s">
        <v>7060</v>
      </c>
      <c r="E1258" s="54" t="s">
        <v>7065</v>
      </c>
      <c r="F1258" s="28" t="s">
        <v>7066</v>
      </c>
      <c r="G1258" s="28">
        <v>0</v>
      </c>
    </row>
    <row r="1259" spans="1:7">
      <c r="A1259" s="28">
        <v>530040</v>
      </c>
      <c r="B1259" s="28" t="s">
        <v>8252</v>
      </c>
      <c r="C1259" s="28">
        <v>3</v>
      </c>
      <c r="D1259" s="28" t="s">
        <v>7060</v>
      </c>
      <c r="E1259" s="54" t="s">
        <v>7067</v>
      </c>
      <c r="F1259" s="28" t="s">
        <v>7068</v>
      </c>
      <c r="G1259" s="28">
        <v>0</v>
      </c>
    </row>
    <row r="1260" spans="1:7">
      <c r="A1260" s="28">
        <v>530050</v>
      </c>
      <c r="B1260" s="28" t="s">
        <v>8253</v>
      </c>
      <c r="C1260" s="54">
        <v>3</v>
      </c>
      <c r="D1260" s="54" t="s">
        <v>7060</v>
      </c>
      <c r="E1260" s="54" t="s">
        <v>7069</v>
      </c>
      <c r="F1260" s="28" t="s">
        <v>7070</v>
      </c>
      <c r="G1260" s="28">
        <v>0</v>
      </c>
    </row>
    <row r="1261" spans="1:7">
      <c r="A1261" s="28">
        <v>530060</v>
      </c>
      <c r="B1261" s="28" t="s">
        <v>8254</v>
      </c>
      <c r="C1261" s="54">
        <v>3</v>
      </c>
      <c r="D1261" s="28" t="s">
        <v>7060</v>
      </c>
      <c r="E1261" s="54" t="s">
        <v>7071</v>
      </c>
      <c r="F1261" s="28" t="s">
        <v>7072</v>
      </c>
      <c r="G1261" s="28">
        <v>0</v>
      </c>
    </row>
    <row r="1262" spans="1:7">
      <c r="A1262" s="28">
        <v>530070</v>
      </c>
      <c r="B1262" s="28" t="s">
        <v>8255</v>
      </c>
      <c r="C1262" s="28">
        <v>3</v>
      </c>
      <c r="D1262" s="28" t="s">
        <v>7060</v>
      </c>
      <c r="E1262" s="54" t="s">
        <v>7073</v>
      </c>
      <c r="F1262" s="28" t="s">
        <v>7074</v>
      </c>
      <c r="G1262" s="28">
        <v>0</v>
      </c>
    </row>
    <row r="1263" spans="1:7">
      <c r="A1263" s="28">
        <v>530080</v>
      </c>
      <c r="B1263" s="28" t="s">
        <v>8256</v>
      </c>
      <c r="C1263" s="28">
        <v>3</v>
      </c>
      <c r="D1263" s="28" t="s">
        <v>7060</v>
      </c>
      <c r="E1263" s="54" t="s">
        <v>7075</v>
      </c>
      <c r="F1263" s="28" t="s">
        <v>7076</v>
      </c>
      <c r="G1263" s="28">
        <v>0</v>
      </c>
    </row>
    <row r="1264" spans="1:7">
      <c r="A1264" s="28">
        <v>530090</v>
      </c>
      <c r="B1264" s="28" t="s">
        <v>8257</v>
      </c>
      <c r="C1264" s="28">
        <v>3</v>
      </c>
      <c r="D1264" s="28" t="s">
        <v>7060</v>
      </c>
      <c r="E1264" s="28" t="s">
        <v>7077</v>
      </c>
      <c r="F1264" s="28" t="s">
        <v>7078</v>
      </c>
      <c r="G1264" s="28">
        <v>0</v>
      </c>
    </row>
    <row r="1265" spans="1:7">
      <c r="A1265" s="28">
        <v>530100</v>
      </c>
      <c r="B1265" s="28" t="s">
        <v>8258</v>
      </c>
      <c r="C1265" s="28">
        <v>3</v>
      </c>
      <c r="D1265" s="28" t="s">
        <v>7060</v>
      </c>
      <c r="E1265" s="28" t="s">
        <v>7079</v>
      </c>
      <c r="F1265" s="28" t="s">
        <v>7080</v>
      </c>
      <c r="G1265" s="28">
        <v>0</v>
      </c>
    </row>
    <row r="1266" spans="1:7">
      <c r="A1266" s="28">
        <v>530110</v>
      </c>
      <c r="B1266" s="28" t="s">
        <v>8259</v>
      </c>
      <c r="C1266" s="28">
        <v>3</v>
      </c>
      <c r="D1266" s="28" t="s">
        <v>7060</v>
      </c>
      <c r="E1266" s="28" t="s">
        <v>7081</v>
      </c>
      <c r="F1266" s="28" t="s">
        <v>7082</v>
      </c>
      <c r="G1266" s="28">
        <v>0</v>
      </c>
    </row>
    <row r="1267" spans="1:7">
      <c r="A1267" s="28">
        <v>530120</v>
      </c>
      <c r="B1267" s="28" t="s">
        <v>8260</v>
      </c>
      <c r="C1267" s="28">
        <v>3</v>
      </c>
      <c r="D1267" s="28" t="s">
        <v>7060</v>
      </c>
      <c r="E1267" s="28" t="s">
        <v>7083</v>
      </c>
      <c r="F1267" s="28" t="s">
        <v>7084</v>
      </c>
      <c r="G1267" s="28">
        <v>0</v>
      </c>
    </row>
    <row r="1268" spans="1:7">
      <c r="A1268" s="28">
        <v>530130</v>
      </c>
      <c r="B1268" s="28" t="s">
        <v>8261</v>
      </c>
      <c r="C1268" s="28">
        <v>3</v>
      </c>
      <c r="D1268" s="28" t="s">
        <v>7060</v>
      </c>
      <c r="E1268" s="28" t="s">
        <v>7085</v>
      </c>
      <c r="F1268" s="28" t="s">
        <v>7086</v>
      </c>
      <c r="G1268" s="28">
        <v>0</v>
      </c>
    </row>
    <row r="1269" spans="1:7">
      <c r="A1269" s="28">
        <v>530140</v>
      </c>
      <c r="B1269" s="28" t="s">
        <v>8262</v>
      </c>
      <c r="C1269" s="28">
        <v>3</v>
      </c>
      <c r="D1269" s="28" t="s">
        <v>7060</v>
      </c>
      <c r="E1269" s="28" t="s">
        <v>7087</v>
      </c>
      <c r="F1269" s="28" t="s">
        <v>7088</v>
      </c>
      <c r="G1269" s="28">
        <v>0</v>
      </c>
    </row>
    <row r="1270" spans="1:7">
      <c r="A1270" s="28">
        <v>530150</v>
      </c>
      <c r="B1270" s="28" t="s">
        <v>8263</v>
      </c>
      <c r="C1270" s="28">
        <v>3</v>
      </c>
      <c r="D1270" s="28" t="s">
        <v>7060</v>
      </c>
      <c r="E1270" s="28" t="s">
        <v>7089</v>
      </c>
      <c r="F1270" s="28" t="s">
        <v>7090</v>
      </c>
      <c r="G1270" s="28">
        <v>0</v>
      </c>
    </row>
    <row r="1271" spans="1:7">
      <c r="A1271" s="28">
        <v>530160</v>
      </c>
      <c r="B1271" s="28" t="s">
        <v>8264</v>
      </c>
      <c r="C1271" s="28">
        <v>3</v>
      </c>
      <c r="D1271" s="28" t="s">
        <v>7060</v>
      </c>
      <c r="E1271" s="28" t="s">
        <v>7091</v>
      </c>
      <c r="F1271" s="28" t="s">
        <v>7092</v>
      </c>
      <c r="G1271" s="28">
        <v>0</v>
      </c>
    </row>
    <row r="1272" spans="1:7">
      <c r="A1272" s="28">
        <v>530170</v>
      </c>
      <c r="B1272" s="28" t="s">
        <v>8265</v>
      </c>
      <c r="C1272" s="28">
        <v>3</v>
      </c>
      <c r="D1272" s="28" t="s">
        <v>7060</v>
      </c>
      <c r="E1272" s="28" t="s">
        <v>7093</v>
      </c>
      <c r="F1272" s="28" t="s">
        <v>7094</v>
      </c>
      <c r="G1272" s="28">
        <v>0</v>
      </c>
    </row>
    <row r="1273" spans="1:7">
      <c r="A1273" s="28">
        <v>530190</v>
      </c>
      <c r="B1273" s="28" t="s">
        <v>8266</v>
      </c>
      <c r="C1273" s="28">
        <v>3</v>
      </c>
      <c r="D1273" s="28" t="s">
        <v>7060</v>
      </c>
      <c r="E1273" s="28" t="s">
        <v>7095</v>
      </c>
      <c r="F1273" s="28" t="s">
        <v>8267</v>
      </c>
      <c r="G1273" s="28">
        <v>0</v>
      </c>
    </row>
    <row r="1274" spans="1:7">
      <c r="A1274" s="28">
        <v>540010</v>
      </c>
      <c r="B1274" s="28" t="s">
        <v>8268</v>
      </c>
      <c r="C1274" s="28">
        <v>4</v>
      </c>
      <c r="D1274" s="28" t="s">
        <v>7060</v>
      </c>
      <c r="E1274" s="28" t="s">
        <v>7096</v>
      </c>
      <c r="F1274" s="28" t="s">
        <v>7097</v>
      </c>
      <c r="G1274" s="28">
        <v>0</v>
      </c>
    </row>
    <row r="1275" spans="1:7">
      <c r="A1275" s="28">
        <v>540020</v>
      </c>
      <c r="B1275" s="28" t="s">
        <v>8269</v>
      </c>
      <c r="C1275" s="28">
        <v>4</v>
      </c>
      <c r="D1275" s="28" t="s">
        <v>7060</v>
      </c>
      <c r="E1275" s="28" t="s">
        <v>7098</v>
      </c>
      <c r="F1275" s="28" t="s">
        <v>7099</v>
      </c>
      <c r="G1275" s="28">
        <v>0</v>
      </c>
    </row>
    <row r="1276" spans="1:7">
      <c r="A1276" s="28">
        <v>540030</v>
      </c>
      <c r="B1276" s="28" t="s">
        <v>8270</v>
      </c>
      <c r="C1276" s="28">
        <v>3</v>
      </c>
      <c r="D1276" s="28" t="s">
        <v>7060</v>
      </c>
      <c r="E1276" s="28" t="s">
        <v>7100</v>
      </c>
      <c r="F1276" s="28" t="s">
        <v>7101</v>
      </c>
      <c r="G1276" s="28">
        <v>0</v>
      </c>
    </row>
    <row r="1277" spans="1:7">
      <c r="A1277" s="28">
        <v>540040</v>
      </c>
      <c r="B1277" s="28" t="s">
        <v>8271</v>
      </c>
      <c r="C1277" s="28">
        <v>4</v>
      </c>
      <c r="D1277" s="28" t="s">
        <v>7060</v>
      </c>
      <c r="E1277" s="28" t="s">
        <v>7102</v>
      </c>
      <c r="F1277" s="28" t="s">
        <v>7103</v>
      </c>
      <c r="G1277" s="28">
        <v>0</v>
      </c>
    </row>
    <row r="1278" spans="1:7">
      <c r="A1278" s="28">
        <v>540050</v>
      </c>
      <c r="B1278" s="28" t="s">
        <v>8272</v>
      </c>
      <c r="C1278" s="28">
        <v>4</v>
      </c>
      <c r="D1278" s="28" t="s">
        <v>7060</v>
      </c>
      <c r="E1278" s="28" t="s">
        <v>7104</v>
      </c>
      <c r="F1278" s="28" t="s">
        <v>7105</v>
      </c>
      <c r="G1278" s="28">
        <v>0</v>
      </c>
    </row>
    <row r="1279" spans="1:7">
      <c r="A1279" s="28">
        <v>540060</v>
      </c>
      <c r="B1279" s="28" t="s">
        <v>8273</v>
      </c>
      <c r="C1279" s="28">
        <v>4</v>
      </c>
      <c r="D1279" s="28" t="s">
        <v>7060</v>
      </c>
      <c r="E1279" s="28" t="s">
        <v>7106</v>
      </c>
      <c r="F1279" s="28" t="s">
        <v>7107</v>
      </c>
      <c r="G1279" s="28">
        <v>0</v>
      </c>
    </row>
    <row r="1280" spans="1:7">
      <c r="A1280" s="28">
        <v>540080</v>
      </c>
      <c r="B1280" s="28" t="s">
        <v>8274</v>
      </c>
      <c r="C1280" s="28">
        <v>4</v>
      </c>
      <c r="D1280" s="28" t="s">
        <v>7060</v>
      </c>
      <c r="E1280" s="28" t="s">
        <v>7108</v>
      </c>
      <c r="F1280" s="28" t="s">
        <v>7109</v>
      </c>
      <c r="G1280" s="28">
        <v>0</v>
      </c>
    </row>
    <row r="1281" spans="1:7">
      <c r="A1281" s="28">
        <v>540090</v>
      </c>
      <c r="B1281" s="28" t="s">
        <v>8275</v>
      </c>
      <c r="C1281" s="28">
        <v>4</v>
      </c>
      <c r="D1281" s="28" t="s">
        <v>7060</v>
      </c>
      <c r="E1281" s="28" t="s">
        <v>7110</v>
      </c>
      <c r="F1281" s="28" t="s">
        <v>7111</v>
      </c>
      <c r="G1281" s="28">
        <v>0</v>
      </c>
    </row>
    <row r="1282" spans="1:7">
      <c r="A1282" s="28">
        <v>540100</v>
      </c>
      <c r="B1282" s="28" t="s">
        <v>8276</v>
      </c>
      <c r="C1282" s="28">
        <v>4</v>
      </c>
      <c r="D1282" s="28" t="s">
        <v>7060</v>
      </c>
      <c r="E1282" s="28" t="s">
        <v>7112</v>
      </c>
      <c r="F1282" s="28" t="s">
        <v>7113</v>
      </c>
      <c r="G1282" s="28">
        <v>0</v>
      </c>
    </row>
    <row r="1283" spans="1:7">
      <c r="A1283" s="28">
        <v>540110</v>
      </c>
      <c r="B1283" s="28" t="s">
        <v>8277</v>
      </c>
      <c r="C1283" s="28">
        <v>4</v>
      </c>
      <c r="D1283" s="28" t="s">
        <v>7060</v>
      </c>
      <c r="E1283" s="28" t="s">
        <v>7114</v>
      </c>
      <c r="F1283" s="28" t="s">
        <v>7115</v>
      </c>
      <c r="G1283" s="28">
        <v>0</v>
      </c>
    </row>
    <row r="1284" spans="1:7">
      <c r="A1284" s="28">
        <v>540120</v>
      </c>
      <c r="B1284" s="28" t="s">
        <v>8278</v>
      </c>
      <c r="C1284" s="28">
        <v>4</v>
      </c>
      <c r="D1284" s="28" t="s">
        <v>7060</v>
      </c>
      <c r="E1284" s="28" t="s">
        <v>7116</v>
      </c>
      <c r="F1284" s="28" t="s">
        <v>7117</v>
      </c>
      <c r="G1284" s="28">
        <v>0</v>
      </c>
    </row>
    <row r="1285" spans="1:7">
      <c r="A1285" s="28">
        <v>540130</v>
      </c>
      <c r="B1285" s="28" t="s">
        <v>8279</v>
      </c>
      <c r="C1285" s="28">
        <v>4</v>
      </c>
      <c r="D1285" s="28" t="s">
        <v>7060</v>
      </c>
      <c r="E1285" s="28" t="s">
        <v>7118</v>
      </c>
      <c r="F1285" s="28" t="s">
        <v>7119</v>
      </c>
      <c r="G1285" s="28">
        <v>0</v>
      </c>
    </row>
    <row r="1286" spans="1:7">
      <c r="A1286" s="28">
        <v>540140</v>
      </c>
      <c r="B1286" s="28" t="s">
        <v>8280</v>
      </c>
      <c r="C1286" s="28">
        <v>4</v>
      </c>
      <c r="D1286" s="28" t="s">
        <v>7060</v>
      </c>
      <c r="E1286" s="28" t="s">
        <v>7120</v>
      </c>
      <c r="F1286" s="28" t="s">
        <v>7121</v>
      </c>
      <c r="G1286" s="28">
        <v>0</v>
      </c>
    </row>
    <row r="1287" spans="1:7">
      <c r="A1287" s="28">
        <v>540150</v>
      </c>
      <c r="B1287" s="28" t="s">
        <v>8281</v>
      </c>
      <c r="C1287" s="28">
        <v>4</v>
      </c>
      <c r="D1287" s="28" t="s">
        <v>7060</v>
      </c>
      <c r="E1287" s="28" t="s">
        <v>7122</v>
      </c>
      <c r="F1287" s="28" t="s">
        <v>7123</v>
      </c>
      <c r="G1287" s="28">
        <v>0</v>
      </c>
    </row>
    <row r="1288" spans="1:7">
      <c r="A1288" s="28">
        <v>540160</v>
      </c>
      <c r="B1288" s="28" t="s">
        <v>8282</v>
      </c>
      <c r="C1288" s="28">
        <v>4</v>
      </c>
      <c r="D1288" s="28" t="s">
        <v>7060</v>
      </c>
      <c r="E1288" s="28" t="s">
        <v>7124</v>
      </c>
      <c r="F1288" s="28" t="s">
        <v>7125</v>
      </c>
      <c r="G1288" s="28">
        <v>0</v>
      </c>
    </row>
    <row r="1289" spans="1:7">
      <c r="A1289" s="28">
        <v>540170</v>
      </c>
      <c r="B1289" s="28" t="s">
        <v>8283</v>
      </c>
      <c r="C1289" s="28">
        <v>4</v>
      </c>
      <c r="D1289" s="28" t="s">
        <v>7060</v>
      </c>
      <c r="E1289" s="28" t="s">
        <v>7126</v>
      </c>
      <c r="F1289" s="28" t="s">
        <v>7127</v>
      </c>
      <c r="G1289" s="28">
        <v>0</v>
      </c>
    </row>
    <row r="1290" spans="1:7">
      <c r="A1290" s="28">
        <v>540180</v>
      </c>
      <c r="B1290" s="28" t="s">
        <v>8284</v>
      </c>
      <c r="C1290" s="28">
        <v>4</v>
      </c>
      <c r="D1290" s="28" t="s">
        <v>7060</v>
      </c>
      <c r="E1290" s="28" t="s">
        <v>7128</v>
      </c>
      <c r="F1290" s="28" t="s">
        <v>7129</v>
      </c>
      <c r="G1290" s="28">
        <v>0</v>
      </c>
    </row>
    <row r="1291" spans="1:7">
      <c r="A1291" s="28">
        <v>540190</v>
      </c>
      <c r="B1291" s="28" t="s">
        <v>8285</v>
      </c>
      <c r="C1291" s="28">
        <v>4</v>
      </c>
      <c r="D1291" s="28" t="s">
        <v>7060</v>
      </c>
      <c r="E1291" s="28" t="s">
        <v>7130</v>
      </c>
      <c r="F1291" s="28" t="s">
        <v>7131</v>
      </c>
      <c r="G1291" s="28">
        <v>0</v>
      </c>
    </row>
    <row r="1292" spans="1:7">
      <c r="A1292" s="28">
        <v>540200</v>
      </c>
      <c r="B1292" s="28" t="s">
        <v>8286</v>
      </c>
      <c r="C1292" s="28">
        <v>4</v>
      </c>
      <c r="D1292" s="28" t="s">
        <v>7060</v>
      </c>
      <c r="E1292" s="28" t="s">
        <v>7132</v>
      </c>
      <c r="F1292" s="28" t="s">
        <v>7133</v>
      </c>
      <c r="G1292" s="28">
        <v>0</v>
      </c>
    </row>
    <row r="1293" spans="1:7">
      <c r="A1293" s="28">
        <v>540210</v>
      </c>
      <c r="B1293" s="28" t="s">
        <v>8287</v>
      </c>
      <c r="C1293" s="28">
        <v>4</v>
      </c>
      <c r="D1293" s="28" t="s">
        <v>7060</v>
      </c>
      <c r="E1293" s="28" t="s">
        <v>7134</v>
      </c>
      <c r="F1293" s="28" t="s">
        <v>7135</v>
      </c>
      <c r="G1293" s="28">
        <v>0</v>
      </c>
    </row>
    <row r="1294" spans="1:7">
      <c r="A1294" s="28">
        <v>600001</v>
      </c>
      <c r="B1294" s="28" t="s">
        <v>6100</v>
      </c>
      <c r="C1294" s="28">
        <v>2</v>
      </c>
      <c r="D1294" s="28" t="s">
        <v>6100</v>
      </c>
      <c r="E1294" s="28" t="s"/>
      <c r="F1294" s="28" t="s">
        <v>6101</v>
      </c>
      <c r="G1294" s="28">
        <v>9999</v>
      </c>
    </row>
    <row r="1295" spans="1:7">
      <c r="A1295" s="28">
        <v>600002</v>
      </c>
      <c r="B1295" s="28" t="s">
        <v>6100</v>
      </c>
      <c r="C1295" s="28">
        <v>2</v>
      </c>
      <c r="D1295" s="28" t="s">
        <v>6100</v>
      </c>
      <c r="E1295" s="28" t="s"/>
      <c r="F1295" s="28" t="s">
        <v>6101</v>
      </c>
      <c r="G1295" s="28">
        <v>9999</v>
      </c>
    </row>
    <row r="1296" spans="1:7">
      <c r="A1296" s="28">
        <v>601011</v>
      </c>
      <c r="B1296" s="28" t="s">
        <v>6100</v>
      </c>
      <c r="C1296" s="28">
        <v>2</v>
      </c>
      <c r="D1296" s="28" t="s">
        <v>6100</v>
      </c>
      <c r="E1296" s="28" t="s"/>
      <c r="F1296" s="28" t="s">
        <v>6101</v>
      </c>
      <c r="G1296" s="28">
        <v>9999</v>
      </c>
    </row>
    <row r="1297" spans="1:7">
      <c r="A1297" s="28">
        <v>601021</v>
      </c>
      <c r="B1297" s="28" t="s">
        <v>6100</v>
      </c>
      <c r="C1297" s="28">
        <v>2</v>
      </c>
      <c r="D1297" s="28" t="s">
        <v>6100</v>
      </c>
      <c r="E1297" s="28" t="s"/>
      <c r="F1297" s="28" t="s">
        <v>6101</v>
      </c>
      <c r="G1297" s="28">
        <v>9999</v>
      </c>
    </row>
    <row r="1298" spans="1:7">
      <c r="A1298" s="28">
        <v>601031</v>
      </c>
      <c r="B1298" s="28" t="s">
        <v>6100</v>
      </c>
      <c r="C1298" s="28">
        <v>2</v>
      </c>
      <c r="D1298" s="28" t="s">
        <v>6100</v>
      </c>
      <c r="E1298" s="28" t="s"/>
      <c r="F1298" s="28" t="s">
        <v>6101</v>
      </c>
      <c r="G1298" s="28">
        <v>9999</v>
      </c>
    </row>
    <row r="1299" spans="1:7">
      <c r="A1299" s="28">
        <v>601041</v>
      </c>
      <c r="B1299" s="28" t="s">
        <v>6100</v>
      </c>
      <c r="C1299" s="28">
        <v>2</v>
      </c>
      <c r="D1299" s="28" t="s">
        <v>6100</v>
      </c>
      <c r="E1299" s="28" t="s"/>
      <c r="F1299" s="28" t="s">
        <v>6101</v>
      </c>
      <c r="G1299" s="28">
        <v>9999</v>
      </c>
    </row>
    <row r="1300" spans="1:7">
      <c r="A1300" s="28">
        <v>601051</v>
      </c>
      <c r="B1300" s="28" t="s">
        <v>6100</v>
      </c>
      <c r="C1300" s="28">
        <v>2</v>
      </c>
      <c r="D1300" s="28" t="s">
        <v>6100</v>
      </c>
      <c r="E1300" s="28" t="s"/>
      <c r="F1300" s="28" t="s">
        <v>6101</v>
      </c>
      <c r="G1300" s="28">
        <v>9999</v>
      </c>
    </row>
    <row r="1301" spans="1:7">
      <c r="A1301" s="28">
        <v>601061</v>
      </c>
      <c r="B1301" s="28" t="s">
        <v>6100</v>
      </c>
      <c r="C1301" s="28">
        <v>2</v>
      </c>
      <c r="D1301" s="28" t="s">
        <v>6100</v>
      </c>
      <c r="E1301" s="28" t="s"/>
      <c r="F1301" s="28" t="s">
        <v>6101</v>
      </c>
      <c r="G1301" s="28">
        <v>9999</v>
      </c>
    </row>
    <row r="1302" spans="1:7">
      <c r="A1302" s="28">
        <v>601071</v>
      </c>
      <c r="B1302" s="28" t="s">
        <v>6100</v>
      </c>
      <c r="C1302" s="28">
        <v>2</v>
      </c>
      <c r="D1302" s="28" t="s">
        <v>6100</v>
      </c>
      <c r="E1302" s="28" t="s"/>
      <c r="F1302" s="28" t="s">
        <v>6101</v>
      </c>
      <c r="G1302" s="28">
        <v>9999</v>
      </c>
    </row>
    <row r="1303" spans="1:7">
      <c r="A1303" s="28">
        <v>601081</v>
      </c>
      <c r="B1303" s="28" t="s">
        <v>6100</v>
      </c>
      <c r="C1303" s="28">
        <v>2</v>
      </c>
      <c r="D1303" s="28" t="s">
        <v>6100</v>
      </c>
      <c r="E1303" s="28" t="s"/>
      <c r="F1303" s="28" t="s">
        <v>6101</v>
      </c>
      <c r="G1303" s="28">
        <v>9999</v>
      </c>
    </row>
    <row r="1304" spans="1:7">
      <c r="A1304" s="28">
        <v>601091</v>
      </c>
      <c r="B1304" s="28" t="s">
        <v>6100</v>
      </c>
      <c r="C1304" s="28">
        <v>2</v>
      </c>
      <c r="D1304" s="28" t="s">
        <v>6100</v>
      </c>
      <c r="E1304" s="28" t="s"/>
      <c r="F1304" s="28" t="s">
        <v>6101</v>
      </c>
      <c r="G1304" s="28">
        <v>9999</v>
      </c>
    </row>
    <row r="1305" spans="1:7">
      <c r="A1305" s="28">
        <v>601101</v>
      </c>
      <c r="B1305" s="28" t="s">
        <v>6100</v>
      </c>
      <c r="C1305" s="28">
        <v>2</v>
      </c>
      <c r="D1305" s="28" t="s">
        <v>6100</v>
      </c>
      <c r="E1305" s="28" t="s"/>
      <c r="F1305" s="28" t="s">
        <v>6101</v>
      </c>
      <c r="G1305" s="28">
        <v>9999</v>
      </c>
    </row>
    <row r="1306" spans="1:7">
      <c r="A1306" s="28">
        <v>601111</v>
      </c>
      <c r="B1306" s="28" t="s">
        <v>6100</v>
      </c>
      <c r="C1306" s="28">
        <v>2</v>
      </c>
      <c r="D1306" s="28" t="s">
        <v>6100</v>
      </c>
      <c r="E1306" s="28" t="s"/>
      <c r="F1306" s="28" t="s">
        <v>6101</v>
      </c>
      <c r="G1306" s="28">
        <v>9999</v>
      </c>
    </row>
    <row r="1307" spans="1:7">
      <c r="A1307" s="28">
        <v>601121</v>
      </c>
      <c r="B1307" s="28" t="s">
        <v>6100</v>
      </c>
      <c r="C1307" s="28">
        <v>2</v>
      </c>
      <c r="D1307" s="28" t="s">
        <v>6100</v>
      </c>
      <c r="E1307" s="28" t="s"/>
      <c r="F1307" s="28" t="s">
        <v>6101</v>
      </c>
      <c r="G1307" s="28">
        <v>9999</v>
      </c>
    </row>
    <row r="1308" spans="1:7">
      <c r="A1308" s="28">
        <v>601131</v>
      </c>
      <c r="B1308" s="28" t="s">
        <v>6100</v>
      </c>
      <c r="C1308" s="28">
        <v>2</v>
      </c>
      <c r="D1308" s="28" t="s">
        <v>6100</v>
      </c>
      <c r="E1308" s="28" t="s"/>
      <c r="F1308" s="28" t="s">
        <v>6101</v>
      </c>
      <c r="G1308" s="28">
        <v>9999</v>
      </c>
    </row>
    <row r="1309" spans="1:7">
      <c r="A1309" s="28">
        <v>601141</v>
      </c>
      <c r="B1309" s="28" t="s">
        <v>6100</v>
      </c>
      <c r="C1309" s="28">
        <v>2</v>
      </c>
      <c r="D1309" s="28" t="s">
        <v>6100</v>
      </c>
      <c r="E1309" s="28" t="s"/>
      <c r="F1309" s="28" t="s">
        <v>6101</v>
      </c>
      <c r="G1309" s="28">
        <v>9999</v>
      </c>
    </row>
    <row r="1310" spans="1:7">
      <c r="A1310" s="28">
        <v>601151</v>
      </c>
      <c r="B1310" s="28" t="s">
        <v>6100</v>
      </c>
      <c r="C1310" s="28">
        <v>2</v>
      </c>
      <c r="D1310" s="28" t="s">
        <v>6100</v>
      </c>
      <c r="E1310" s="54" t="s"/>
      <c r="F1310" s="28" t="s">
        <v>6101</v>
      </c>
      <c r="G1310" s="28">
        <v>9999</v>
      </c>
    </row>
    <row r="1311" spans="1:7">
      <c r="A1311" s="28">
        <v>601161</v>
      </c>
      <c r="B1311" s="28" t="s">
        <v>6100</v>
      </c>
      <c r="C1311" s="28">
        <v>2</v>
      </c>
      <c r="D1311" s="28" t="s">
        <v>6100</v>
      </c>
      <c r="E1311" s="54" t="s"/>
      <c r="F1311" s="28" t="s">
        <v>6101</v>
      </c>
      <c r="G1311" s="28">
        <v>9999</v>
      </c>
    </row>
    <row r="1312" spans="1:7">
      <c r="A1312" s="28">
        <v>601171</v>
      </c>
      <c r="B1312" s="28" t="s">
        <v>6100</v>
      </c>
      <c r="C1312" s="28">
        <v>2</v>
      </c>
      <c r="D1312" s="28" t="s">
        <v>6100</v>
      </c>
      <c r="E1312" s="54" t="s"/>
      <c r="F1312" s="28" t="s">
        <v>6101</v>
      </c>
      <c r="G1312" s="28">
        <v>9999</v>
      </c>
    </row>
    <row r="1313" spans="1:7">
      <c r="A1313" s="28">
        <v>601181</v>
      </c>
      <c r="B1313" s="28" t="s">
        <v>6100</v>
      </c>
      <c r="C1313" s="28">
        <v>2</v>
      </c>
      <c r="D1313" s="28" t="s">
        <v>6100</v>
      </c>
      <c r="E1313" s="54" t="s"/>
      <c r="F1313" s="28" t="s">
        <v>6101</v>
      </c>
      <c r="G1313" s="28">
        <v>9999</v>
      </c>
    </row>
    <row r="1314" spans="1:7">
      <c r="A1314" s="28">
        <v>601191</v>
      </c>
      <c r="B1314" s="28" t="s">
        <v>6100</v>
      </c>
      <c r="C1314" s="28">
        <v>2</v>
      </c>
      <c r="D1314" s="28" t="s">
        <v>6100</v>
      </c>
      <c r="E1314" s="54" t="s"/>
      <c r="F1314" s="28" t="s">
        <v>6101</v>
      </c>
      <c r="G1314" s="28">
        <v>9999</v>
      </c>
    </row>
    <row r="1315" spans="1:7">
      <c r="A1315" s="28">
        <v>601201</v>
      </c>
      <c r="B1315" s="28" t="s">
        <v>6100</v>
      </c>
      <c r="C1315" s="28">
        <v>2</v>
      </c>
      <c r="D1315" s="28" t="s">
        <v>6100</v>
      </c>
      <c r="E1315" s="54" t="s"/>
      <c r="F1315" s="28" t="s">
        <v>6101</v>
      </c>
      <c r="G1315" s="28">
        <v>9999</v>
      </c>
    </row>
    <row r="1316" spans="1:7">
      <c r="A1316" s="28">
        <v>601211</v>
      </c>
      <c r="B1316" s="28" t="s">
        <v>6100</v>
      </c>
      <c r="C1316" s="28">
        <v>2</v>
      </c>
      <c r="D1316" s="28" t="s">
        <v>6100</v>
      </c>
      <c r="E1316" s="54" t="s"/>
      <c r="F1316" s="28" t="s">
        <v>6101</v>
      </c>
      <c r="G1316" s="28">
        <v>9999</v>
      </c>
    </row>
    <row r="1317" spans="1:7">
      <c r="A1317" s="28">
        <v>601221</v>
      </c>
      <c r="B1317" s="28" t="s">
        <v>6100</v>
      </c>
      <c r="C1317" s="28">
        <v>2</v>
      </c>
      <c r="D1317" s="28" t="s">
        <v>6100</v>
      </c>
      <c r="E1317" s="54" t="s"/>
      <c r="F1317" s="28" t="s">
        <v>6101</v>
      </c>
      <c r="G1317" s="28">
        <v>9999</v>
      </c>
    </row>
    <row r="1318" spans="1:7">
      <c r="A1318" s="28">
        <v>601231</v>
      </c>
      <c r="B1318" s="28" t="s">
        <v>6100</v>
      </c>
      <c r="C1318" s="28">
        <v>2</v>
      </c>
      <c r="D1318" s="28" t="s">
        <v>6100</v>
      </c>
      <c r="E1318" s="54" t="s"/>
      <c r="F1318" s="28" t="s">
        <v>6101</v>
      </c>
      <c r="G1318" s="28">
        <v>9999</v>
      </c>
    </row>
    <row r="1319" spans="1:7">
      <c r="A1319" s="28">
        <v>601241</v>
      </c>
      <c r="B1319" s="28" t="s">
        <v>6100</v>
      </c>
      <c r="C1319" s="28">
        <v>2</v>
      </c>
      <c r="D1319" s="28" t="s">
        <v>6100</v>
      </c>
      <c r="E1319" s="54" t="s"/>
      <c r="F1319" s="28" t="s">
        <v>6101</v>
      </c>
      <c r="G1319" s="28">
        <v>9999</v>
      </c>
    </row>
    <row r="1320" spans="1:7">
      <c r="A1320" s="28">
        <v>601251</v>
      </c>
      <c r="B1320" s="28" t="s">
        <v>6100</v>
      </c>
      <c r="C1320" s="28">
        <v>2</v>
      </c>
      <c r="D1320" s="28" t="s">
        <v>6100</v>
      </c>
      <c r="E1320" s="54" t="s"/>
      <c r="F1320" s="28" t="s">
        <v>6101</v>
      </c>
      <c r="G1320" s="28">
        <v>9999</v>
      </c>
    </row>
    <row r="1321" spans="1:7">
      <c r="A1321" s="28">
        <v>601261</v>
      </c>
      <c r="B1321" s="28" t="s">
        <v>6100</v>
      </c>
      <c r="C1321" s="28">
        <v>2</v>
      </c>
      <c r="D1321" s="28" t="s">
        <v>6100</v>
      </c>
      <c r="E1321" s="54" t="s"/>
      <c r="F1321" s="28" t="s">
        <v>6101</v>
      </c>
      <c r="G1321" s="28">
        <v>9999</v>
      </c>
    </row>
    <row r="1322" spans="1:7">
      <c r="A1322" s="28">
        <v>601271</v>
      </c>
      <c r="B1322" s="28" t="s">
        <v>6100</v>
      </c>
      <c r="C1322" s="28">
        <v>2</v>
      </c>
      <c r="D1322" s="28" t="s">
        <v>6100</v>
      </c>
      <c r="E1322" s="54" t="s"/>
      <c r="F1322" s="28" t="s">
        <v>6101</v>
      </c>
      <c r="G1322" s="28">
        <v>9999</v>
      </c>
    </row>
    <row r="1323" spans="1:7">
      <c r="A1323" s="28">
        <v>601281</v>
      </c>
      <c r="B1323" s="28" t="s">
        <v>6100</v>
      </c>
      <c r="C1323" s="28">
        <v>2</v>
      </c>
      <c r="D1323" s="28" t="s">
        <v>6100</v>
      </c>
      <c r="E1323" s="54" t="s"/>
      <c r="F1323" s="28" t="s">
        <v>6101</v>
      </c>
      <c r="G1323" s="28">
        <v>9999</v>
      </c>
    </row>
    <row r="1324" spans="1:7">
      <c r="A1324" s="28">
        <v>601291</v>
      </c>
      <c r="B1324" s="28" t="s">
        <v>6100</v>
      </c>
      <c r="C1324" s="28">
        <v>2</v>
      </c>
      <c r="D1324" s="28" t="s">
        <v>6100</v>
      </c>
      <c r="E1324" s="54" t="s"/>
      <c r="F1324" s="28" t="s">
        <v>6101</v>
      </c>
      <c r="G1324" s="28">
        <v>9999</v>
      </c>
    </row>
    <row r="1325" spans="1:7">
      <c r="A1325" s="28">
        <v>601301</v>
      </c>
      <c r="B1325" s="28" t="s">
        <v>6100</v>
      </c>
      <c r="C1325" s="28">
        <v>2</v>
      </c>
      <c r="D1325" s="28" t="s">
        <v>6100</v>
      </c>
      <c r="E1325" s="54" t="s"/>
      <c r="F1325" s="28" t="s">
        <v>6101</v>
      </c>
      <c r="G1325" s="28">
        <v>9999</v>
      </c>
    </row>
    <row r="1326" spans="1:7">
      <c r="A1326" s="28">
        <v>601311</v>
      </c>
      <c r="B1326" s="28" t="s">
        <v>6100</v>
      </c>
      <c r="C1326" s="28">
        <v>2</v>
      </c>
      <c r="D1326" s="28" t="s">
        <v>6100</v>
      </c>
      <c r="E1326" s="54" t="s"/>
      <c r="F1326" s="28" t="s">
        <v>6101</v>
      </c>
      <c r="G1326" s="28">
        <v>9999</v>
      </c>
    </row>
    <row r="1327" spans="1:7">
      <c r="A1327" s="28">
        <v>601321</v>
      </c>
      <c r="B1327" s="28" t="s">
        <v>6100</v>
      </c>
      <c r="C1327" s="28">
        <v>2</v>
      </c>
      <c r="D1327" s="28" t="s">
        <v>6100</v>
      </c>
      <c r="E1327" s="54" t="s"/>
      <c r="F1327" s="28" t="s">
        <v>6101</v>
      </c>
      <c r="G1327" s="28">
        <v>9999</v>
      </c>
    </row>
    <row r="1328" spans="1:7">
      <c r="A1328" s="28">
        <v>601331</v>
      </c>
      <c r="B1328" s="28" t="s">
        <v>6100</v>
      </c>
      <c r="C1328" s="28">
        <v>2</v>
      </c>
      <c r="D1328" s="28" t="s">
        <v>6100</v>
      </c>
      <c r="E1328" s="54" t="s"/>
      <c r="F1328" s="28" t="s">
        <v>6101</v>
      </c>
      <c r="G1328" s="28">
        <v>9999</v>
      </c>
    </row>
    <row r="1329" spans="1:7">
      <c r="A1329" s="28">
        <v>601341</v>
      </c>
      <c r="B1329" s="28" t="s">
        <v>6100</v>
      </c>
      <c r="C1329" s="28">
        <v>2</v>
      </c>
      <c r="D1329" s="28" t="s">
        <v>6100</v>
      </c>
      <c r="E1329" s="54" t="s"/>
      <c r="F1329" s="28" t="s">
        <v>6101</v>
      </c>
      <c r="G1329" s="28">
        <v>9999</v>
      </c>
    </row>
    <row r="1330" spans="1:7">
      <c r="A1330" s="28">
        <v>601351</v>
      </c>
      <c r="B1330" s="28" t="s">
        <v>6100</v>
      </c>
      <c r="C1330" s="28">
        <v>2</v>
      </c>
      <c r="D1330" s="28" t="s">
        <v>6100</v>
      </c>
      <c r="E1330" s="65" t="s"/>
      <c r="F1330" s="28" t="s">
        <v>6101</v>
      </c>
      <c r="G1330" s="28">
        <v>9999</v>
      </c>
    </row>
    <row r="1331" spans="1:7">
      <c r="A1331" s="28">
        <v>601361</v>
      </c>
      <c r="B1331" s="28" t="s">
        <v>6100</v>
      </c>
      <c r="C1331" s="28">
        <v>2</v>
      </c>
      <c r="D1331" s="28" t="s">
        <v>6100</v>
      </c>
      <c r="E1331" s="65" t="s"/>
      <c r="F1331" s="28" t="s">
        <v>6101</v>
      </c>
      <c r="G1331" s="28">
        <v>9999</v>
      </c>
    </row>
    <row r="1332" spans="1:7">
      <c r="A1332" s="28">
        <v>601371</v>
      </c>
      <c r="B1332" s="28" t="s">
        <v>6100</v>
      </c>
      <c r="C1332" s="28">
        <v>2</v>
      </c>
      <c r="D1332" s="28" t="s">
        <v>6100</v>
      </c>
      <c r="E1332" s="65" t="s"/>
      <c r="F1332" s="28" t="s">
        <v>6101</v>
      </c>
      <c r="G1332" s="28">
        <v>9999</v>
      </c>
    </row>
    <row r="1333" spans="1:7">
      <c r="A1333" s="28">
        <v>601381</v>
      </c>
      <c r="B1333" s="28" t="s">
        <v>6100</v>
      </c>
      <c r="C1333" s="28">
        <v>2</v>
      </c>
      <c r="D1333" s="28" t="s">
        <v>6100</v>
      </c>
      <c r="E1333" s="65" t="s"/>
      <c r="F1333" s="28" t="s">
        <v>6101</v>
      </c>
      <c r="G1333" s="28">
        <v>9999</v>
      </c>
    </row>
    <row r="1334" spans="1:7">
      <c r="A1334" s="28">
        <v>601391</v>
      </c>
      <c r="B1334" s="28" t="s">
        <v>6100</v>
      </c>
      <c r="C1334" s="28">
        <v>2</v>
      </c>
      <c r="D1334" s="28" t="s">
        <v>6100</v>
      </c>
      <c r="E1334" s="64" t="s"/>
      <c r="F1334" s="28" t="s">
        <v>6101</v>
      </c>
      <c r="G1334" s="28">
        <v>9999</v>
      </c>
    </row>
    <row r="1335" spans="1:7">
      <c r="A1335" s="28">
        <v>601401</v>
      </c>
      <c r="B1335" s="28" t="s">
        <v>6100</v>
      </c>
      <c r="C1335" s="28">
        <v>2</v>
      </c>
      <c r="D1335" s="54" t="s">
        <v>6100</v>
      </c>
      <c r="E1335" s="64" t="s"/>
      <c r="F1335" s="28" t="s">
        <v>6101</v>
      </c>
      <c r="G1335" s="28">
        <v>9999</v>
      </c>
    </row>
    <row r="1336" spans="1:7">
      <c r="A1336" s="28">
        <v>601411</v>
      </c>
      <c r="B1336" s="28" t="s">
        <v>6100</v>
      </c>
      <c r="C1336" s="28">
        <v>2</v>
      </c>
      <c r="D1336" s="28" t="s">
        <v>6100</v>
      </c>
      <c r="E1336" s="64" t="s"/>
      <c r="F1336" s="28" t="s">
        <v>6101</v>
      </c>
      <c r="G1336" s="28">
        <v>9999</v>
      </c>
    </row>
    <row r="1337" spans="1:7">
      <c r="A1337" s="28">
        <v>601421</v>
      </c>
      <c r="B1337" s="28" t="s">
        <v>6100</v>
      </c>
      <c r="C1337" s="28">
        <v>2</v>
      </c>
      <c r="D1337" s="28" t="s">
        <v>6100</v>
      </c>
      <c r="E1337" s="64" t="s"/>
      <c r="F1337" s="28" t="s">
        <v>6101</v>
      </c>
      <c r="G1337" s="28">
        <v>9999</v>
      </c>
    </row>
    <row r="1338" spans="1:7">
      <c r="A1338" s="28">
        <v>601431</v>
      </c>
      <c r="B1338" s="28" t="s">
        <v>6100</v>
      </c>
      <c r="C1338" s="28">
        <v>2</v>
      </c>
      <c r="D1338" s="28" t="s">
        <v>6100</v>
      </c>
      <c r="E1338" s="64" t="s"/>
      <c r="F1338" s="28" t="s">
        <v>6101</v>
      </c>
      <c r="G1338" s="28">
        <v>9999</v>
      </c>
    </row>
    <row r="1339" spans="1:7">
      <c r="A1339" s="28">
        <v>601441</v>
      </c>
      <c r="B1339" s="28" t="s">
        <v>6100</v>
      </c>
      <c r="C1339" s="28">
        <v>2</v>
      </c>
      <c r="D1339" s="28" t="s">
        <v>6100</v>
      </c>
      <c r="E1339" s="64" t="s"/>
      <c r="F1339" s="28" t="s">
        <v>6101</v>
      </c>
      <c r="G1339" s="28">
        <v>9999</v>
      </c>
    </row>
    <row r="1340" spans="1:7">
      <c r="A1340" s="28">
        <v>601451</v>
      </c>
      <c r="B1340" s="28" t="s">
        <v>6100</v>
      </c>
      <c r="C1340" s="28">
        <v>2</v>
      </c>
      <c r="D1340" s="28" t="s">
        <v>6100</v>
      </c>
      <c r="E1340" s="64" t="s"/>
      <c r="F1340" s="28" t="s">
        <v>6101</v>
      </c>
      <c r="G1340" s="28">
        <v>9999</v>
      </c>
    </row>
    <row r="1341" spans="1:7">
      <c r="A1341" s="28">
        <v>601461</v>
      </c>
      <c r="B1341" s="28" t="s">
        <v>6100</v>
      </c>
      <c r="C1341" s="28">
        <v>2</v>
      </c>
      <c r="D1341" s="54" t="s">
        <v>6100</v>
      </c>
      <c r="E1341" s="64" t="s"/>
      <c r="F1341" s="28" t="s">
        <v>6101</v>
      </c>
      <c r="G1341" s="28">
        <v>9999</v>
      </c>
    </row>
    <row r="1342" spans="1:7">
      <c r="A1342" s="28">
        <v>601471</v>
      </c>
      <c r="B1342" s="28" t="s">
        <v>6100</v>
      </c>
      <c r="C1342" s="28">
        <v>2</v>
      </c>
      <c r="D1342" s="54" t="s">
        <v>6100</v>
      </c>
      <c r="E1342" s="64" t="s"/>
      <c r="F1342" s="28" t="s">
        <v>6101</v>
      </c>
      <c r="G1342" s="28">
        <v>9999</v>
      </c>
    </row>
    <row r="1343" spans="1:7">
      <c r="A1343" s="28">
        <v>601481</v>
      </c>
      <c r="B1343" s="28" t="s">
        <v>6100</v>
      </c>
      <c r="C1343" s="28">
        <v>2</v>
      </c>
      <c r="D1343" s="54" t="s">
        <v>6100</v>
      </c>
      <c r="E1343" s="64" t="s"/>
      <c r="F1343" s="28" t="s">
        <v>6101</v>
      </c>
      <c r="G1343" s="28">
        <v>9999</v>
      </c>
    </row>
    <row r="1344" spans="1:7">
      <c r="A1344" s="28">
        <v>601491</v>
      </c>
      <c r="B1344" s="28" t="s">
        <v>6100</v>
      </c>
      <c r="C1344" s="28">
        <v>2</v>
      </c>
      <c r="D1344" s="54" t="s">
        <v>6100</v>
      </c>
      <c r="E1344" s="64" t="s"/>
      <c r="F1344" s="28" t="s">
        <v>6101</v>
      </c>
      <c r="G1344" s="28">
        <v>9999</v>
      </c>
    </row>
    <row r="1345" spans="1:7">
      <c r="A1345" s="28">
        <v>610001</v>
      </c>
      <c r="B1345" s="28" t="s">
        <v>6100</v>
      </c>
      <c r="C1345" s="28">
        <v>2</v>
      </c>
      <c r="D1345" s="54" t="s">
        <v>6100</v>
      </c>
      <c r="E1345" s="64" t="s"/>
      <c r="F1345" s="28" t="s">
        <v>6101</v>
      </c>
      <c r="G1345" s="28">
        <v>9999</v>
      </c>
    </row>
    <row r="1346" spans="1:7">
      <c r="A1346" s="28">
        <v>701000</v>
      </c>
      <c r="B1346" s="28" t="s">
        <v>7766</v>
      </c>
      <c r="C1346" s="28">
        <v>1</v>
      </c>
      <c r="D1346" s="54" t="s">
        <v>7767</v>
      </c>
      <c r="E1346" s="64" t="s"/>
      <c r="F1346" s="28" t="s">
        <v>7768</v>
      </c>
      <c r="G1346" s="28">
        <v>1</v>
      </c>
    </row>
    <row r="1347" spans="1:7">
      <c r="A1347" s="28">
        <v>701001</v>
      </c>
      <c r="B1347" s="28" t="s">
        <v>8288</v>
      </c>
      <c r="C1347" s="28">
        <v>1</v>
      </c>
      <c r="D1347" s="54" t="s">
        <v>8289</v>
      </c>
      <c r="E1347" s="64" t="s"/>
      <c r="F1347" s="28" t="s">
        <v>7768</v>
      </c>
      <c r="G1347" s="28">
        <v>1</v>
      </c>
    </row>
    <row r="1348" spans="1:7">
      <c r="A1348" s="28">
        <v>701002</v>
      </c>
      <c r="B1348" s="28" t="s">
        <v>8290</v>
      </c>
      <c r="C1348" s="28">
        <v>1</v>
      </c>
      <c r="D1348" s="54" t="s">
        <v>8291</v>
      </c>
      <c r="E1348" s="64" t="s"/>
      <c r="F1348" s="28" t="s">
        <v>7768</v>
      </c>
      <c r="G1348" s="28">
        <v>1</v>
      </c>
    </row>
    <row r="1349" spans="1:7">
      <c r="A1349" s="28">
        <v>701003</v>
      </c>
      <c r="B1349" s="28" t="s">
        <v>8292</v>
      </c>
      <c r="C1349" s="28">
        <v>1</v>
      </c>
      <c r="D1349" s="54" t="s">
        <v>8293</v>
      </c>
      <c r="E1349" s="64" t="s"/>
      <c r="F1349" s="28" t="s">
        <v>7768</v>
      </c>
      <c r="G1349" s="28">
        <v>1</v>
      </c>
    </row>
    <row r="1350" spans="1:7">
      <c r="A1350" s="28">
        <v>701004</v>
      </c>
      <c r="B1350" s="28" t="s">
        <v>8294</v>
      </c>
      <c r="C1350" s="28">
        <v>1</v>
      </c>
      <c r="D1350" s="54" t="s">
        <v>8295</v>
      </c>
      <c r="E1350" s="64" t="s"/>
      <c r="F1350" s="28" t="s">
        <v>7768</v>
      </c>
      <c r="G1350" s="28">
        <v>1</v>
      </c>
    </row>
    <row r="1351" spans="1:7">
      <c r="A1351" s="28">
        <v>701005</v>
      </c>
      <c r="B1351" s="28" t="s">
        <v>8296</v>
      </c>
      <c r="C1351" s="28">
        <v>1</v>
      </c>
      <c r="D1351" s="54" t="s">
        <v>8297</v>
      </c>
      <c r="E1351" s="64" t="s"/>
      <c r="F1351" s="28" t="s">
        <v>7768</v>
      </c>
      <c r="G1351" s="28">
        <v>1</v>
      </c>
    </row>
    <row r="1352" spans="1:7">
      <c r="A1352" s="28">
        <v>701006</v>
      </c>
      <c r="B1352" s="28" t="s">
        <v>8298</v>
      </c>
      <c r="C1352" s="28">
        <v>1</v>
      </c>
      <c r="D1352" s="54" t="s">
        <v>8299</v>
      </c>
      <c r="E1352" s="64" t="s"/>
      <c r="F1352" s="28" t="s">
        <v>7768</v>
      </c>
      <c r="G1352" s="28">
        <v>1</v>
      </c>
    </row>
    <row r="1353" spans="1:7">
      <c r="A1353" s="28">
        <v>701007</v>
      </c>
      <c r="B1353" s="28" t="s">
        <v>8300</v>
      </c>
      <c r="C1353" s="28">
        <v>1</v>
      </c>
      <c r="D1353" s="54" t="s">
        <v>8301</v>
      </c>
      <c r="E1353" s="64" t="s"/>
      <c r="F1353" s="28" t="s">
        <v>7768</v>
      </c>
      <c r="G1353" s="28">
        <v>1</v>
      </c>
    </row>
    <row r="1354" spans="1:7">
      <c r="A1354" s="28">
        <v>701008</v>
      </c>
      <c r="B1354" s="28" t="s">
        <v>8302</v>
      </c>
      <c r="C1354" s="28">
        <v>1</v>
      </c>
      <c r="D1354" s="54" t="s">
        <v>8303</v>
      </c>
      <c r="E1354" s="64" t="s"/>
      <c r="F1354" s="28" t="s">
        <v>7768</v>
      </c>
      <c r="G1354" s="28">
        <v>1</v>
      </c>
    </row>
    <row r="1355" spans="1:7">
      <c r="A1355" s="28">
        <v>701009</v>
      </c>
      <c r="B1355" s="28" t="s">
        <v>8304</v>
      </c>
      <c r="C1355" s="28">
        <v>1</v>
      </c>
      <c r="D1355" s="54" t="s">
        <v>8305</v>
      </c>
      <c r="E1355" s="64" t="s"/>
      <c r="F1355" s="28" t="s">
        <v>7768</v>
      </c>
      <c r="G1355" s="28">
        <v>1</v>
      </c>
    </row>
    <row r="1356" spans="1:7">
      <c r="A1356" s="28">
        <v>702001</v>
      </c>
      <c r="B1356" s="28" t="s">
        <v>8306</v>
      </c>
      <c r="C1356" s="28">
        <v>2</v>
      </c>
      <c r="D1356" s="54" t="s">
        <v>8307</v>
      </c>
      <c r="E1356" s="64" t="s"/>
      <c r="F1356" s="28" t="s">
        <v>8308</v>
      </c>
      <c r="G1356" s="28">
        <v>1</v>
      </c>
    </row>
    <row r="1357" spans="1:7">
      <c r="A1357" s="28">
        <v>702002</v>
      </c>
      <c r="B1357" s="28" t="s">
        <v>8309</v>
      </c>
      <c r="C1357" s="28">
        <v>2</v>
      </c>
      <c r="D1357" s="54" t="s">
        <v>8310</v>
      </c>
      <c r="E1357" s="64" t="s"/>
      <c r="F1357" s="28" t="s">
        <v>8308</v>
      </c>
      <c r="G1357" s="28">
        <v>1</v>
      </c>
    </row>
    <row r="1358" spans="1:7">
      <c r="A1358" s="28">
        <v>702003</v>
      </c>
      <c r="B1358" s="28" t="s">
        <v>8311</v>
      </c>
      <c r="C1358" s="28">
        <v>2</v>
      </c>
      <c r="D1358" s="54" t="s">
        <v>8312</v>
      </c>
      <c r="E1358" s="64" t="s"/>
      <c r="F1358" s="28" t="s">
        <v>8308</v>
      </c>
      <c r="G1358" s="28">
        <v>1</v>
      </c>
    </row>
    <row r="1359" spans="1:7">
      <c r="A1359" s="28">
        <v>702004</v>
      </c>
      <c r="B1359" s="28" t="s">
        <v>8313</v>
      </c>
      <c r="C1359" s="28">
        <v>2</v>
      </c>
      <c r="D1359" s="54" t="s">
        <v>8314</v>
      </c>
      <c r="E1359" s="64" t="s"/>
      <c r="F1359" s="28" t="s">
        <v>8308</v>
      </c>
      <c r="G1359" s="28">
        <v>1</v>
      </c>
    </row>
    <row r="1360" spans="1:7">
      <c r="A1360" s="28">
        <v>702005</v>
      </c>
      <c r="B1360" s="28" t="s">
        <v>8315</v>
      </c>
      <c r="C1360" s="28">
        <v>2</v>
      </c>
      <c r="D1360" s="54" t="s">
        <v>8316</v>
      </c>
      <c r="E1360" s="64" t="s"/>
      <c r="F1360" s="28" t="s">
        <v>8308</v>
      </c>
      <c r="G1360" s="28">
        <v>1</v>
      </c>
    </row>
    <row r="1361" spans="1:7">
      <c r="A1361" s="28">
        <v>702006</v>
      </c>
      <c r="B1361" s="28" t="s">
        <v>8317</v>
      </c>
      <c r="C1361" s="28">
        <v>2</v>
      </c>
      <c r="D1361" s="54" t="s">
        <v>8318</v>
      </c>
      <c r="E1361" s="64" t="s"/>
      <c r="F1361" s="28" t="s">
        <v>8308</v>
      </c>
      <c r="G1361" s="28">
        <v>1</v>
      </c>
    </row>
    <row r="1362" spans="1:7">
      <c r="A1362" s="28">
        <v>702007</v>
      </c>
      <c r="B1362" s="28" t="s">
        <v>8319</v>
      </c>
      <c r="C1362" s="28">
        <v>2</v>
      </c>
      <c r="D1362" s="54" t="s">
        <v>8320</v>
      </c>
      <c r="E1362" s="64" t="s"/>
      <c r="F1362" s="28" t="s">
        <v>8308</v>
      </c>
      <c r="G1362" s="28">
        <v>1</v>
      </c>
    </row>
    <row r="1363" spans="1:7">
      <c r="A1363" s="28">
        <v>702008</v>
      </c>
      <c r="B1363" s="28" t="s">
        <v>8321</v>
      </c>
      <c r="C1363" s="28">
        <v>2</v>
      </c>
      <c r="D1363" s="54" t="s">
        <v>8322</v>
      </c>
      <c r="E1363" s="64" t="s"/>
      <c r="F1363" s="28" t="s">
        <v>8308</v>
      </c>
      <c r="G1363" s="28">
        <v>1</v>
      </c>
    </row>
    <row r="1364" spans="1:7">
      <c r="A1364" s="28">
        <v>702009</v>
      </c>
      <c r="B1364" s="28" t="s">
        <v>8323</v>
      </c>
      <c r="C1364" s="28">
        <v>2</v>
      </c>
      <c r="D1364" s="54" t="s">
        <v>8324</v>
      </c>
      <c r="E1364" s="64" t="s"/>
      <c r="F1364" s="28" t="s">
        <v>8308</v>
      </c>
      <c r="G1364" s="28">
        <v>1</v>
      </c>
    </row>
    <row r="1365" spans="1:7">
      <c r="A1365" s="28">
        <v>702010</v>
      </c>
      <c r="B1365" s="28" t="s">
        <v>8325</v>
      </c>
      <c r="C1365" s="28">
        <v>2</v>
      </c>
      <c r="D1365" s="28" t="s">
        <v>8326</v>
      </c>
      <c r="E1365" s="64" t="s"/>
      <c r="F1365" s="28" t="s">
        <v>8308</v>
      </c>
      <c r="G1365" s="28">
        <v>1</v>
      </c>
    </row>
    <row r="1366" spans="1:7">
      <c r="A1366" s="28">
        <v>702011</v>
      </c>
      <c r="B1366" s="28" t="s">
        <v>8327</v>
      </c>
      <c r="C1366" s="28">
        <v>2</v>
      </c>
      <c r="D1366" s="28" t="s">
        <v>8328</v>
      </c>
      <c r="E1366" s="64" t="s"/>
      <c r="F1366" s="28" t="s">
        <v>8308</v>
      </c>
      <c r="G1366" s="28">
        <v>1</v>
      </c>
    </row>
    <row r="1367" spans="1:7">
      <c r="A1367" s="28">
        <v>702012</v>
      </c>
      <c r="B1367" s="28" t="s">
        <v>8329</v>
      </c>
      <c r="C1367" s="28">
        <v>2</v>
      </c>
      <c r="D1367" s="28" t="s">
        <v>8330</v>
      </c>
      <c r="E1367" s="64" t="s"/>
      <c r="F1367" s="28" t="s">
        <v>8308</v>
      </c>
      <c r="G1367" s="28">
        <v>1</v>
      </c>
    </row>
    <row r="1368" spans="1:7">
      <c r="A1368" s="28">
        <v>702013</v>
      </c>
      <c r="B1368" s="28" t="s">
        <v>8331</v>
      </c>
      <c r="C1368" s="28">
        <v>2</v>
      </c>
      <c r="D1368" s="28" t="s">
        <v>8332</v>
      </c>
      <c r="E1368" s="64" t="s"/>
      <c r="F1368" s="28" t="s">
        <v>8308</v>
      </c>
      <c r="G1368" s="28">
        <v>1</v>
      </c>
    </row>
    <row r="1369" spans="1:7">
      <c r="A1369" s="28">
        <v>703001</v>
      </c>
      <c r="B1369" s="28" t="s">
        <v>8333</v>
      </c>
      <c r="C1369" s="28">
        <v>3</v>
      </c>
      <c r="D1369" s="28" t="s">
        <v>8334</v>
      </c>
      <c r="E1369" s="28" t="s"/>
      <c r="F1369" s="28" t="s">
        <v>8335</v>
      </c>
      <c r="G1369" s="28">
        <v>1</v>
      </c>
    </row>
    <row r="1370" spans="1:7">
      <c r="A1370" s="28">
        <v>703002</v>
      </c>
      <c r="B1370" s="28" t="s">
        <v>8336</v>
      </c>
      <c r="C1370" s="28">
        <v>3</v>
      </c>
      <c r="D1370" s="28" t="s">
        <v>8337</v>
      </c>
      <c r="E1370" s="28" t="s"/>
      <c r="F1370" s="28" t="s">
        <v>8335</v>
      </c>
      <c r="G1370" s="28">
        <v>1</v>
      </c>
    </row>
    <row r="1371" spans="1:7">
      <c r="A1371" s="28">
        <v>703003</v>
      </c>
      <c r="B1371" s="28" t="s">
        <v>8338</v>
      </c>
      <c r="C1371" s="28">
        <v>3</v>
      </c>
      <c r="D1371" s="28" t="s">
        <v>8339</v>
      </c>
      <c r="E1371" s="28" t="s"/>
      <c r="F1371" s="28" t="s">
        <v>8335</v>
      </c>
      <c r="G1371" s="28">
        <v>1</v>
      </c>
    </row>
    <row r="1372" spans="1:7">
      <c r="A1372" s="28">
        <v>703004</v>
      </c>
      <c r="B1372" s="28" t="s">
        <v>8340</v>
      </c>
      <c r="C1372" s="28">
        <v>3</v>
      </c>
      <c r="D1372" s="28" t="s">
        <v>8341</v>
      </c>
      <c r="E1372" s="28" t="s"/>
      <c r="F1372" s="28" t="s">
        <v>8335</v>
      </c>
      <c r="G1372" s="28">
        <v>1</v>
      </c>
    </row>
    <row r="1373" spans="1:7">
      <c r="A1373" s="28">
        <v>703005</v>
      </c>
      <c r="B1373" s="28" t="s">
        <v>8342</v>
      </c>
      <c r="C1373" s="28">
        <v>3</v>
      </c>
      <c r="D1373" s="28" t="s">
        <v>8343</v>
      </c>
      <c r="E1373" s="28" t="s"/>
      <c r="F1373" s="28" t="s">
        <v>8335</v>
      </c>
      <c r="G1373" s="28">
        <v>1</v>
      </c>
    </row>
    <row r="1374" spans="1:7">
      <c r="A1374" s="28">
        <v>703006</v>
      </c>
      <c r="B1374" s="54" t="s">
        <v>8344</v>
      </c>
      <c r="C1374" s="28">
        <v>3</v>
      </c>
      <c r="D1374" s="54" t="s">
        <v>8345</v>
      </c>
      <c r="E1374" s="28" t="s"/>
      <c r="F1374" s="28" t="s">
        <v>8335</v>
      </c>
      <c r="G1374" s="28">
        <v>1</v>
      </c>
    </row>
    <row r="1375" spans="1:7">
      <c r="A1375" s="28">
        <v>703007</v>
      </c>
      <c r="B1375" s="28" t="s">
        <v>8346</v>
      </c>
      <c r="C1375" s="28">
        <v>3</v>
      </c>
      <c r="D1375" s="28" t="s">
        <v>8347</v>
      </c>
      <c r="E1375" s="28" t="s"/>
      <c r="F1375" s="28" t="s">
        <v>8335</v>
      </c>
      <c r="G1375" s="28">
        <v>1</v>
      </c>
    </row>
    <row r="1376" spans="1:7">
      <c r="A1376" s="28">
        <v>703008</v>
      </c>
      <c r="B1376" s="28" t="s">
        <v>8348</v>
      </c>
      <c r="C1376" s="28">
        <v>3</v>
      </c>
      <c r="D1376" s="28" t="s">
        <v>8349</v>
      </c>
      <c r="E1376" s="28" t="s"/>
      <c r="F1376" s="28" t="s">
        <v>8335</v>
      </c>
      <c r="G1376" s="28">
        <v>1</v>
      </c>
    </row>
    <row r="1377" spans="1:7">
      <c r="A1377" s="28">
        <v>703009</v>
      </c>
      <c r="B1377" s="28" t="s">
        <v>8350</v>
      </c>
      <c r="C1377" s="28">
        <v>3</v>
      </c>
      <c r="D1377" s="28" t="s">
        <v>8351</v>
      </c>
      <c r="E1377" s="28" t="s"/>
      <c r="F1377" s="28" t="s">
        <v>8335</v>
      </c>
      <c r="G1377" s="28">
        <v>1</v>
      </c>
    </row>
    <row r="1378" spans="1:7">
      <c r="A1378" s="28">
        <v>703010</v>
      </c>
      <c r="B1378" s="54" t="s">
        <v>8352</v>
      </c>
      <c r="C1378" s="28">
        <v>3</v>
      </c>
      <c r="D1378" s="54" t="s">
        <v>8353</v>
      </c>
      <c r="E1378" s="28" t="s"/>
      <c r="F1378" s="28" t="s">
        <v>8335</v>
      </c>
      <c r="G1378" s="28">
        <v>1</v>
      </c>
    </row>
    <row r="1379" spans="1:7">
      <c r="A1379" s="28">
        <v>703011</v>
      </c>
      <c r="B1379" s="28" t="s">
        <v>8354</v>
      </c>
      <c r="C1379" s="28">
        <v>3</v>
      </c>
      <c r="D1379" s="28" t="s">
        <v>8355</v>
      </c>
      <c r="E1379" s="28" t="s"/>
      <c r="F1379" s="28" t="s">
        <v>8335</v>
      </c>
      <c r="G1379" s="28">
        <v>1</v>
      </c>
    </row>
    <row r="1380" spans="1:7">
      <c r="A1380" s="28">
        <v>703012</v>
      </c>
      <c r="B1380" s="28" t="s">
        <v>8356</v>
      </c>
      <c r="C1380" s="28">
        <v>3</v>
      </c>
      <c r="D1380" s="54" t="s">
        <v>8357</v>
      </c>
      <c r="E1380" s="28" t="s"/>
      <c r="F1380" s="28" t="s">
        <v>8335</v>
      </c>
      <c r="G1380" s="28">
        <v>1</v>
      </c>
    </row>
    <row r="1381" spans="1:7">
      <c r="A1381" s="28">
        <v>703013</v>
      </c>
      <c r="B1381" s="54" t="s">
        <v>8358</v>
      </c>
      <c r="C1381" s="28">
        <v>3</v>
      </c>
      <c r="D1381" s="54" t="s">
        <v>8359</v>
      </c>
      <c r="E1381" s="28" t="s"/>
      <c r="F1381" s="28" t="s">
        <v>8335</v>
      </c>
      <c r="G1381" s="28">
        <v>1</v>
      </c>
    </row>
    <row r="1382" spans="1:7">
      <c r="A1382" s="28">
        <v>703014</v>
      </c>
      <c r="B1382" s="54" t="s">
        <v>8360</v>
      </c>
      <c r="C1382" s="28">
        <v>3</v>
      </c>
      <c r="D1382" s="54" t="s">
        <v>8361</v>
      </c>
      <c r="E1382" s="28" t="s"/>
      <c r="F1382" s="28" t="s">
        <v>8335</v>
      </c>
      <c r="G1382" s="28">
        <v>1</v>
      </c>
    </row>
    <row r="1383" spans="1:7">
      <c r="A1383" s="28">
        <v>703015</v>
      </c>
      <c r="B1383" s="54" t="s">
        <v>8362</v>
      </c>
      <c r="C1383" s="28">
        <v>3</v>
      </c>
      <c r="D1383" s="54" t="s">
        <v>8363</v>
      </c>
      <c r="E1383" s="28" t="s"/>
      <c r="F1383" s="28" t="s">
        <v>8335</v>
      </c>
      <c r="G1383" s="28">
        <v>1</v>
      </c>
    </row>
    <row r="1384" spans="1:7">
      <c r="A1384" s="28">
        <v>703016</v>
      </c>
      <c r="B1384" s="28" t="s">
        <v>8364</v>
      </c>
      <c r="C1384" s="28">
        <v>3</v>
      </c>
      <c r="D1384" s="54" t="s">
        <v>8365</v>
      </c>
      <c r="E1384" s="28" t="s"/>
      <c r="F1384" s="28" t="s">
        <v>8335</v>
      </c>
      <c r="G1384" s="28">
        <v>1</v>
      </c>
    </row>
    <row r="1385" spans="1:7">
      <c r="A1385" s="28">
        <v>831020</v>
      </c>
      <c r="B1385" s="28" t="s">
        <v>5968</v>
      </c>
      <c r="C1385" s="28">
        <v>2</v>
      </c>
      <c r="D1385" s="54" t="s"/>
      <c r="E1385" s="28" t="s">
        <v>5971</v>
      </c>
      <c r="F1385" s="28" t="s">
        <v>6702</v>
      </c>
      <c r="G1385" s="28">
        <v>0</v>
      </c>
    </row>
    <row r="1386" spans="1:7">
      <c r="A1386" s="28">
        <v>831030</v>
      </c>
      <c r="B1386" s="28" t="s">
        <v>5968</v>
      </c>
      <c r="C1386" s="28">
        <v>3</v>
      </c>
      <c r="D1386" s="54" t="s"/>
      <c r="E1386" s="28" t="s">
        <v>5971</v>
      </c>
      <c r="F1386" s="28" t="s">
        <v>6713</v>
      </c>
      <c r="G1386" s="28">
        <v>0</v>
      </c>
    </row>
    <row r="1387" spans="1:7">
      <c r="A1387" s="28">
        <v>831040</v>
      </c>
      <c r="B1387" s="28" t="s">
        <v>5968</v>
      </c>
      <c r="C1387" s="28">
        <v>4</v>
      </c>
      <c r="D1387" s="54" t="s"/>
      <c r="E1387" s="28" t="s">
        <v>5971</v>
      </c>
      <c r="F1387" s="28" t="s">
        <v>6714</v>
      </c>
      <c r="G1387" s="28">
        <v>0</v>
      </c>
    </row>
    <row r="1388" spans="1:7">
      <c r="A1388" s="28">
        <v>831120</v>
      </c>
      <c r="B1388" s="28" t="s">
        <v>5974</v>
      </c>
      <c r="C1388" s="28">
        <v>2</v>
      </c>
      <c r="D1388" s="54" t="s"/>
      <c r="E1388" s="28" t="s">
        <v>5977</v>
      </c>
      <c r="F1388" s="28" t="s">
        <v>6717</v>
      </c>
      <c r="G1388" s="28">
        <v>0</v>
      </c>
    </row>
    <row r="1389" spans="1:7">
      <c r="A1389" s="28">
        <v>831130</v>
      </c>
      <c r="B1389" s="28" t="s">
        <v>5974</v>
      </c>
      <c r="C1389" s="28">
        <v>3</v>
      </c>
      <c r="D1389" s="54" t="s"/>
      <c r="E1389" s="28" t="s">
        <v>5977</v>
      </c>
      <c r="F1389" s="28" t="s">
        <v>6728</v>
      </c>
      <c r="G1389" s="28">
        <v>0</v>
      </c>
    </row>
    <row r="1390" spans="1:7">
      <c r="A1390" s="28">
        <v>831140</v>
      </c>
      <c r="B1390" s="28" t="s">
        <v>5974</v>
      </c>
      <c r="C1390" s="28">
        <v>4</v>
      </c>
      <c r="D1390" s="54" t="s"/>
      <c r="E1390" s="28" t="s">
        <v>5977</v>
      </c>
      <c r="F1390" s="28" t="s">
        <v>6729</v>
      </c>
      <c r="G1390" s="28">
        <v>0</v>
      </c>
    </row>
    <row r="1391" spans="1:7">
      <c r="A1391" s="28">
        <v>831220</v>
      </c>
      <c r="B1391" s="28" t="s">
        <v>5980</v>
      </c>
      <c r="C1391" s="28">
        <v>2</v>
      </c>
      <c r="D1391" s="54" t="s"/>
      <c r="E1391" s="28" t="s">
        <v>5983</v>
      </c>
      <c r="F1391" s="28" t="s">
        <v>6732</v>
      </c>
      <c r="G1391" s="28">
        <v>0</v>
      </c>
    </row>
    <row r="1392" spans="1:7">
      <c r="A1392" s="28">
        <v>831230</v>
      </c>
      <c r="B1392" s="28" t="s">
        <v>5980</v>
      </c>
      <c r="C1392" s="28">
        <v>3</v>
      </c>
      <c r="D1392" s="54" t="s"/>
      <c r="E1392" s="28" t="s">
        <v>5983</v>
      </c>
      <c r="F1392" s="28" t="s">
        <v>6743</v>
      </c>
      <c r="G1392" s="28">
        <v>0</v>
      </c>
    </row>
    <row r="1393" spans="1:7">
      <c r="A1393" s="28">
        <v>831240</v>
      </c>
      <c r="B1393" s="28" t="s">
        <v>5980</v>
      </c>
      <c r="C1393" s="28">
        <v>4</v>
      </c>
      <c r="D1393" s="54" t="s"/>
      <c r="E1393" s="28" t="s">
        <v>5983</v>
      </c>
      <c r="F1393" s="28" t="s">
        <v>6744</v>
      </c>
      <c r="G1393" s="28">
        <v>0</v>
      </c>
    </row>
    <row r="1394" spans="1:7">
      <c r="A1394" s="28">
        <v>831320</v>
      </c>
      <c r="B1394" s="28" t="s">
        <v>5986</v>
      </c>
      <c r="C1394" s="28">
        <v>2</v>
      </c>
      <c r="D1394" s="54" t="s"/>
      <c r="E1394" s="28" t="s">
        <v>5989</v>
      </c>
      <c r="F1394" s="28" t="s">
        <v>6747</v>
      </c>
      <c r="G1394" s="28">
        <v>0</v>
      </c>
    </row>
    <row r="1395" spans="1:7">
      <c r="A1395" s="28">
        <v>831330</v>
      </c>
      <c r="B1395" s="28" t="s">
        <v>5986</v>
      </c>
      <c r="C1395" s="28">
        <v>3</v>
      </c>
      <c r="D1395" s="54" t="s"/>
      <c r="E1395" s="28" t="s">
        <v>5989</v>
      </c>
      <c r="F1395" s="28" t="s">
        <v>6758</v>
      </c>
      <c r="G1395" s="28">
        <v>0</v>
      </c>
    </row>
    <row r="1396" spans="1:7">
      <c r="A1396" s="28">
        <v>831340</v>
      </c>
      <c r="B1396" s="28" t="s">
        <v>5986</v>
      </c>
      <c r="C1396" s="28">
        <v>4</v>
      </c>
      <c r="D1396" s="54" t="s"/>
      <c r="E1396" s="28" t="s">
        <v>5989</v>
      </c>
      <c r="F1396" s="28" t="s">
        <v>6759</v>
      </c>
      <c r="G1396" s="28">
        <v>0</v>
      </c>
    </row>
    <row r="1397" spans="1:7">
      <c r="A1397" s="28">
        <v>831420</v>
      </c>
      <c r="B1397" s="28" t="s">
        <v>5992</v>
      </c>
      <c r="C1397" s="28">
        <v>2</v>
      </c>
      <c r="D1397" s="54" t="s"/>
      <c r="E1397" s="28" t="s">
        <v>5995</v>
      </c>
      <c r="F1397" s="28" t="s">
        <v>6762</v>
      </c>
      <c r="G1397" s="28">
        <v>0</v>
      </c>
    </row>
    <row r="1398" spans="1:7">
      <c r="A1398" s="28">
        <v>831430</v>
      </c>
      <c r="B1398" s="28" t="s">
        <v>5992</v>
      </c>
      <c r="C1398" s="28">
        <v>3</v>
      </c>
      <c r="D1398" s="54" t="s"/>
      <c r="E1398" s="28" t="s">
        <v>5995</v>
      </c>
      <c r="F1398" s="28" t="s">
        <v>6773</v>
      </c>
      <c r="G1398" s="28">
        <v>0</v>
      </c>
    </row>
    <row r="1399" spans="1:7">
      <c r="A1399" s="28">
        <v>831440</v>
      </c>
      <c r="B1399" s="28" t="s">
        <v>5992</v>
      </c>
      <c r="C1399" s="28">
        <v>4</v>
      </c>
      <c r="D1399" s="54" t="s"/>
      <c r="E1399" s="28" t="s">
        <v>5995</v>
      </c>
      <c r="F1399" s="28" t="s">
        <v>6774</v>
      </c>
      <c r="G1399" s="28">
        <v>0</v>
      </c>
    </row>
    <row r="1400" spans="1:7">
      <c r="A1400" s="28">
        <v>831520</v>
      </c>
      <c r="B1400" s="28" t="s">
        <v>5998</v>
      </c>
      <c r="C1400" s="28">
        <v>2</v>
      </c>
      <c r="D1400" s="54" t="s"/>
      <c r="E1400" s="28" t="s">
        <v>6001</v>
      </c>
      <c r="F1400" s="28" t="s">
        <v>6777</v>
      </c>
      <c r="G1400" s="28">
        <v>0</v>
      </c>
    </row>
    <row r="1401" spans="1:7">
      <c r="A1401" s="28">
        <v>831530</v>
      </c>
      <c r="B1401" s="28" t="s">
        <v>5998</v>
      </c>
      <c r="C1401" s="28">
        <v>3</v>
      </c>
      <c r="D1401" s="54" t="s"/>
      <c r="E1401" s="28" t="s">
        <v>6001</v>
      </c>
      <c r="F1401" s="28" t="s">
        <v>6788</v>
      </c>
      <c r="G1401" s="28">
        <v>0</v>
      </c>
    </row>
    <row r="1402" spans="1:7">
      <c r="A1402" s="28">
        <v>831540</v>
      </c>
      <c r="B1402" s="28" t="s">
        <v>5998</v>
      </c>
      <c r="C1402" s="28">
        <v>4</v>
      </c>
      <c r="D1402" s="54" t="s"/>
      <c r="E1402" s="28" t="s">
        <v>6001</v>
      </c>
      <c r="F1402" s="28" t="s">
        <v>6789</v>
      </c>
      <c r="G1402" s="28">
        <v>0</v>
      </c>
    </row>
    <row r="1403" spans="1:7">
      <c r="A1403" s="28">
        <v>831620</v>
      </c>
      <c r="B1403" s="28" t="s">
        <v>6004</v>
      </c>
      <c r="C1403" s="28">
        <v>2</v>
      </c>
      <c r="D1403" s="54" t="s"/>
      <c r="E1403" s="28" t="s">
        <v>6007</v>
      </c>
      <c r="F1403" s="28" t="s">
        <v>6792</v>
      </c>
      <c r="G1403" s="28">
        <v>0</v>
      </c>
    </row>
    <row r="1404" spans="1:7">
      <c r="A1404" s="28">
        <v>831630</v>
      </c>
      <c r="B1404" s="28" t="s">
        <v>6004</v>
      </c>
      <c r="C1404" s="28">
        <v>3</v>
      </c>
      <c r="D1404" s="54" t="s"/>
      <c r="E1404" s="28" t="s">
        <v>6007</v>
      </c>
      <c r="F1404" s="28" t="s">
        <v>6803</v>
      </c>
      <c r="G1404" s="28">
        <v>0</v>
      </c>
    </row>
    <row r="1405" spans="1:7">
      <c r="A1405" s="28">
        <v>831640</v>
      </c>
      <c r="B1405" s="28" t="s">
        <v>6004</v>
      </c>
      <c r="C1405" s="28">
        <v>4</v>
      </c>
      <c r="D1405" s="54" t="s"/>
      <c r="E1405" s="28" t="s">
        <v>6007</v>
      </c>
      <c r="F1405" s="28" t="s">
        <v>6804</v>
      </c>
      <c r="G1405" s="28">
        <v>0</v>
      </c>
    </row>
    <row r="1406" spans="1:7">
      <c r="A1406" s="28">
        <v>831820</v>
      </c>
      <c r="B1406" s="28" t="s">
        <v>6010</v>
      </c>
      <c r="C1406" s="28">
        <v>2</v>
      </c>
      <c r="D1406" s="54" t="s"/>
      <c r="E1406" s="28" t="s">
        <v>6012</v>
      </c>
      <c r="F1406" s="28" t="s">
        <v>6807</v>
      </c>
      <c r="G1406" s="28">
        <v>0</v>
      </c>
    </row>
    <row r="1407" spans="1:7">
      <c r="A1407" s="28">
        <v>831830</v>
      </c>
      <c r="B1407" s="28" t="s">
        <v>6010</v>
      </c>
      <c r="C1407" s="28">
        <v>3</v>
      </c>
      <c r="D1407" s="54" t="s"/>
      <c r="E1407" s="28" t="s">
        <v>6012</v>
      </c>
      <c r="F1407" s="28" t="s">
        <v>6818</v>
      </c>
      <c r="G1407" s="28">
        <v>0</v>
      </c>
    </row>
    <row r="1408" spans="1:7">
      <c r="A1408" s="28">
        <v>831840</v>
      </c>
      <c r="B1408" s="28" t="s">
        <v>6010</v>
      </c>
      <c r="C1408" s="28">
        <v>4</v>
      </c>
      <c r="D1408" s="54" t="s"/>
      <c r="E1408" s="28" t="s">
        <v>6012</v>
      </c>
      <c r="F1408" s="28" t="s">
        <v>6819</v>
      </c>
      <c r="G1408" s="28">
        <v>0</v>
      </c>
    </row>
    <row r="1409" spans="1:7">
      <c r="A1409" s="28">
        <v>831920</v>
      </c>
      <c r="B1409" s="28" t="s">
        <v>6014</v>
      </c>
      <c r="C1409" s="28">
        <v>2</v>
      </c>
      <c r="D1409" s="54" t="s"/>
      <c r="E1409" s="28" t="s">
        <v>6017</v>
      </c>
      <c r="F1409" s="28" t="s">
        <v>6822</v>
      </c>
      <c r="G1409" s="28">
        <v>0</v>
      </c>
    </row>
    <row r="1410" spans="1:7">
      <c r="A1410" s="28">
        <v>831930</v>
      </c>
      <c r="B1410" s="28" t="s">
        <v>6014</v>
      </c>
      <c r="C1410" s="28">
        <v>3</v>
      </c>
      <c r="D1410" s="28" t="s"/>
      <c r="E1410" s="28" t="s">
        <v>6017</v>
      </c>
      <c r="F1410" s="28" t="s">
        <v>6833</v>
      </c>
      <c r="G1410" s="28">
        <v>0</v>
      </c>
    </row>
    <row r="1411" spans="1:7">
      <c r="A1411" s="28">
        <v>831940</v>
      </c>
      <c r="B1411" s="28" t="s">
        <v>6014</v>
      </c>
      <c r="C1411" s="28">
        <v>4</v>
      </c>
      <c r="D1411" s="28" t="s"/>
      <c r="E1411" s="28" t="s">
        <v>6017</v>
      </c>
      <c r="F1411" s="28" t="s">
        <v>6834</v>
      </c>
      <c r="G1411" s="28">
        <v>0</v>
      </c>
    </row>
    <row r="1412" spans="1:7">
      <c r="A1412" s="28">
        <v>832220</v>
      </c>
      <c r="B1412" s="28" t="s">
        <v>6020</v>
      </c>
      <c r="C1412" s="28">
        <v>2</v>
      </c>
      <c r="D1412" s="28" t="s"/>
      <c r="E1412" s="28" t="s">
        <v>6023</v>
      </c>
      <c r="F1412" s="28" t="s">
        <v>6837</v>
      </c>
      <c r="G1412" s="28">
        <v>0</v>
      </c>
    </row>
    <row r="1413" spans="1:7">
      <c r="A1413" s="28">
        <v>832230</v>
      </c>
      <c r="B1413" s="28" t="s">
        <v>6020</v>
      </c>
      <c r="C1413" s="28">
        <v>3</v>
      </c>
      <c r="D1413" s="28" t="s"/>
      <c r="E1413" s="28" t="s">
        <v>6023</v>
      </c>
      <c r="F1413" s="28" t="s">
        <v>6848</v>
      </c>
      <c r="G1413" s="28">
        <v>0</v>
      </c>
    </row>
    <row r="1414" spans="1:7">
      <c r="A1414" s="28">
        <v>832240</v>
      </c>
      <c r="B1414" s="28" t="s">
        <v>6020</v>
      </c>
      <c r="C1414" s="28">
        <v>4</v>
      </c>
      <c r="D1414" s="28" t="s"/>
      <c r="E1414" s="28" t="s">
        <v>6023</v>
      </c>
      <c r="F1414" s="28" t="s">
        <v>6849</v>
      </c>
      <c r="G1414" s="28">
        <v>0</v>
      </c>
    </row>
    <row r="1415" spans="1:7">
      <c r="A1415" s="28">
        <v>832320</v>
      </c>
      <c r="B1415" s="28" t="s">
        <v>6026</v>
      </c>
      <c r="C1415" s="28">
        <v>2</v>
      </c>
      <c r="D1415" s="28" t="s"/>
      <c r="E1415" s="28" t="s">
        <v>6023</v>
      </c>
      <c r="F1415" s="28" t="s">
        <v>6852</v>
      </c>
      <c r="G1415" s="28">
        <v>0</v>
      </c>
    </row>
    <row r="1416" spans="1:7">
      <c r="A1416" s="28">
        <v>832330</v>
      </c>
      <c r="B1416" s="28" t="s">
        <v>6026</v>
      </c>
      <c r="C1416" s="28">
        <v>3</v>
      </c>
      <c r="D1416" s="28" t="s"/>
      <c r="E1416" s="28" t="s">
        <v>6023</v>
      </c>
      <c r="F1416" s="28" t="s">
        <v>6863</v>
      </c>
      <c r="G1416" s="28">
        <v>0</v>
      </c>
    </row>
    <row r="1417" spans="1:7">
      <c r="A1417" s="28">
        <v>832340</v>
      </c>
      <c r="B1417" s="28" t="s">
        <v>6026</v>
      </c>
      <c r="C1417" s="28">
        <v>4</v>
      </c>
      <c r="D1417" s="28" t="s"/>
      <c r="E1417" s="28" t="s">
        <v>6023</v>
      </c>
      <c r="F1417" s="28" t="s">
        <v>6864</v>
      </c>
      <c r="G1417" s="28">
        <v>0</v>
      </c>
    </row>
    <row r="1418" spans="1:7">
      <c r="A1418" s="28">
        <v>832420</v>
      </c>
      <c r="B1418" s="28" t="s">
        <v>6031</v>
      </c>
      <c r="C1418" s="28">
        <v>2</v>
      </c>
      <c r="D1418" s="28" t="s"/>
      <c r="E1418" s="28" t="s">
        <v>6023</v>
      </c>
      <c r="F1418" s="28" t="s">
        <v>6867</v>
      </c>
      <c r="G1418" s="28">
        <v>0</v>
      </c>
    </row>
    <row r="1419" spans="1:7">
      <c r="A1419" s="28">
        <v>832430</v>
      </c>
      <c r="B1419" s="28" t="s">
        <v>6031</v>
      </c>
      <c r="C1419" s="28">
        <v>3</v>
      </c>
      <c r="D1419" s="28" t="s"/>
      <c r="E1419" s="28" t="s">
        <v>6023</v>
      </c>
      <c r="F1419" s="28" t="s">
        <v>6878</v>
      </c>
      <c r="G1419" s="28">
        <v>0</v>
      </c>
    </row>
    <row r="1420" spans="1:7">
      <c r="A1420" s="28">
        <v>832440</v>
      </c>
      <c r="B1420" s="28" t="s">
        <v>6031</v>
      </c>
      <c r="C1420" s="28">
        <v>4</v>
      </c>
      <c r="D1420" s="28" t="s"/>
      <c r="E1420" s="28" t="s">
        <v>6023</v>
      </c>
      <c r="F1420" s="28" t="s">
        <v>6879</v>
      </c>
      <c r="G1420" s="28">
        <v>0</v>
      </c>
    </row>
    <row r="1421" spans="1:7">
      <c r="A1421" s="28">
        <v>832520</v>
      </c>
      <c r="B1421" s="28" t="s">
        <v>6036</v>
      </c>
      <c r="C1421" s="28">
        <v>2</v>
      </c>
      <c r="D1421" s="28" t="s"/>
      <c r="E1421" s="28" t="s">
        <v>6023</v>
      </c>
      <c r="F1421" s="28" t="s">
        <v>6882</v>
      </c>
      <c r="G1421" s="28">
        <v>0</v>
      </c>
    </row>
    <row r="1422" spans="1:7">
      <c r="A1422" s="28">
        <v>832530</v>
      </c>
      <c r="B1422" s="28" t="s">
        <v>6036</v>
      </c>
      <c r="C1422" s="28">
        <v>3</v>
      </c>
      <c r="D1422" s="28" t="s"/>
      <c r="E1422" s="28" t="s">
        <v>6023</v>
      </c>
      <c r="F1422" s="28" t="s">
        <v>6893</v>
      </c>
      <c r="G1422" s="28">
        <v>0</v>
      </c>
    </row>
    <row r="1423" spans="1:7">
      <c r="A1423" s="28">
        <v>832540</v>
      </c>
      <c r="B1423" s="28" t="s">
        <v>6036</v>
      </c>
      <c r="C1423" s="28">
        <v>4</v>
      </c>
      <c r="D1423" s="28" t="s"/>
      <c r="E1423" s="28" t="s">
        <v>6023</v>
      </c>
      <c r="F1423" s="28" t="s">
        <v>6894</v>
      </c>
      <c r="G1423" s="28">
        <v>0</v>
      </c>
    </row>
    <row r="1424" spans="1:7">
      <c r="A1424" s="28">
        <v>832620</v>
      </c>
      <c r="B1424" s="28" t="s">
        <v>6041</v>
      </c>
      <c r="C1424" s="28">
        <v>2</v>
      </c>
      <c r="D1424" s="28" t="s"/>
      <c r="E1424" s="28" t="s">
        <v>6023</v>
      </c>
      <c r="F1424" s="28" t="s">
        <v>6897</v>
      </c>
      <c r="G1424" s="28">
        <v>0</v>
      </c>
    </row>
    <row r="1425" spans="1:7">
      <c r="A1425" s="28">
        <v>832630</v>
      </c>
      <c r="B1425" s="28" t="s">
        <v>6041</v>
      </c>
      <c r="C1425" s="28">
        <v>3</v>
      </c>
      <c r="D1425" s="28" t="s"/>
      <c r="E1425" s="28" t="s">
        <v>6023</v>
      </c>
      <c r="F1425" s="28" t="s">
        <v>6908</v>
      </c>
      <c r="G1425" s="28">
        <v>0</v>
      </c>
    </row>
    <row r="1426" spans="1:7">
      <c r="A1426" s="28">
        <v>832640</v>
      </c>
      <c r="B1426" s="28" t="s">
        <v>6041</v>
      </c>
      <c r="C1426" s="28">
        <v>4</v>
      </c>
      <c r="D1426" s="28" t="s"/>
      <c r="E1426" s="28" t="s">
        <v>6023</v>
      </c>
      <c r="F1426" s="28" t="s">
        <v>6909</v>
      </c>
      <c r="G1426" s="28">
        <v>0</v>
      </c>
    </row>
    <row r="1427" spans="1:7">
      <c r="A1427" s="28">
        <v>832720</v>
      </c>
      <c r="B1427" s="28" t="s">
        <v>6046</v>
      </c>
      <c r="C1427" s="28">
        <v>2</v>
      </c>
      <c r="D1427" s="28" t="s"/>
      <c r="E1427" s="28" t="s">
        <v>6049</v>
      </c>
      <c r="F1427" s="28" t="s">
        <v>6912</v>
      </c>
      <c r="G1427" s="28">
        <v>0</v>
      </c>
    </row>
    <row r="1428" spans="1:7">
      <c r="A1428" s="28">
        <v>832730</v>
      </c>
      <c r="B1428" s="28" t="s">
        <v>6046</v>
      </c>
      <c r="C1428" s="28">
        <v>3</v>
      </c>
      <c r="D1428" s="28" t="s"/>
      <c r="E1428" s="28" t="s">
        <v>6049</v>
      </c>
      <c r="F1428" s="28" t="s">
        <v>6923</v>
      </c>
      <c r="G1428" s="28">
        <v>0</v>
      </c>
    </row>
    <row r="1429" spans="1:7">
      <c r="A1429" s="28">
        <v>832740</v>
      </c>
      <c r="B1429" s="28" t="s">
        <v>6046</v>
      </c>
      <c r="C1429" s="28">
        <v>4</v>
      </c>
      <c r="D1429" s="28" t="s"/>
      <c r="E1429" s="28" t="s">
        <v>6049</v>
      </c>
      <c r="F1429" s="28" t="s">
        <v>6924</v>
      </c>
      <c r="G1429" s="28">
        <v>0</v>
      </c>
    </row>
    <row r="1430" spans="1:7">
      <c r="A1430" s="28">
        <v>832820</v>
      </c>
      <c r="B1430" s="28" t="s">
        <v>6052</v>
      </c>
      <c r="C1430" s="28">
        <v>2</v>
      </c>
      <c r="D1430" s="28" t="s"/>
      <c r="E1430" s="28" t="s">
        <v>6054</v>
      </c>
      <c r="F1430" s="28" t="s">
        <v>6927</v>
      </c>
      <c r="G1430" s="28">
        <v>0</v>
      </c>
    </row>
    <row r="1431" spans="1:7">
      <c r="A1431" s="28">
        <v>832830</v>
      </c>
      <c r="B1431" s="28" t="s">
        <v>6052</v>
      </c>
      <c r="C1431" s="28">
        <v>3</v>
      </c>
      <c r="D1431" s="28" t="s"/>
      <c r="E1431" s="28" t="s">
        <v>6054</v>
      </c>
      <c r="F1431" s="28" t="s">
        <v>6938</v>
      </c>
      <c r="G1431" s="28">
        <v>0</v>
      </c>
    </row>
    <row r="1432" spans="1:7">
      <c r="A1432" s="28">
        <v>832840</v>
      </c>
      <c r="B1432" s="28" t="s">
        <v>6052</v>
      </c>
      <c r="C1432" s="28">
        <v>4</v>
      </c>
      <c r="D1432" s="28" t="s"/>
      <c r="E1432" s="28" t="s">
        <v>6054</v>
      </c>
      <c r="F1432" s="28" t="s">
        <v>6939</v>
      </c>
      <c r="G1432" s="28">
        <v>0</v>
      </c>
    </row>
    <row r="1433" spans="1:7">
      <c r="A1433" s="28">
        <v>832920</v>
      </c>
      <c r="B1433" s="28" t="s">
        <v>6056</v>
      </c>
      <c r="C1433" s="28">
        <v>2</v>
      </c>
      <c r="D1433" s="28" t="s"/>
      <c r="E1433" s="28" t="s">
        <v>6059</v>
      </c>
      <c r="F1433" s="28" t="s">
        <v>6942</v>
      </c>
      <c r="G1433" s="28">
        <v>0</v>
      </c>
    </row>
    <row r="1434" spans="1:7">
      <c r="A1434" s="28">
        <v>832930</v>
      </c>
      <c r="B1434" s="28" t="s">
        <v>6056</v>
      </c>
      <c r="C1434" s="28">
        <v>3</v>
      </c>
      <c r="D1434" s="28" t="s"/>
      <c r="E1434" s="28" t="s">
        <v>6059</v>
      </c>
      <c r="F1434" s="28" t="s">
        <v>6953</v>
      </c>
      <c r="G1434" s="28">
        <v>0</v>
      </c>
    </row>
    <row r="1435" spans="1:7">
      <c r="A1435" s="28">
        <v>832940</v>
      </c>
      <c r="B1435" s="28" t="s">
        <v>6056</v>
      </c>
      <c r="C1435" s="28">
        <v>4</v>
      </c>
      <c r="D1435" s="28" t="s"/>
      <c r="E1435" s="28" t="s">
        <v>6059</v>
      </c>
      <c r="F1435" s="28" t="s">
        <v>6954</v>
      </c>
      <c r="G1435" s="28">
        <v>0</v>
      </c>
    </row>
    <row r="1436" spans="1:7">
      <c r="A1436" s="28">
        <v>833020</v>
      </c>
      <c r="B1436" s="28" t="s">
        <v>6062</v>
      </c>
      <c r="C1436" s="28">
        <v>2</v>
      </c>
      <c r="D1436" s="28" t="s"/>
      <c r="E1436" s="28" t="s">
        <v>6065</v>
      </c>
      <c r="F1436" s="28" t="s">
        <v>6957</v>
      </c>
      <c r="G1436" s="28">
        <v>0</v>
      </c>
    </row>
    <row r="1437" spans="1:7">
      <c r="A1437" s="28">
        <v>833030</v>
      </c>
      <c r="B1437" s="28" t="s">
        <v>6062</v>
      </c>
      <c r="C1437" s="28">
        <v>3</v>
      </c>
      <c r="D1437" s="28" t="s"/>
      <c r="E1437" s="28" t="s">
        <v>6065</v>
      </c>
      <c r="F1437" s="28" t="s">
        <v>6968</v>
      </c>
      <c r="G1437" s="28">
        <v>0</v>
      </c>
    </row>
    <row r="1438" spans="1:7">
      <c r="A1438" s="28">
        <v>833040</v>
      </c>
      <c r="B1438" s="28" t="s">
        <v>6062</v>
      </c>
      <c r="C1438" s="28">
        <v>4</v>
      </c>
      <c r="D1438" s="28" t="s"/>
      <c r="E1438" s="28" t="s">
        <v>6065</v>
      </c>
      <c r="F1438" s="28" t="s">
        <v>6969</v>
      </c>
      <c r="G1438" s="28">
        <v>0</v>
      </c>
    </row>
    <row r="1439" spans="1:7">
      <c r="A1439" s="28">
        <v>833120</v>
      </c>
      <c r="B1439" s="28" t="s">
        <v>6068</v>
      </c>
      <c r="C1439" s="28">
        <v>2</v>
      </c>
      <c r="D1439" s="28" t="s"/>
      <c r="E1439" s="28" t="s">
        <v>6071</v>
      </c>
      <c r="F1439" s="28" t="s">
        <v>6972</v>
      </c>
      <c r="G1439" s="28">
        <v>0</v>
      </c>
    </row>
    <row r="1440" spans="1:7">
      <c r="A1440" s="28">
        <v>833130</v>
      </c>
      <c r="B1440" s="28" t="s">
        <v>6068</v>
      </c>
      <c r="C1440" s="28">
        <v>3</v>
      </c>
      <c r="D1440" s="28" t="s"/>
      <c r="E1440" s="28" t="s">
        <v>6071</v>
      </c>
      <c r="F1440" s="28" t="s">
        <v>6983</v>
      </c>
      <c r="G1440" s="28">
        <v>0</v>
      </c>
    </row>
    <row r="1441" spans="1:7">
      <c r="A1441" s="28">
        <v>833140</v>
      </c>
      <c r="B1441" s="28" t="s">
        <v>6068</v>
      </c>
      <c r="C1441" s="28">
        <v>4</v>
      </c>
      <c r="D1441" s="28" t="s"/>
      <c r="E1441" s="28" t="s">
        <v>6071</v>
      </c>
      <c r="F1441" s="28" t="s">
        <v>6984</v>
      </c>
      <c r="G1441" s="28">
        <v>0</v>
      </c>
    </row>
    <row r="1442" spans="1:7">
      <c r="A1442" s="28">
        <v>833220</v>
      </c>
      <c r="B1442" s="28" t="s">
        <v>6074</v>
      </c>
      <c r="C1442" s="28">
        <v>2</v>
      </c>
      <c r="D1442" s="28" t="s"/>
      <c r="E1442" s="28" t="s">
        <v>6077</v>
      </c>
      <c r="F1442" s="28" t="s">
        <v>6987</v>
      </c>
      <c r="G1442" s="28">
        <v>0</v>
      </c>
    </row>
    <row r="1443" spans="1:7">
      <c r="A1443" s="28">
        <v>833230</v>
      </c>
      <c r="B1443" s="28" t="s">
        <v>6074</v>
      </c>
      <c r="C1443" s="28">
        <v>3</v>
      </c>
      <c r="D1443" s="28" t="s"/>
      <c r="E1443" s="28" t="s">
        <v>6077</v>
      </c>
      <c r="F1443" s="28" t="s">
        <v>6998</v>
      </c>
      <c r="G1443" s="28">
        <v>0</v>
      </c>
    </row>
    <row r="1444" spans="1:7">
      <c r="A1444" s="28">
        <v>833240</v>
      </c>
      <c r="B1444" s="28" t="s">
        <v>6074</v>
      </c>
      <c r="C1444" s="28">
        <v>4</v>
      </c>
      <c r="D1444" s="28" t="s"/>
      <c r="E1444" s="28" t="s">
        <v>6077</v>
      </c>
      <c r="F1444" s="28" t="s">
        <v>6999</v>
      </c>
      <c r="G1444" s="28">
        <v>0</v>
      </c>
    </row>
    <row r="1445" spans="1:7">
      <c r="A1445" s="28">
        <v>833320</v>
      </c>
      <c r="B1445" s="28" t="s">
        <v>6080</v>
      </c>
      <c r="C1445" s="28">
        <v>2</v>
      </c>
      <c r="D1445" s="28" t="s"/>
      <c r="E1445" s="28" t="s">
        <v>6083</v>
      </c>
      <c r="F1445" s="28" t="s">
        <v>7002</v>
      </c>
      <c r="G1445" s="28">
        <v>0</v>
      </c>
    </row>
    <row r="1446" spans="1:7">
      <c r="A1446" s="28">
        <v>833330</v>
      </c>
      <c r="B1446" s="28" t="s">
        <v>6080</v>
      </c>
      <c r="C1446" s="28">
        <v>3</v>
      </c>
      <c r="D1446" s="28" t="s"/>
      <c r="E1446" s="28" t="s">
        <v>6083</v>
      </c>
      <c r="F1446" s="28" t="s">
        <v>7013</v>
      </c>
      <c r="G1446" s="28">
        <v>0</v>
      </c>
    </row>
    <row r="1447" spans="1:7">
      <c r="A1447" s="28">
        <v>833340</v>
      </c>
      <c r="B1447" s="28" t="s">
        <v>6080</v>
      </c>
      <c r="C1447" s="28">
        <v>4</v>
      </c>
      <c r="D1447" s="28" t="s"/>
      <c r="E1447" s="28" t="s">
        <v>6083</v>
      </c>
      <c r="F1447" s="28" t="s">
        <v>7014</v>
      </c>
      <c r="G1447" s="28">
        <v>0</v>
      </c>
    </row>
    <row r="1448" spans="1:7">
      <c r="A1448" s="28">
        <v>833420</v>
      </c>
      <c r="B1448" s="28" t="s">
        <v>6086</v>
      </c>
      <c r="C1448" s="28">
        <v>2</v>
      </c>
      <c r="D1448" s="28" t="s"/>
      <c r="E1448" s="28" t="s">
        <v>6088</v>
      </c>
      <c r="F1448" s="28" t="s">
        <v>7017</v>
      </c>
      <c r="G1448" s="28">
        <v>0</v>
      </c>
    </row>
    <row r="1449" spans="1:7">
      <c r="A1449" s="28">
        <v>833430</v>
      </c>
      <c r="B1449" s="28" t="s">
        <v>6086</v>
      </c>
      <c r="C1449" s="28">
        <v>3</v>
      </c>
      <c r="D1449" s="28" t="s"/>
      <c r="E1449" s="28" t="s">
        <v>6088</v>
      </c>
      <c r="F1449" s="28" t="s">
        <v>7028</v>
      </c>
      <c r="G1449" s="28">
        <v>0</v>
      </c>
    </row>
    <row r="1450" spans="1:7">
      <c r="A1450" s="28">
        <v>833440</v>
      </c>
      <c r="B1450" s="28" t="s">
        <v>6086</v>
      </c>
      <c r="C1450" s="28">
        <v>4</v>
      </c>
      <c r="D1450" s="28" t="s"/>
      <c r="E1450" s="28" t="s">
        <v>6088</v>
      </c>
      <c r="F1450" s="28" t="s">
        <v>7029</v>
      </c>
      <c r="G1450" s="28">
        <v>0</v>
      </c>
    </row>
    <row r="1451" spans="1:7">
      <c r="A1451" s="28">
        <v>833520</v>
      </c>
      <c r="B1451" s="54" t="s">
        <v>6090</v>
      </c>
      <c r="C1451" s="28">
        <v>2</v>
      </c>
      <c r="D1451" s="54" t="s"/>
      <c r="E1451" s="28" t="s">
        <v>6092</v>
      </c>
      <c r="F1451" s="28" t="s">
        <v>7032</v>
      </c>
      <c r="G1451" s="28">
        <v>0</v>
      </c>
    </row>
    <row r="1452" spans="1:7">
      <c r="A1452" s="28">
        <v>833530</v>
      </c>
      <c r="B1452" s="28" t="s">
        <v>6090</v>
      </c>
      <c r="C1452" s="28">
        <v>3</v>
      </c>
      <c r="D1452" s="28" t="s"/>
      <c r="E1452" s="28" t="s">
        <v>6092</v>
      </c>
      <c r="F1452" s="28" t="s">
        <v>7043</v>
      </c>
      <c r="G1452" s="28">
        <v>0</v>
      </c>
    </row>
    <row r="1453" spans="1:7">
      <c r="A1453" s="28">
        <v>833540</v>
      </c>
      <c r="B1453" s="28" t="s">
        <v>6090</v>
      </c>
      <c r="C1453" s="28">
        <v>4</v>
      </c>
      <c r="D1453" s="28" t="s"/>
      <c r="E1453" s="28" t="s">
        <v>6092</v>
      </c>
      <c r="F1453" s="28" t="s">
        <v>7044</v>
      </c>
      <c r="G1453" s="28">
        <v>0</v>
      </c>
    </row>
    <row r="1454" spans="1:7">
      <c r="A1454" s="28">
        <v>833620</v>
      </c>
      <c r="B1454" s="28" t="s">
        <v>6094</v>
      </c>
      <c r="C1454" s="28">
        <v>2</v>
      </c>
      <c r="D1454" s="28" t="s"/>
      <c r="E1454" s="28" t="s">
        <v>6096</v>
      </c>
      <c r="F1454" s="28" t="s">
        <v>7047</v>
      </c>
      <c r="G1454" s="28">
        <v>0</v>
      </c>
    </row>
    <row r="1455" spans="1:7">
      <c r="A1455" s="28">
        <v>833630</v>
      </c>
      <c r="B1455" s="28" t="s">
        <v>6094</v>
      </c>
      <c r="C1455" s="28">
        <v>3</v>
      </c>
      <c r="D1455" s="28" t="s"/>
      <c r="E1455" s="28" t="s">
        <v>6096</v>
      </c>
      <c r="F1455" s="28" t="s">
        <v>7058</v>
      </c>
      <c r="G1455" s="28">
        <v>0</v>
      </c>
    </row>
    <row r="1456" spans="1:7">
      <c r="A1456" s="28">
        <v>833640</v>
      </c>
      <c r="B1456" s="28" t="s">
        <v>6094</v>
      </c>
      <c r="C1456" s="28">
        <v>4</v>
      </c>
      <c r="D1456" s="28" t="s"/>
      <c r="E1456" s="28" t="s">
        <v>6096</v>
      </c>
      <c r="F1456" s="28" t="s">
        <v>7059</v>
      </c>
      <c r="G1456" s="28">
        <v>0</v>
      </c>
    </row>
    <row r="1457" spans="1:7">
      <c r="A1457" s="28">
        <v>900000</v>
      </c>
      <c r="B1457" s="54" t="s">
        <v>8366</v>
      </c>
      <c r="C1457" s="28">
        <v>1</v>
      </c>
      <c r="D1457" s="54" t="s"/>
      <c r="E1457" s="28" t="s"/>
      <c r="F1457" s="28" t="s">
        <v>6176</v>
      </c>
      <c r="G1457" s="28">
        <v>999</v>
      </c>
    </row>
    <row r="1458" spans="1:7">
      <c r="A1458" s="28">
        <v>900001</v>
      </c>
      <c r="B1458" s="28" t="s">
        <v>6100</v>
      </c>
      <c r="C1458" s="28">
        <v>1</v>
      </c>
      <c r="D1458" s="54" t="s"/>
      <c r="E1458" s="28" t="s"/>
      <c r="F1458" s="28" t="s">
        <v>6101</v>
      </c>
      <c r="G1458" s="28">
        <v>1</v>
      </c>
    </row>
    <row r="1459" spans="1:7">
      <c r="A1459" s="28">
        <v>900002</v>
      </c>
      <c r="B1459" s="28" t="s">
        <v>8367</v>
      </c>
      <c r="C1459" s="28">
        <v>1</v>
      </c>
      <c r="D1459" s="54" t="s"/>
      <c r="E1459" s="28" t="s"/>
      <c r="F1459" s="28" t="s">
        <v>7507</v>
      </c>
      <c r="G1459" s="28">
        <v>1</v>
      </c>
    </row>
    <row r="1460" spans="1:7">
      <c r="A1460" s="28">
        <v>900003</v>
      </c>
      <c r="B1460" s="28" t="s">
        <v>8368</v>
      </c>
      <c r="C1460" s="28">
        <v>1</v>
      </c>
      <c r="D1460" s="54" t="s"/>
      <c r="E1460" s="28" t="s"/>
      <c r="F1460" s="28" t="s">
        <v>7485</v>
      </c>
      <c r="G1460" s="28">
        <v>1</v>
      </c>
    </row>
    <row r="1461" spans="1:7">
      <c r="A1461" s="28">
        <v>900004</v>
      </c>
      <c r="B1461" s="28" t="s">
        <v>8369</v>
      </c>
      <c r="C1461" s="28">
        <v>1</v>
      </c>
      <c r="D1461" s="54" t="s"/>
      <c r="E1461" s="28" t="s"/>
      <c r="F1461" s="28" t="s">
        <v>8370</v>
      </c>
      <c r="G1461" s="28">
        <v>1</v>
      </c>
    </row>
    <row r="1462" spans="1:7">
      <c r="A1462" s="28">
        <v>900005</v>
      </c>
      <c r="B1462" s="28" t="s">
        <v>8371</v>
      </c>
      <c r="C1462" s="28">
        <v>1</v>
      </c>
      <c r="D1462" s="54" t="s"/>
      <c r="E1462" s="28" t="s"/>
      <c r="F1462" s="28" t="s">
        <v>8372</v>
      </c>
      <c r="G1462" s="28">
        <v>1</v>
      </c>
    </row>
    <row r="1463" spans="1:7">
      <c r="A1463" s="28">
        <v>1000000</v>
      </c>
      <c r="B1463" s="28" t="s">
        <v>8373</v>
      </c>
      <c r="C1463" s="28">
        <v>4</v>
      </c>
      <c r="D1463" s="54" t="s">
        <v>8374</v>
      </c>
      <c r="E1463" s="28" t="s">
        <v>8375</v>
      </c>
      <c r="F1463" s="28" t="s">
        <v>8376</v>
      </c>
      <c r="G1463" s="28">
        <v>0</v>
      </c>
    </row>
    <row r="1464" spans="1:7">
      <c r="A1464" s="28">
        <v>1000001</v>
      </c>
      <c r="B1464" s="28" t="s">
        <v>8373</v>
      </c>
      <c r="C1464" s="28">
        <v>3</v>
      </c>
      <c r="D1464" s="54" t="s">
        <v>8374</v>
      </c>
      <c r="E1464" s="28" t="s">
        <v>8377</v>
      </c>
      <c r="F1464" s="28" t="s">
        <v>8376</v>
      </c>
      <c r="G1464" s="28">
        <v>0</v>
      </c>
    </row>
    <row r="1465" spans="1:7">
      <c r="A1465" s="28">
        <v>1000002</v>
      </c>
      <c r="B1465" s="28" t="s">
        <v>8373</v>
      </c>
      <c r="C1465" s="28">
        <v>2</v>
      </c>
      <c r="D1465" s="54" t="s">
        <v>8374</v>
      </c>
      <c r="E1465" s="28" t="s">
        <v>8378</v>
      </c>
      <c r="F1465" s="28" t="s">
        <v>8376</v>
      </c>
      <c r="G1465" s="28">
        <v>0</v>
      </c>
    </row>
    <row r="1466" spans="1:7">
      <c r="A1466" s="28">
        <v>1000003</v>
      </c>
      <c r="B1466" s="28" t="s">
        <v>8379</v>
      </c>
      <c r="C1466" s="28">
        <v>2</v>
      </c>
      <c r="D1466" s="54" t="s">
        <v>8380</v>
      </c>
      <c r="E1466" s="28" t="s">
        <v>8381</v>
      </c>
      <c r="F1466" s="28" t="s">
        <v>8382</v>
      </c>
      <c r="G1466" s="28">
        <v>1</v>
      </c>
    </row>
    <row r="1467" spans="1:7">
      <c r="A1467" s="28">
        <v>1000004</v>
      </c>
      <c r="B1467" s="28" t="s">
        <v>8383</v>
      </c>
      <c r="C1467" s="28">
        <v>2</v>
      </c>
      <c r="D1467" s="54" t="s">
        <v>8384</v>
      </c>
      <c r="E1467" s="28" t="s">
        <v>8385</v>
      </c>
      <c r="F1467" s="28" t="s">
        <v>8386</v>
      </c>
      <c r="G1467" s="28">
        <v>999</v>
      </c>
    </row>
    <row r="1468" spans="1:7">
      <c r="A1468" s="28">
        <v>1000005</v>
      </c>
      <c r="B1468" s="28" t="s">
        <v>8387</v>
      </c>
      <c r="C1468" s="28">
        <v>3</v>
      </c>
      <c r="D1468" s="54" t="s">
        <v>8384</v>
      </c>
      <c r="E1468" s="28" t="s">
        <v>8388</v>
      </c>
      <c r="F1468" s="28" t="s">
        <v>8389</v>
      </c>
      <c r="G1468" s="28">
        <v>999</v>
      </c>
    </row>
    <row r="1469" spans="1:7">
      <c r="A1469" s="28">
        <v>1000006</v>
      </c>
      <c r="B1469" s="28" t="s">
        <v>8390</v>
      </c>
      <c r="C1469" s="28">
        <v>4</v>
      </c>
      <c r="D1469" s="54" t="s">
        <v>8391</v>
      </c>
      <c r="E1469" s="28" t="s">
        <v>8392</v>
      </c>
      <c r="F1469" s="28" t="s">
        <v>8393</v>
      </c>
      <c r="G1469" s="28">
        <v>999</v>
      </c>
    </row>
    <row r="1470" spans="1:7">
      <c r="A1470" s="28">
        <v>1000101</v>
      </c>
      <c r="B1470" s="28" t="s">
        <v>8394</v>
      </c>
      <c r="C1470" s="28">
        <v>4</v>
      </c>
      <c r="D1470" s="54" t="s">
        <v>8395</v>
      </c>
      <c r="E1470" s="28" t="s">
        <v>8396</v>
      </c>
      <c r="F1470" s="28" t="s">
        <v>8397</v>
      </c>
      <c r="G1470" s="28">
        <v>1</v>
      </c>
    </row>
    <row r="1471" spans="1:7">
      <c r="A1471" s="28">
        <v>1000102</v>
      </c>
      <c r="B1471" s="28" t="s">
        <v>8398</v>
      </c>
      <c r="C1471" s="28">
        <v>4</v>
      </c>
      <c r="D1471" s="54" t="s">
        <v>8399</v>
      </c>
      <c r="E1471" s="28" t="s">
        <v>8400</v>
      </c>
      <c r="F1471" s="28" t="s">
        <v>8401</v>
      </c>
      <c r="G1471" s="28">
        <v>1</v>
      </c>
    </row>
    <row r="1472" spans="1:7">
      <c r="A1472" s="28">
        <v>1000103</v>
      </c>
      <c r="B1472" s="28" t="s">
        <v>8402</v>
      </c>
      <c r="C1472" s="28">
        <v>4</v>
      </c>
      <c r="D1472" s="54" t="s">
        <v>8403</v>
      </c>
      <c r="E1472" s="28" t="s">
        <v>8404</v>
      </c>
      <c r="F1472" s="28" t="s">
        <v>8405</v>
      </c>
      <c r="G1472" s="28">
        <v>1</v>
      </c>
    </row>
    <row r="1473" spans="1:7">
      <c r="A1473" s="28">
        <v>1000104</v>
      </c>
      <c r="B1473" s="28" t="s">
        <v>8406</v>
      </c>
      <c r="C1473" s="28">
        <v>3</v>
      </c>
      <c r="D1473" s="54" t="s">
        <v>8407</v>
      </c>
      <c r="E1473" s="28" t="s">
        <v>8408</v>
      </c>
      <c r="F1473" s="28" t="s">
        <v>8409</v>
      </c>
      <c r="G1473" s="28">
        <v>1</v>
      </c>
    </row>
    <row r="1474" spans="1:7">
      <c r="A1474" s="28">
        <v>1000105</v>
      </c>
      <c r="B1474" s="28" t="s">
        <v>8410</v>
      </c>
      <c r="C1474" s="28">
        <v>3</v>
      </c>
      <c r="D1474" s="54" t="s">
        <v>8411</v>
      </c>
      <c r="E1474" s="28" t="s">
        <v>8412</v>
      </c>
      <c r="F1474" s="28" t="s">
        <v>8413</v>
      </c>
      <c r="G1474" s="28">
        <v>1</v>
      </c>
    </row>
    <row r="1475" spans="1:7">
      <c r="A1475" s="28">
        <v>1000106</v>
      </c>
      <c r="B1475" s="28" t="s">
        <v>8414</v>
      </c>
      <c r="C1475" s="28">
        <v>3</v>
      </c>
      <c r="D1475" s="54" t="s">
        <v>8415</v>
      </c>
      <c r="E1475" s="28" t="s">
        <v>8416</v>
      </c>
      <c r="F1475" s="28" t="s">
        <v>8417</v>
      </c>
      <c r="G1475" s="28">
        <v>1</v>
      </c>
    </row>
    <row r="1476" spans="1:7">
      <c r="A1476" s="28">
        <v>1000107</v>
      </c>
      <c r="B1476" s="28" t="s">
        <v>8418</v>
      </c>
      <c r="C1476" s="28">
        <v>3</v>
      </c>
      <c r="D1476" s="54" t="s">
        <v>8419</v>
      </c>
      <c r="E1476" s="28" t="s">
        <v>8420</v>
      </c>
      <c r="F1476" s="28" t="s">
        <v>8421</v>
      </c>
      <c r="G1476" s="28">
        <v>1</v>
      </c>
    </row>
    <row r="1477" spans="1:7">
      <c r="A1477" s="28">
        <v>1000108</v>
      </c>
      <c r="B1477" s="28" t="s">
        <v>8422</v>
      </c>
      <c r="C1477" s="28">
        <v>2</v>
      </c>
      <c r="D1477" s="54" t="s">
        <v>8423</v>
      </c>
      <c r="E1477" s="28" t="s">
        <v>8424</v>
      </c>
      <c r="F1477" s="28" t="s">
        <v>8425</v>
      </c>
      <c r="G1477" s="28">
        <v>1</v>
      </c>
    </row>
    <row r="1478" spans="1:7">
      <c r="A1478" s="28">
        <v>1000109</v>
      </c>
      <c r="B1478" s="54" t="s">
        <v>8426</v>
      </c>
      <c r="C1478" s="28">
        <v>2</v>
      </c>
      <c r="D1478" s="54" t="s">
        <v>8427</v>
      </c>
      <c r="E1478" s="28" t="s">
        <v>8428</v>
      </c>
      <c r="F1478" s="28" t="s">
        <v>8429</v>
      </c>
      <c r="G1478" s="28">
        <v>1</v>
      </c>
    </row>
    <row r="1479" spans="1:7">
      <c r="A1479" s="28">
        <v>1000110</v>
      </c>
      <c r="B1479" s="54" t="s">
        <v>8430</v>
      </c>
      <c r="C1479" s="28">
        <v>2</v>
      </c>
      <c r="D1479" s="54" t="s">
        <v>8431</v>
      </c>
      <c r="E1479" s="28" t="s">
        <v>8432</v>
      </c>
      <c r="F1479" s="28" t="s">
        <v>8433</v>
      </c>
      <c r="G1479" s="28">
        <v>1</v>
      </c>
    </row>
    <row r="1480" spans="1:7">
      <c r="A1480" s="28">
        <v>1000111</v>
      </c>
      <c r="B1480" s="28" t="s">
        <v>8434</v>
      </c>
      <c r="C1480" s="28">
        <v>2</v>
      </c>
      <c r="D1480" s="54" t="s">
        <v>8435</v>
      </c>
      <c r="E1480" s="28" t="s">
        <v>8436</v>
      </c>
      <c r="F1480" s="28" t="s">
        <v>8437</v>
      </c>
      <c r="G1480" s="28">
        <v>1</v>
      </c>
    </row>
    <row r="1481" spans="1:7">
      <c r="A1481" s="28">
        <v>1000112</v>
      </c>
      <c r="B1481" s="28" t="s">
        <v>8438</v>
      </c>
      <c r="C1481" s="28">
        <v>3</v>
      </c>
      <c r="D1481" s="28" t="s">
        <v>8439</v>
      </c>
      <c r="E1481" s="28" t="s">
        <v>8440</v>
      </c>
      <c r="F1481" s="28" t="s">
        <v>8441</v>
      </c>
      <c r="G1481" s="28">
        <v>1</v>
      </c>
    </row>
    <row r="1482" spans="1:7">
      <c r="A1482" s="28">
        <v>1000201</v>
      </c>
      <c r="B1482" s="28" t="s">
        <v>8442</v>
      </c>
      <c r="C1482" s="28">
        <v>4</v>
      </c>
      <c r="D1482" s="28" t="s">
        <v>8443</v>
      </c>
      <c r="E1482" s="28" t="s">
        <v>8444</v>
      </c>
      <c r="F1482" s="28" t="s">
        <v>8445</v>
      </c>
      <c r="G1482" s="28">
        <v>1</v>
      </c>
    </row>
    <row r="1483" spans="1:7">
      <c r="A1483" s="28">
        <v>1000202</v>
      </c>
      <c r="B1483" s="28" t="s">
        <v>8446</v>
      </c>
      <c r="C1483" s="28">
        <v>4</v>
      </c>
      <c r="D1483" s="28" t="s">
        <v>8447</v>
      </c>
      <c r="E1483" s="28" t="s">
        <v>8448</v>
      </c>
      <c r="F1483" s="28" t="s">
        <v>8449</v>
      </c>
      <c r="G1483" s="28">
        <v>1</v>
      </c>
    </row>
    <row r="1484" spans="1:7">
      <c r="A1484" s="28">
        <v>1000203</v>
      </c>
      <c r="B1484" s="54" t="s">
        <v>8450</v>
      </c>
      <c r="C1484" s="28">
        <v>4</v>
      </c>
      <c r="D1484" s="54" t="s">
        <v>8451</v>
      </c>
      <c r="E1484" s="28" t="s">
        <v>8452</v>
      </c>
      <c r="F1484" s="28" t="s">
        <v>8453</v>
      </c>
      <c r="G1484" s="28">
        <v>1</v>
      </c>
    </row>
    <row r="1485" spans="1:7">
      <c r="A1485" s="28">
        <v>1000204</v>
      </c>
      <c r="B1485" s="54" t="s">
        <v>8454</v>
      </c>
      <c r="C1485" s="28">
        <v>3</v>
      </c>
      <c r="D1485" s="54" t="s">
        <v>8455</v>
      </c>
      <c r="E1485" s="28" t="s">
        <v>8456</v>
      </c>
      <c r="F1485" s="28" t="s">
        <v>8457</v>
      </c>
      <c r="G1485" s="28">
        <v>1</v>
      </c>
    </row>
    <row r="1486" spans="1:7">
      <c r="A1486" s="28">
        <v>1000205</v>
      </c>
      <c r="B1486" s="54" t="s">
        <v>8458</v>
      </c>
      <c r="C1486" s="28">
        <v>3</v>
      </c>
      <c r="D1486" s="54" t="s">
        <v>8459</v>
      </c>
      <c r="E1486" s="28" t="s">
        <v>8460</v>
      </c>
      <c r="F1486" s="28" t="s">
        <v>8461</v>
      </c>
      <c r="G1486" s="28">
        <v>1</v>
      </c>
    </row>
    <row r="1487" spans="1:7">
      <c r="A1487" s="28">
        <v>1000206</v>
      </c>
      <c r="B1487" s="28" t="s">
        <v>8462</v>
      </c>
      <c r="C1487" s="28">
        <v>3</v>
      </c>
      <c r="D1487" s="54" t="s">
        <v>8463</v>
      </c>
      <c r="E1487" s="28" t="s">
        <v>8464</v>
      </c>
      <c r="F1487" s="28" t="s">
        <v>8465</v>
      </c>
      <c r="G1487" s="28">
        <v>1</v>
      </c>
    </row>
    <row r="1488" spans="1:7">
      <c r="A1488" s="28">
        <v>1000207</v>
      </c>
      <c r="B1488" s="28" t="s">
        <v>8466</v>
      </c>
      <c r="C1488" s="28">
        <v>3</v>
      </c>
      <c r="D1488" s="54" t="s">
        <v>8467</v>
      </c>
      <c r="E1488" s="28" t="s">
        <v>8468</v>
      </c>
      <c r="F1488" s="28" t="s">
        <v>8469</v>
      </c>
      <c r="G1488" s="28">
        <v>1</v>
      </c>
    </row>
    <row r="1489" spans="1:7">
      <c r="A1489" s="28">
        <v>1000208</v>
      </c>
      <c r="B1489" s="28" t="s">
        <v>8470</v>
      </c>
      <c r="C1489" s="28">
        <v>2</v>
      </c>
      <c r="D1489" s="54" t="s">
        <v>8471</v>
      </c>
      <c r="E1489" s="28" t="s">
        <v>8472</v>
      </c>
      <c r="F1489" s="28" t="s">
        <v>8473</v>
      </c>
      <c r="G1489" s="28">
        <v>1</v>
      </c>
    </row>
    <row r="1490" spans="1:7">
      <c r="A1490" s="28">
        <v>1000209</v>
      </c>
      <c r="B1490" s="28" t="s">
        <v>8474</v>
      </c>
      <c r="C1490" s="28">
        <v>2</v>
      </c>
      <c r="D1490" s="54" t="s">
        <v>8475</v>
      </c>
      <c r="E1490" s="28" t="s">
        <v>8476</v>
      </c>
      <c r="F1490" s="28" t="s">
        <v>8477</v>
      </c>
      <c r="G1490" s="28">
        <v>1</v>
      </c>
    </row>
    <row r="1491" spans="1:7">
      <c r="A1491" s="28">
        <v>1000210</v>
      </c>
      <c r="B1491" s="28" t="s">
        <v>8478</v>
      </c>
      <c r="C1491" s="28">
        <v>2</v>
      </c>
      <c r="D1491" s="54" t="s">
        <v>8479</v>
      </c>
      <c r="E1491" s="28" t="s">
        <v>8480</v>
      </c>
      <c r="F1491" s="28" t="s">
        <v>8481</v>
      </c>
      <c r="G1491" s="28">
        <v>1</v>
      </c>
    </row>
    <row r="1492" spans="1:7">
      <c r="A1492" s="28">
        <v>1000211</v>
      </c>
      <c r="B1492" s="28" t="s">
        <v>8482</v>
      </c>
      <c r="C1492" s="28">
        <v>2</v>
      </c>
      <c r="D1492" s="54" t="s">
        <v>8483</v>
      </c>
      <c r="E1492" s="28" t="s">
        <v>8484</v>
      </c>
      <c r="F1492" s="28" t="s">
        <v>8485</v>
      </c>
      <c r="G1492" s="28">
        <v>1</v>
      </c>
    </row>
    <row r="1493" spans="1:7">
      <c r="A1493" s="28">
        <v>1000212</v>
      </c>
      <c r="B1493" s="28" t="s">
        <v>8486</v>
      </c>
      <c r="C1493" s="28">
        <v>3</v>
      </c>
      <c r="D1493" s="54" t="s">
        <v>8487</v>
      </c>
      <c r="E1493" s="28" t="s">
        <v>8488</v>
      </c>
      <c r="F1493" s="28" t="s">
        <v>8489</v>
      </c>
      <c r="G1493" s="28">
        <v>1</v>
      </c>
    </row>
    <row r="1494" spans="1:7">
      <c r="A1494" s="28">
        <v>1000301</v>
      </c>
      <c r="B1494" s="28" t="s">
        <v>8490</v>
      </c>
      <c r="C1494" s="28">
        <v>4</v>
      </c>
      <c r="D1494" s="54" t="s">
        <v>8491</v>
      </c>
      <c r="E1494" s="28" t="s">
        <v>8492</v>
      </c>
      <c r="F1494" s="28" t="s">
        <v>8493</v>
      </c>
      <c r="G1494" s="28">
        <v>1</v>
      </c>
    </row>
    <row r="1495" spans="1:7">
      <c r="A1495" s="28">
        <v>1000302</v>
      </c>
      <c r="B1495" s="28" t="s">
        <v>8494</v>
      </c>
      <c r="C1495" s="28">
        <v>4</v>
      </c>
      <c r="D1495" s="54" t="s">
        <v>8495</v>
      </c>
      <c r="E1495" s="28" t="s">
        <v>8496</v>
      </c>
      <c r="F1495" s="28" t="s">
        <v>8497</v>
      </c>
      <c r="G1495" s="28">
        <v>1</v>
      </c>
    </row>
    <row r="1496" spans="1:7">
      <c r="A1496" s="28">
        <v>1000303</v>
      </c>
      <c r="B1496" s="28" t="s">
        <v>8498</v>
      </c>
      <c r="C1496" s="28">
        <v>4</v>
      </c>
      <c r="D1496" s="54" t="s">
        <v>8499</v>
      </c>
      <c r="E1496" s="28" t="s">
        <v>8500</v>
      </c>
      <c r="F1496" s="28" t="s">
        <v>8501</v>
      </c>
      <c r="G1496" s="28">
        <v>1</v>
      </c>
    </row>
    <row r="1497" spans="1:7">
      <c r="A1497" s="28">
        <v>1000304</v>
      </c>
      <c r="B1497" s="28" t="s">
        <v>8502</v>
      </c>
      <c r="C1497" s="28">
        <v>3</v>
      </c>
      <c r="D1497" s="54" t="s">
        <v>8503</v>
      </c>
      <c r="E1497" s="28" t="s">
        <v>8504</v>
      </c>
      <c r="F1497" s="28" t="s">
        <v>8505</v>
      </c>
      <c r="G1497" s="28">
        <v>1</v>
      </c>
    </row>
    <row r="1498" spans="1:7">
      <c r="A1498" s="28">
        <v>1000305</v>
      </c>
      <c r="B1498" s="28" t="s">
        <v>8506</v>
      </c>
      <c r="C1498" s="28">
        <v>3</v>
      </c>
      <c r="D1498" s="54" t="s">
        <v>8507</v>
      </c>
      <c r="E1498" s="28" t="s">
        <v>8508</v>
      </c>
      <c r="F1498" s="28" t="s">
        <v>8509</v>
      </c>
      <c r="G1498" s="28">
        <v>1</v>
      </c>
    </row>
    <row r="1499" spans="1:7">
      <c r="A1499" s="28">
        <v>1000306</v>
      </c>
      <c r="B1499" s="28" t="s">
        <v>8510</v>
      </c>
      <c r="C1499" s="28">
        <v>3</v>
      </c>
      <c r="D1499" s="54" t="s">
        <v>8511</v>
      </c>
      <c r="E1499" s="28" t="s">
        <v>8512</v>
      </c>
      <c r="F1499" s="28" t="s">
        <v>8513</v>
      </c>
      <c r="G1499" s="28">
        <v>1</v>
      </c>
    </row>
    <row r="1500" spans="1:7">
      <c r="A1500" s="28">
        <v>1000307</v>
      </c>
      <c r="B1500" s="28" t="s">
        <v>8514</v>
      </c>
      <c r="C1500" s="28">
        <v>3</v>
      </c>
      <c r="D1500" s="54" t="s">
        <v>8515</v>
      </c>
      <c r="E1500" s="28" t="s">
        <v>8516</v>
      </c>
      <c r="F1500" s="28" t="s">
        <v>8517</v>
      </c>
      <c r="G1500" s="28">
        <v>1</v>
      </c>
    </row>
    <row r="1501" spans="1:7">
      <c r="A1501" s="28">
        <v>1000308</v>
      </c>
      <c r="B1501" s="28" t="s">
        <v>8518</v>
      </c>
      <c r="C1501" s="28">
        <v>2</v>
      </c>
      <c r="D1501" s="54" t="s">
        <v>8519</v>
      </c>
      <c r="E1501" s="28" t="s">
        <v>8520</v>
      </c>
      <c r="F1501" s="28" t="s">
        <v>8521</v>
      </c>
      <c r="G1501" s="28">
        <v>1</v>
      </c>
    </row>
    <row r="1502" spans="1:7">
      <c r="A1502" s="28">
        <v>1000309</v>
      </c>
      <c r="B1502" s="28" t="s">
        <v>8522</v>
      </c>
      <c r="C1502" s="28">
        <v>2</v>
      </c>
      <c r="D1502" s="54" t="s">
        <v>8523</v>
      </c>
      <c r="E1502" s="28" t="s">
        <v>8524</v>
      </c>
      <c r="F1502" s="28" t="s">
        <v>8525</v>
      </c>
      <c r="G1502" s="28">
        <v>1</v>
      </c>
    </row>
    <row r="1503" spans="1:7">
      <c r="A1503" s="28">
        <v>1000310</v>
      </c>
      <c r="B1503" s="28" t="s">
        <v>8526</v>
      </c>
      <c r="C1503" s="28">
        <v>2</v>
      </c>
      <c r="D1503" s="54" t="s">
        <v>8527</v>
      </c>
      <c r="E1503" s="28" t="s">
        <v>8528</v>
      </c>
      <c r="F1503" s="28" t="s">
        <v>8529</v>
      </c>
      <c r="G1503" s="28">
        <v>1</v>
      </c>
    </row>
    <row r="1504" spans="1:7">
      <c r="A1504" s="28">
        <v>1000311</v>
      </c>
      <c r="B1504" s="28" t="s">
        <v>8530</v>
      </c>
      <c r="C1504" s="28">
        <v>2</v>
      </c>
      <c r="D1504" s="54" t="s">
        <v>8531</v>
      </c>
      <c r="E1504" s="28" t="s">
        <v>8532</v>
      </c>
      <c r="F1504" s="28" t="s">
        <v>8533</v>
      </c>
      <c r="G1504" s="28">
        <v>1</v>
      </c>
    </row>
    <row r="1505" spans="1:7">
      <c r="A1505" s="28">
        <v>1000312</v>
      </c>
      <c r="B1505" s="28" t="s">
        <v>8534</v>
      </c>
      <c r="C1505" s="28">
        <v>3</v>
      </c>
      <c r="D1505" s="54" t="s">
        <v>8535</v>
      </c>
      <c r="E1505" s="28" t="s">
        <v>8536</v>
      </c>
      <c r="F1505" s="28" t="s">
        <v>8537</v>
      </c>
      <c r="G1505" s="28">
        <v>1</v>
      </c>
    </row>
    <row r="1506" spans="1:7">
      <c r="A1506" s="28">
        <v>1000401</v>
      </c>
      <c r="B1506" s="28" t="s">
        <v>8538</v>
      </c>
      <c r="C1506" s="28">
        <v>4</v>
      </c>
      <c r="D1506" s="54" t="s">
        <v>8539</v>
      </c>
      <c r="E1506" s="28" t="s">
        <v>8540</v>
      </c>
      <c r="F1506" s="28" t="s">
        <v>8541</v>
      </c>
      <c r="G1506" s="28">
        <v>1</v>
      </c>
    </row>
    <row r="1507" spans="1:7">
      <c r="A1507" s="28">
        <v>1000402</v>
      </c>
      <c r="B1507" s="28" t="s">
        <v>8542</v>
      </c>
      <c r="C1507" s="28">
        <v>4</v>
      </c>
      <c r="D1507" s="54" t="s">
        <v>8543</v>
      </c>
      <c r="E1507" s="28" t="s">
        <v>8544</v>
      </c>
      <c r="F1507" s="28" t="s">
        <v>8545</v>
      </c>
      <c r="G1507" s="28">
        <v>1</v>
      </c>
    </row>
    <row r="1508" spans="1:7">
      <c r="A1508" s="28">
        <v>1000403</v>
      </c>
      <c r="B1508" s="28" t="s">
        <v>8546</v>
      </c>
      <c r="C1508" s="28">
        <v>4</v>
      </c>
      <c r="D1508" s="54" t="s">
        <v>8547</v>
      </c>
      <c r="E1508" s="28" t="s">
        <v>8548</v>
      </c>
      <c r="F1508" s="28" t="s">
        <v>8549</v>
      </c>
      <c r="G1508" s="28">
        <v>1</v>
      </c>
    </row>
    <row r="1509" spans="1:7">
      <c r="A1509" s="28">
        <v>1000404</v>
      </c>
      <c r="B1509" s="28" t="s">
        <v>8550</v>
      </c>
      <c r="C1509" s="28">
        <v>3</v>
      </c>
      <c r="D1509" s="28" t="s">
        <v>8551</v>
      </c>
      <c r="E1509" s="28" t="s">
        <v>8552</v>
      </c>
      <c r="F1509" s="28" t="s">
        <v>8553</v>
      </c>
      <c r="G1509" s="28">
        <v>1</v>
      </c>
    </row>
    <row r="1510" spans="1:7">
      <c r="A1510" s="28">
        <v>1000405</v>
      </c>
      <c r="B1510" s="28" t="s">
        <v>8554</v>
      </c>
      <c r="C1510" s="28">
        <v>3</v>
      </c>
      <c r="D1510" s="28" t="s">
        <v>8555</v>
      </c>
      <c r="E1510" s="28" t="s">
        <v>8556</v>
      </c>
      <c r="F1510" s="28" t="s">
        <v>8557</v>
      </c>
      <c r="G1510" s="28">
        <v>1</v>
      </c>
    </row>
    <row r="1511" spans="1:7">
      <c r="A1511" s="28">
        <v>1000406</v>
      </c>
      <c r="B1511" s="28" t="s">
        <v>8558</v>
      </c>
      <c r="C1511" s="28">
        <v>3</v>
      </c>
      <c r="D1511" s="28" t="s">
        <v>8559</v>
      </c>
      <c r="E1511" s="28" t="s">
        <v>8560</v>
      </c>
      <c r="F1511" s="28" t="s">
        <v>8561</v>
      </c>
      <c r="G1511" s="28">
        <v>1</v>
      </c>
    </row>
    <row r="1512" spans="1:7">
      <c r="A1512" s="28">
        <v>1000407</v>
      </c>
      <c r="B1512" s="28" t="s">
        <v>8562</v>
      </c>
      <c r="C1512" s="28">
        <v>3</v>
      </c>
      <c r="D1512" s="28" t="s">
        <v>8563</v>
      </c>
      <c r="E1512" s="28" t="s">
        <v>8564</v>
      </c>
      <c r="F1512" s="28" t="s">
        <v>8565</v>
      </c>
      <c r="G1512" s="28">
        <v>1</v>
      </c>
    </row>
    <row r="1513" spans="1:7">
      <c r="A1513" s="28">
        <v>1000408</v>
      </c>
      <c r="B1513" s="28" t="s">
        <v>8566</v>
      </c>
      <c r="C1513" s="28">
        <v>2</v>
      </c>
      <c r="D1513" s="28" t="s">
        <v>8567</v>
      </c>
      <c r="E1513" s="28" t="s">
        <v>8568</v>
      </c>
      <c r="F1513" s="28" t="s">
        <v>8569</v>
      </c>
      <c r="G1513" s="28">
        <v>1</v>
      </c>
    </row>
    <row r="1514" spans="1:7">
      <c r="A1514" s="28">
        <v>1000409</v>
      </c>
      <c r="B1514" s="28" t="s">
        <v>8570</v>
      </c>
      <c r="C1514" s="28">
        <v>2</v>
      </c>
      <c r="D1514" s="28" t="s">
        <v>8571</v>
      </c>
      <c r="E1514" s="28" t="s">
        <v>8572</v>
      </c>
      <c r="F1514" s="28" t="s">
        <v>8573</v>
      </c>
      <c r="G1514" s="28">
        <v>1</v>
      </c>
    </row>
    <row r="1515" spans="1:7">
      <c r="A1515" s="28">
        <v>1000410</v>
      </c>
      <c r="B1515" s="28" t="s">
        <v>8574</v>
      </c>
      <c r="C1515" s="28">
        <v>2</v>
      </c>
      <c r="D1515" s="28" t="s">
        <v>8575</v>
      </c>
      <c r="E1515" s="28" t="s">
        <v>8576</v>
      </c>
      <c r="F1515" s="28" t="s">
        <v>8577</v>
      </c>
      <c r="G1515" s="28">
        <v>1</v>
      </c>
    </row>
    <row r="1516" spans="1:7">
      <c r="A1516" s="28">
        <v>1000411</v>
      </c>
      <c r="B1516" s="28" t="s">
        <v>8578</v>
      </c>
      <c r="C1516" s="28">
        <v>2</v>
      </c>
      <c r="D1516" s="28" t="s">
        <v>8579</v>
      </c>
      <c r="E1516" s="28" t="s">
        <v>8580</v>
      </c>
      <c r="F1516" s="28" t="s">
        <v>8581</v>
      </c>
      <c r="G1516" s="28">
        <v>1</v>
      </c>
    </row>
    <row r="1517" spans="1:7">
      <c r="A1517" s="28">
        <v>1000412</v>
      </c>
      <c r="B1517" s="28" t="s">
        <v>8582</v>
      </c>
      <c r="C1517" s="28">
        <v>3</v>
      </c>
      <c r="D1517" s="28" t="s">
        <v>8583</v>
      </c>
      <c r="E1517" s="28" t="s">
        <v>8584</v>
      </c>
      <c r="F1517" s="28" t="s">
        <v>8585</v>
      </c>
      <c r="G1517" s="28">
        <v>1</v>
      </c>
    </row>
    <row r="1518" spans="1:7">
      <c r="A1518" s="28">
        <v>1000501</v>
      </c>
      <c r="B1518" s="28" t="s">
        <v>8586</v>
      </c>
      <c r="C1518" s="28">
        <v>4</v>
      </c>
      <c r="D1518" s="28" t="s">
        <v>8587</v>
      </c>
      <c r="E1518" s="28" t="s">
        <v>8588</v>
      </c>
      <c r="F1518" s="28" t="s">
        <v>8589</v>
      </c>
      <c r="G1518" s="28">
        <v>1</v>
      </c>
    </row>
    <row r="1519" spans="1:7">
      <c r="A1519" s="28">
        <v>1000502</v>
      </c>
      <c r="B1519" s="28" t="s">
        <v>8590</v>
      </c>
      <c r="C1519" s="28">
        <v>4</v>
      </c>
      <c r="D1519" s="28" t="s">
        <v>8591</v>
      </c>
      <c r="E1519" s="28" t="s">
        <v>8592</v>
      </c>
      <c r="F1519" s="28" t="s">
        <v>8593</v>
      </c>
      <c r="G1519" s="28">
        <v>1</v>
      </c>
    </row>
    <row r="1520" spans="1:7">
      <c r="A1520" s="28">
        <v>1000503</v>
      </c>
      <c r="B1520" s="28" t="s">
        <v>8594</v>
      </c>
      <c r="C1520" s="28">
        <v>4</v>
      </c>
      <c r="D1520" s="28" t="s">
        <v>8595</v>
      </c>
      <c r="E1520" s="28" t="s">
        <v>8596</v>
      </c>
      <c r="F1520" s="28" t="s">
        <v>8597</v>
      </c>
      <c r="G1520" s="28">
        <v>1</v>
      </c>
    </row>
    <row r="1521" spans="1:7">
      <c r="A1521" s="28">
        <v>1000504</v>
      </c>
      <c r="B1521" s="28" t="s">
        <v>8598</v>
      </c>
      <c r="C1521" s="28">
        <v>3</v>
      </c>
      <c r="D1521" s="28" t="s">
        <v>8599</v>
      </c>
      <c r="E1521" s="28" t="s">
        <v>8600</v>
      </c>
      <c r="F1521" s="28" t="s">
        <v>8601</v>
      </c>
      <c r="G1521" s="28">
        <v>1</v>
      </c>
    </row>
    <row r="1522" spans="1:7">
      <c r="A1522" s="28">
        <v>1000505</v>
      </c>
      <c r="B1522" s="28" t="s">
        <v>8602</v>
      </c>
      <c r="C1522" s="28">
        <v>3</v>
      </c>
      <c r="D1522" s="28" t="s">
        <v>8603</v>
      </c>
      <c r="E1522" s="28" t="s">
        <v>8604</v>
      </c>
      <c r="F1522" s="28" t="s">
        <v>8605</v>
      </c>
      <c r="G1522" s="28">
        <v>1</v>
      </c>
    </row>
    <row r="1523" spans="1:7">
      <c r="A1523" s="28">
        <v>1000506</v>
      </c>
      <c r="B1523" s="28" t="s">
        <v>8606</v>
      </c>
      <c r="C1523" s="28">
        <v>3</v>
      </c>
      <c r="D1523" s="28" t="s">
        <v>8607</v>
      </c>
      <c r="E1523" s="28" t="s">
        <v>8608</v>
      </c>
      <c r="F1523" s="28" t="s">
        <v>8609</v>
      </c>
      <c r="G1523" s="28">
        <v>1</v>
      </c>
    </row>
    <row r="1524" spans="1:7">
      <c r="A1524" s="28">
        <v>1000507</v>
      </c>
      <c r="B1524" s="28" t="s">
        <v>8610</v>
      </c>
      <c r="C1524" s="28">
        <v>3</v>
      </c>
      <c r="D1524" s="28" t="s">
        <v>8611</v>
      </c>
      <c r="E1524" s="28" t="s">
        <v>8612</v>
      </c>
      <c r="F1524" s="28" t="s">
        <v>8613</v>
      </c>
      <c r="G1524" s="28">
        <v>1</v>
      </c>
    </row>
    <row r="1525" spans="1:7">
      <c r="A1525" s="28">
        <v>1000508</v>
      </c>
      <c r="B1525" s="28" t="s">
        <v>8614</v>
      </c>
      <c r="C1525" s="28">
        <v>2</v>
      </c>
      <c r="D1525" s="28" t="s">
        <v>8615</v>
      </c>
      <c r="E1525" s="28" t="s">
        <v>8616</v>
      </c>
      <c r="F1525" s="28" t="s">
        <v>8617</v>
      </c>
      <c r="G1525" s="28">
        <v>1</v>
      </c>
    </row>
    <row r="1526" spans="1:7">
      <c r="A1526" s="28">
        <v>1000509</v>
      </c>
      <c r="B1526" s="28" t="s">
        <v>8618</v>
      </c>
      <c r="C1526" s="28">
        <v>2</v>
      </c>
      <c r="D1526" s="28" t="s">
        <v>8619</v>
      </c>
      <c r="E1526" s="28" t="s">
        <v>8620</v>
      </c>
      <c r="F1526" s="28" t="s">
        <v>8621</v>
      </c>
      <c r="G1526" s="28">
        <v>1</v>
      </c>
    </row>
    <row r="1527" spans="1:7">
      <c r="A1527" s="28">
        <v>1000510</v>
      </c>
      <c r="B1527" s="28" t="s">
        <v>8622</v>
      </c>
      <c r="C1527" s="28">
        <v>2</v>
      </c>
      <c r="D1527" s="28" t="s">
        <v>8623</v>
      </c>
      <c r="E1527" s="28" t="s">
        <v>8624</v>
      </c>
      <c r="F1527" s="28" t="s">
        <v>8625</v>
      </c>
      <c r="G1527" s="28">
        <v>1</v>
      </c>
    </row>
    <row r="1528" spans="1:7">
      <c r="A1528" s="28">
        <v>1000511</v>
      </c>
      <c r="B1528" s="28" t="s">
        <v>8626</v>
      </c>
      <c r="C1528" s="28">
        <v>2</v>
      </c>
      <c r="D1528" s="28" t="s">
        <v>8627</v>
      </c>
      <c r="E1528" s="28" t="s">
        <v>8628</v>
      </c>
      <c r="F1528" s="28" t="s">
        <v>8629</v>
      </c>
      <c r="G1528" s="28">
        <v>1</v>
      </c>
    </row>
    <row r="1529" spans="1:7">
      <c r="A1529" s="28">
        <v>1000512</v>
      </c>
      <c r="B1529" s="28" t="s">
        <v>8630</v>
      </c>
      <c r="C1529" s="28">
        <v>3</v>
      </c>
      <c r="D1529" s="28" t="s">
        <v>8631</v>
      </c>
      <c r="E1529" s="28" t="s">
        <v>8632</v>
      </c>
      <c r="F1529" s="28" t="s">
        <v>8633</v>
      </c>
      <c r="G1529" s="28">
        <v>1</v>
      </c>
    </row>
    <row r="1530" spans="1:7">
      <c r="A1530" s="28">
        <v>1000601</v>
      </c>
      <c r="B1530" s="28" t="s">
        <v>8634</v>
      </c>
      <c r="C1530" s="28">
        <v>4</v>
      </c>
      <c r="D1530" s="28" t="s">
        <v>8635</v>
      </c>
      <c r="E1530" s="28" t="s">
        <v>8636</v>
      </c>
      <c r="F1530" s="28" t="s">
        <v>8637</v>
      </c>
      <c r="G1530" s="28">
        <v>1</v>
      </c>
    </row>
    <row r="1531" spans="1:7">
      <c r="A1531" s="28">
        <v>1000603</v>
      </c>
      <c r="B1531" s="28" t="s">
        <v>8638</v>
      </c>
      <c r="C1531" s="28">
        <v>2</v>
      </c>
      <c r="D1531" s="28" t="s">
        <v>8639</v>
      </c>
      <c r="E1531" s="28" t="s">
        <v>8640</v>
      </c>
      <c r="F1531" s="28" t="s">
        <v>8641</v>
      </c>
      <c r="G1531" s="28">
        <v>1</v>
      </c>
    </row>
    <row r="1532" spans="1:7">
      <c r="A1532" s="28">
        <v>1000604</v>
      </c>
      <c r="B1532" s="28" t="s">
        <v>8642</v>
      </c>
      <c r="C1532" s="28">
        <v>2</v>
      </c>
      <c r="D1532" s="28" t="s">
        <v>8643</v>
      </c>
      <c r="E1532" s="28" t="s">
        <v>8644</v>
      </c>
      <c r="F1532" s="28" t="s">
        <v>8645</v>
      </c>
      <c r="G1532" s="28">
        <v>1</v>
      </c>
    </row>
    <row r="1533" spans="1:7">
      <c r="A1533" s="28">
        <v>1000701</v>
      </c>
      <c r="B1533" s="28" t="s">
        <v>8646</v>
      </c>
      <c r="C1533" s="28">
        <v>4</v>
      </c>
      <c r="D1533" s="28" t="s">
        <v>8647</v>
      </c>
      <c r="E1533" s="54" t="s">
        <v>8648</v>
      </c>
      <c r="F1533" s="28" t="s">
        <v>8649</v>
      </c>
      <c r="G1533" s="28">
        <v>1</v>
      </c>
    </row>
    <row r="1534" spans="1:7">
      <c r="A1534" s="28">
        <v>1000702</v>
      </c>
      <c r="B1534" s="28" t="s">
        <v>8650</v>
      </c>
      <c r="C1534" s="28">
        <v>4</v>
      </c>
      <c r="D1534" s="28" t="s">
        <v>8651</v>
      </c>
      <c r="E1534" s="28" t="s">
        <v>8652</v>
      </c>
      <c r="F1534" s="28" t="s">
        <v>8653</v>
      </c>
      <c r="G1534" s="28">
        <v>1</v>
      </c>
    </row>
    <row r="1535" spans="1:7">
      <c r="A1535" s="28">
        <v>1000703</v>
      </c>
      <c r="B1535" s="28" t="s">
        <v>8654</v>
      </c>
      <c r="C1535" s="28">
        <v>4</v>
      </c>
      <c r="D1535" s="28" t="s">
        <v>8655</v>
      </c>
      <c r="E1535" s="28" t="s">
        <v>8656</v>
      </c>
      <c r="F1535" s="28" t="s">
        <v>8657</v>
      </c>
      <c r="G1535" s="28">
        <v>1</v>
      </c>
    </row>
    <row r="1536" spans="1:7">
      <c r="A1536" s="28">
        <v>1000704</v>
      </c>
      <c r="B1536" s="28" t="s">
        <v>8658</v>
      </c>
      <c r="C1536" s="28">
        <v>3</v>
      </c>
      <c r="D1536" s="28" t="s">
        <v>8659</v>
      </c>
      <c r="E1536" s="28" t="s">
        <v>8660</v>
      </c>
      <c r="F1536" s="28" t="s">
        <v>8661</v>
      </c>
      <c r="G1536" s="28">
        <v>1</v>
      </c>
    </row>
    <row r="1537" spans="1:7">
      <c r="A1537" s="28">
        <v>1000705</v>
      </c>
      <c r="B1537" s="28" t="s">
        <v>8662</v>
      </c>
      <c r="C1537" s="28">
        <v>3</v>
      </c>
      <c r="D1537" s="28" t="s">
        <v>8663</v>
      </c>
      <c r="E1537" s="28" t="s">
        <v>8664</v>
      </c>
      <c r="F1537" s="28" t="s">
        <v>8665</v>
      </c>
      <c r="G1537" s="28">
        <v>1</v>
      </c>
    </row>
    <row r="1538" spans="1:7">
      <c r="A1538" s="28">
        <v>1000706</v>
      </c>
      <c r="B1538" s="28" t="s">
        <v>8666</v>
      </c>
      <c r="C1538" s="28">
        <v>3</v>
      </c>
      <c r="D1538" s="28" t="s">
        <v>8667</v>
      </c>
      <c r="E1538" s="28" t="s">
        <v>8668</v>
      </c>
      <c r="F1538" s="28" t="s">
        <v>8669</v>
      </c>
      <c r="G1538" s="28">
        <v>1</v>
      </c>
    </row>
    <row r="1539" spans="1:7">
      <c r="A1539" s="28">
        <v>1000707</v>
      </c>
      <c r="B1539" s="28" t="s">
        <v>8670</v>
      </c>
      <c r="C1539" s="28">
        <v>3</v>
      </c>
      <c r="D1539" s="28" t="s">
        <v>8671</v>
      </c>
      <c r="E1539" s="54" t="s">
        <v>8672</v>
      </c>
      <c r="F1539" s="28" t="s">
        <v>8673</v>
      </c>
      <c r="G1539" s="28">
        <v>1</v>
      </c>
    </row>
    <row r="1540" spans="1:7">
      <c r="A1540" s="28">
        <v>1000708</v>
      </c>
      <c r="B1540" s="28" t="s">
        <v>8674</v>
      </c>
      <c r="C1540" s="28">
        <v>2</v>
      </c>
      <c r="D1540" s="28" t="s">
        <v>8675</v>
      </c>
      <c r="E1540" s="54" t="s">
        <v>8676</v>
      </c>
      <c r="F1540" s="28" t="s">
        <v>8677</v>
      </c>
      <c r="G1540" s="28">
        <v>1</v>
      </c>
    </row>
    <row r="1541" spans="1:7">
      <c r="A1541" s="28">
        <v>1000709</v>
      </c>
      <c r="B1541" s="28" t="s">
        <v>8678</v>
      </c>
      <c r="C1541" s="28">
        <v>2</v>
      </c>
      <c r="D1541" s="28" t="s">
        <v>5799</v>
      </c>
      <c r="E1541" s="54" t="s">
        <v>8679</v>
      </c>
      <c r="F1541" s="28" t="s">
        <v>8680</v>
      </c>
      <c r="G1541" s="28">
        <v>1</v>
      </c>
    </row>
    <row r="1542" spans="1:7">
      <c r="A1542" s="28">
        <v>1000710</v>
      </c>
      <c r="B1542" s="28" t="s">
        <v>8681</v>
      </c>
      <c r="C1542" s="28">
        <v>2</v>
      </c>
      <c r="D1542" s="28" t="s">
        <v>8682</v>
      </c>
      <c r="E1542" s="54" t="s">
        <v>8683</v>
      </c>
      <c r="F1542" s="28" t="s">
        <v>8684</v>
      </c>
      <c r="G1542" s="28">
        <v>1</v>
      </c>
    </row>
    <row r="1543" spans="1:7">
      <c r="A1543" s="28">
        <v>1000711</v>
      </c>
      <c r="B1543" s="28" t="s">
        <v>8685</v>
      </c>
      <c r="C1543" s="28">
        <v>2</v>
      </c>
      <c r="D1543" s="28" t="s">
        <v>8686</v>
      </c>
      <c r="E1543" s="54" t="s">
        <v>8687</v>
      </c>
      <c r="F1543" s="28" t="s">
        <v>8688</v>
      </c>
      <c r="G1543" s="28">
        <v>1</v>
      </c>
    </row>
    <row r="1544" spans="1:7">
      <c r="A1544" s="28">
        <v>1000712</v>
      </c>
      <c r="B1544" s="28" t="s">
        <v>8689</v>
      </c>
      <c r="C1544" s="28">
        <v>4</v>
      </c>
      <c r="D1544" s="28" t="s">
        <v>8690</v>
      </c>
      <c r="E1544" s="54" t="s">
        <v>8691</v>
      </c>
      <c r="F1544" s="28" t="s">
        <v>8692</v>
      </c>
      <c r="G1544" s="28">
        <v>1</v>
      </c>
    </row>
    <row r="1545" spans="1:7">
      <c r="A1545" s="28">
        <v>1000713</v>
      </c>
      <c r="B1545" s="28" t="s">
        <v>8693</v>
      </c>
      <c r="C1545" s="28">
        <v>3</v>
      </c>
      <c r="D1545" s="28" t="s">
        <v>8694</v>
      </c>
      <c r="E1545" s="66" t="s">
        <v>8695</v>
      </c>
      <c r="F1545" s="28" t="s">
        <v>8696</v>
      </c>
      <c r="G1545" s="28">
        <v>1</v>
      </c>
    </row>
    <row r="1546" spans="1:7">
      <c r="A1546" s="28">
        <v>1000801</v>
      </c>
      <c r="B1546" s="28" t="s">
        <v>8697</v>
      </c>
      <c r="C1546" s="28">
        <v>4</v>
      </c>
      <c r="D1546" s="28" t="s">
        <v>8698</v>
      </c>
      <c r="E1546" s="54" t="s">
        <v>8699</v>
      </c>
      <c r="F1546" s="28" t="s">
        <v>8700</v>
      </c>
      <c r="G1546" s="28">
        <v>1</v>
      </c>
    </row>
    <row r="1547" spans="1:7">
      <c r="A1547" s="28">
        <v>1000802</v>
      </c>
      <c r="B1547" s="28" t="s">
        <v>8701</v>
      </c>
      <c r="C1547" s="28">
        <v>4</v>
      </c>
      <c r="D1547" s="54" t="s">
        <v>8702</v>
      </c>
      <c r="E1547" s="54" t="s">
        <v>8703</v>
      </c>
      <c r="F1547" s="28" t="s">
        <v>8704</v>
      </c>
      <c r="G1547" s="28">
        <v>1</v>
      </c>
    </row>
    <row r="1548" spans="1:7">
      <c r="A1548" s="28">
        <v>1000803</v>
      </c>
      <c r="B1548" s="28" t="s">
        <v>8705</v>
      </c>
      <c r="C1548" s="28">
        <v>4</v>
      </c>
      <c r="D1548" s="54" t="s">
        <v>8706</v>
      </c>
      <c r="E1548" s="54" t="s">
        <v>8707</v>
      </c>
      <c r="F1548" s="28" t="s">
        <v>8708</v>
      </c>
      <c r="G1548" s="28">
        <v>1</v>
      </c>
    </row>
    <row r="1549" spans="1:7">
      <c r="A1549" s="28">
        <v>1000804</v>
      </c>
      <c r="B1549" s="28" t="s">
        <v>8709</v>
      </c>
      <c r="C1549" s="28">
        <v>3</v>
      </c>
      <c r="D1549" s="54" t="s">
        <v>8710</v>
      </c>
      <c r="E1549" s="54" t="s">
        <v>8711</v>
      </c>
      <c r="F1549" s="28" t="s">
        <v>8712</v>
      </c>
      <c r="G1549" s="28">
        <v>1</v>
      </c>
    </row>
    <row r="1550" spans="1:7">
      <c r="A1550" s="28">
        <v>1000805</v>
      </c>
      <c r="B1550" s="28" t="s">
        <v>8713</v>
      </c>
      <c r="C1550" s="28">
        <v>3</v>
      </c>
      <c r="D1550" s="28" t="s">
        <v>8714</v>
      </c>
      <c r="E1550" s="54" t="s">
        <v>8715</v>
      </c>
      <c r="F1550" s="28" t="s">
        <v>8716</v>
      </c>
      <c r="G1550" s="28">
        <v>1</v>
      </c>
    </row>
    <row r="1551" spans="1:7">
      <c r="A1551" s="28">
        <v>1000806</v>
      </c>
      <c r="B1551" s="28" t="s">
        <v>8717</v>
      </c>
      <c r="C1551" s="28">
        <v>3</v>
      </c>
      <c r="D1551" s="28" t="s">
        <v>8718</v>
      </c>
      <c r="E1551" s="54" t="s">
        <v>8719</v>
      </c>
      <c r="F1551" s="28" t="s">
        <v>8720</v>
      </c>
      <c r="G1551" s="28">
        <v>1</v>
      </c>
    </row>
    <row r="1552" spans="1:7">
      <c r="A1552" s="28">
        <v>1000807</v>
      </c>
      <c r="B1552" s="28" t="s">
        <v>8721</v>
      </c>
      <c r="C1552" s="28">
        <v>3</v>
      </c>
      <c r="D1552" s="28" t="s">
        <v>8722</v>
      </c>
      <c r="E1552" s="54" t="s">
        <v>8723</v>
      </c>
      <c r="F1552" s="28" t="s">
        <v>8724</v>
      </c>
      <c r="G1552" s="28">
        <v>1</v>
      </c>
    </row>
    <row r="1553" spans="1:7">
      <c r="A1553" s="28">
        <v>1000808</v>
      </c>
      <c r="B1553" s="28" t="s">
        <v>8725</v>
      </c>
      <c r="C1553" s="28">
        <v>2</v>
      </c>
      <c r="D1553" s="54" t="s">
        <v>8726</v>
      </c>
      <c r="E1553" s="54" t="s">
        <v>8727</v>
      </c>
      <c r="F1553" s="28" t="s">
        <v>8728</v>
      </c>
      <c r="G1553" s="28">
        <v>1</v>
      </c>
    </row>
    <row r="1554" spans="1:7">
      <c r="A1554" s="28">
        <v>1000809</v>
      </c>
      <c r="B1554" s="28" t="s">
        <v>8729</v>
      </c>
      <c r="C1554" s="28">
        <v>2</v>
      </c>
      <c r="D1554" s="28" t="s">
        <v>8730</v>
      </c>
      <c r="E1554" s="54" t="s">
        <v>8731</v>
      </c>
      <c r="F1554" s="28" t="s">
        <v>8732</v>
      </c>
      <c r="G1554" s="28">
        <v>1</v>
      </c>
    </row>
    <row r="1555" spans="1:7">
      <c r="A1555" s="28">
        <v>1000810</v>
      </c>
      <c r="B1555" s="28" t="s">
        <v>8733</v>
      </c>
      <c r="C1555" s="28">
        <v>2</v>
      </c>
      <c r="D1555" s="28" t="s">
        <v>8734</v>
      </c>
      <c r="E1555" s="54" t="s">
        <v>8735</v>
      </c>
      <c r="F1555" s="28" t="s">
        <v>8736</v>
      </c>
      <c r="G1555" s="28">
        <v>1</v>
      </c>
    </row>
    <row r="1556" spans="1:7">
      <c r="A1556" s="28">
        <v>1000811</v>
      </c>
      <c r="B1556" s="28" t="s">
        <v>8737</v>
      </c>
      <c r="C1556" s="28">
        <v>2</v>
      </c>
      <c r="D1556" s="54" t="s">
        <v>8738</v>
      </c>
      <c r="E1556" s="54" t="s">
        <v>8739</v>
      </c>
      <c r="F1556" s="28" t="s">
        <v>8740</v>
      </c>
      <c r="G1556" s="28">
        <v>1</v>
      </c>
    </row>
    <row r="1557" spans="1:7">
      <c r="A1557" s="28">
        <v>1000812</v>
      </c>
      <c r="B1557" s="28" t="s">
        <v>8741</v>
      </c>
      <c r="C1557" s="28">
        <v>4</v>
      </c>
      <c r="D1557" s="54" t="s">
        <v>8742</v>
      </c>
      <c r="E1557" s="54" t="s">
        <v>8743</v>
      </c>
      <c r="F1557" s="28" t="s">
        <v>8744</v>
      </c>
      <c r="G1557" s="28">
        <v>1</v>
      </c>
    </row>
    <row r="1558" spans="1:7">
      <c r="A1558" s="28">
        <v>1000813</v>
      </c>
      <c r="B1558" s="28" t="s">
        <v>8745</v>
      </c>
      <c r="C1558" s="28">
        <v>3</v>
      </c>
      <c r="D1558" s="28" t="s">
        <v>8746</v>
      </c>
      <c r="E1558" s="54" t="s">
        <v>8747</v>
      </c>
      <c r="F1558" s="28" t="s">
        <v>8748</v>
      </c>
      <c r="G1558" s="28">
        <v>1</v>
      </c>
    </row>
    <row r="1559" spans="1:7">
      <c r="A1559" s="28">
        <v>1000814</v>
      </c>
      <c r="B1559" s="28" t="s">
        <v>8749</v>
      </c>
      <c r="C1559" s="28">
        <v>4</v>
      </c>
      <c r="D1559" s="28" t="s">
        <v>8750</v>
      </c>
      <c r="E1559" s="54" t="s">
        <v>8751</v>
      </c>
      <c r="F1559" s="28" t="s">
        <v>8752</v>
      </c>
      <c r="G1559" s="28">
        <v>1</v>
      </c>
    </row>
    <row r="1560" spans="1:7">
      <c r="A1560" s="28">
        <v>1000901</v>
      </c>
      <c r="B1560" s="28" t="s">
        <v>8753</v>
      </c>
      <c r="C1560" s="28">
        <v>3</v>
      </c>
      <c r="D1560" s="28" t="s">
        <v>8754</v>
      </c>
      <c r="E1560" s="54" t="s">
        <v>8755</v>
      </c>
      <c r="F1560" s="28" t="s">
        <v>8756</v>
      </c>
      <c r="G1560" s="28">
        <v>1</v>
      </c>
    </row>
    <row r="1561" spans="1:7">
      <c r="A1561" s="28">
        <v>1000902</v>
      </c>
      <c r="B1561" s="28" t="s">
        <v>8757</v>
      </c>
      <c r="C1561" s="28">
        <v>3</v>
      </c>
      <c r="D1561" s="28" t="s">
        <v>8758</v>
      </c>
      <c r="E1561" s="54" t="s">
        <v>8759</v>
      </c>
      <c r="F1561" s="28" t="s">
        <v>8760</v>
      </c>
      <c r="G1561" s="28">
        <v>1</v>
      </c>
    </row>
    <row r="1562" spans="1:7">
      <c r="A1562" s="28">
        <v>1000903</v>
      </c>
      <c r="B1562" s="28" t="s">
        <v>8761</v>
      </c>
      <c r="C1562" s="28">
        <v>3</v>
      </c>
      <c r="D1562" s="28" t="s">
        <v>8762</v>
      </c>
      <c r="E1562" s="54" t="s">
        <v>8763</v>
      </c>
      <c r="F1562" s="28" t="s">
        <v>8764</v>
      </c>
      <c r="G1562" s="28">
        <v>1</v>
      </c>
    </row>
    <row r="1563" spans="1:7">
      <c r="A1563" s="28">
        <v>1000904</v>
      </c>
      <c r="B1563" s="28" t="s">
        <v>8765</v>
      </c>
      <c r="C1563" s="28">
        <v>3</v>
      </c>
      <c r="D1563" s="28" t="s">
        <v>8766</v>
      </c>
      <c r="E1563" s="54" t="s">
        <v>8767</v>
      </c>
      <c r="F1563" s="28" t="s">
        <v>8768</v>
      </c>
      <c r="G1563" s="28">
        <v>1</v>
      </c>
    </row>
    <row r="1564" spans="1:7">
      <c r="A1564" s="28">
        <v>1000905</v>
      </c>
      <c r="B1564" s="28" t="s">
        <v>8769</v>
      </c>
      <c r="C1564" s="28">
        <v>3</v>
      </c>
      <c r="D1564" s="28" t="s">
        <v>8770</v>
      </c>
      <c r="E1564" s="54" t="s">
        <v>8771</v>
      </c>
      <c r="F1564" s="28" t="s">
        <v>8772</v>
      </c>
      <c r="G1564" s="28">
        <v>1</v>
      </c>
    </row>
    <row r="1565" spans="1:7">
      <c r="A1565" s="28">
        <v>1000906</v>
      </c>
      <c r="B1565" s="28" t="s">
        <v>8773</v>
      </c>
      <c r="C1565" s="28">
        <v>3</v>
      </c>
      <c r="D1565" s="28" t="s">
        <v>8774</v>
      </c>
      <c r="E1565" s="54" t="s">
        <v>8775</v>
      </c>
      <c r="F1565" s="28" t="s">
        <v>8776</v>
      </c>
      <c r="G1565" s="28">
        <v>1</v>
      </c>
    </row>
    <row r="1566" spans="1:7">
      <c r="A1566" s="28">
        <v>1000907</v>
      </c>
      <c r="B1566" s="28" t="s">
        <v>8777</v>
      </c>
      <c r="C1566" s="28">
        <v>3</v>
      </c>
      <c r="D1566" s="28" t="s">
        <v>8778</v>
      </c>
      <c r="E1566" s="54" t="s">
        <v>8779</v>
      </c>
      <c r="F1566" s="28" t="s">
        <v>8780</v>
      </c>
      <c r="G1566" s="28">
        <v>1</v>
      </c>
    </row>
    <row r="1567" spans="1:7">
      <c r="A1567" s="28">
        <v>1000908</v>
      </c>
      <c r="B1567" s="28" t="s">
        <v>8781</v>
      </c>
      <c r="C1567" s="28">
        <v>3</v>
      </c>
      <c r="D1567" s="28" t="s">
        <v>8782</v>
      </c>
      <c r="E1567" s="54" t="s">
        <v>8783</v>
      </c>
      <c r="F1567" s="28" t="s">
        <v>8784</v>
      </c>
      <c r="G1567" s="28">
        <v>1</v>
      </c>
    </row>
    <row r="1568" spans="1:7">
      <c r="A1568" s="28">
        <v>1000909</v>
      </c>
      <c r="B1568" s="28" t="s">
        <v>8785</v>
      </c>
      <c r="C1568" s="28">
        <v>3</v>
      </c>
      <c r="D1568" s="28" t="s">
        <v>8786</v>
      </c>
      <c r="E1568" s="54" t="s">
        <v>8787</v>
      </c>
      <c r="F1568" s="28" t="s">
        <v>8788</v>
      </c>
      <c r="G1568" s="28">
        <v>1</v>
      </c>
    </row>
    <row r="1569" spans="1:7">
      <c r="A1569" s="28">
        <v>1000910</v>
      </c>
      <c r="B1569" s="28" t="s">
        <v>8789</v>
      </c>
      <c r="C1569" s="28">
        <v>3</v>
      </c>
      <c r="D1569" s="28" t="s">
        <v>8790</v>
      </c>
      <c r="E1569" s="54" t="s">
        <v>8791</v>
      </c>
      <c r="F1569" s="28" t="s">
        <v>8792</v>
      </c>
      <c r="G1569" s="28">
        <v>1</v>
      </c>
    </row>
    <row r="1570" spans="1:7">
      <c r="A1570" s="28">
        <v>1000911</v>
      </c>
      <c r="B1570" s="28" t="s">
        <v>8793</v>
      </c>
      <c r="C1570" s="28">
        <v>3</v>
      </c>
      <c r="D1570" s="28" t="s">
        <v>8794</v>
      </c>
      <c r="E1570" s="54" t="s">
        <v>8795</v>
      </c>
      <c r="F1570" s="28" t="s">
        <v>8796</v>
      </c>
      <c r="G1570" s="28">
        <v>1</v>
      </c>
    </row>
    <row r="1571" spans="1:7">
      <c r="A1571" s="28">
        <v>1000912</v>
      </c>
      <c r="B1571" s="28" t="s">
        <v>8797</v>
      </c>
      <c r="C1571" s="28">
        <v>2</v>
      </c>
      <c r="D1571" s="28" t="s">
        <v>8798</v>
      </c>
      <c r="E1571" s="54" t="s">
        <v>8799</v>
      </c>
      <c r="F1571" s="28" t="s">
        <v>8800</v>
      </c>
      <c r="G1571" s="28">
        <v>1</v>
      </c>
    </row>
    <row r="1572" spans="1:7">
      <c r="A1572" s="28">
        <v>1000913</v>
      </c>
      <c r="B1572" s="28" t="s">
        <v>8801</v>
      </c>
      <c r="C1572" s="28">
        <v>2</v>
      </c>
      <c r="D1572" s="28" t="s">
        <v>8802</v>
      </c>
      <c r="E1572" s="54" t="s">
        <v>8803</v>
      </c>
      <c r="F1572" s="28" t="s">
        <v>8804</v>
      </c>
      <c r="G1572" s="28">
        <v>1</v>
      </c>
    </row>
    <row r="1573" spans="1:7">
      <c r="A1573" s="28">
        <v>1000914</v>
      </c>
      <c r="B1573" s="28" t="s">
        <v>8805</v>
      </c>
      <c r="C1573" s="28">
        <v>3</v>
      </c>
      <c r="D1573" s="28" t="s">
        <v>8806</v>
      </c>
      <c r="E1573" s="54" t="s">
        <v>8807</v>
      </c>
      <c r="F1573" s="28" t="s">
        <v>8808</v>
      </c>
      <c r="G1573" s="28">
        <v>1</v>
      </c>
    </row>
    <row r="1574" spans="1:7">
      <c r="A1574" s="28">
        <v>1000915</v>
      </c>
      <c r="B1574" s="28" t="s">
        <v>8809</v>
      </c>
      <c r="C1574" s="28">
        <v>3</v>
      </c>
      <c r="D1574" s="28" t="s">
        <v>8810</v>
      </c>
      <c r="E1574" s="54" t="s">
        <v>8811</v>
      </c>
      <c r="F1574" s="28" t="s">
        <v>8812</v>
      </c>
      <c r="G1574" s="28">
        <v>1</v>
      </c>
    </row>
    <row r="1575" spans="1:7">
      <c r="A1575" s="28">
        <v>1000916</v>
      </c>
      <c r="B1575" s="28" t="s">
        <v>8813</v>
      </c>
      <c r="C1575" s="28">
        <v>3</v>
      </c>
      <c r="D1575" s="28" t="s">
        <v>8814</v>
      </c>
      <c r="E1575" s="54" t="s">
        <v>8815</v>
      </c>
      <c r="F1575" s="28" t="s">
        <v>8816</v>
      </c>
      <c r="G1575" s="28">
        <v>1</v>
      </c>
    </row>
    <row r="1576" spans="1:7">
      <c r="A1576" s="28">
        <v>1000917</v>
      </c>
      <c r="B1576" s="28" t="s">
        <v>8817</v>
      </c>
      <c r="C1576" s="28">
        <v>4</v>
      </c>
      <c r="D1576" s="28" t="s">
        <v>8818</v>
      </c>
      <c r="E1576" s="54" t="s">
        <v>8819</v>
      </c>
      <c r="F1576" s="28" t="s">
        <v>8820</v>
      </c>
      <c r="G1576" s="28">
        <v>1</v>
      </c>
    </row>
    <row r="1577" spans="1:7">
      <c r="A1577" s="28">
        <v>1000918</v>
      </c>
      <c r="B1577" s="28" t="s">
        <v>8821</v>
      </c>
      <c r="C1577" s="28">
        <v>2</v>
      </c>
      <c r="D1577" s="28" t="s">
        <v>8822</v>
      </c>
      <c r="E1577" s="54" t="s">
        <v>8823</v>
      </c>
      <c r="F1577" s="28" t="s">
        <v>8824</v>
      </c>
      <c r="G1577" s="28">
        <v>1</v>
      </c>
    </row>
    <row r="1578" spans="1:7">
      <c r="A1578" s="28">
        <v>1000919</v>
      </c>
      <c r="B1578" s="28" t="s">
        <v>8825</v>
      </c>
      <c r="C1578" s="28">
        <v>3</v>
      </c>
      <c r="D1578" s="28" t="s">
        <v>8826</v>
      </c>
      <c r="E1578" s="54" t="s">
        <v>8827</v>
      </c>
      <c r="F1578" s="28" t="s">
        <v>8828</v>
      </c>
      <c r="G1578" s="28">
        <v>1</v>
      </c>
    </row>
    <row r="1579" spans="1:7">
      <c r="A1579" s="28">
        <v>1000920</v>
      </c>
      <c r="B1579" s="28" t="s">
        <v>8829</v>
      </c>
      <c r="C1579" s="28">
        <v>3</v>
      </c>
      <c r="D1579" s="28" t="s">
        <v>8830</v>
      </c>
      <c r="E1579" s="54" t="s">
        <v>8831</v>
      </c>
      <c r="F1579" s="28" t="s">
        <v>8832</v>
      </c>
      <c r="G1579" s="28">
        <v>1</v>
      </c>
    </row>
    <row r="1580" spans="1:7">
      <c r="A1580" s="28">
        <v>1000921</v>
      </c>
      <c r="B1580" s="28" t="s">
        <v>8833</v>
      </c>
      <c r="C1580" s="28">
        <v>4</v>
      </c>
      <c r="D1580" s="28" t="s">
        <v>8834</v>
      </c>
      <c r="E1580" s="54" t="s">
        <v>8835</v>
      </c>
      <c r="F1580" s="28" t="s">
        <v>8836</v>
      </c>
      <c r="G1580" s="28">
        <v>1</v>
      </c>
    </row>
    <row r="1581" spans="1:7">
      <c r="A1581" s="28">
        <v>1000922</v>
      </c>
      <c r="B1581" s="28" t="s">
        <v>8837</v>
      </c>
      <c r="C1581" s="28">
        <v>2</v>
      </c>
      <c r="D1581" s="28" t="s">
        <v>8838</v>
      </c>
      <c r="E1581" s="54" t="s">
        <v>8839</v>
      </c>
      <c r="F1581" s="28" t="s">
        <v>8840</v>
      </c>
      <c r="G1581" s="28">
        <v>1</v>
      </c>
    </row>
    <row r="1582" spans="1:7">
      <c r="A1582" s="28">
        <v>1000928</v>
      </c>
      <c r="B1582" s="28" t="s">
        <v>8777</v>
      </c>
      <c r="C1582" s="28">
        <v>2</v>
      </c>
      <c r="D1582" s="28" t="s">
        <v>8841</v>
      </c>
      <c r="E1582" s="54" t="s">
        <v>8779</v>
      </c>
      <c r="F1582" s="28" t="s">
        <v>8780</v>
      </c>
      <c r="G1582" s="28">
        <v>1</v>
      </c>
    </row>
    <row r="1583" spans="1:7">
      <c r="A1583" s="28">
        <v>1000929</v>
      </c>
      <c r="B1583" s="28" t="s">
        <v>8842</v>
      </c>
      <c r="C1583" s="28">
        <v>2</v>
      </c>
      <c r="D1583" s="28" t="s">
        <v>8843</v>
      </c>
      <c r="E1583" s="54" t="s">
        <v>8844</v>
      </c>
      <c r="F1583" s="28" t="s">
        <v>8845</v>
      </c>
      <c r="G1583" s="28">
        <v>1</v>
      </c>
    </row>
    <row r="1584" spans="1:7">
      <c r="A1584" s="28">
        <v>1000930</v>
      </c>
      <c r="B1584" s="28" t="s">
        <v>8846</v>
      </c>
      <c r="C1584" s="28">
        <v>2</v>
      </c>
      <c r="D1584" s="28" t="s">
        <v>8847</v>
      </c>
      <c r="E1584" s="54" t="s">
        <v>8848</v>
      </c>
      <c r="F1584" s="28" t="s">
        <v>8849</v>
      </c>
      <c r="G1584" s="28">
        <v>1</v>
      </c>
    </row>
    <row r="1585" spans="1:7">
      <c r="A1585" s="28">
        <v>1000931</v>
      </c>
      <c r="B1585" s="28" t="s">
        <v>8777</v>
      </c>
      <c r="C1585" s="28">
        <v>2</v>
      </c>
      <c r="D1585" s="28" t="s">
        <v>8841</v>
      </c>
      <c r="E1585" s="54" t="s">
        <v>8779</v>
      </c>
      <c r="F1585" s="28" t="s">
        <v>8780</v>
      </c>
      <c r="G1585" s="28">
        <v>1</v>
      </c>
    </row>
    <row r="1586" spans="1:7">
      <c r="A1586" s="28">
        <v>1000932</v>
      </c>
      <c r="B1586" s="28" t="s">
        <v>8842</v>
      </c>
      <c r="C1586" s="28">
        <v>2</v>
      </c>
      <c r="D1586" s="28" t="s">
        <v>8843</v>
      </c>
      <c r="E1586" s="54" t="s">
        <v>8844</v>
      </c>
      <c r="F1586" s="28" t="s">
        <v>8845</v>
      </c>
      <c r="G1586" s="28">
        <v>1</v>
      </c>
    </row>
    <row r="1587" spans="1:7">
      <c r="A1587" s="28">
        <v>1000933</v>
      </c>
      <c r="B1587" s="28" t="s">
        <v>8846</v>
      </c>
      <c r="C1587" s="28">
        <v>2</v>
      </c>
      <c r="D1587" s="28" t="s">
        <v>8847</v>
      </c>
      <c r="E1587" s="54" t="s">
        <v>8848</v>
      </c>
      <c r="F1587" s="28" t="s">
        <v>8849</v>
      </c>
      <c r="G1587" s="28">
        <v>1</v>
      </c>
    </row>
    <row r="1588" spans="1:7">
      <c r="A1588" s="28">
        <v>1000934</v>
      </c>
      <c r="B1588" s="28" t="s">
        <v>8850</v>
      </c>
      <c r="C1588" s="28">
        <v>3</v>
      </c>
      <c r="D1588" s="28" t="s">
        <v>8851</v>
      </c>
      <c r="E1588" s="28" t="s">
        <v>8852</v>
      </c>
      <c r="F1588" s="28" t="s">
        <v>8853</v>
      </c>
      <c r="G1588" s="28">
        <v>1</v>
      </c>
    </row>
    <row r="1589" spans="1:7">
      <c r="A1589" s="28">
        <v>1000937</v>
      </c>
      <c r="B1589" s="54" t="s">
        <v>8829</v>
      </c>
      <c r="C1589" s="28">
        <v>3</v>
      </c>
      <c r="D1589" s="54" t="s">
        <v>8854</v>
      </c>
      <c r="E1589" s="28" t="s">
        <v>8831</v>
      </c>
      <c r="F1589" s="28" t="s">
        <v>8832</v>
      </c>
      <c r="G1589" s="28">
        <v>1</v>
      </c>
    </row>
    <row r="1590" spans="1:7">
      <c r="A1590" s="28">
        <v>1000938</v>
      </c>
      <c r="B1590" s="54" t="s">
        <v>8821</v>
      </c>
      <c r="C1590" s="28">
        <v>3</v>
      </c>
      <c r="D1590" s="54" t="s">
        <v>8855</v>
      </c>
      <c r="E1590" s="28" t="s">
        <v>8823</v>
      </c>
      <c r="F1590" s="28" t="s">
        <v>8824</v>
      </c>
      <c r="G1590" s="28">
        <v>1</v>
      </c>
    </row>
    <row r="1591" spans="1:7">
      <c r="A1591" s="28">
        <v>1000939</v>
      </c>
      <c r="B1591" s="54" t="s">
        <v>8856</v>
      </c>
      <c r="C1591" s="28">
        <v>3</v>
      </c>
      <c r="D1591" s="54" t="s">
        <v>8857</v>
      </c>
      <c r="E1591" s="28" t="s">
        <v>8835</v>
      </c>
      <c r="F1591" s="28" t="s">
        <v>8836</v>
      </c>
      <c r="G1591" s="28">
        <v>1</v>
      </c>
    </row>
    <row r="1592" spans="1:7">
      <c r="A1592" s="28">
        <v>1000940</v>
      </c>
      <c r="B1592" s="28" t="s">
        <v>8837</v>
      </c>
      <c r="C1592" s="28">
        <v>3</v>
      </c>
      <c r="D1592" s="28" t="s">
        <v>8858</v>
      </c>
      <c r="E1592" s="28" t="s">
        <v>8839</v>
      </c>
      <c r="F1592" s="28" t="s">
        <v>8840</v>
      </c>
      <c r="G1592" s="28">
        <v>1</v>
      </c>
    </row>
    <row r="1593" spans="1:7">
      <c r="A1593" s="28">
        <v>1000941</v>
      </c>
      <c r="B1593" s="54" t="s">
        <v>8797</v>
      </c>
      <c r="C1593" s="28">
        <v>3</v>
      </c>
      <c r="D1593" s="54" t="s">
        <v>8859</v>
      </c>
      <c r="E1593" s="28" t="s">
        <v>8799</v>
      </c>
      <c r="F1593" s="28" t="s">
        <v>8800</v>
      </c>
      <c r="G1593" s="28">
        <v>1</v>
      </c>
    </row>
    <row r="1594" spans="1:7">
      <c r="A1594" s="28">
        <v>1000943</v>
      </c>
      <c r="B1594" s="54" t="s">
        <v>8860</v>
      </c>
      <c r="C1594" s="28">
        <v>4</v>
      </c>
      <c r="D1594" s="54" t="s">
        <v>8861</v>
      </c>
      <c r="E1594" s="28" t="s">
        <v>8862</v>
      </c>
      <c r="F1594" s="28" t="s">
        <v>8863</v>
      </c>
      <c r="G1594" s="28">
        <v>1</v>
      </c>
    </row>
    <row r="1595" spans="1:7">
      <c r="A1595" s="28">
        <v>1000944</v>
      </c>
      <c r="B1595" s="28" t="s">
        <v>8864</v>
      </c>
      <c r="C1595" s="28">
        <v>4</v>
      </c>
      <c r="D1595" s="54" t="s">
        <v>8865</v>
      </c>
      <c r="E1595" s="28" t="s">
        <v>8866</v>
      </c>
      <c r="F1595" s="28" t="s">
        <v>8867</v>
      </c>
      <c r="G1595" s="28">
        <v>1</v>
      </c>
    </row>
    <row r="1596" spans="1:7">
      <c r="A1596" s="28">
        <v>1000945</v>
      </c>
      <c r="B1596" s="28" t="s">
        <v>8868</v>
      </c>
      <c r="C1596" s="28">
        <v>4</v>
      </c>
      <c r="D1596" s="28" t="s">
        <v>8869</v>
      </c>
      <c r="E1596" s="28" t="s">
        <v>8870</v>
      </c>
      <c r="F1596" s="28" t="s">
        <v>8871</v>
      </c>
      <c r="G1596" s="28">
        <v>1</v>
      </c>
    </row>
    <row r="1597" spans="1:7">
      <c r="A1597" s="28">
        <v>1000946</v>
      </c>
      <c r="B1597" s="28" t="s">
        <v>8872</v>
      </c>
      <c r="C1597" s="28">
        <v>4</v>
      </c>
      <c r="D1597" s="54" t="s">
        <v>8873</v>
      </c>
      <c r="E1597" s="28" t="s">
        <v>8874</v>
      </c>
      <c r="F1597" s="28" t="s">
        <v>8875</v>
      </c>
      <c r="G1597" s="28">
        <v>1</v>
      </c>
    </row>
    <row r="1598" spans="1:7">
      <c r="A1598" s="28">
        <v>1000947</v>
      </c>
      <c r="B1598" s="28" t="s">
        <v>8876</v>
      </c>
      <c r="C1598" s="28">
        <v>4</v>
      </c>
      <c r="D1598" s="54" t="s">
        <v>8877</v>
      </c>
      <c r="E1598" s="28" t="s">
        <v>8878</v>
      </c>
      <c r="F1598" s="28" t="s">
        <v>8879</v>
      </c>
      <c r="G1598" s="28">
        <v>1</v>
      </c>
    </row>
    <row r="1599" spans="1:7">
      <c r="A1599" s="28">
        <v>1000948</v>
      </c>
      <c r="B1599" s="28" t="s">
        <v>8880</v>
      </c>
      <c r="C1599" s="28">
        <v>4</v>
      </c>
      <c r="D1599" s="54" t="s">
        <v>8881</v>
      </c>
      <c r="E1599" s="28" t="s">
        <v>8882</v>
      </c>
      <c r="F1599" s="28" t="s">
        <v>8883</v>
      </c>
      <c r="G1599" s="28">
        <v>1</v>
      </c>
    </row>
    <row r="1600" spans="1:7">
      <c r="A1600" s="28">
        <v>1000949</v>
      </c>
      <c r="B1600" s="28" t="s">
        <v>8884</v>
      </c>
      <c r="C1600" s="28">
        <v>4</v>
      </c>
      <c r="D1600" s="28" t="s">
        <v>8885</v>
      </c>
      <c r="E1600" s="28" t="s">
        <v>8886</v>
      </c>
      <c r="F1600" s="28" t="s">
        <v>8887</v>
      </c>
      <c r="G1600" s="28">
        <v>1</v>
      </c>
    </row>
    <row r="1601" spans="1:7">
      <c r="A1601" s="28">
        <v>1000950</v>
      </c>
      <c r="B1601" s="28" t="s">
        <v>8888</v>
      </c>
      <c r="C1601" s="28">
        <v>4</v>
      </c>
      <c r="D1601" s="28" t="s">
        <v>8889</v>
      </c>
      <c r="E1601" s="28" t="s">
        <v>8890</v>
      </c>
      <c r="F1601" s="28" t="s">
        <v>8891</v>
      </c>
      <c r="G1601" s="28">
        <v>1</v>
      </c>
    </row>
    <row r="1602" spans="1:7">
      <c r="A1602" s="28">
        <v>1000951</v>
      </c>
      <c r="B1602" s="54" t="s">
        <v>8892</v>
      </c>
      <c r="C1602" s="28">
        <v>4</v>
      </c>
      <c r="D1602" s="54" t="s">
        <v>8893</v>
      </c>
      <c r="E1602" s="28" t="s">
        <v>8894</v>
      </c>
      <c r="F1602" s="28" t="s">
        <v>8895</v>
      </c>
      <c r="G1602" s="28">
        <v>1</v>
      </c>
    </row>
    <row r="1603" spans="1:7">
      <c r="A1603" s="28">
        <v>1000952</v>
      </c>
      <c r="B1603" s="28" t="s">
        <v>8896</v>
      </c>
      <c r="C1603" s="28">
        <v>4</v>
      </c>
      <c r="D1603" s="54" t="s">
        <v>8897</v>
      </c>
      <c r="E1603" s="28" t="s">
        <v>8898</v>
      </c>
      <c r="F1603" s="28" t="s">
        <v>8899</v>
      </c>
      <c r="G1603" s="28">
        <v>1</v>
      </c>
    </row>
    <row r="1604" spans="1:7">
      <c r="A1604" s="28">
        <v>1000953</v>
      </c>
      <c r="B1604" s="28" t="s">
        <v>8900</v>
      </c>
      <c r="C1604" s="28">
        <v>4</v>
      </c>
      <c r="D1604" s="28" t="s">
        <v>8901</v>
      </c>
      <c r="E1604" s="28" t="s">
        <v>8902</v>
      </c>
      <c r="F1604" s="28" t="s">
        <v>8903</v>
      </c>
      <c r="G1604" s="28">
        <v>1</v>
      </c>
    </row>
    <row r="1605" spans="1:7">
      <c r="A1605" s="28">
        <v>1000954</v>
      </c>
      <c r="B1605" s="28" t="s">
        <v>8904</v>
      </c>
      <c r="C1605" s="28">
        <v>4</v>
      </c>
      <c r="D1605" s="28" t="s">
        <v>8905</v>
      </c>
      <c r="E1605" s="28" t="s">
        <v>8906</v>
      </c>
      <c r="F1605" s="28" t="s">
        <v>8907</v>
      </c>
      <c r="G1605" s="28">
        <v>1</v>
      </c>
    </row>
    <row r="1606" spans="1:7">
      <c r="A1606" s="28">
        <v>1000955</v>
      </c>
      <c r="B1606" s="28" t="s">
        <v>8908</v>
      </c>
      <c r="C1606" s="28">
        <v>4</v>
      </c>
      <c r="D1606" s="54" t="s">
        <v>8909</v>
      </c>
      <c r="E1606" s="28" t="s">
        <v>8910</v>
      </c>
      <c r="F1606" s="28" t="s">
        <v>8911</v>
      </c>
      <c r="G1606" s="28">
        <v>1</v>
      </c>
    </row>
    <row r="1607" spans="1:7">
      <c r="A1607" s="28">
        <v>1000956</v>
      </c>
      <c r="B1607" s="28" t="s">
        <v>8912</v>
      </c>
      <c r="C1607" s="28">
        <v>4</v>
      </c>
      <c r="D1607" s="54" t="s">
        <v>8913</v>
      </c>
      <c r="E1607" s="28" t="s">
        <v>8914</v>
      </c>
      <c r="F1607" s="28" t="s">
        <v>8915</v>
      </c>
      <c r="G1607" s="28">
        <v>1</v>
      </c>
    </row>
    <row r="1608" spans="1:7">
      <c r="A1608" s="28">
        <v>1000957</v>
      </c>
      <c r="B1608" s="28" t="s">
        <v>8916</v>
      </c>
      <c r="C1608" s="28">
        <v>4</v>
      </c>
      <c r="D1608" s="28" t="s">
        <v>8917</v>
      </c>
      <c r="E1608" s="28" t="s">
        <v>8918</v>
      </c>
      <c r="F1608" s="28" t="s">
        <v>8919</v>
      </c>
      <c r="G1608" s="28">
        <v>1</v>
      </c>
    </row>
    <row r="1609" spans="1:7">
      <c r="A1609" s="28">
        <v>1000958</v>
      </c>
      <c r="B1609" s="54" t="s">
        <v>8920</v>
      </c>
      <c r="C1609" s="28">
        <v>4</v>
      </c>
      <c r="D1609" s="54" t="s">
        <v>8921</v>
      </c>
      <c r="E1609" s="28" t="s">
        <v>8922</v>
      </c>
      <c r="F1609" s="28" t="s">
        <v>8923</v>
      </c>
      <c r="G1609" s="28">
        <v>1</v>
      </c>
    </row>
    <row r="1610" spans="1:7">
      <c r="A1610" s="28">
        <v>1000959</v>
      </c>
      <c r="B1610" s="28" t="s">
        <v>8924</v>
      </c>
      <c r="C1610" s="28">
        <v>4</v>
      </c>
      <c r="D1610" s="28" t="s">
        <v>8925</v>
      </c>
      <c r="E1610" s="28" t="s">
        <v>8926</v>
      </c>
      <c r="F1610" s="28" t="s">
        <v>8927</v>
      </c>
      <c r="G1610" s="28">
        <v>1</v>
      </c>
    </row>
    <row r="1611" spans="1:7">
      <c r="A1611" s="28">
        <v>1000960</v>
      </c>
      <c r="B1611" s="28" t="s">
        <v>8928</v>
      </c>
      <c r="C1611" s="28">
        <v>4</v>
      </c>
      <c r="D1611" s="28" t="s">
        <v>8929</v>
      </c>
      <c r="E1611" s="28" t="s">
        <v>8930</v>
      </c>
      <c r="F1611" s="28" t="s">
        <v>8931</v>
      </c>
      <c r="G1611" s="28">
        <v>1</v>
      </c>
    </row>
    <row r="1612" spans="1:7">
      <c r="A1612" s="28">
        <v>1000961</v>
      </c>
      <c r="B1612" s="28" t="s">
        <v>8932</v>
      </c>
      <c r="C1612" s="28">
        <v>4</v>
      </c>
      <c r="D1612" s="28" t="s">
        <v>8933</v>
      </c>
      <c r="E1612" s="28" t="s">
        <v>8934</v>
      </c>
      <c r="F1612" s="28" t="s">
        <v>8935</v>
      </c>
      <c r="G1612" s="28">
        <v>1</v>
      </c>
    </row>
    <row r="1613" spans="1:7">
      <c r="A1613" s="28">
        <v>1000962</v>
      </c>
      <c r="B1613" s="28" t="s">
        <v>8936</v>
      </c>
      <c r="C1613" s="28">
        <v>4</v>
      </c>
      <c r="D1613" s="28" t="s">
        <v>8937</v>
      </c>
      <c r="E1613" s="28" t="s">
        <v>8938</v>
      </c>
      <c r="F1613" s="28" t="s">
        <v>8939</v>
      </c>
      <c r="G1613" s="28">
        <v>1</v>
      </c>
    </row>
    <row r="1614" spans="1:7">
      <c r="A1614" s="28">
        <v>1000963</v>
      </c>
      <c r="B1614" s="28" t="s">
        <v>8940</v>
      </c>
      <c r="C1614" s="28">
        <v>4</v>
      </c>
      <c r="D1614" s="28" t="s">
        <v>8941</v>
      </c>
      <c r="E1614" s="28" t="s">
        <v>8942</v>
      </c>
      <c r="F1614" s="28" t="s">
        <v>8943</v>
      </c>
      <c r="G1614" s="28">
        <v>1</v>
      </c>
    </row>
    <row r="1615" spans="1:7">
      <c r="A1615" s="28">
        <v>1000964</v>
      </c>
      <c r="B1615" s="28" t="s">
        <v>8944</v>
      </c>
      <c r="C1615" s="28">
        <v>4</v>
      </c>
      <c r="D1615" s="28" t="s">
        <v>8945</v>
      </c>
      <c r="E1615" s="28" t="s">
        <v>8946</v>
      </c>
      <c r="F1615" s="28" t="s">
        <v>8947</v>
      </c>
      <c r="G1615" s="28">
        <v>1</v>
      </c>
    </row>
    <row r="1616" spans="1:7">
      <c r="A1616" s="28">
        <v>1000965</v>
      </c>
      <c r="B1616" s="28" t="s">
        <v>8948</v>
      </c>
      <c r="C1616" s="28">
        <v>4</v>
      </c>
      <c r="D1616" s="28" t="s">
        <v>8949</v>
      </c>
      <c r="E1616" s="28" t="s">
        <v>8950</v>
      </c>
      <c r="F1616" s="28" t="s">
        <v>8951</v>
      </c>
      <c r="G1616" s="28">
        <v>1</v>
      </c>
    </row>
    <row r="1617" spans="1:7">
      <c r="A1617" s="28">
        <v>1000966</v>
      </c>
      <c r="B1617" s="28" t="s">
        <v>8952</v>
      </c>
      <c r="C1617" s="28">
        <v>4</v>
      </c>
      <c r="D1617" s="28" t="s">
        <v>8953</v>
      </c>
      <c r="E1617" s="28" t="s">
        <v>8954</v>
      </c>
      <c r="F1617" s="28" t="s">
        <v>8955</v>
      </c>
      <c r="G1617" s="28">
        <v>1</v>
      </c>
    </row>
    <row r="1618" spans="1:7">
      <c r="A1618" s="28">
        <v>1000967</v>
      </c>
      <c r="B1618" s="28" t="s">
        <v>8956</v>
      </c>
      <c r="C1618" s="28">
        <v>4</v>
      </c>
      <c r="D1618" s="28" t="s">
        <v>8957</v>
      </c>
      <c r="E1618" s="28" t="s">
        <v>8958</v>
      </c>
      <c r="F1618" s="28" t="s">
        <v>8959</v>
      </c>
      <c r="G1618" s="28">
        <v>1</v>
      </c>
    </row>
    <row r="1619" spans="1:7">
      <c r="A1619" s="28">
        <v>1000968</v>
      </c>
      <c r="B1619" s="28" t="s">
        <v>8960</v>
      </c>
      <c r="C1619" s="28">
        <v>4</v>
      </c>
      <c r="D1619" s="28" t="s">
        <v>8961</v>
      </c>
      <c r="E1619" s="28" t="s">
        <v>8962</v>
      </c>
      <c r="F1619" s="28" t="s">
        <v>8963</v>
      </c>
      <c r="G1619" s="28">
        <v>1</v>
      </c>
    </row>
    <row r="1620" spans="1:7">
      <c r="A1620" s="28">
        <v>1000969</v>
      </c>
      <c r="B1620" s="28" t="s">
        <v>8964</v>
      </c>
      <c r="C1620" s="28">
        <v>4</v>
      </c>
      <c r="D1620" s="28" t="s">
        <v>8965</v>
      </c>
      <c r="E1620" s="28" t="s">
        <v>8966</v>
      </c>
      <c r="F1620" s="28" t="s">
        <v>8967</v>
      </c>
      <c r="G1620" s="28">
        <v>1</v>
      </c>
    </row>
    <row r="1621" spans="1:7">
      <c r="A1621" s="28">
        <v>1000970</v>
      </c>
      <c r="B1621" s="28" t="s">
        <v>8968</v>
      </c>
      <c r="C1621" s="28">
        <v>4</v>
      </c>
      <c r="D1621" s="28" t="s">
        <v>8969</v>
      </c>
      <c r="E1621" s="28" t="s">
        <v>8970</v>
      </c>
      <c r="F1621" s="28" t="s">
        <v>8971</v>
      </c>
      <c r="G1621" s="28">
        <v>1</v>
      </c>
    </row>
    <row r="1622" spans="1:7">
      <c r="A1622" s="28">
        <v>1000971</v>
      </c>
      <c r="B1622" s="28" t="s">
        <v>8972</v>
      </c>
      <c r="C1622" s="28">
        <v>4</v>
      </c>
      <c r="D1622" s="28" t="s">
        <v>8973</v>
      </c>
      <c r="E1622" s="28" t="s">
        <v>8974</v>
      </c>
      <c r="F1622" s="28" t="s">
        <v>8975</v>
      </c>
      <c r="G1622" s="28">
        <v>1</v>
      </c>
    </row>
    <row r="1623" spans="1:7">
      <c r="A1623" s="28">
        <v>1000972</v>
      </c>
      <c r="B1623" s="28" t="s">
        <v>8976</v>
      </c>
      <c r="C1623" s="28">
        <v>4</v>
      </c>
      <c r="D1623" s="28" t="s">
        <v>8977</v>
      </c>
      <c r="E1623" s="28" t="s">
        <v>8978</v>
      </c>
      <c r="F1623" s="28" t="s">
        <v>8979</v>
      </c>
      <c r="G1623" s="28">
        <v>1</v>
      </c>
    </row>
    <row r="1624" spans="1:7">
      <c r="A1624" s="28">
        <v>1000973</v>
      </c>
      <c r="B1624" s="28" t="s">
        <v>8980</v>
      </c>
      <c r="C1624" s="28">
        <v>4</v>
      </c>
      <c r="D1624" s="28" t="s">
        <v>8981</v>
      </c>
      <c r="E1624" s="28" t="s">
        <v>8982</v>
      </c>
      <c r="F1624" s="28" t="s">
        <v>8983</v>
      </c>
      <c r="G1624" s="28">
        <v>1</v>
      </c>
    </row>
    <row r="1625" spans="1:7">
      <c r="A1625" s="28">
        <v>1000974</v>
      </c>
      <c r="B1625" s="28" t="s">
        <v>8984</v>
      </c>
      <c r="C1625" s="28">
        <v>4</v>
      </c>
      <c r="D1625" s="28" t="s">
        <v>8985</v>
      </c>
      <c r="E1625" s="28" t="s">
        <v>8986</v>
      </c>
      <c r="F1625" s="28" t="s">
        <v>8987</v>
      </c>
      <c r="G1625" s="28">
        <v>1</v>
      </c>
    </row>
    <row r="1626" spans="1:7">
      <c r="A1626" s="28">
        <v>1000975</v>
      </c>
      <c r="B1626" s="28" t="s">
        <v>8988</v>
      </c>
      <c r="C1626" s="28">
        <v>4</v>
      </c>
      <c r="D1626" s="28" t="s">
        <v>8989</v>
      </c>
      <c r="E1626" s="28" t="s">
        <v>8990</v>
      </c>
      <c r="F1626" s="28" t="s">
        <v>8991</v>
      </c>
      <c r="G1626" s="28">
        <v>1</v>
      </c>
    </row>
    <row r="1627" spans="1:7">
      <c r="A1627" s="28">
        <v>1000976</v>
      </c>
      <c r="B1627" s="28" t="s">
        <v>8992</v>
      </c>
      <c r="C1627" s="28">
        <v>4</v>
      </c>
      <c r="D1627" s="28" t="s">
        <v>8993</v>
      </c>
      <c r="E1627" s="28" t="s">
        <v>8994</v>
      </c>
      <c r="F1627" s="28" t="s">
        <v>8995</v>
      </c>
      <c r="G1627" s="28">
        <v>1</v>
      </c>
    </row>
    <row r="1628" spans="1:7">
      <c r="A1628" s="28">
        <v>1000977</v>
      </c>
      <c r="B1628" s="28" t="s">
        <v>8996</v>
      </c>
      <c r="C1628" s="28">
        <v>4</v>
      </c>
      <c r="D1628" s="28" t="s">
        <v>8997</v>
      </c>
      <c r="E1628" s="28" t="s">
        <v>8998</v>
      </c>
      <c r="F1628" s="28" t="s">
        <v>8999</v>
      </c>
      <c r="G1628" s="28">
        <v>1</v>
      </c>
    </row>
    <row r="1629" spans="1:7">
      <c r="A1629" s="28">
        <v>1000978</v>
      </c>
      <c r="B1629" s="28" t="s">
        <v>9000</v>
      </c>
      <c r="C1629" s="28">
        <v>4</v>
      </c>
      <c r="D1629" s="28" t="s">
        <v>9001</v>
      </c>
      <c r="E1629" s="28" t="s">
        <v>9002</v>
      </c>
      <c r="F1629" s="28" t="s">
        <v>9003</v>
      </c>
      <c r="G1629" s="28">
        <v>1</v>
      </c>
    </row>
    <row r="1630" spans="1:7">
      <c r="A1630" s="28">
        <v>1000979</v>
      </c>
      <c r="B1630" s="28" t="s">
        <v>9004</v>
      </c>
      <c r="C1630" s="28">
        <v>4</v>
      </c>
      <c r="D1630" s="28" t="s">
        <v>9005</v>
      </c>
      <c r="E1630" s="28" t="s">
        <v>9006</v>
      </c>
      <c r="F1630" s="28" t="s">
        <v>9007</v>
      </c>
      <c r="G1630" s="28">
        <v>1</v>
      </c>
    </row>
    <row r="1631" spans="1:7">
      <c r="A1631" s="28">
        <v>1000980</v>
      </c>
      <c r="B1631" s="28" t="s">
        <v>9008</v>
      </c>
      <c r="C1631" s="28">
        <v>4</v>
      </c>
      <c r="D1631" s="28" t="s">
        <v>9009</v>
      </c>
      <c r="E1631" s="28" t="s">
        <v>9010</v>
      </c>
      <c r="F1631" s="28" t="s">
        <v>9011</v>
      </c>
      <c r="G1631" s="28">
        <v>1</v>
      </c>
    </row>
    <row r="1632" spans="1:7">
      <c r="A1632" s="28">
        <v>1000981</v>
      </c>
      <c r="B1632" s="28" t="s">
        <v>9012</v>
      </c>
      <c r="C1632" s="28">
        <v>4</v>
      </c>
      <c r="D1632" s="28" t="s">
        <v>9013</v>
      </c>
      <c r="E1632" s="28" t="s">
        <v>9014</v>
      </c>
      <c r="F1632" s="28" t="s">
        <v>9015</v>
      </c>
      <c r="G1632" s="28">
        <v>1</v>
      </c>
    </row>
    <row r="1633" spans="1:7">
      <c r="A1633" s="28">
        <v>1000982</v>
      </c>
      <c r="B1633" s="28" t="s">
        <v>9016</v>
      </c>
      <c r="C1633" s="28">
        <v>4</v>
      </c>
      <c r="D1633" s="28" t="s">
        <v>9017</v>
      </c>
      <c r="E1633" s="28" t="s">
        <v>9018</v>
      </c>
      <c r="F1633" s="28" t="s">
        <v>9019</v>
      </c>
      <c r="G1633" s="28">
        <v>1</v>
      </c>
    </row>
    <row r="1634" spans="1:7">
      <c r="A1634" s="28">
        <v>1000983</v>
      </c>
      <c r="B1634" s="28" t="s">
        <v>9020</v>
      </c>
      <c r="C1634" s="28">
        <v>4</v>
      </c>
      <c r="D1634" s="28" t="s">
        <v>9021</v>
      </c>
      <c r="E1634" s="28" t="s">
        <v>9022</v>
      </c>
      <c r="F1634" s="28" t="s">
        <v>9023</v>
      </c>
      <c r="G1634" s="28">
        <v>1</v>
      </c>
    </row>
    <row r="1635" spans="1:7">
      <c r="A1635" s="28">
        <v>1000984</v>
      </c>
      <c r="B1635" s="28" t="s">
        <v>9024</v>
      </c>
      <c r="C1635" s="28">
        <v>4</v>
      </c>
      <c r="D1635" s="28" t="s">
        <v>9025</v>
      </c>
      <c r="E1635" s="28" t="s">
        <v>9026</v>
      </c>
      <c r="F1635" s="28" t="s">
        <v>9027</v>
      </c>
      <c r="G1635" s="28">
        <v>1</v>
      </c>
    </row>
    <row r="1636" spans="1:7">
      <c r="A1636" s="28">
        <v>1000985</v>
      </c>
      <c r="B1636" s="28" t="s">
        <v>9028</v>
      </c>
      <c r="C1636" s="28">
        <v>4</v>
      </c>
      <c r="D1636" s="28" t="s">
        <v>9029</v>
      </c>
      <c r="E1636" s="28" t="s">
        <v>9030</v>
      </c>
      <c r="F1636" s="28" t="s">
        <v>9031</v>
      </c>
      <c r="G1636" s="28">
        <v>1</v>
      </c>
    </row>
    <row r="1637" spans="1:7">
      <c r="A1637" s="28">
        <v>1000986</v>
      </c>
      <c r="B1637" s="28" t="s">
        <v>9032</v>
      </c>
      <c r="C1637" s="28">
        <v>4</v>
      </c>
      <c r="D1637" s="28" t="s">
        <v>9033</v>
      </c>
      <c r="E1637" s="28" t="s">
        <v>9034</v>
      </c>
      <c r="F1637" s="28" t="s">
        <v>9035</v>
      </c>
      <c r="G1637" s="28">
        <v>1</v>
      </c>
    </row>
    <row r="1638" spans="1:7">
      <c r="A1638" s="28">
        <v>1000987</v>
      </c>
      <c r="B1638" s="28" t="s">
        <v>9036</v>
      </c>
      <c r="C1638" s="28">
        <v>4</v>
      </c>
      <c r="D1638" s="28" t="s">
        <v>9037</v>
      </c>
      <c r="E1638" s="28" t="s">
        <v>9038</v>
      </c>
      <c r="F1638" s="28" t="s">
        <v>9039</v>
      </c>
      <c r="G1638" s="28">
        <v>1</v>
      </c>
    </row>
    <row r="1639" spans="1:7">
      <c r="A1639" s="28">
        <v>1000988</v>
      </c>
      <c r="B1639" s="28" t="s">
        <v>9040</v>
      </c>
      <c r="C1639" s="28">
        <v>4</v>
      </c>
      <c r="D1639" s="28" t="s">
        <v>9041</v>
      </c>
      <c r="E1639" s="28" t="s">
        <v>9042</v>
      </c>
      <c r="F1639" s="28" t="s">
        <v>9043</v>
      </c>
      <c r="G1639" s="28">
        <v>1</v>
      </c>
    </row>
    <row r="1640" spans="1:7">
      <c r="A1640" s="28">
        <v>1000989</v>
      </c>
      <c r="B1640" s="28" t="s">
        <v>9044</v>
      </c>
      <c r="C1640" s="28">
        <v>4</v>
      </c>
      <c r="D1640" s="28" t="s">
        <v>9045</v>
      </c>
      <c r="E1640" s="28" t="s">
        <v>9046</v>
      </c>
      <c r="F1640" s="28" t="s">
        <v>9047</v>
      </c>
      <c r="G1640" s="28">
        <v>1</v>
      </c>
    </row>
    <row r="1641" spans="1:7">
      <c r="A1641" s="28">
        <v>1001001</v>
      </c>
      <c r="B1641" s="28" t="s">
        <v>9048</v>
      </c>
      <c r="C1641" s="28">
        <v>4</v>
      </c>
      <c r="D1641" s="28" t="s">
        <v>9049</v>
      </c>
      <c r="E1641" s="28" t="s">
        <v>9050</v>
      </c>
      <c r="F1641" s="28" t="s">
        <v>9051</v>
      </c>
      <c r="G1641" s="28">
        <v>1</v>
      </c>
    </row>
    <row r="1642" spans="1:7">
      <c r="A1642" s="28">
        <v>1001002</v>
      </c>
      <c r="B1642" s="28" t="s">
        <v>9052</v>
      </c>
      <c r="C1642" s="28">
        <v>4</v>
      </c>
      <c r="D1642" s="28" t="s">
        <v>9053</v>
      </c>
      <c r="E1642" s="28" t="s">
        <v>9054</v>
      </c>
      <c r="F1642" s="28" t="s">
        <v>9055</v>
      </c>
      <c r="G1642" s="28">
        <v>1</v>
      </c>
    </row>
    <row r="1643" spans="1:7">
      <c r="A1643" s="28">
        <v>1001003</v>
      </c>
      <c r="B1643" s="28" t="s">
        <v>9056</v>
      </c>
      <c r="C1643" s="28">
        <v>4</v>
      </c>
      <c r="D1643" s="28" t="s">
        <v>9057</v>
      </c>
      <c r="E1643" s="28" t="s">
        <v>9058</v>
      </c>
      <c r="F1643" s="28" t="s">
        <v>9059</v>
      </c>
      <c r="G1643" s="28">
        <v>1</v>
      </c>
    </row>
    <row r="1644" spans="1:7">
      <c r="A1644" s="28">
        <v>1001004</v>
      </c>
      <c r="B1644" s="28" t="s">
        <v>9060</v>
      </c>
      <c r="C1644" s="28">
        <v>4</v>
      </c>
      <c r="D1644" s="28" t="s">
        <v>9061</v>
      </c>
      <c r="E1644" s="28" t="s">
        <v>9062</v>
      </c>
      <c r="F1644" s="28" t="s">
        <v>9063</v>
      </c>
      <c r="G1644" s="28">
        <v>1</v>
      </c>
    </row>
    <row r="1645" spans="1:7">
      <c r="A1645" s="28">
        <v>1001005</v>
      </c>
      <c r="B1645" s="28" t="s">
        <v>9064</v>
      </c>
      <c r="C1645" s="28">
        <v>2</v>
      </c>
      <c r="D1645" s="28" t="s">
        <v>9065</v>
      </c>
      <c r="E1645" s="28" t="s">
        <v>9066</v>
      </c>
      <c r="F1645" s="28" t="s">
        <v>9067</v>
      </c>
      <c r="G1645" s="28">
        <v>1</v>
      </c>
    </row>
    <row r="1646" spans="1:7">
      <c r="A1646" s="28">
        <v>1001006</v>
      </c>
      <c r="B1646" s="28" t="s">
        <v>9068</v>
      </c>
      <c r="C1646" s="28">
        <v>3</v>
      </c>
      <c r="D1646" s="28" t="s">
        <v>9069</v>
      </c>
      <c r="E1646" s="28" t="s">
        <v>9070</v>
      </c>
      <c r="F1646" s="28" t="s">
        <v>9071</v>
      </c>
      <c r="G1646" s="28">
        <v>1</v>
      </c>
    </row>
    <row r="1647" spans="1:7">
      <c r="A1647" s="28">
        <v>1001007</v>
      </c>
      <c r="B1647" s="28" t="s">
        <v>9072</v>
      </c>
      <c r="C1647" s="28">
        <v>2</v>
      </c>
      <c r="D1647" s="28" t="s">
        <v>9073</v>
      </c>
      <c r="E1647" s="28" t="s">
        <v>9074</v>
      </c>
      <c r="F1647" s="28" t="s">
        <v>9075</v>
      </c>
      <c r="G1647" s="28">
        <v>1</v>
      </c>
    </row>
    <row r="1648" spans="1:7">
      <c r="A1648" s="28">
        <v>1001008</v>
      </c>
      <c r="B1648" s="28" t="s">
        <v>9076</v>
      </c>
      <c r="C1648" s="28">
        <v>2</v>
      </c>
      <c r="D1648" s="28" t="s">
        <v>9077</v>
      </c>
      <c r="E1648" s="28" t="s">
        <v>9078</v>
      </c>
      <c r="F1648" s="28" t="s">
        <v>9079</v>
      </c>
      <c r="G1648" s="28">
        <v>1</v>
      </c>
    </row>
    <row r="1649" spans="1:7">
      <c r="A1649" s="28">
        <v>1001009</v>
      </c>
      <c r="B1649" s="28" t="s">
        <v>9080</v>
      </c>
      <c r="C1649" s="28">
        <v>2</v>
      </c>
      <c r="D1649" s="28" t="s">
        <v>9081</v>
      </c>
      <c r="E1649" s="28" t="s">
        <v>9082</v>
      </c>
      <c r="F1649" s="28" t="s">
        <v>9083</v>
      </c>
      <c r="G1649" s="28">
        <v>1</v>
      </c>
    </row>
    <row r="1650" spans="1:7">
      <c r="A1650" s="28">
        <v>1001010</v>
      </c>
      <c r="B1650" s="28" t="s">
        <v>9084</v>
      </c>
      <c r="C1650" s="28">
        <v>2</v>
      </c>
      <c r="D1650" s="28" t="s">
        <v>9085</v>
      </c>
      <c r="E1650" s="28" t="s">
        <v>9086</v>
      </c>
      <c r="F1650" s="28" t="s">
        <v>9087</v>
      </c>
      <c r="G1650" s="28">
        <v>1</v>
      </c>
    </row>
    <row r="1651" spans="1:7">
      <c r="A1651" s="28">
        <v>1001011</v>
      </c>
      <c r="B1651" s="28" t="s">
        <v>9088</v>
      </c>
      <c r="C1651" s="28">
        <v>2</v>
      </c>
      <c r="D1651" s="28" t="s">
        <v>9089</v>
      </c>
      <c r="E1651" s="28" t="s">
        <v>9090</v>
      </c>
      <c r="F1651" s="28" t="s">
        <v>9091</v>
      </c>
      <c r="G1651" s="28">
        <v>1</v>
      </c>
    </row>
    <row r="1652" spans="1:7">
      <c r="A1652" s="28">
        <v>1001012</v>
      </c>
      <c r="B1652" s="28" t="s">
        <v>9092</v>
      </c>
      <c r="C1652" s="28">
        <v>2</v>
      </c>
      <c r="D1652" s="28" t="s">
        <v>9093</v>
      </c>
      <c r="E1652" s="28" t="s">
        <v>9094</v>
      </c>
      <c r="F1652" s="28" t="s">
        <v>9095</v>
      </c>
      <c r="G1652" s="28">
        <v>1</v>
      </c>
    </row>
    <row r="1653" spans="1:7">
      <c r="A1653" s="28">
        <v>1001013</v>
      </c>
      <c r="B1653" s="28" t="s">
        <v>9096</v>
      </c>
      <c r="C1653" s="28">
        <v>2</v>
      </c>
      <c r="D1653" s="28" t="s">
        <v>9097</v>
      </c>
      <c r="E1653" s="54" t="s">
        <v>9098</v>
      </c>
      <c r="F1653" s="28" t="s">
        <v>9099</v>
      </c>
      <c r="G1653" s="28">
        <v>1</v>
      </c>
    </row>
    <row r="1654" spans="1:7">
      <c r="A1654" s="28">
        <v>1001014</v>
      </c>
      <c r="B1654" s="28" t="s">
        <v>9100</v>
      </c>
      <c r="C1654" s="28">
        <v>2</v>
      </c>
      <c r="D1654" s="28" t="s">
        <v>9101</v>
      </c>
      <c r="E1654" s="28" t="s">
        <v>9102</v>
      </c>
      <c r="F1654" s="28" t="s">
        <v>9103</v>
      </c>
      <c r="G1654" s="28">
        <v>1</v>
      </c>
    </row>
    <row r="1655" spans="1:7">
      <c r="A1655" s="28">
        <v>1001015</v>
      </c>
      <c r="B1655" s="28" t="s">
        <v>9104</v>
      </c>
      <c r="C1655" s="28">
        <v>4</v>
      </c>
      <c r="D1655" s="28" t="s">
        <v>9105</v>
      </c>
      <c r="E1655" s="28" t="s">
        <v>9106</v>
      </c>
      <c r="F1655" s="28" t="s">
        <v>9107</v>
      </c>
      <c r="G1655" s="28">
        <v>1</v>
      </c>
    </row>
    <row r="1656" spans="1:7">
      <c r="A1656" s="28">
        <v>1001016</v>
      </c>
      <c r="B1656" s="28" t="s">
        <v>9108</v>
      </c>
      <c r="C1656" s="28">
        <v>4</v>
      </c>
      <c r="D1656" s="28" t="s">
        <v>9109</v>
      </c>
      <c r="E1656" s="28" t="s">
        <v>9110</v>
      </c>
      <c r="F1656" s="28" t="s">
        <v>9111</v>
      </c>
      <c r="G1656" s="28">
        <v>1</v>
      </c>
    </row>
    <row r="1657" spans="1:7">
      <c r="A1657" s="28">
        <v>1001017</v>
      </c>
      <c r="B1657" s="28" t="s">
        <v>9112</v>
      </c>
      <c r="C1657" s="28">
        <v>3</v>
      </c>
      <c r="D1657" s="28" t="s">
        <v>9113</v>
      </c>
      <c r="E1657" s="28" t="s">
        <v>9114</v>
      </c>
      <c r="F1657" s="28" t="s">
        <v>9115</v>
      </c>
      <c r="G1657" s="28">
        <v>1</v>
      </c>
    </row>
    <row r="1658" spans="1:7">
      <c r="A1658" s="28">
        <v>1001018</v>
      </c>
      <c r="B1658" s="28" t="s">
        <v>9116</v>
      </c>
      <c r="C1658" s="28">
        <v>3</v>
      </c>
      <c r="D1658" s="28" t="s">
        <v>9117</v>
      </c>
      <c r="E1658" s="28" t="s">
        <v>9118</v>
      </c>
      <c r="F1658" s="28" t="s">
        <v>9119</v>
      </c>
      <c r="G1658" s="28">
        <v>1</v>
      </c>
    </row>
    <row r="1659" spans="1:7">
      <c r="A1659" s="28">
        <v>1001019</v>
      </c>
      <c r="B1659" s="28" t="s">
        <v>9120</v>
      </c>
      <c r="C1659" s="28">
        <v>3</v>
      </c>
      <c r="D1659" s="28" t="s">
        <v>9121</v>
      </c>
      <c r="E1659" s="54" t="s">
        <v>9122</v>
      </c>
      <c r="F1659" s="28" t="s">
        <v>9123</v>
      </c>
      <c r="G1659" s="28">
        <v>1</v>
      </c>
    </row>
    <row r="1660" spans="1:7">
      <c r="A1660" s="28">
        <v>1001020</v>
      </c>
      <c r="B1660" s="28" t="s">
        <v>9124</v>
      </c>
      <c r="C1660" s="28">
        <v>3</v>
      </c>
      <c r="D1660" s="28" t="s">
        <v>9125</v>
      </c>
      <c r="E1660" s="54" t="s">
        <v>9126</v>
      </c>
      <c r="F1660" s="28" t="s">
        <v>9127</v>
      </c>
      <c r="G1660" s="28">
        <v>1</v>
      </c>
    </row>
    <row r="1661" spans="1:7">
      <c r="A1661" s="28">
        <v>1001021</v>
      </c>
      <c r="B1661" s="28" t="s">
        <v>9128</v>
      </c>
      <c r="C1661" s="28">
        <v>3</v>
      </c>
      <c r="D1661" s="28" t="s">
        <v>9129</v>
      </c>
      <c r="E1661" s="54" t="s">
        <v>9130</v>
      </c>
      <c r="F1661" s="28" t="s">
        <v>9131</v>
      </c>
      <c r="G1661" s="28">
        <v>1</v>
      </c>
    </row>
    <row r="1662" spans="1:7">
      <c r="A1662" s="28">
        <v>1001022</v>
      </c>
      <c r="B1662" s="28" t="s">
        <v>9132</v>
      </c>
      <c r="C1662" s="28">
        <v>4</v>
      </c>
      <c r="D1662" s="28" t="s">
        <v>9133</v>
      </c>
      <c r="E1662" s="54" t="s">
        <v>9134</v>
      </c>
      <c r="F1662" s="28" t="s">
        <v>9135</v>
      </c>
      <c r="G1662" s="28">
        <v>1</v>
      </c>
    </row>
    <row r="1663" spans="1:7">
      <c r="A1663" s="28">
        <v>1001023</v>
      </c>
      <c r="B1663" s="28" t="s">
        <v>9136</v>
      </c>
      <c r="C1663" s="28">
        <v>2</v>
      </c>
      <c r="D1663" s="28" t="s">
        <v>9137</v>
      </c>
      <c r="E1663" s="54" t="s">
        <v>9138</v>
      </c>
      <c r="F1663" s="28" t="s">
        <v>9139</v>
      </c>
      <c r="G1663" s="28">
        <v>1</v>
      </c>
    </row>
    <row r="1664" spans="1:7">
      <c r="A1664" s="28">
        <v>1001024</v>
      </c>
      <c r="B1664" s="28" t="s">
        <v>9140</v>
      </c>
      <c r="C1664" s="28">
        <v>3</v>
      </c>
      <c r="D1664" s="28" t="s">
        <v>9141</v>
      </c>
      <c r="E1664" s="54" t="s">
        <v>9142</v>
      </c>
      <c r="F1664" s="28" t="s">
        <v>9143</v>
      </c>
      <c r="G1664" s="28">
        <v>1</v>
      </c>
    </row>
    <row r="1665" spans="1:7">
      <c r="A1665" s="28">
        <v>1001025</v>
      </c>
      <c r="B1665" s="28" t="s">
        <v>9144</v>
      </c>
      <c r="C1665" s="28">
        <v>4</v>
      </c>
      <c r="D1665" s="28" t="s">
        <v>9145</v>
      </c>
      <c r="E1665" s="54" t="s">
        <v>9146</v>
      </c>
      <c r="F1665" s="28" t="s">
        <v>9147</v>
      </c>
      <c r="G1665" s="28">
        <v>1</v>
      </c>
    </row>
    <row r="1666" spans="1:7">
      <c r="A1666" s="28">
        <v>1001026</v>
      </c>
      <c r="B1666" s="28" t="s">
        <v>9148</v>
      </c>
      <c r="C1666" s="28">
        <v>4</v>
      </c>
      <c r="D1666" s="28" t="s">
        <v>9149</v>
      </c>
      <c r="E1666" s="54" t="s">
        <v>9150</v>
      </c>
      <c r="F1666" s="28" t="s">
        <v>9151</v>
      </c>
      <c r="G1666" s="28">
        <v>1</v>
      </c>
    </row>
    <row r="1667" spans="1:7">
      <c r="A1667" s="28">
        <v>1001027</v>
      </c>
      <c r="B1667" s="28" t="s">
        <v>9152</v>
      </c>
      <c r="C1667" s="28">
        <v>4</v>
      </c>
      <c r="D1667" s="28" t="s">
        <v>9153</v>
      </c>
      <c r="E1667" s="54" t="s">
        <v>9154</v>
      </c>
      <c r="F1667" s="28" t="s">
        <v>9155</v>
      </c>
      <c r="G1667" s="28">
        <v>1</v>
      </c>
    </row>
    <row r="1668" spans="1:7">
      <c r="A1668" s="28">
        <v>1001028</v>
      </c>
      <c r="B1668" s="28" t="s">
        <v>9156</v>
      </c>
      <c r="C1668" s="28">
        <v>3</v>
      </c>
      <c r="D1668" s="28" t="s">
        <v>9157</v>
      </c>
      <c r="E1668" s="54" t="s">
        <v>9158</v>
      </c>
      <c r="F1668" s="28" t="s">
        <v>9159</v>
      </c>
      <c r="G1668" s="28">
        <v>1</v>
      </c>
    </row>
    <row r="1669" spans="1:7">
      <c r="A1669" s="28">
        <v>1001029</v>
      </c>
      <c r="B1669" s="28" t="s">
        <v>9160</v>
      </c>
      <c r="C1669" s="28">
        <v>3</v>
      </c>
      <c r="D1669" s="28" t="s">
        <v>9161</v>
      </c>
      <c r="E1669" s="54" t="s">
        <v>9162</v>
      </c>
      <c r="F1669" s="28" t="s">
        <v>9163</v>
      </c>
      <c r="G1669" s="28">
        <v>1</v>
      </c>
    </row>
    <row r="1670" spans="1:7">
      <c r="A1670" s="28">
        <v>1001030</v>
      </c>
      <c r="B1670" s="54" t="s">
        <v>9164</v>
      </c>
      <c r="C1670" s="28">
        <v>3</v>
      </c>
      <c r="D1670" s="54" t="s">
        <v>9165</v>
      </c>
      <c r="E1670" s="54" t="s">
        <v>9166</v>
      </c>
      <c r="F1670" s="28" t="s">
        <v>9167</v>
      </c>
      <c r="G1670" s="28">
        <v>1</v>
      </c>
    </row>
    <row r="1671" spans="1:7">
      <c r="A1671" s="28">
        <v>1001031</v>
      </c>
      <c r="B1671" s="54" t="s">
        <v>9052</v>
      </c>
      <c r="C1671" s="28">
        <v>3</v>
      </c>
      <c r="D1671" s="54" t="s">
        <v>9168</v>
      </c>
      <c r="E1671" s="54" t="s">
        <v>9054</v>
      </c>
      <c r="F1671" s="28" t="s">
        <v>9055</v>
      </c>
      <c r="G1671" s="28">
        <v>1</v>
      </c>
    </row>
    <row r="1672" spans="1:7">
      <c r="A1672" s="28">
        <v>1001032</v>
      </c>
      <c r="B1672" s="28" t="s">
        <v>9052</v>
      </c>
      <c r="C1672" s="28">
        <v>3</v>
      </c>
      <c r="D1672" s="54" t="s">
        <v>9168</v>
      </c>
      <c r="E1672" s="54" t="s">
        <v>9054</v>
      </c>
      <c r="F1672" s="28" t="s">
        <v>9055</v>
      </c>
      <c r="G1672" s="28">
        <v>1</v>
      </c>
    </row>
    <row r="1673" spans="1:7">
      <c r="A1673" s="28">
        <v>1001033</v>
      </c>
      <c r="B1673" s="28" t="s">
        <v>9052</v>
      </c>
      <c r="C1673" s="28">
        <v>3</v>
      </c>
      <c r="D1673" s="28" t="s">
        <v>9168</v>
      </c>
      <c r="E1673" s="65" t="s">
        <v>9054</v>
      </c>
      <c r="F1673" s="28" t="s">
        <v>9055</v>
      </c>
      <c r="G1673" s="28">
        <v>1</v>
      </c>
    </row>
    <row r="1674" spans="1:7">
      <c r="A1674" s="28">
        <v>1001034</v>
      </c>
      <c r="B1674" s="28" t="s">
        <v>9052</v>
      </c>
      <c r="C1674" s="28">
        <v>3</v>
      </c>
      <c r="D1674" s="28" t="s">
        <v>9168</v>
      </c>
      <c r="E1674" s="54" t="s">
        <v>9054</v>
      </c>
      <c r="F1674" s="28" t="s">
        <v>9055</v>
      </c>
      <c r="G1674" s="28">
        <v>1</v>
      </c>
    </row>
    <row r="1675" spans="1:7">
      <c r="A1675" s="28">
        <v>1001035</v>
      </c>
      <c r="B1675" s="28" t="s">
        <v>9052</v>
      </c>
      <c r="C1675" s="28">
        <v>3</v>
      </c>
      <c r="D1675" s="28" t="s">
        <v>9168</v>
      </c>
      <c r="E1675" s="54" t="s">
        <v>9054</v>
      </c>
      <c r="F1675" s="28" t="s">
        <v>9055</v>
      </c>
      <c r="G1675" s="28">
        <v>1</v>
      </c>
    </row>
    <row r="1676" spans="1:7">
      <c r="A1676" s="28">
        <v>1001036</v>
      </c>
      <c r="B1676" s="54" t="s">
        <v>9052</v>
      </c>
      <c r="C1676" s="28">
        <v>3</v>
      </c>
      <c r="D1676" s="54" t="s">
        <v>9168</v>
      </c>
      <c r="E1676" s="54" t="s">
        <v>9054</v>
      </c>
      <c r="F1676" s="28" t="s">
        <v>9055</v>
      </c>
      <c r="G1676" s="28">
        <v>1</v>
      </c>
    </row>
    <row r="1677" spans="1:7">
      <c r="A1677" s="28">
        <v>1001037</v>
      </c>
      <c r="B1677" s="28" t="s">
        <v>9169</v>
      </c>
      <c r="C1677" s="28">
        <v>4</v>
      </c>
      <c r="D1677" s="28" t="s">
        <v>9170</v>
      </c>
      <c r="E1677" s="54" t="s">
        <v>9171</v>
      </c>
      <c r="F1677" s="28" t="s">
        <v>9172</v>
      </c>
      <c r="G1677" s="28">
        <v>1</v>
      </c>
    </row>
    <row r="1678" spans="1:7">
      <c r="A1678" s="28">
        <v>1001038</v>
      </c>
      <c r="B1678" s="28" t="s">
        <v>9173</v>
      </c>
      <c r="C1678" s="28">
        <v>4</v>
      </c>
      <c r="D1678" s="28" t="s">
        <v>9174</v>
      </c>
      <c r="E1678" s="54" t="s">
        <v>9175</v>
      </c>
      <c r="F1678" s="28" t="s">
        <v>9176</v>
      </c>
      <c r="G1678" s="28">
        <v>1</v>
      </c>
    </row>
    <row r="1679" spans="1:7">
      <c r="A1679" s="28">
        <v>1001039</v>
      </c>
      <c r="B1679" s="28" t="s">
        <v>9177</v>
      </c>
      <c r="C1679" s="28">
        <v>4</v>
      </c>
      <c r="D1679" s="54" t="s">
        <v>9178</v>
      </c>
      <c r="E1679" s="64" t="s">
        <v>9179</v>
      </c>
      <c r="F1679" s="28" t="s">
        <v>9180</v>
      </c>
      <c r="G1679" s="28">
        <v>1</v>
      </c>
    </row>
    <row r="1680" spans="1:7">
      <c r="A1680" s="28">
        <v>1001040</v>
      </c>
      <c r="B1680" s="54" t="s">
        <v>9181</v>
      </c>
      <c r="C1680" s="28">
        <v>3</v>
      </c>
      <c r="D1680" s="54" t="s">
        <v>9182</v>
      </c>
      <c r="E1680" s="65" t="s">
        <v>9183</v>
      </c>
      <c r="F1680" s="28" t="s">
        <v>9184</v>
      </c>
      <c r="G1680" s="28">
        <v>99</v>
      </c>
    </row>
    <row r="1681" spans="1:7">
      <c r="A1681" s="28">
        <v>1001041</v>
      </c>
      <c r="B1681" s="28" t="s">
        <v>9185</v>
      </c>
      <c r="C1681" s="28">
        <v>3</v>
      </c>
      <c r="D1681" s="28" t="s">
        <v>9186</v>
      </c>
      <c r="E1681" s="65" t="s">
        <v>9183</v>
      </c>
      <c r="F1681" s="28" t="s">
        <v>9187</v>
      </c>
      <c r="G1681" s="28">
        <v>99</v>
      </c>
    </row>
    <row r="1682" spans="1:7">
      <c r="A1682" s="28">
        <v>1001042</v>
      </c>
      <c r="B1682" s="28" t="s">
        <v>9188</v>
      </c>
      <c r="C1682" s="28">
        <v>3</v>
      </c>
      <c r="D1682" s="54" t="s">
        <v>9189</v>
      </c>
      <c r="E1682" s="65" t="s">
        <v>9190</v>
      </c>
      <c r="F1682" s="28" t="s">
        <v>9191</v>
      </c>
      <c r="G1682" s="28">
        <v>1</v>
      </c>
    </row>
    <row r="1683" spans="1:7">
      <c r="A1683" s="28">
        <v>1001043</v>
      </c>
      <c r="B1683" s="28" t="s">
        <v>9192</v>
      </c>
      <c r="C1683" s="28">
        <v>3</v>
      </c>
      <c r="D1683" s="28" t="s">
        <v>9193</v>
      </c>
      <c r="E1683" s="64" t="s">
        <v>9194</v>
      </c>
      <c r="F1683" s="28" t="s">
        <v>9195</v>
      </c>
      <c r="G1683" s="28">
        <v>1</v>
      </c>
    </row>
    <row r="1684" spans="1:7">
      <c r="A1684" s="28">
        <v>1001044</v>
      </c>
      <c r="B1684" s="28" t="s">
        <v>9196</v>
      </c>
      <c r="C1684" s="28">
        <v>3</v>
      </c>
      <c r="D1684" s="28" t="s">
        <v>9197</v>
      </c>
      <c r="E1684" s="64" t="s">
        <v>9198</v>
      </c>
      <c r="F1684" s="28" t="s">
        <v>9199</v>
      </c>
      <c r="G1684" s="28">
        <v>1</v>
      </c>
    </row>
    <row r="1685" spans="1:7">
      <c r="A1685" s="28">
        <v>1001045</v>
      </c>
      <c r="B1685" s="28" t="s">
        <v>9200</v>
      </c>
      <c r="C1685" s="28">
        <v>3</v>
      </c>
      <c r="D1685" s="28" t="s">
        <v>9201</v>
      </c>
      <c r="E1685" s="64" t="s">
        <v>9202</v>
      </c>
      <c r="F1685" s="28" t="s">
        <v>9203</v>
      </c>
      <c r="G1685" s="28">
        <v>1</v>
      </c>
    </row>
    <row r="1686" spans="1:7">
      <c r="A1686" s="28">
        <v>1001046</v>
      </c>
      <c r="B1686" s="28" t="s">
        <v>9204</v>
      </c>
      <c r="C1686" s="28">
        <v>3</v>
      </c>
      <c r="D1686" s="28" t="s">
        <v>9205</v>
      </c>
      <c r="E1686" s="64" t="s">
        <v>9206</v>
      </c>
      <c r="F1686" s="28" t="s">
        <v>9207</v>
      </c>
      <c r="G1686" s="28">
        <v>1</v>
      </c>
    </row>
    <row r="1687" spans="1:7">
      <c r="A1687" s="28">
        <v>1001047</v>
      </c>
      <c r="B1687" s="28" t="s">
        <v>9208</v>
      </c>
      <c r="C1687" s="28">
        <v>3</v>
      </c>
      <c r="D1687" s="28" t="s">
        <v>9209</v>
      </c>
      <c r="E1687" s="64" t="s">
        <v>9210</v>
      </c>
      <c r="F1687" s="28" t="s">
        <v>9211</v>
      </c>
      <c r="G1687" s="28">
        <v>1</v>
      </c>
    </row>
    <row r="1688" spans="1:7">
      <c r="A1688" s="28">
        <v>1001048</v>
      </c>
      <c r="B1688" s="28" t="s">
        <v>9188</v>
      </c>
      <c r="C1688" s="28">
        <v>3</v>
      </c>
      <c r="D1688" s="28" t="s">
        <v>9189</v>
      </c>
      <c r="E1688" s="64" t="s">
        <v>9190</v>
      </c>
      <c r="F1688" s="28" t="s">
        <v>9191</v>
      </c>
      <c r="G1688" s="28">
        <v>1</v>
      </c>
    </row>
    <row r="1689" spans="1:7">
      <c r="A1689" s="28">
        <v>1001049</v>
      </c>
      <c r="B1689" s="28" t="s">
        <v>9188</v>
      </c>
      <c r="C1689" s="28">
        <v>3</v>
      </c>
      <c r="D1689" s="28" t="s">
        <v>9189</v>
      </c>
      <c r="E1689" s="64" t="s"/>
      <c r="F1689" s="28" t="s">
        <v>9184</v>
      </c>
      <c r="G1689" s="28">
        <v>99</v>
      </c>
    </row>
    <row r="1690" spans="1:7">
      <c r="A1690" s="28">
        <v>1001050</v>
      </c>
      <c r="B1690" s="28" t="s">
        <v>9212</v>
      </c>
      <c r="C1690" s="28">
        <v>3</v>
      </c>
      <c r="D1690" s="28" t="s">
        <v>9213</v>
      </c>
      <c r="E1690" s="64" t="s">
        <v>9214</v>
      </c>
      <c r="F1690" s="28" t="s">
        <v>9215</v>
      </c>
      <c r="G1690" s="28">
        <v>1</v>
      </c>
    </row>
    <row r="1691" spans="1:7">
      <c r="A1691" s="28">
        <v>1001051</v>
      </c>
      <c r="B1691" s="28" t="s">
        <v>9216</v>
      </c>
      <c r="C1691" s="28">
        <v>3</v>
      </c>
      <c r="D1691" s="28" t="s">
        <v>9217</v>
      </c>
      <c r="E1691" s="64" t="s">
        <v>9218</v>
      </c>
      <c r="F1691" s="28" t="s">
        <v>9219</v>
      </c>
      <c r="G1691" s="28">
        <v>1</v>
      </c>
    </row>
    <row r="1692" spans="1:7">
      <c r="A1692" s="28">
        <v>1001052</v>
      </c>
      <c r="B1692" s="28" t="s">
        <v>9220</v>
      </c>
      <c r="C1692" s="28">
        <v>3</v>
      </c>
      <c r="D1692" s="28" t="s">
        <v>9221</v>
      </c>
      <c r="E1692" s="64" t="s">
        <v>9222</v>
      </c>
      <c r="F1692" s="28" t="s">
        <v>9223</v>
      </c>
      <c r="G1692" s="28">
        <v>1</v>
      </c>
    </row>
    <row r="1693" spans="1:7">
      <c r="A1693" s="28">
        <v>1001053</v>
      </c>
      <c r="B1693" s="28" t="s">
        <v>9224</v>
      </c>
      <c r="C1693" s="28">
        <v>3</v>
      </c>
      <c r="D1693" s="28" t="s">
        <v>9225</v>
      </c>
      <c r="E1693" s="64" t="s">
        <v>9226</v>
      </c>
      <c r="F1693" s="28" t="s">
        <v>9227</v>
      </c>
      <c r="G1693" s="28">
        <v>1</v>
      </c>
    </row>
    <row r="1694" spans="1:7">
      <c r="A1694" s="28">
        <v>1001054</v>
      </c>
      <c r="B1694" s="28" t="s">
        <v>9228</v>
      </c>
      <c r="C1694" s="28">
        <v>3</v>
      </c>
      <c r="D1694" s="28" t="s">
        <v>9229</v>
      </c>
      <c r="E1694" s="64" t="s">
        <v>9230</v>
      </c>
      <c r="F1694" s="28" t="s">
        <v>9231</v>
      </c>
      <c r="G1694" s="28">
        <v>1</v>
      </c>
    </row>
    <row r="1695" spans="1:7">
      <c r="A1695" s="28">
        <v>1001056</v>
      </c>
      <c r="B1695" s="28" t="s">
        <v>9232</v>
      </c>
      <c r="C1695" s="28">
        <v>3</v>
      </c>
      <c r="D1695" s="28" t="s">
        <v>9233</v>
      </c>
      <c r="E1695" s="64" t="s"/>
      <c r="F1695" s="28" t="s">
        <v>9234</v>
      </c>
      <c r="G1695" s="28">
        <v>1</v>
      </c>
    </row>
    <row r="1696" spans="1:7">
      <c r="A1696" s="28">
        <v>1001057</v>
      </c>
      <c r="B1696" s="28" t="s">
        <v>9235</v>
      </c>
      <c r="C1696" s="28">
        <v>4</v>
      </c>
      <c r="D1696" s="28" t="s">
        <v>9236</v>
      </c>
      <c r="E1696" s="64" t="s"/>
      <c r="F1696" s="28" t="s">
        <v>9172</v>
      </c>
      <c r="G1696" s="28">
        <v>1</v>
      </c>
    </row>
    <row r="1697" spans="1:7">
      <c r="A1697" s="28">
        <v>1001058</v>
      </c>
      <c r="B1697" s="28" t="s">
        <v>9169</v>
      </c>
      <c r="C1697" s="28">
        <v>4</v>
      </c>
      <c r="D1697" s="28" t="s">
        <v>9237</v>
      </c>
      <c r="E1697" s="64" t="s"/>
      <c r="F1697" s="28" t="s">
        <v>9176</v>
      </c>
      <c r="G1697" s="28">
        <v>1</v>
      </c>
    </row>
    <row r="1698" spans="1:7">
      <c r="A1698" s="28">
        <v>1001059</v>
      </c>
      <c r="B1698" s="28" t="s">
        <v>9173</v>
      </c>
      <c r="C1698" s="28">
        <v>3</v>
      </c>
      <c r="D1698" s="28" t="s">
        <v>9238</v>
      </c>
      <c r="E1698" s="64" t="s"/>
      <c r="F1698" s="28" t="s">
        <v>9180</v>
      </c>
      <c r="G1698" s="28">
        <v>1</v>
      </c>
    </row>
    <row r="1699" spans="1:7">
      <c r="A1699" s="28">
        <v>1001060</v>
      </c>
      <c r="B1699" s="28" t="s">
        <v>9239</v>
      </c>
      <c r="C1699" s="28">
        <v>3</v>
      </c>
      <c r="D1699" s="28" t="s">
        <v>9240</v>
      </c>
      <c r="E1699" s="64" t="s"/>
      <c r="F1699" s="28" t="s">
        <v>9184</v>
      </c>
      <c r="G1699" s="28">
        <v>1</v>
      </c>
    </row>
    <row r="1700" spans="1:7">
      <c r="A1700" s="28">
        <v>1001061</v>
      </c>
      <c r="B1700" s="54" t="s">
        <v>9241</v>
      </c>
      <c r="C1700" s="28">
        <v>3</v>
      </c>
      <c r="D1700" s="54" t="s">
        <v>9242</v>
      </c>
      <c r="E1700" s="64" t="s"/>
      <c r="F1700" s="28" t="s">
        <v>9187</v>
      </c>
      <c r="G1700" s="28">
        <v>1</v>
      </c>
    </row>
    <row r="1701" spans="1:7">
      <c r="A1701" s="28">
        <v>1001062</v>
      </c>
      <c r="B1701" s="54" t="s">
        <v>9243</v>
      </c>
      <c r="C1701" s="28">
        <v>4</v>
      </c>
      <c r="D1701" s="54" t="s">
        <v>9244</v>
      </c>
      <c r="E1701" s="64" t="s"/>
      <c r="F1701" s="28" t="s">
        <v>9191</v>
      </c>
      <c r="G1701" s="28">
        <v>1</v>
      </c>
    </row>
    <row r="1702" spans="1:7">
      <c r="A1702" s="28">
        <v>1001063</v>
      </c>
      <c r="B1702" s="54" t="s">
        <v>9245</v>
      </c>
      <c r="C1702" s="28">
        <v>3</v>
      </c>
      <c r="D1702" s="54" t="s">
        <v>9246</v>
      </c>
      <c r="E1702" s="64" t="s"/>
      <c r="F1702" s="28" t="s">
        <v>9195</v>
      </c>
      <c r="G1702" s="28">
        <v>1</v>
      </c>
    </row>
    <row r="1703" spans="1:7">
      <c r="A1703" s="28">
        <v>1001064</v>
      </c>
      <c r="B1703" s="54" t="s">
        <v>9247</v>
      </c>
      <c r="C1703" s="28">
        <v>4</v>
      </c>
      <c r="D1703" s="54" t="s">
        <v>9248</v>
      </c>
      <c r="E1703" s="28" t="s"/>
      <c r="F1703" s="28" t="s">
        <v>9199</v>
      </c>
      <c r="G1703" s="28">
        <v>1</v>
      </c>
    </row>
    <row r="1704" spans="1:7">
      <c r="A1704" s="28">
        <v>1001065</v>
      </c>
      <c r="B1704" s="28" t="s">
        <v>9249</v>
      </c>
      <c r="C1704" s="28">
        <v>3</v>
      </c>
      <c r="D1704" s="28" t="s">
        <v>9250</v>
      </c>
      <c r="E1704" s="28" t="s"/>
      <c r="F1704" s="28" t="s">
        <v>9203</v>
      </c>
      <c r="G1704" s="28">
        <v>1</v>
      </c>
    </row>
    <row r="1705" spans="1:7">
      <c r="A1705" s="28">
        <v>1001066</v>
      </c>
      <c r="B1705" s="28" t="s">
        <v>9251</v>
      </c>
      <c r="C1705" s="28">
        <v>3</v>
      </c>
      <c r="D1705" s="28" t="s">
        <v>9252</v>
      </c>
      <c r="E1705" s="28" t="s"/>
      <c r="F1705" s="28" t="s">
        <v>9207</v>
      </c>
      <c r="G1705" s="28">
        <v>1</v>
      </c>
    </row>
    <row r="1706" spans="1:7">
      <c r="A1706" s="28">
        <v>1001067</v>
      </c>
      <c r="B1706" s="28" t="s">
        <v>9253</v>
      </c>
      <c r="C1706" s="28">
        <v>3</v>
      </c>
      <c r="D1706" s="54" t="s">
        <v>9254</v>
      </c>
      <c r="E1706" s="28" t="s"/>
      <c r="F1706" s="28" t="s">
        <v>9211</v>
      </c>
      <c r="G1706" s="28">
        <v>1</v>
      </c>
    </row>
    <row r="1707" spans="1:7">
      <c r="A1707" s="28">
        <v>1001068</v>
      </c>
      <c r="B1707" s="28" t="s">
        <v>9255</v>
      </c>
      <c r="C1707" s="28">
        <v>3</v>
      </c>
      <c r="D1707" s="54" t="s">
        <v>9256</v>
      </c>
      <c r="E1707" s="28" t="s"/>
      <c r="F1707" s="28" t="s">
        <v>9191</v>
      </c>
      <c r="G1707" s="28">
        <v>1</v>
      </c>
    </row>
    <row r="1708" spans="1:7">
      <c r="A1708" s="28">
        <v>1001069</v>
      </c>
      <c r="B1708" s="28" t="s">
        <v>9245</v>
      </c>
      <c r="C1708" s="28">
        <v>3</v>
      </c>
      <c r="D1708" s="28" t="s">
        <v>9257</v>
      </c>
      <c r="E1708" s="28" t="s"/>
      <c r="F1708" s="28" t="s">
        <v>9184</v>
      </c>
      <c r="G1708" s="28">
        <v>1</v>
      </c>
    </row>
    <row r="1709" spans="1:7">
      <c r="A1709" s="28">
        <v>1001070</v>
      </c>
      <c r="B1709" s="54" t="s">
        <v>9258</v>
      </c>
      <c r="C1709" s="28">
        <v>4</v>
      </c>
      <c r="D1709" s="54" t="s">
        <v>9259</v>
      </c>
      <c r="E1709" s="28" t="s"/>
      <c r="F1709" s="28" t="s">
        <v>9184</v>
      </c>
      <c r="G1709" s="28">
        <v>1</v>
      </c>
    </row>
    <row r="1710" spans="1:7">
      <c r="A1710" s="28">
        <v>1001071</v>
      </c>
      <c r="B1710" s="54" t="s">
        <v>9212</v>
      </c>
      <c r="C1710" s="28">
        <v>3</v>
      </c>
      <c r="D1710" s="54" t="s">
        <v>9260</v>
      </c>
      <c r="E1710" s="28" t="s"/>
      <c r="F1710" s="28" t="s">
        <v>9187</v>
      </c>
      <c r="G1710" s="28">
        <v>1</v>
      </c>
    </row>
    <row r="1711" spans="1:7">
      <c r="A1711" s="28">
        <v>1001072</v>
      </c>
      <c r="B1711" s="28" t="s">
        <v>9216</v>
      </c>
      <c r="C1711" s="28">
        <v>2</v>
      </c>
      <c r="D1711" s="54" t="s">
        <v>9261</v>
      </c>
      <c r="E1711" s="28" t="s"/>
      <c r="F1711" s="28" t="s">
        <v>9191</v>
      </c>
      <c r="G1711" s="28">
        <v>1</v>
      </c>
    </row>
    <row r="1712" spans="1:7">
      <c r="A1712" s="28">
        <v>1001073</v>
      </c>
      <c r="B1712" s="54" t="s">
        <v>9220</v>
      </c>
      <c r="C1712" s="28">
        <v>3</v>
      </c>
      <c r="D1712" s="54" t="s">
        <v>9262</v>
      </c>
      <c r="E1712" s="28" t="s"/>
      <c r="F1712" s="28" t="s">
        <v>9195</v>
      </c>
      <c r="G1712" s="28">
        <v>1</v>
      </c>
    </row>
    <row r="1713" spans="1:7">
      <c r="A1713" s="28">
        <v>1001074</v>
      </c>
      <c r="B1713" s="54" t="s">
        <v>9224</v>
      </c>
      <c r="C1713" s="28">
        <v>3</v>
      </c>
      <c r="D1713" s="54" t="s">
        <v>9263</v>
      </c>
      <c r="E1713" s="28" t="s"/>
      <c r="F1713" s="28" t="s">
        <v>9199</v>
      </c>
      <c r="G1713" s="28">
        <v>1</v>
      </c>
    </row>
    <row r="1714" spans="1:7">
      <c r="A1714" s="28">
        <v>1001075</v>
      </c>
      <c r="B1714" s="28" t="s">
        <v>9228</v>
      </c>
      <c r="C1714" s="28">
        <v>3</v>
      </c>
      <c r="D1714" s="28" t="s">
        <v>9264</v>
      </c>
      <c r="E1714" s="28" t="s"/>
      <c r="F1714" s="28" t="s">
        <v>9203</v>
      </c>
      <c r="G1714" s="28">
        <v>1</v>
      </c>
    </row>
    <row r="1715" spans="1:7">
      <c r="A1715" s="28">
        <v>1001076</v>
      </c>
      <c r="B1715" s="28" t="s">
        <v>9265</v>
      </c>
      <c r="C1715" s="28">
        <v>3</v>
      </c>
      <c r="D1715" s="28" t="s">
        <v>9266</v>
      </c>
      <c r="E1715" s="28" t="s"/>
      <c r="F1715" s="28" t="s">
        <v>9207</v>
      </c>
      <c r="G1715" s="28">
        <v>1</v>
      </c>
    </row>
    <row r="1716" spans="1:7">
      <c r="A1716" s="28">
        <v>1001077</v>
      </c>
      <c r="B1716" s="28" t="s">
        <v>8753</v>
      </c>
      <c r="C1716" s="28">
        <v>4</v>
      </c>
      <c r="D1716" s="28" t="s">
        <v>9267</v>
      </c>
      <c r="E1716" s="28" t="s"/>
      <c r="F1716" s="28" t="s">
        <v>9211</v>
      </c>
      <c r="G1716" s="28">
        <v>1</v>
      </c>
    </row>
    <row r="1717" spans="1:7">
      <c r="A1717" s="28">
        <v>1001078</v>
      </c>
      <c r="B1717" s="28" t="s">
        <v>8757</v>
      </c>
      <c r="C1717" s="28">
        <v>4</v>
      </c>
      <c r="D1717" s="28" t="s">
        <v>9268</v>
      </c>
      <c r="E1717" s="28" t="s"/>
      <c r="F1717" s="28" t="s">
        <v>9191</v>
      </c>
      <c r="G1717" s="28">
        <v>1</v>
      </c>
    </row>
    <row r="1718" spans="1:7">
      <c r="A1718" s="28">
        <v>1001079</v>
      </c>
      <c r="B1718" s="28" t="s">
        <v>8761</v>
      </c>
      <c r="C1718" s="28">
        <v>3</v>
      </c>
      <c r="D1718" s="28" t="s">
        <v>9269</v>
      </c>
      <c r="E1718" s="28" t="s"/>
      <c r="F1718" s="28" t="s">
        <v>9184</v>
      </c>
      <c r="G1718" s="28">
        <v>1</v>
      </c>
    </row>
    <row r="1719" spans="1:7">
      <c r="A1719" s="28">
        <v>1001080</v>
      </c>
      <c r="B1719" s="28" t="s">
        <v>9056</v>
      </c>
      <c r="C1719" s="28">
        <v>4</v>
      </c>
      <c r="D1719" s="28" t="s">
        <v>9270</v>
      </c>
      <c r="E1719" s="28" t="s">
        <v>9058</v>
      </c>
      <c r="F1719" s="28" t="s">
        <v>9059</v>
      </c>
      <c r="G1719" s="28">
        <v>1</v>
      </c>
    </row>
    <row r="1720" spans="1:7">
      <c r="A1720" s="28">
        <v>1001081</v>
      </c>
      <c r="B1720" s="28" t="s">
        <v>9060</v>
      </c>
      <c r="C1720" s="28">
        <v>2</v>
      </c>
      <c r="D1720" s="28" t="s">
        <v>9271</v>
      </c>
      <c r="E1720" s="28" t="s">
        <v>9062</v>
      </c>
      <c r="F1720" s="28" t="s">
        <v>9063</v>
      </c>
      <c r="G1720" s="28">
        <v>1</v>
      </c>
    </row>
    <row r="1721" spans="1:7">
      <c r="A1721" s="28">
        <v>1001082</v>
      </c>
      <c r="B1721" s="28" t="s">
        <v>9064</v>
      </c>
      <c r="C1721" s="28">
        <v>4</v>
      </c>
      <c r="D1721" s="28" t="s">
        <v>9272</v>
      </c>
      <c r="E1721" s="28" t="s">
        <v>9066</v>
      </c>
      <c r="F1721" s="28" t="s">
        <v>9067</v>
      </c>
      <c r="G1721" s="28">
        <v>1</v>
      </c>
    </row>
    <row r="1722" spans="1:7">
      <c r="A1722" s="28">
        <v>1001083</v>
      </c>
      <c r="B1722" s="28" t="s">
        <v>9068</v>
      </c>
      <c r="C1722" s="28">
        <v>3</v>
      </c>
      <c r="D1722" s="28" t="s">
        <v>9273</v>
      </c>
      <c r="E1722" s="28" t="s">
        <v>9070</v>
      </c>
      <c r="F1722" s="28" t="s">
        <v>9071</v>
      </c>
      <c r="G1722" s="28">
        <v>1</v>
      </c>
    </row>
    <row r="1723" spans="1:7">
      <c r="A1723" s="28">
        <v>1001084</v>
      </c>
      <c r="B1723" s="28" t="s">
        <v>9072</v>
      </c>
      <c r="C1723" s="28">
        <v>3</v>
      </c>
      <c r="D1723" s="28" t="s">
        <v>9274</v>
      </c>
      <c r="E1723" s="28" t="s">
        <v>9074</v>
      </c>
      <c r="F1723" s="28" t="s">
        <v>9075</v>
      </c>
      <c r="G1723" s="28">
        <v>1</v>
      </c>
    </row>
    <row r="1724" spans="1:7">
      <c r="A1724" s="28">
        <v>1001085</v>
      </c>
      <c r="B1724" s="28" t="s">
        <v>9076</v>
      </c>
      <c r="C1724" s="28">
        <v>2</v>
      </c>
      <c r="D1724" s="28" t="s">
        <v>9275</v>
      </c>
      <c r="E1724" s="28" t="s">
        <v>9078</v>
      </c>
      <c r="F1724" s="28" t="s">
        <v>9079</v>
      </c>
      <c r="G1724" s="28">
        <v>1</v>
      </c>
    </row>
    <row r="1725" spans="1:7">
      <c r="A1725" s="28">
        <v>1001086</v>
      </c>
      <c r="B1725" s="28" t="s">
        <v>9080</v>
      </c>
      <c r="C1725" s="28">
        <v>3</v>
      </c>
      <c r="D1725" s="28" t="s">
        <v>9276</v>
      </c>
      <c r="E1725" s="28" t="s">
        <v>9082</v>
      </c>
      <c r="F1725" s="28" t="s">
        <v>9083</v>
      </c>
      <c r="G1725" s="28">
        <v>1</v>
      </c>
    </row>
    <row r="1726" spans="1:7">
      <c r="A1726" s="28">
        <v>1001087</v>
      </c>
      <c r="B1726" s="28" t="s">
        <v>9084</v>
      </c>
      <c r="C1726" s="28">
        <v>2</v>
      </c>
      <c r="D1726" s="28" t="s">
        <v>9277</v>
      </c>
      <c r="E1726" s="28" t="s">
        <v>9086</v>
      </c>
      <c r="F1726" s="28" t="s">
        <v>9087</v>
      </c>
      <c r="G1726" s="28">
        <v>1</v>
      </c>
    </row>
    <row r="1727" spans="1:7">
      <c r="A1727" s="28">
        <v>1001088</v>
      </c>
      <c r="B1727" s="28" t="s">
        <v>9088</v>
      </c>
      <c r="C1727" s="28">
        <v>4</v>
      </c>
      <c r="D1727" s="28" t="s">
        <v>9278</v>
      </c>
      <c r="E1727" s="28" t="s">
        <v>9090</v>
      </c>
      <c r="F1727" s="28" t="s">
        <v>9091</v>
      </c>
      <c r="G1727" s="28">
        <v>1</v>
      </c>
    </row>
    <row r="1728" spans="1:7">
      <c r="A1728" s="28">
        <v>1001089</v>
      </c>
      <c r="B1728" s="28" t="s">
        <v>9092</v>
      </c>
      <c r="C1728" s="28">
        <v>3</v>
      </c>
      <c r="D1728" s="28" t="s">
        <v>9279</v>
      </c>
      <c r="E1728" s="28" t="s">
        <v>9094</v>
      </c>
      <c r="F1728" s="28" t="s">
        <v>9095</v>
      </c>
      <c r="G1728" s="28">
        <v>1</v>
      </c>
    </row>
    <row r="1729" spans="1:7">
      <c r="A1729" s="28">
        <v>1001090</v>
      </c>
      <c r="B1729" s="28" t="s">
        <v>9096</v>
      </c>
      <c r="C1729" s="28">
        <v>3</v>
      </c>
      <c r="D1729" s="28" t="s">
        <v>9280</v>
      </c>
      <c r="E1729" s="28" t="s">
        <v>9098</v>
      </c>
      <c r="F1729" s="28" t="s">
        <v>9099</v>
      </c>
      <c r="G1729" s="28">
        <v>1</v>
      </c>
    </row>
    <row r="1730" spans="1:7">
      <c r="A1730" s="28">
        <v>1001091</v>
      </c>
      <c r="B1730" s="28" t="s">
        <v>9100</v>
      </c>
      <c r="C1730" s="28">
        <v>2</v>
      </c>
      <c r="D1730" s="28" t="s">
        <v>9281</v>
      </c>
      <c r="E1730" s="28" t="s">
        <v>9102</v>
      </c>
      <c r="F1730" s="28" t="s">
        <v>9103</v>
      </c>
      <c r="G1730" s="28">
        <v>1</v>
      </c>
    </row>
    <row r="1731" spans="1:7">
      <c r="A1731" s="28">
        <v>1001092</v>
      </c>
      <c r="B1731" s="28" t="s">
        <v>9104</v>
      </c>
      <c r="C1731" s="28">
        <v>2</v>
      </c>
      <c r="D1731" s="28" t="s">
        <v>9282</v>
      </c>
      <c r="E1731" s="28" t="s">
        <v>9106</v>
      </c>
      <c r="F1731" s="28" t="s">
        <v>9107</v>
      </c>
      <c r="G1731" s="28">
        <v>1</v>
      </c>
    </row>
    <row r="1732" spans="1:7">
      <c r="A1732" s="28">
        <v>1001093</v>
      </c>
      <c r="B1732" s="28" t="s">
        <v>9108</v>
      </c>
      <c r="C1732" s="28">
        <v>2</v>
      </c>
      <c r="D1732" s="28" t="s">
        <v>8165</v>
      </c>
      <c r="E1732" s="28" t="s">
        <v>9110</v>
      </c>
      <c r="F1732" s="28" t="s">
        <v>9111</v>
      </c>
      <c r="G1732" s="28">
        <v>1000000</v>
      </c>
    </row>
    <row r="1733" spans="1:7">
      <c r="A1733" s="28">
        <v>1001094</v>
      </c>
      <c r="B1733" s="28" t="s">
        <v>9112</v>
      </c>
      <c r="C1733" s="28">
        <v>3</v>
      </c>
      <c r="D1733" s="28" t="s">
        <v>9283</v>
      </c>
      <c r="E1733" s="28" t="s">
        <v>9114</v>
      </c>
      <c r="F1733" s="28" t="s">
        <v>9115</v>
      </c>
      <c r="G1733" s="28">
        <v>1</v>
      </c>
    </row>
    <row r="1734" spans="1:7">
      <c r="A1734" s="28">
        <v>1001095</v>
      </c>
      <c r="B1734" s="28" t="s">
        <v>9116</v>
      </c>
      <c r="C1734" s="28">
        <v>2</v>
      </c>
      <c r="D1734" s="28" t="s">
        <v>9284</v>
      </c>
      <c r="E1734" s="28" t="s">
        <v>9118</v>
      </c>
      <c r="F1734" s="28" t="s">
        <v>9119</v>
      </c>
      <c r="G1734" s="28">
        <v>1</v>
      </c>
    </row>
    <row r="1735" spans="1:7">
      <c r="A1735" s="28">
        <v>1001096</v>
      </c>
      <c r="B1735" s="28" t="s">
        <v>9120</v>
      </c>
      <c r="C1735" s="28">
        <v>3</v>
      </c>
      <c r="D1735" s="28" t="s">
        <v>9285</v>
      </c>
      <c r="E1735" s="28" t="s">
        <v>9122</v>
      </c>
      <c r="F1735" s="28" t="s">
        <v>9123</v>
      </c>
      <c r="G1735" s="28">
        <v>1</v>
      </c>
    </row>
    <row r="1736" spans="1:7">
      <c r="A1736" s="28">
        <v>1001097</v>
      </c>
      <c r="B1736" s="28" t="s">
        <v>9124</v>
      </c>
      <c r="C1736" s="28">
        <v>2</v>
      </c>
      <c r="D1736" s="28" t="s">
        <v>9286</v>
      </c>
      <c r="E1736" s="28" t="s">
        <v>9126</v>
      </c>
      <c r="F1736" s="28" t="s">
        <v>9127</v>
      </c>
      <c r="G1736" s="28">
        <v>1</v>
      </c>
    </row>
    <row r="1737" spans="1:7">
      <c r="A1737" s="28">
        <v>1001098</v>
      </c>
      <c r="B1737" s="28" t="s">
        <v>9128</v>
      </c>
      <c r="C1737" s="28">
        <v>3</v>
      </c>
      <c r="D1737" s="28" t="s">
        <v>9287</v>
      </c>
      <c r="E1737" s="28" t="s">
        <v>9130</v>
      </c>
      <c r="F1737" s="28" t="s">
        <v>9131</v>
      </c>
      <c r="G1737" s="28">
        <v>1</v>
      </c>
    </row>
    <row r="1738" spans="1:7">
      <c r="A1738" s="28">
        <v>1001099</v>
      </c>
      <c r="B1738" s="28" t="s">
        <v>9132</v>
      </c>
      <c r="C1738" s="28">
        <v>3</v>
      </c>
      <c r="D1738" s="28" t="s">
        <v>9288</v>
      </c>
      <c r="E1738" s="28" t="s">
        <v>9134</v>
      </c>
      <c r="F1738" s="28" t="s">
        <v>9135</v>
      </c>
      <c r="G1738" s="28">
        <v>1</v>
      </c>
    </row>
    <row r="1739" spans="1:7">
      <c r="A1739" s="28">
        <v>1001100</v>
      </c>
      <c r="B1739" s="28" t="s">
        <v>9136</v>
      </c>
      <c r="C1739" s="28">
        <v>4</v>
      </c>
      <c r="D1739" s="28" t="s">
        <v>9289</v>
      </c>
      <c r="E1739" s="28" t="s">
        <v>9138</v>
      </c>
      <c r="F1739" s="28" t="s">
        <v>9139</v>
      </c>
      <c r="G1739" s="28">
        <v>1</v>
      </c>
    </row>
    <row r="1740" spans="1:7">
      <c r="A1740" s="28">
        <v>1001101</v>
      </c>
      <c r="B1740" s="28" t="s">
        <v>9290</v>
      </c>
      <c r="C1740" s="28">
        <v>4</v>
      </c>
      <c r="D1740" s="28" t="s">
        <v>9291</v>
      </c>
      <c r="E1740" s="28" t="s">
        <v>9292</v>
      </c>
      <c r="F1740" s="28" t="s">
        <v>9293</v>
      </c>
      <c r="G1740" s="28">
        <v>1</v>
      </c>
    </row>
    <row r="1741" spans="1:7">
      <c r="A1741" s="28">
        <v>1001102</v>
      </c>
      <c r="B1741" s="28" t="s">
        <v>9294</v>
      </c>
      <c r="C1741" s="28">
        <v>4</v>
      </c>
      <c r="D1741" s="28" t="s">
        <v>9295</v>
      </c>
      <c r="E1741" s="28" t="s">
        <v>9296</v>
      </c>
      <c r="F1741" s="28" t="s">
        <v>9297</v>
      </c>
      <c r="G1741" s="28">
        <v>1</v>
      </c>
    </row>
    <row r="1742" spans="1:7">
      <c r="A1742" s="28">
        <v>1001103</v>
      </c>
      <c r="B1742" s="28" t="s">
        <v>9298</v>
      </c>
      <c r="C1742" s="28">
        <v>4</v>
      </c>
      <c r="D1742" s="28" t="s">
        <v>9299</v>
      </c>
      <c r="E1742" s="28" t="s">
        <v>9300</v>
      </c>
      <c r="F1742" s="28" t="s">
        <v>9301</v>
      </c>
      <c r="G1742" s="28">
        <v>1</v>
      </c>
    </row>
    <row r="1743" spans="1:7">
      <c r="A1743" s="28">
        <v>1001104</v>
      </c>
      <c r="B1743" s="28" t="s">
        <v>9302</v>
      </c>
      <c r="C1743" s="28">
        <v>3</v>
      </c>
      <c r="D1743" s="28" t="s">
        <v>9303</v>
      </c>
      <c r="E1743" s="28" t="s">
        <v>9304</v>
      </c>
      <c r="F1743" s="28" t="s">
        <v>9305</v>
      </c>
      <c r="G1743" s="28">
        <v>1</v>
      </c>
    </row>
    <row r="1744" spans="1:7">
      <c r="A1744" s="28">
        <v>1001105</v>
      </c>
      <c r="B1744" s="28" t="s">
        <v>9306</v>
      </c>
      <c r="C1744" s="28">
        <v>3</v>
      </c>
      <c r="D1744" s="28" t="s">
        <v>9307</v>
      </c>
      <c r="E1744" s="28" t="s">
        <v>9308</v>
      </c>
      <c r="F1744" s="28" t="s">
        <v>9309</v>
      </c>
      <c r="G1744" s="28">
        <v>1</v>
      </c>
    </row>
    <row r="1745" spans="1:7">
      <c r="A1745" s="28">
        <v>1001106</v>
      </c>
      <c r="B1745" s="28" t="s">
        <v>9310</v>
      </c>
      <c r="C1745" s="28">
        <v>3</v>
      </c>
      <c r="D1745" s="28" t="s">
        <v>9311</v>
      </c>
      <c r="E1745" s="28" t="s">
        <v>9312</v>
      </c>
      <c r="F1745" s="28" t="s">
        <v>9313</v>
      </c>
      <c r="G1745" s="28">
        <v>1</v>
      </c>
    </row>
    <row r="1746" spans="1:7">
      <c r="A1746" s="28">
        <v>1001107</v>
      </c>
      <c r="B1746" s="28" t="s">
        <v>9314</v>
      </c>
      <c r="C1746" s="28">
        <v>3</v>
      </c>
      <c r="D1746" s="28" t="s">
        <v>9315</v>
      </c>
      <c r="E1746" s="28" t="s">
        <v>9316</v>
      </c>
      <c r="F1746" s="28" t="s">
        <v>9317</v>
      </c>
      <c r="G1746" s="28">
        <v>1</v>
      </c>
    </row>
    <row r="1747" spans="1:7">
      <c r="A1747" s="28">
        <v>1001108</v>
      </c>
      <c r="B1747" s="28" t="s">
        <v>9318</v>
      </c>
      <c r="C1747" s="28">
        <v>2</v>
      </c>
      <c r="D1747" s="28" t="s">
        <v>9319</v>
      </c>
      <c r="E1747" s="28" t="s">
        <v>9320</v>
      </c>
      <c r="F1747" s="28" t="s">
        <v>9321</v>
      </c>
      <c r="G1747" s="28">
        <v>1</v>
      </c>
    </row>
    <row r="1748" spans="1:7">
      <c r="A1748" s="28">
        <v>1001109</v>
      </c>
      <c r="B1748" s="28" t="s">
        <v>9322</v>
      </c>
      <c r="C1748" s="28">
        <v>2</v>
      </c>
      <c r="D1748" s="28" t="s">
        <v>9323</v>
      </c>
      <c r="E1748" s="28" t="s">
        <v>9324</v>
      </c>
      <c r="F1748" s="28" t="s">
        <v>9325</v>
      </c>
      <c r="G1748" s="28">
        <v>1</v>
      </c>
    </row>
    <row r="1749" spans="1:7">
      <c r="A1749" s="28">
        <v>1001110</v>
      </c>
      <c r="B1749" s="28" t="s">
        <v>9326</v>
      </c>
      <c r="C1749" s="28">
        <v>2</v>
      </c>
      <c r="D1749" s="28" t="s">
        <v>9327</v>
      </c>
      <c r="E1749" s="28" t="s">
        <v>9328</v>
      </c>
      <c r="F1749" s="28" t="s">
        <v>9329</v>
      </c>
      <c r="G1749" s="28">
        <v>1</v>
      </c>
    </row>
    <row r="1750" spans="1:7">
      <c r="A1750" s="28">
        <v>1001111</v>
      </c>
      <c r="B1750" s="28" t="s">
        <v>9330</v>
      </c>
      <c r="C1750" s="28">
        <v>2</v>
      </c>
      <c r="D1750" s="28" t="s">
        <v>9331</v>
      </c>
      <c r="E1750" s="28" t="s">
        <v>9332</v>
      </c>
      <c r="F1750" s="28" t="s">
        <v>9333</v>
      </c>
      <c r="G1750" s="28">
        <v>1</v>
      </c>
    </row>
    <row r="1751" spans="1:7">
      <c r="A1751" s="28">
        <v>1001112</v>
      </c>
      <c r="B1751" s="28" t="s">
        <v>9334</v>
      </c>
      <c r="C1751" s="28">
        <v>3</v>
      </c>
      <c r="D1751" s="28" t="s">
        <v>9335</v>
      </c>
      <c r="E1751" s="28" t="s">
        <v>9336</v>
      </c>
      <c r="F1751" s="28" t="s">
        <v>9337</v>
      </c>
      <c r="G1751" s="28">
        <v>1</v>
      </c>
    </row>
    <row r="1752" spans="1:7">
      <c r="A1752" s="28">
        <v>1001401</v>
      </c>
      <c r="B1752" s="28" t="s">
        <v>9338</v>
      </c>
      <c r="C1752" s="28">
        <v>4</v>
      </c>
      <c r="D1752" s="28" t="s">
        <v>9339</v>
      </c>
      <c r="E1752" s="28" t="s">
        <v>9340</v>
      </c>
      <c r="F1752" s="28" t="s">
        <v>9341</v>
      </c>
      <c r="G1752" s="28">
        <v>1</v>
      </c>
    </row>
    <row r="1753" spans="1:7">
      <c r="A1753" s="28">
        <v>1001402</v>
      </c>
      <c r="B1753" s="28" t="s">
        <v>9342</v>
      </c>
      <c r="C1753" s="28">
        <v>4</v>
      </c>
      <c r="D1753" s="28" t="s">
        <v>9343</v>
      </c>
      <c r="E1753" s="28" t="s">
        <v>9344</v>
      </c>
      <c r="F1753" s="28" t="s">
        <v>9345</v>
      </c>
      <c r="G1753" s="28">
        <v>1</v>
      </c>
    </row>
    <row r="1754" spans="1:7">
      <c r="A1754" s="28">
        <v>1001403</v>
      </c>
      <c r="B1754" s="28" t="s">
        <v>9346</v>
      </c>
      <c r="C1754" s="28">
        <v>4</v>
      </c>
      <c r="D1754" s="28" t="s">
        <v>9347</v>
      </c>
      <c r="E1754" s="28" t="s">
        <v>9348</v>
      </c>
      <c r="F1754" s="28" t="s">
        <v>9349</v>
      </c>
      <c r="G1754" s="28">
        <v>1</v>
      </c>
    </row>
    <row r="1755" spans="1:7">
      <c r="A1755" s="28">
        <v>1001404</v>
      </c>
      <c r="B1755" s="28" t="s">
        <v>9350</v>
      </c>
      <c r="C1755" s="28">
        <v>3</v>
      </c>
      <c r="D1755" s="28" t="s">
        <v>9351</v>
      </c>
      <c r="E1755" s="28" t="s">
        <v>9352</v>
      </c>
      <c r="F1755" s="28" t="s">
        <v>9353</v>
      </c>
      <c r="G1755" s="28">
        <v>1</v>
      </c>
    </row>
    <row r="1756" spans="1:7">
      <c r="A1756" s="28">
        <v>1001405</v>
      </c>
      <c r="B1756" s="28" t="s">
        <v>9354</v>
      </c>
      <c r="C1756" s="28">
        <v>3</v>
      </c>
      <c r="D1756" s="28" t="s">
        <v>9355</v>
      </c>
      <c r="E1756" s="28" t="s">
        <v>9356</v>
      </c>
      <c r="F1756" s="28" t="s">
        <v>9357</v>
      </c>
      <c r="G1756" s="28">
        <v>1</v>
      </c>
    </row>
    <row r="1757" spans="1:7">
      <c r="A1757" s="28">
        <v>1001406</v>
      </c>
      <c r="B1757" s="28" t="s">
        <v>9358</v>
      </c>
      <c r="C1757" s="28">
        <v>3</v>
      </c>
      <c r="D1757" s="28" t="s">
        <v>9359</v>
      </c>
      <c r="E1757" s="54" t="s">
        <v>9360</v>
      </c>
      <c r="F1757" s="28" t="s">
        <v>9361</v>
      </c>
      <c r="G1757" s="28">
        <v>1</v>
      </c>
    </row>
    <row r="1758" spans="1:7">
      <c r="A1758" s="28">
        <v>1001407</v>
      </c>
      <c r="B1758" s="28" t="s">
        <v>9362</v>
      </c>
      <c r="C1758" s="28">
        <v>3</v>
      </c>
      <c r="D1758" s="28" t="s">
        <v>9363</v>
      </c>
      <c r="E1758" s="54" t="s">
        <v>9364</v>
      </c>
      <c r="F1758" s="28" t="s">
        <v>9365</v>
      </c>
      <c r="G1758" s="28">
        <v>1</v>
      </c>
    </row>
    <row r="1759" spans="1:7">
      <c r="A1759" s="28">
        <v>1001408</v>
      </c>
      <c r="B1759" s="28" t="s">
        <v>9366</v>
      </c>
      <c r="C1759" s="28">
        <v>2</v>
      </c>
      <c r="D1759" s="28" t="s">
        <v>9367</v>
      </c>
      <c r="E1759" s="54" t="s">
        <v>9368</v>
      </c>
      <c r="F1759" s="28" t="s">
        <v>9369</v>
      </c>
      <c r="G1759" s="28">
        <v>1</v>
      </c>
    </row>
    <row r="1760" spans="1:7">
      <c r="A1760" s="28">
        <v>1001409</v>
      </c>
      <c r="B1760" s="28" t="s">
        <v>9370</v>
      </c>
      <c r="C1760" s="28">
        <v>2</v>
      </c>
      <c r="D1760" s="28" t="s">
        <v>9371</v>
      </c>
      <c r="E1760" s="28" t="s">
        <v>9372</v>
      </c>
      <c r="F1760" s="28" t="s">
        <v>9373</v>
      </c>
      <c r="G1760" s="28">
        <v>1</v>
      </c>
    </row>
    <row r="1761" spans="1:7">
      <c r="A1761" s="28">
        <v>1001410</v>
      </c>
      <c r="B1761" s="28" t="s">
        <v>9374</v>
      </c>
      <c r="C1761" s="28">
        <v>2</v>
      </c>
      <c r="D1761" s="28" t="s">
        <v>9375</v>
      </c>
      <c r="E1761" s="28" t="s">
        <v>9376</v>
      </c>
      <c r="F1761" s="28" t="s">
        <v>9377</v>
      </c>
      <c r="G1761" s="28">
        <v>1</v>
      </c>
    </row>
    <row r="1762" spans="1:7">
      <c r="A1762" s="28">
        <v>1001411</v>
      </c>
      <c r="B1762" s="28" t="s">
        <v>9378</v>
      </c>
      <c r="C1762" s="28">
        <v>2</v>
      </c>
      <c r="D1762" s="28" t="s">
        <v>9379</v>
      </c>
      <c r="E1762" s="28" t="s">
        <v>9380</v>
      </c>
      <c r="F1762" s="28" t="s">
        <v>9381</v>
      </c>
      <c r="G1762" s="28">
        <v>1</v>
      </c>
    </row>
    <row r="1763" spans="1:7">
      <c r="A1763" s="28">
        <v>1001412</v>
      </c>
      <c r="B1763" s="28" t="s">
        <v>9382</v>
      </c>
      <c r="C1763" s="28">
        <v>3</v>
      </c>
      <c r="D1763" s="28" t="s">
        <v>9383</v>
      </c>
      <c r="E1763" s="54" t="s">
        <v>9384</v>
      </c>
      <c r="F1763" s="28" t="s">
        <v>9385</v>
      </c>
      <c r="G1763" s="28">
        <v>1</v>
      </c>
    </row>
    <row r="1764" spans="1:7">
      <c r="A1764" s="28">
        <v>1001601</v>
      </c>
      <c r="B1764" s="28" t="s">
        <v>9386</v>
      </c>
      <c r="C1764" s="28">
        <v>4</v>
      </c>
      <c r="D1764" s="28" t="s">
        <v>9387</v>
      </c>
      <c r="E1764" s="28" t="s">
        <v>9388</v>
      </c>
      <c r="F1764" s="28" t="s">
        <v>9389</v>
      </c>
      <c r="G1764" s="28">
        <v>1</v>
      </c>
    </row>
    <row r="1765" spans="1:7">
      <c r="A1765" s="28">
        <v>1001602</v>
      </c>
      <c r="B1765" s="28" t="s">
        <v>9390</v>
      </c>
      <c r="C1765" s="28">
        <v>4</v>
      </c>
      <c r="D1765" s="28" t="s">
        <v>9391</v>
      </c>
      <c r="E1765" s="28" t="s">
        <v>9392</v>
      </c>
      <c r="F1765" s="28" t="s">
        <v>9393</v>
      </c>
      <c r="G1765" s="28">
        <v>1</v>
      </c>
    </row>
    <row r="1766" spans="1:7">
      <c r="A1766" s="28">
        <v>1001603</v>
      </c>
      <c r="B1766" s="28" t="s">
        <v>9394</v>
      </c>
      <c r="C1766" s="28">
        <v>4</v>
      </c>
      <c r="D1766" s="28" t="s">
        <v>9395</v>
      </c>
      <c r="E1766" s="54" t="s">
        <v>9396</v>
      </c>
      <c r="F1766" s="28" t="s">
        <v>9397</v>
      </c>
      <c r="G1766" s="28">
        <v>1</v>
      </c>
    </row>
    <row r="1767" spans="1:7">
      <c r="A1767" s="28">
        <v>1001604</v>
      </c>
      <c r="B1767" s="28" t="s">
        <v>9398</v>
      </c>
      <c r="C1767" s="28">
        <v>3</v>
      </c>
      <c r="D1767" s="28" t="s">
        <v>9399</v>
      </c>
      <c r="E1767" s="54" t="s">
        <v>9400</v>
      </c>
      <c r="F1767" s="28" t="s">
        <v>9401</v>
      </c>
      <c r="G1767" s="28">
        <v>1</v>
      </c>
    </row>
    <row r="1768" spans="1:7">
      <c r="A1768" s="28">
        <v>1001605</v>
      </c>
      <c r="B1768" s="28" t="s">
        <v>9402</v>
      </c>
      <c r="C1768" s="28">
        <v>3</v>
      </c>
      <c r="D1768" s="28" t="s">
        <v>9403</v>
      </c>
      <c r="E1768" s="28" t="s">
        <v>9404</v>
      </c>
      <c r="F1768" s="28" t="s">
        <v>9405</v>
      </c>
      <c r="G1768" s="28">
        <v>1</v>
      </c>
    </row>
    <row r="1769" spans="1:7">
      <c r="A1769" s="28">
        <v>1001606</v>
      </c>
      <c r="B1769" s="28" t="s">
        <v>9406</v>
      </c>
      <c r="C1769" s="28">
        <v>3</v>
      </c>
      <c r="D1769" s="28" t="s">
        <v>9407</v>
      </c>
      <c r="E1769" s="54" t="s">
        <v>9408</v>
      </c>
      <c r="F1769" s="28" t="s">
        <v>9409</v>
      </c>
      <c r="G1769" s="28">
        <v>1</v>
      </c>
    </row>
    <row r="1770" spans="1:7">
      <c r="A1770" s="28">
        <v>1001607</v>
      </c>
      <c r="B1770" s="28" t="s">
        <v>9410</v>
      </c>
      <c r="C1770" s="28">
        <v>3</v>
      </c>
      <c r="D1770" s="28" t="s">
        <v>9411</v>
      </c>
      <c r="E1770" s="54" t="s">
        <v>9412</v>
      </c>
      <c r="F1770" s="28" t="s">
        <v>9413</v>
      </c>
      <c r="G1770" s="28">
        <v>1</v>
      </c>
    </row>
    <row r="1771" spans="1:7">
      <c r="A1771" s="28">
        <v>1001608</v>
      </c>
      <c r="B1771" s="28" t="s">
        <v>9414</v>
      </c>
      <c r="C1771" s="28">
        <v>2</v>
      </c>
      <c r="D1771" s="28" t="s">
        <v>9415</v>
      </c>
      <c r="E1771" s="66" t="s">
        <v>9416</v>
      </c>
      <c r="F1771" s="28" t="s">
        <v>9417</v>
      </c>
      <c r="G1771" s="28">
        <v>1</v>
      </c>
    </row>
    <row r="1772" spans="1:7">
      <c r="A1772" s="28">
        <v>1001609</v>
      </c>
      <c r="B1772" s="28" t="s">
        <v>9418</v>
      </c>
      <c r="C1772" s="28">
        <v>2</v>
      </c>
      <c r="D1772" s="28" t="s">
        <v>9419</v>
      </c>
      <c r="E1772" s="28" t="s">
        <v>9420</v>
      </c>
      <c r="F1772" s="28" t="s">
        <v>9421</v>
      </c>
      <c r="G1772" s="28">
        <v>1</v>
      </c>
    </row>
    <row r="1773" spans="1:7">
      <c r="A1773" s="28">
        <v>1001610</v>
      </c>
      <c r="B1773" s="28" t="s">
        <v>9422</v>
      </c>
      <c r="C1773" s="28">
        <v>2</v>
      </c>
      <c r="D1773" s="28" t="s">
        <v>9423</v>
      </c>
      <c r="E1773" s="28" t="s">
        <v>9424</v>
      </c>
      <c r="F1773" s="28" t="s">
        <v>9425</v>
      </c>
      <c r="G1773" s="28">
        <v>1</v>
      </c>
    </row>
    <row r="1774" spans="1:7">
      <c r="A1774" s="28">
        <v>1001611</v>
      </c>
      <c r="B1774" s="28" t="s">
        <v>9426</v>
      </c>
      <c r="C1774" s="28">
        <v>2</v>
      </c>
      <c r="D1774" s="28" t="s">
        <v>9427</v>
      </c>
      <c r="E1774" s="28" t="s">
        <v>9428</v>
      </c>
      <c r="F1774" s="28" t="s">
        <v>9429</v>
      </c>
      <c r="G1774" s="28">
        <v>1</v>
      </c>
    </row>
    <row r="1775" spans="1:7">
      <c r="A1775" s="28">
        <v>1001612</v>
      </c>
      <c r="B1775" s="28" t="s">
        <v>9430</v>
      </c>
      <c r="C1775" s="28">
        <v>4</v>
      </c>
      <c r="D1775" s="28" t="s">
        <v>9431</v>
      </c>
      <c r="E1775" s="66" t="s">
        <v>9432</v>
      </c>
      <c r="F1775" s="28" t="s">
        <v>9433</v>
      </c>
      <c r="G1775" s="28">
        <v>1</v>
      </c>
    </row>
    <row r="1776" spans="1:7">
      <c r="A1776" s="28">
        <v>1001613</v>
      </c>
      <c r="B1776" s="28" t="s">
        <v>9434</v>
      </c>
      <c r="C1776" s="28">
        <v>4</v>
      </c>
      <c r="D1776" s="28" t="s">
        <v>9435</v>
      </c>
      <c r="E1776" s="28" t="s">
        <v>9436</v>
      </c>
      <c r="F1776" s="28" t="s">
        <v>9437</v>
      </c>
      <c r="G1776" s="28">
        <v>1</v>
      </c>
    </row>
    <row r="1777" spans="1:7">
      <c r="A1777" s="28">
        <v>1001614</v>
      </c>
      <c r="B1777" s="28" t="s">
        <v>9438</v>
      </c>
      <c r="C1777" s="28">
        <v>3</v>
      </c>
      <c r="D1777" s="28" t="s">
        <v>9439</v>
      </c>
      <c r="E1777" s="28" t="s">
        <v>9440</v>
      </c>
      <c r="F1777" s="28" t="s">
        <v>9441</v>
      </c>
      <c r="G1777" s="28">
        <v>1</v>
      </c>
    </row>
    <row r="1778" spans="1:7">
      <c r="A1778" s="28">
        <v>1001801</v>
      </c>
      <c r="B1778" s="28" t="s">
        <v>9442</v>
      </c>
      <c r="C1778" s="28">
        <v>4</v>
      </c>
      <c r="D1778" s="28" t="s">
        <v>9443</v>
      </c>
      <c r="E1778" s="54" t="s">
        <v>9444</v>
      </c>
      <c r="F1778" s="28" t="s">
        <v>9445</v>
      </c>
      <c r="G1778" s="28">
        <v>1</v>
      </c>
    </row>
    <row r="1779" spans="1:7">
      <c r="A1779" s="28">
        <v>1001802</v>
      </c>
      <c r="B1779" s="28" t="s">
        <v>9446</v>
      </c>
      <c r="C1779" s="28">
        <v>4</v>
      </c>
      <c r="D1779" s="28" t="s">
        <v>9447</v>
      </c>
      <c r="E1779" s="66" t="s">
        <v>9448</v>
      </c>
      <c r="F1779" s="28" t="s">
        <v>9449</v>
      </c>
      <c r="G1779" s="28">
        <v>1</v>
      </c>
    </row>
    <row r="1780" spans="1:7">
      <c r="A1780" s="28">
        <v>1001803</v>
      </c>
      <c r="B1780" s="28" t="s">
        <v>9450</v>
      </c>
      <c r="C1780" s="28">
        <v>4</v>
      </c>
      <c r="D1780" s="28" t="s">
        <v>9451</v>
      </c>
      <c r="E1780" s="28" t="s">
        <v>9452</v>
      </c>
      <c r="F1780" s="28" t="s">
        <v>9453</v>
      </c>
      <c r="G1780" s="28">
        <v>1</v>
      </c>
    </row>
    <row r="1781" spans="1:7">
      <c r="A1781" s="28">
        <v>1001804</v>
      </c>
      <c r="B1781" s="28" t="s">
        <v>9454</v>
      </c>
      <c r="C1781" s="28">
        <v>4</v>
      </c>
      <c r="D1781" s="28" t="s">
        <v>9455</v>
      </c>
      <c r="E1781" s="66" t="s">
        <v>9456</v>
      </c>
      <c r="F1781" s="28" t="s">
        <v>9457</v>
      </c>
      <c r="G1781" s="28">
        <v>1</v>
      </c>
    </row>
    <row r="1782" spans="1:7">
      <c r="A1782" s="28">
        <v>1001805</v>
      </c>
      <c r="B1782" s="28" t="s">
        <v>9458</v>
      </c>
      <c r="C1782" s="28">
        <v>4</v>
      </c>
      <c r="D1782" s="28" t="s">
        <v>9459</v>
      </c>
      <c r="E1782" s="28" t="s">
        <v>9460</v>
      </c>
      <c r="F1782" s="28" t="s">
        <v>9461</v>
      </c>
      <c r="G1782" s="28">
        <v>1</v>
      </c>
    </row>
    <row r="1783" spans="1:7">
      <c r="A1783" s="28">
        <v>1001806</v>
      </c>
      <c r="B1783" s="28" t="s">
        <v>9462</v>
      </c>
      <c r="C1783" s="28">
        <v>4</v>
      </c>
      <c r="D1783" s="28" t="s">
        <v>9463</v>
      </c>
      <c r="E1783" s="28" t="s">
        <v>9464</v>
      </c>
      <c r="F1783" s="28" t="s">
        <v>9465</v>
      </c>
      <c r="G1783" s="28">
        <v>1</v>
      </c>
    </row>
    <row r="1784" spans="1:7">
      <c r="A1784" s="28">
        <v>1001807</v>
      </c>
      <c r="B1784" s="28" t="s">
        <v>9466</v>
      </c>
      <c r="C1784" s="28">
        <v>4</v>
      </c>
      <c r="D1784" s="28" t="s">
        <v>9467</v>
      </c>
      <c r="E1784" s="28" t="s">
        <v>9468</v>
      </c>
      <c r="F1784" s="28" t="s">
        <v>9469</v>
      </c>
      <c r="G1784" s="28">
        <v>1</v>
      </c>
    </row>
    <row r="1785" spans="1:7">
      <c r="A1785" s="28">
        <v>1001808</v>
      </c>
      <c r="B1785" s="28" t="s">
        <v>9470</v>
      </c>
      <c r="C1785" s="28">
        <v>4</v>
      </c>
      <c r="D1785" s="28" t="s">
        <v>9471</v>
      </c>
      <c r="E1785" s="28" t="s">
        <v>9472</v>
      </c>
      <c r="F1785" s="28" t="s">
        <v>9473</v>
      </c>
      <c r="G1785" s="28">
        <v>1</v>
      </c>
    </row>
    <row r="1786" spans="1:7">
      <c r="A1786" s="28">
        <v>1001809</v>
      </c>
      <c r="B1786" s="28" t="s">
        <v>9474</v>
      </c>
      <c r="C1786" s="28">
        <v>4</v>
      </c>
      <c r="D1786" s="28" t="s">
        <v>9475</v>
      </c>
      <c r="E1786" s="28" t="s">
        <v>9476</v>
      </c>
      <c r="F1786" s="28" t="s">
        <v>9477</v>
      </c>
      <c r="G1786" s="28">
        <v>1</v>
      </c>
    </row>
    <row r="1787" spans="1:7">
      <c r="A1787" s="28">
        <v>1001901</v>
      </c>
      <c r="B1787" s="28" t="s">
        <v>9478</v>
      </c>
      <c r="C1787" s="28">
        <v>4</v>
      </c>
      <c r="D1787" s="28" t="s">
        <v>9479</v>
      </c>
      <c r="E1787" s="54" t="s">
        <v>9480</v>
      </c>
      <c r="F1787" s="28" t="s">
        <v>9481</v>
      </c>
      <c r="G1787" s="28">
        <v>1</v>
      </c>
    </row>
    <row r="1788" spans="1:7">
      <c r="A1788" s="28">
        <v>1001902</v>
      </c>
      <c r="B1788" s="28" t="s">
        <v>9482</v>
      </c>
      <c r="C1788" s="28">
        <v>4</v>
      </c>
      <c r="D1788" s="28" t="s">
        <v>9483</v>
      </c>
      <c r="E1788" s="54" t="s">
        <v>9484</v>
      </c>
      <c r="F1788" s="28" t="s">
        <v>9485</v>
      </c>
      <c r="G1788" s="28">
        <v>1</v>
      </c>
    </row>
    <row r="1789" spans="1:7">
      <c r="A1789" s="28">
        <v>1001903</v>
      </c>
      <c r="B1789" s="28" t="s">
        <v>9486</v>
      </c>
      <c r="C1789" s="28">
        <v>4</v>
      </c>
      <c r="D1789" s="28" t="s">
        <v>9487</v>
      </c>
      <c r="E1789" s="54" t="s">
        <v>9488</v>
      </c>
      <c r="F1789" s="28" t="s">
        <v>9489</v>
      </c>
      <c r="G1789" s="28">
        <v>1</v>
      </c>
    </row>
    <row r="1790" spans="1:7">
      <c r="A1790" s="28">
        <v>1001904</v>
      </c>
      <c r="B1790" s="28" t="s">
        <v>9490</v>
      </c>
      <c r="C1790" s="28">
        <v>3</v>
      </c>
      <c r="D1790" s="28" t="s">
        <v>9491</v>
      </c>
      <c r="E1790" s="28" t="s">
        <v>9492</v>
      </c>
      <c r="F1790" s="28" t="s">
        <v>9493</v>
      </c>
      <c r="G1790" s="28">
        <v>1</v>
      </c>
    </row>
    <row r="1791" spans="1:7">
      <c r="A1791" s="28">
        <v>1001905</v>
      </c>
      <c r="B1791" s="28" t="s">
        <v>9494</v>
      </c>
      <c r="C1791" s="28">
        <v>3</v>
      </c>
      <c r="D1791" s="28" t="s">
        <v>9495</v>
      </c>
      <c r="E1791" s="28" t="s">
        <v>9496</v>
      </c>
      <c r="F1791" s="28" t="s">
        <v>9497</v>
      </c>
      <c r="G1791" s="28">
        <v>1</v>
      </c>
    </row>
    <row r="1792" spans="1:7">
      <c r="A1792" s="28">
        <v>1001906</v>
      </c>
      <c r="B1792" s="28" t="s">
        <v>9498</v>
      </c>
      <c r="C1792" s="28">
        <v>3</v>
      </c>
      <c r="D1792" s="28" t="s">
        <v>9499</v>
      </c>
      <c r="E1792" s="28" t="s">
        <v>9500</v>
      </c>
      <c r="F1792" s="28" t="s">
        <v>9501</v>
      </c>
      <c r="G1792" s="28">
        <v>1</v>
      </c>
    </row>
    <row r="1793" spans="1:7">
      <c r="A1793" s="28">
        <v>1001907</v>
      </c>
      <c r="B1793" s="28" t="s">
        <v>9502</v>
      </c>
      <c r="C1793" s="28">
        <v>3</v>
      </c>
      <c r="D1793" s="28" t="s">
        <v>9503</v>
      </c>
      <c r="E1793" s="54" t="s">
        <v>9504</v>
      </c>
      <c r="F1793" s="28" t="s">
        <v>9505</v>
      </c>
      <c r="G1793" s="28">
        <v>1</v>
      </c>
    </row>
    <row r="1794" spans="1:7">
      <c r="A1794" s="28">
        <v>1001908</v>
      </c>
      <c r="B1794" s="28" t="s">
        <v>9506</v>
      </c>
      <c r="C1794" s="28">
        <v>2</v>
      </c>
      <c r="D1794" s="28" t="s">
        <v>9507</v>
      </c>
      <c r="E1794" s="28" t="s">
        <v>9508</v>
      </c>
      <c r="F1794" s="28" t="s">
        <v>9509</v>
      </c>
      <c r="G1794" s="28">
        <v>1</v>
      </c>
    </row>
    <row r="1795" spans="1:7">
      <c r="A1795" s="28">
        <v>1001909</v>
      </c>
      <c r="B1795" s="28" t="s">
        <v>9510</v>
      </c>
      <c r="C1795" s="28">
        <v>2</v>
      </c>
      <c r="D1795" s="28" t="s">
        <v>9511</v>
      </c>
      <c r="E1795" s="28" t="s">
        <v>9512</v>
      </c>
      <c r="F1795" s="28" t="s">
        <v>9513</v>
      </c>
      <c r="G1795" s="28">
        <v>1</v>
      </c>
    </row>
    <row r="1796" spans="1:7">
      <c r="A1796" s="28">
        <v>1001910</v>
      </c>
      <c r="B1796" s="28" t="s">
        <v>9514</v>
      </c>
      <c r="C1796" s="28">
        <v>2</v>
      </c>
      <c r="D1796" s="28" t="s">
        <v>9515</v>
      </c>
      <c r="E1796" s="54" t="s">
        <v>9516</v>
      </c>
      <c r="F1796" s="28" t="s">
        <v>9517</v>
      </c>
      <c r="G1796" s="28">
        <v>1</v>
      </c>
    </row>
    <row r="1797" spans="1:7">
      <c r="A1797" s="28">
        <v>1001911</v>
      </c>
      <c r="B1797" s="28" t="s">
        <v>9518</v>
      </c>
      <c r="C1797" s="28">
        <v>2</v>
      </c>
      <c r="D1797" s="28" t="s">
        <v>9519</v>
      </c>
      <c r="E1797" s="54" t="s">
        <v>9520</v>
      </c>
      <c r="F1797" s="28" t="s">
        <v>9521</v>
      </c>
      <c r="G1797" s="28">
        <v>1</v>
      </c>
    </row>
    <row r="1798" spans="1:7">
      <c r="A1798" s="28">
        <v>1001912</v>
      </c>
      <c r="B1798" s="28" t="s">
        <v>9522</v>
      </c>
      <c r="C1798" s="28">
        <v>3</v>
      </c>
      <c r="D1798" s="28" t="s">
        <v>9523</v>
      </c>
      <c r="E1798" s="28" t="s">
        <v>9524</v>
      </c>
      <c r="F1798" s="28" t="s">
        <v>9525</v>
      </c>
      <c r="G1798" s="28">
        <v>1</v>
      </c>
    </row>
    <row r="1799" spans="1:7">
      <c r="A1799" s="28">
        <v>1001913</v>
      </c>
      <c r="B1799" s="28" t="s">
        <v>9526</v>
      </c>
      <c r="C1799" s="28">
        <v>3</v>
      </c>
      <c r="D1799" s="28" t="s">
        <v>9527</v>
      </c>
      <c r="E1799" s="54" t="s">
        <v>9528</v>
      </c>
      <c r="F1799" s="28" t="s">
        <v>9529</v>
      </c>
      <c r="G1799" s="28">
        <v>1</v>
      </c>
    </row>
    <row r="1800" spans="1:7">
      <c r="A1800" s="28">
        <v>1001914</v>
      </c>
      <c r="B1800" s="28" t="s">
        <v>9530</v>
      </c>
      <c r="C1800" s="28">
        <v>4</v>
      </c>
      <c r="D1800" s="28" t="s">
        <v>9531</v>
      </c>
      <c r="E1800" s="28" t="s">
        <v>9532</v>
      </c>
      <c r="F1800" s="28" t="s">
        <v>9533</v>
      </c>
      <c r="G1800" s="28">
        <v>1</v>
      </c>
    </row>
    <row r="1801" spans="1:7">
      <c r="A1801" s="28">
        <v>1002101</v>
      </c>
      <c r="B1801" s="28" t="s">
        <v>9534</v>
      </c>
      <c r="C1801" s="28">
        <v>4</v>
      </c>
      <c r="D1801" s="54" t="s">
        <v>9535</v>
      </c>
      <c r="E1801" s="28" t="s">
        <v>9536</v>
      </c>
      <c r="F1801" s="28" t="s">
        <v>9537</v>
      </c>
      <c r="G1801" s="28">
        <v>1</v>
      </c>
    </row>
    <row r="1802" spans="1:7">
      <c r="A1802" s="28">
        <v>1002102</v>
      </c>
      <c r="B1802" s="28" t="s">
        <v>9538</v>
      </c>
      <c r="C1802" s="28">
        <v>4</v>
      </c>
      <c r="D1802" s="54" t="s">
        <v>9539</v>
      </c>
      <c r="E1802" s="28" t="s">
        <v>9540</v>
      </c>
      <c r="F1802" s="28" t="s">
        <v>9541</v>
      </c>
      <c r="G1802" s="28">
        <v>1</v>
      </c>
    </row>
    <row r="1803" spans="1:7">
      <c r="A1803" s="28">
        <v>1002103</v>
      </c>
      <c r="B1803" s="28" t="s">
        <v>9542</v>
      </c>
      <c r="C1803" s="28">
        <v>4</v>
      </c>
      <c r="D1803" s="54" t="s">
        <v>9543</v>
      </c>
      <c r="E1803" s="28" t="s">
        <v>9544</v>
      </c>
      <c r="F1803" s="28" t="s">
        <v>9545</v>
      </c>
      <c r="G1803" s="28">
        <v>1</v>
      </c>
    </row>
    <row r="1804" spans="1:7">
      <c r="A1804" s="28">
        <v>1002104</v>
      </c>
      <c r="B1804" s="28" t="s">
        <v>9546</v>
      </c>
      <c r="C1804" s="28">
        <v>3</v>
      </c>
      <c r="D1804" s="54" t="s">
        <v>9547</v>
      </c>
      <c r="E1804" s="28" t="s">
        <v>9548</v>
      </c>
      <c r="F1804" s="28" t="s">
        <v>9549</v>
      </c>
      <c r="G1804" s="28">
        <v>1</v>
      </c>
    </row>
    <row r="1805" spans="1:7">
      <c r="A1805" s="28">
        <v>1002105</v>
      </c>
      <c r="B1805" s="28" t="s">
        <v>9550</v>
      </c>
      <c r="C1805" s="28">
        <v>3</v>
      </c>
      <c r="D1805" s="54" t="s">
        <v>9551</v>
      </c>
      <c r="E1805" s="28" t="s">
        <v>9552</v>
      </c>
      <c r="F1805" s="28" t="s">
        <v>9553</v>
      </c>
      <c r="G1805" s="28">
        <v>1</v>
      </c>
    </row>
    <row r="1806" spans="1:7">
      <c r="A1806" s="28">
        <v>1002106</v>
      </c>
      <c r="B1806" s="28" t="s">
        <v>9554</v>
      </c>
      <c r="C1806" s="28">
        <v>3</v>
      </c>
      <c r="D1806" s="54" t="s">
        <v>9555</v>
      </c>
      <c r="E1806" s="28" t="s">
        <v>9556</v>
      </c>
      <c r="F1806" s="28" t="s">
        <v>9557</v>
      </c>
      <c r="G1806" s="28">
        <v>1</v>
      </c>
    </row>
    <row r="1807" spans="1:7">
      <c r="A1807" s="28">
        <v>1002107</v>
      </c>
      <c r="B1807" s="28" t="s">
        <v>9558</v>
      </c>
      <c r="C1807" s="28">
        <v>3</v>
      </c>
      <c r="D1807" s="54" t="s">
        <v>9559</v>
      </c>
      <c r="E1807" s="28" t="s">
        <v>9560</v>
      </c>
      <c r="F1807" s="28" t="s">
        <v>9561</v>
      </c>
      <c r="G1807" s="28">
        <v>1</v>
      </c>
    </row>
    <row r="1808" spans="1:7">
      <c r="A1808" s="28">
        <v>1002108</v>
      </c>
      <c r="B1808" s="28" t="s">
        <v>9562</v>
      </c>
      <c r="C1808" s="28">
        <v>2</v>
      </c>
      <c r="D1808" s="54" t="s">
        <v>9563</v>
      </c>
      <c r="E1808" s="28" t="s">
        <v>9564</v>
      </c>
      <c r="F1808" s="28" t="s">
        <v>9565</v>
      </c>
      <c r="G1808" s="28">
        <v>1</v>
      </c>
    </row>
    <row r="1809" spans="1:7">
      <c r="A1809" s="28">
        <v>1002109</v>
      </c>
      <c r="B1809" s="28" t="s">
        <v>9566</v>
      </c>
      <c r="C1809" s="28">
        <v>2</v>
      </c>
      <c r="D1809" s="54" t="s">
        <v>9567</v>
      </c>
      <c r="E1809" s="28" t="s">
        <v>9568</v>
      </c>
      <c r="F1809" s="28" t="s">
        <v>9569</v>
      </c>
      <c r="G1809" s="28">
        <v>1</v>
      </c>
    </row>
    <row r="1810" spans="1:7">
      <c r="A1810" s="28">
        <v>1002110</v>
      </c>
      <c r="B1810" s="28" t="s">
        <v>9570</v>
      </c>
      <c r="C1810" s="28">
        <v>2</v>
      </c>
      <c r="D1810" s="54" t="s">
        <v>9571</v>
      </c>
      <c r="E1810" s="28" t="s">
        <v>9572</v>
      </c>
      <c r="F1810" s="28" t="s">
        <v>9573</v>
      </c>
      <c r="G1810" s="28">
        <v>1</v>
      </c>
    </row>
    <row r="1811" spans="1:7">
      <c r="A1811" s="28">
        <v>1002111</v>
      </c>
      <c r="B1811" s="28" t="s">
        <v>9574</v>
      </c>
      <c r="C1811" s="28">
        <v>2</v>
      </c>
      <c r="D1811" s="54" t="s">
        <v>9575</v>
      </c>
      <c r="E1811" s="28" t="s">
        <v>9576</v>
      </c>
      <c r="F1811" s="28" t="s">
        <v>9577</v>
      </c>
      <c r="G1811" s="28">
        <v>1</v>
      </c>
    </row>
    <row r="1812" spans="1:7">
      <c r="A1812" s="28">
        <v>1002112</v>
      </c>
      <c r="B1812" s="28" t="s">
        <v>9578</v>
      </c>
      <c r="C1812" s="28">
        <v>3</v>
      </c>
      <c r="D1812" s="54" t="s">
        <v>9579</v>
      </c>
      <c r="E1812" s="28" t="s">
        <v>9580</v>
      </c>
      <c r="F1812" s="28" t="s">
        <v>9581</v>
      </c>
      <c r="G1812" s="28">
        <v>1</v>
      </c>
    </row>
    <row r="1813" spans="1:7">
      <c r="A1813" s="28">
        <v>1002201</v>
      </c>
      <c r="B1813" s="28" t="s">
        <v>9582</v>
      </c>
      <c r="C1813" s="28">
        <v>4</v>
      </c>
      <c r="D1813" s="54" t="s">
        <v>9583</v>
      </c>
      <c r="E1813" s="28" t="s">
        <v>9584</v>
      </c>
      <c r="F1813" s="28" t="s">
        <v>9585</v>
      </c>
      <c r="G1813" s="28">
        <v>1</v>
      </c>
    </row>
    <row r="1814" spans="1:7">
      <c r="A1814" s="28">
        <v>1002202</v>
      </c>
      <c r="B1814" s="28" t="s">
        <v>9586</v>
      </c>
      <c r="C1814" s="28">
        <v>4</v>
      </c>
      <c r="D1814" s="54" t="s">
        <v>9587</v>
      </c>
      <c r="E1814" s="28" t="s">
        <v>9588</v>
      </c>
      <c r="F1814" s="28" t="s">
        <v>9589</v>
      </c>
      <c r="G1814" s="28">
        <v>1</v>
      </c>
    </row>
    <row r="1815" spans="1:7">
      <c r="A1815" s="28">
        <v>1002203</v>
      </c>
      <c r="B1815" s="28" t="s">
        <v>9590</v>
      </c>
      <c r="C1815" s="28">
        <v>4</v>
      </c>
      <c r="D1815" s="54" t="s">
        <v>9591</v>
      </c>
      <c r="E1815" s="28" t="s">
        <v>9592</v>
      </c>
      <c r="F1815" s="28" t="s">
        <v>9593</v>
      </c>
      <c r="G1815" s="28">
        <v>1</v>
      </c>
    </row>
    <row r="1816" spans="1:7">
      <c r="A1816" s="28">
        <v>1002301</v>
      </c>
      <c r="B1816" s="28" t="s">
        <v>9594</v>
      </c>
      <c r="C1816" s="28">
        <v>3</v>
      </c>
      <c r="D1816" s="54" t="s">
        <v>9595</v>
      </c>
      <c r="E1816" s="28" t="s">
        <v>9596</v>
      </c>
      <c r="F1816" s="28" t="s">
        <v>9597</v>
      </c>
      <c r="G1816" s="28">
        <v>1</v>
      </c>
    </row>
    <row r="1817" spans="1:7">
      <c r="A1817" s="28">
        <v>1002302</v>
      </c>
      <c r="B1817" s="28" t="s">
        <v>9598</v>
      </c>
      <c r="C1817" s="28">
        <v>3</v>
      </c>
      <c r="D1817" s="54" t="s">
        <v>9599</v>
      </c>
      <c r="E1817" s="28" t="s">
        <v>9600</v>
      </c>
      <c r="F1817" s="28" t="s">
        <v>9601</v>
      </c>
      <c r="G1817" s="28">
        <v>1</v>
      </c>
    </row>
    <row r="1818" spans="1:7">
      <c r="A1818" s="28">
        <v>1002303</v>
      </c>
      <c r="B1818" s="28" t="s">
        <v>9602</v>
      </c>
      <c r="C1818" s="28">
        <v>3</v>
      </c>
      <c r="D1818" s="54" t="s">
        <v>9603</v>
      </c>
      <c r="E1818" s="28" t="s">
        <v>9604</v>
      </c>
      <c r="F1818" s="28" t="s">
        <v>9605</v>
      </c>
      <c r="G1818" s="28">
        <v>1</v>
      </c>
    </row>
    <row r="1819" spans="1:7">
      <c r="A1819" s="28">
        <v>1002304</v>
      </c>
      <c r="B1819" s="28" t="s">
        <v>9606</v>
      </c>
      <c r="C1819" s="28">
        <v>3</v>
      </c>
      <c r="D1819" s="54" t="s">
        <v>9607</v>
      </c>
      <c r="E1819" s="28" t="s">
        <v>9608</v>
      </c>
      <c r="F1819" s="28" t="s">
        <v>9609</v>
      </c>
      <c r="G1819" s="28">
        <v>1</v>
      </c>
    </row>
    <row r="1820" spans="1:7">
      <c r="A1820" s="28">
        <v>1002305</v>
      </c>
      <c r="B1820" s="28" t="s">
        <v>9610</v>
      </c>
      <c r="C1820" s="28">
        <v>3</v>
      </c>
      <c r="D1820" s="54" t="s">
        <v>9611</v>
      </c>
      <c r="E1820" s="28" t="s">
        <v>9612</v>
      </c>
      <c r="F1820" s="28" t="s">
        <v>9613</v>
      </c>
      <c r="G1820" s="28">
        <v>1</v>
      </c>
    </row>
    <row r="1821" spans="1:7">
      <c r="A1821" s="28">
        <v>1002306</v>
      </c>
      <c r="B1821" s="28" t="s">
        <v>9614</v>
      </c>
      <c r="C1821" s="28">
        <v>3</v>
      </c>
      <c r="D1821" s="54" t="s">
        <v>9615</v>
      </c>
      <c r="E1821" s="28" t="s">
        <v>9616</v>
      </c>
      <c r="F1821" s="28" t="s">
        <v>9617</v>
      </c>
      <c r="G1821" s="28">
        <v>1</v>
      </c>
    </row>
    <row r="1822" spans="1:7">
      <c r="A1822" s="28">
        <v>1002401</v>
      </c>
      <c r="B1822" s="28" t="s">
        <v>9618</v>
      </c>
      <c r="C1822" s="28">
        <v>4</v>
      </c>
      <c r="D1822" s="54" t="s">
        <v>9619</v>
      </c>
      <c r="E1822" s="28" t="s">
        <v>9620</v>
      </c>
      <c r="F1822" s="28" t="s">
        <v>9621</v>
      </c>
      <c r="G1822" s="28">
        <v>1</v>
      </c>
    </row>
    <row r="1823" spans="1:7">
      <c r="A1823" s="28">
        <v>1002402</v>
      </c>
      <c r="B1823" s="28" t="s">
        <v>9622</v>
      </c>
      <c r="C1823" s="28">
        <v>4</v>
      </c>
      <c r="D1823" s="54" t="s">
        <v>9623</v>
      </c>
      <c r="E1823" s="28" t="s">
        <v>9624</v>
      </c>
      <c r="F1823" s="28" t="s">
        <v>9625</v>
      </c>
      <c r="G1823" s="28">
        <v>1</v>
      </c>
    </row>
    <row r="1824" spans="1:7">
      <c r="A1824" s="28">
        <v>1002403</v>
      </c>
      <c r="B1824" s="28" t="s">
        <v>9626</v>
      </c>
      <c r="C1824" s="28">
        <v>4</v>
      </c>
      <c r="D1824" s="54" t="s">
        <v>9627</v>
      </c>
      <c r="E1824" s="28" t="s">
        <v>9628</v>
      </c>
      <c r="F1824" s="28" t="s">
        <v>9629</v>
      </c>
      <c r="G1824" s="28">
        <v>1</v>
      </c>
    </row>
    <row r="1825" spans="1:7">
      <c r="A1825" s="28">
        <v>1002404</v>
      </c>
      <c r="B1825" s="28" t="s">
        <v>9630</v>
      </c>
      <c r="C1825" s="28">
        <v>3</v>
      </c>
      <c r="D1825" s="54" t="s">
        <v>9631</v>
      </c>
      <c r="E1825" s="28" t="s">
        <v>9632</v>
      </c>
      <c r="F1825" s="28" t="s">
        <v>9633</v>
      </c>
      <c r="G1825" s="28">
        <v>1</v>
      </c>
    </row>
    <row r="1826" spans="1:7">
      <c r="A1826" s="28">
        <v>1002405</v>
      </c>
      <c r="B1826" s="28" t="s">
        <v>9634</v>
      </c>
      <c r="C1826" s="28">
        <v>3</v>
      </c>
      <c r="D1826" s="28" t="s">
        <v>9635</v>
      </c>
      <c r="E1826" s="28" t="s">
        <v>9636</v>
      </c>
      <c r="F1826" s="28" t="s">
        <v>9637</v>
      </c>
      <c r="G1826" s="28">
        <v>1</v>
      </c>
    </row>
    <row r="1827" spans="1:7">
      <c r="A1827" s="28">
        <v>1002406</v>
      </c>
      <c r="B1827" s="28" t="s">
        <v>9638</v>
      </c>
      <c r="C1827" s="28">
        <v>3</v>
      </c>
      <c r="D1827" s="28" t="s">
        <v>9639</v>
      </c>
      <c r="E1827" s="28" t="s">
        <v>9640</v>
      </c>
      <c r="F1827" s="28" t="s">
        <v>9641</v>
      </c>
      <c r="G1827" s="28">
        <v>1</v>
      </c>
    </row>
    <row r="1828" spans="1:7">
      <c r="A1828" s="28">
        <v>1002407</v>
      </c>
      <c r="B1828" s="28" t="s">
        <v>9642</v>
      </c>
      <c r="C1828" s="28">
        <v>3</v>
      </c>
      <c r="D1828" s="28" t="s">
        <v>9643</v>
      </c>
      <c r="E1828" s="28" t="s">
        <v>9644</v>
      </c>
      <c r="F1828" s="28" t="s">
        <v>9645</v>
      </c>
      <c r="G1828" s="28">
        <v>1</v>
      </c>
    </row>
    <row r="1829" spans="1:7">
      <c r="A1829" s="28">
        <v>1002408</v>
      </c>
      <c r="B1829" s="28" t="s">
        <v>9646</v>
      </c>
      <c r="C1829" s="28">
        <v>2</v>
      </c>
      <c r="D1829" s="54" t="s">
        <v>9647</v>
      </c>
      <c r="E1829" s="28" t="s">
        <v>9648</v>
      </c>
      <c r="F1829" s="28" t="s">
        <v>9649</v>
      </c>
      <c r="G1829" s="28">
        <v>1</v>
      </c>
    </row>
    <row r="1830" spans="1:7">
      <c r="A1830" s="28">
        <v>1002409</v>
      </c>
      <c r="B1830" s="28" t="s">
        <v>9650</v>
      </c>
      <c r="C1830" s="28">
        <v>2</v>
      </c>
      <c r="D1830" s="28" t="s">
        <v>9651</v>
      </c>
      <c r="E1830" s="28" t="s">
        <v>9652</v>
      </c>
      <c r="F1830" s="28" t="s">
        <v>9653</v>
      </c>
      <c r="G1830" s="28">
        <v>1</v>
      </c>
    </row>
    <row r="1831" spans="1:7">
      <c r="A1831" s="28">
        <v>1002410</v>
      </c>
      <c r="B1831" s="28" t="s">
        <v>9654</v>
      </c>
      <c r="C1831" s="28">
        <v>2</v>
      </c>
      <c r="D1831" s="28" t="s">
        <v>9655</v>
      </c>
      <c r="E1831" s="28" t="s">
        <v>9656</v>
      </c>
      <c r="F1831" s="28" t="s">
        <v>9657</v>
      </c>
      <c r="G1831" s="28">
        <v>1</v>
      </c>
    </row>
    <row r="1832" spans="1:7">
      <c r="A1832" s="28">
        <v>1002411</v>
      </c>
      <c r="B1832" s="28" t="s">
        <v>9658</v>
      </c>
      <c r="C1832" s="28">
        <v>2</v>
      </c>
      <c r="D1832" s="28" t="s">
        <v>8855</v>
      </c>
      <c r="E1832" s="28" t="s">
        <v>9659</v>
      </c>
      <c r="F1832" s="28" t="s">
        <v>9660</v>
      </c>
      <c r="G1832" s="28">
        <v>1</v>
      </c>
    </row>
    <row r="1833" spans="1:7">
      <c r="A1833" s="28">
        <v>1002412</v>
      </c>
      <c r="B1833" s="28" t="s">
        <v>9661</v>
      </c>
      <c r="C1833" s="28">
        <v>3</v>
      </c>
      <c r="D1833" s="54" t="s">
        <v>9662</v>
      </c>
      <c r="E1833" s="28" t="s">
        <v>9663</v>
      </c>
      <c r="F1833" s="28" t="s">
        <v>9664</v>
      </c>
      <c r="G1833" s="28">
        <v>1</v>
      </c>
    </row>
    <row r="1834" spans="1:7">
      <c r="A1834" s="28">
        <v>1002943</v>
      </c>
      <c r="B1834" s="28" t="s">
        <v>8860</v>
      </c>
      <c r="C1834" s="28">
        <v>4</v>
      </c>
      <c r="D1834" s="28" t="s">
        <v>9665</v>
      </c>
      <c r="E1834" s="28" t="s">
        <v>8862</v>
      </c>
      <c r="F1834" s="28" t="s">
        <v>8863</v>
      </c>
      <c r="G1834" s="28">
        <v>1</v>
      </c>
    </row>
    <row r="1835" spans="1:7">
      <c r="A1835" s="28">
        <v>1002944</v>
      </c>
      <c r="B1835" s="28" t="s">
        <v>8864</v>
      </c>
      <c r="C1835" s="28">
        <v>4</v>
      </c>
      <c r="D1835" s="54" t="s">
        <v>9665</v>
      </c>
      <c r="E1835" s="28" t="s">
        <v>8866</v>
      </c>
      <c r="F1835" s="28" t="s">
        <v>8867</v>
      </c>
      <c r="G1835" s="28">
        <v>1</v>
      </c>
    </row>
    <row r="1836" spans="1:7">
      <c r="A1836" s="28">
        <v>1002945</v>
      </c>
      <c r="B1836" s="28" t="s">
        <v>8868</v>
      </c>
      <c r="C1836" s="28">
        <v>4</v>
      </c>
      <c r="D1836" s="54" t="s">
        <v>9665</v>
      </c>
      <c r="E1836" s="28" t="s">
        <v>8870</v>
      </c>
      <c r="F1836" s="28" t="s">
        <v>8871</v>
      </c>
      <c r="G1836" s="28">
        <v>1</v>
      </c>
    </row>
    <row r="1837" spans="1:7">
      <c r="A1837" s="28">
        <v>1002946</v>
      </c>
      <c r="B1837" s="28" t="s">
        <v>8872</v>
      </c>
      <c r="C1837" s="28">
        <v>4</v>
      </c>
      <c r="D1837" s="54" t="s">
        <v>9665</v>
      </c>
      <c r="E1837" s="28" t="s">
        <v>8874</v>
      </c>
      <c r="F1837" s="28" t="s">
        <v>8875</v>
      </c>
      <c r="G1837" s="28">
        <v>1</v>
      </c>
    </row>
    <row r="1838" spans="1:7">
      <c r="A1838" s="28">
        <v>1002947</v>
      </c>
      <c r="B1838" s="28" t="s">
        <v>8876</v>
      </c>
      <c r="C1838" s="28">
        <v>4</v>
      </c>
      <c r="D1838" s="54" t="s">
        <v>9665</v>
      </c>
      <c r="E1838" s="28" t="s">
        <v>8878</v>
      </c>
      <c r="F1838" s="28" t="s">
        <v>8879</v>
      </c>
      <c r="G1838" s="28">
        <v>1</v>
      </c>
    </row>
    <row r="1839" spans="1:7">
      <c r="A1839" s="28">
        <v>1002948</v>
      </c>
      <c r="B1839" s="28" t="s">
        <v>8880</v>
      </c>
      <c r="C1839" s="28">
        <v>4</v>
      </c>
      <c r="D1839" s="54" t="s">
        <v>9665</v>
      </c>
      <c r="E1839" s="28" t="s">
        <v>8882</v>
      </c>
      <c r="F1839" s="28" t="s">
        <v>8883</v>
      </c>
      <c r="G1839" s="28">
        <v>1</v>
      </c>
    </row>
    <row r="1840" spans="1:7">
      <c r="A1840" s="28">
        <v>1002949</v>
      </c>
      <c r="B1840" s="28" t="s">
        <v>8884</v>
      </c>
      <c r="C1840" s="28">
        <v>4</v>
      </c>
      <c r="D1840" s="54" t="s">
        <v>9665</v>
      </c>
      <c r="E1840" s="28" t="s">
        <v>8886</v>
      </c>
      <c r="F1840" s="28" t="s">
        <v>8887</v>
      </c>
      <c r="G1840" s="28">
        <v>1</v>
      </c>
    </row>
    <row r="1841" spans="1:7">
      <c r="A1841" s="28">
        <v>1002950</v>
      </c>
      <c r="B1841" s="28" t="s">
        <v>8888</v>
      </c>
      <c r="C1841" s="28">
        <v>4</v>
      </c>
      <c r="D1841" s="54" t="s">
        <v>9665</v>
      </c>
      <c r="E1841" s="28" t="s">
        <v>8890</v>
      </c>
      <c r="F1841" s="28" t="s">
        <v>8891</v>
      </c>
      <c r="G1841" s="28">
        <v>1</v>
      </c>
    </row>
    <row r="1842" spans="1:7">
      <c r="A1842" s="28">
        <v>1002951</v>
      </c>
      <c r="B1842" s="28" t="s">
        <v>8892</v>
      </c>
      <c r="C1842" s="28">
        <v>4</v>
      </c>
      <c r="D1842" s="54" t="s">
        <v>9665</v>
      </c>
      <c r="E1842" s="28" t="s">
        <v>8894</v>
      </c>
      <c r="F1842" s="28" t="s">
        <v>8895</v>
      </c>
      <c r="G1842" s="28">
        <v>1</v>
      </c>
    </row>
    <row r="1843" spans="1:7">
      <c r="A1843" s="28">
        <v>1002952</v>
      </c>
      <c r="B1843" s="28" t="s">
        <v>8896</v>
      </c>
      <c r="C1843" s="28">
        <v>4</v>
      </c>
      <c r="D1843" s="54" t="s">
        <v>9665</v>
      </c>
      <c r="E1843" s="28" t="s">
        <v>8898</v>
      </c>
      <c r="F1843" s="28" t="s">
        <v>8899</v>
      </c>
      <c r="G1843" s="28">
        <v>1</v>
      </c>
    </row>
    <row r="1844" spans="1:7">
      <c r="A1844" s="28">
        <v>1002953</v>
      </c>
      <c r="B1844" s="28" t="s">
        <v>8900</v>
      </c>
      <c r="C1844" s="28">
        <v>4</v>
      </c>
      <c r="D1844" s="54" t="s">
        <v>9665</v>
      </c>
      <c r="E1844" s="28" t="s">
        <v>8902</v>
      </c>
      <c r="F1844" s="28" t="s">
        <v>8903</v>
      </c>
      <c r="G1844" s="28">
        <v>1</v>
      </c>
    </row>
    <row r="1845" spans="1:7">
      <c r="A1845" s="28">
        <v>1002954</v>
      </c>
      <c r="B1845" s="28" t="s">
        <v>8904</v>
      </c>
      <c r="C1845" s="28">
        <v>4</v>
      </c>
      <c r="D1845" s="54" t="s">
        <v>9665</v>
      </c>
      <c r="E1845" s="28" t="s">
        <v>8906</v>
      </c>
      <c r="F1845" s="28" t="s">
        <v>8907</v>
      </c>
      <c r="G1845" s="28">
        <v>1</v>
      </c>
    </row>
    <row r="1846" spans="1:7">
      <c r="A1846" s="28">
        <v>1002955</v>
      </c>
      <c r="B1846" s="28" t="s">
        <v>8908</v>
      </c>
      <c r="C1846" s="28">
        <v>4</v>
      </c>
      <c r="D1846" s="54" t="s">
        <v>9665</v>
      </c>
      <c r="E1846" s="28" t="s">
        <v>8910</v>
      </c>
      <c r="F1846" s="28" t="s">
        <v>8911</v>
      </c>
      <c r="G1846" s="28">
        <v>1</v>
      </c>
    </row>
    <row r="1847" spans="1:7">
      <c r="A1847" s="28">
        <v>1002956</v>
      </c>
      <c r="B1847" s="28" t="s">
        <v>8912</v>
      </c>
      <c r="C1847" s="28">
        <v>4</v>
      </c>
      <c r="D1847" s="54" t="s">
        <v>9665</v>
      </c>
      <c r="E1847" s="28" t="s">
        <v>8914</v>
      </c>
      <c r="F1847" s="28" t="s">
        <v>8915</v>
      </c>
      <c r="G1847" s="28">
        <v>1</v>
      </c>
    </row>
    <row r="1848" spans="1:7">
      <c r="A1848" s="28">
        <v>1002957</v>
      </c>
      <c r="B1848" s="28" t="s">
        <v>8916</v>
      </c>
      <c r="C1848" s="28">
        <v>4</v>
      </c>
      <c r="D1848" s="54" t="s">
        <v>9665</v>
      </c>
      <c r="E1848" s="28" t="s">
        <v>8918</v>
      </c>
      <c r="F1848" s="28" t="s">
        <v>8919</v>
      </c>
      <c r="G1848" s="28">
        <v>1</v>
      </c>
    </row>
    <row r="1849" spans="1:7">
      <c r="A1849" s="28">
        <v>1002958</v>
      </c>
      <c r="B1849" s="28" t="s">
        <v>8920</v>
      </c>
      <c r="C1849" s="28">
        <v>4</v>
      </c>
      <c r="D1849" s="54" t="s">
        <v>9665</v>
      </c>
      <c r="E1849" s="28" t="s">
        <v>8922</v>
      </c>
      <c r="F1849" s="28" t="s">
        <v>8923</v>
      </c>
      <c r="G1849" s="28">
        <v>1</v>
      </c>
    </row>
    <row r="1850" spans="1:7">
      <c r="A1850" s="28">
        <v>1002959</v>
      </c>
      <c r="B1850" s="28" t="s">
        <v>8924</v>
      </c>
      <c r="C1850" s="28">
        <v>4</v>
      </c>
      <c r="D1850" s="54" t="s">
        <v>9665</v>
      </c>
      <c r="E1850" s="28" t="s">
        <v>8926</v>
      </c>
      <c r="F1850" s="28" t="s">
        <v>8927</v>
      </c>
      <c r="G1850" s="28">
        <v>1</v>
      </c>
    </row>
    <row r="1851" spans="1:7">
      <c r="A1851" s="28">
        <v>1002960</v>
      </c>
      <c r="B1851" s="28" t="s">
        <v>8928</v>
      </c>
      <c r="C1851" s="28">
        <v>4</v>
      </c>
      <c r="D1851" s="54" t="s">
        <v>9665</v>
      </c>
      <c r="E1851" s="28" t="s">
        <v>8930</v>
      </c>
      <c r="F1851" s="28" t="s">
        <v>8931</v>
      </c>
      <c r="G1851" s="28">
        <v>1</v>
      </c>
    </row>
    <row r="1852" spans="1:7">
      <c r="A1852" s="28">
        <v>1002961</v>
      </c>
      <c r="B1852" s="28" t="s">
        <v>8932</v>
      </c>
      <c r="C1852" s="28">
        <v>4</v>
      </c>
      <c r="D1852" s="54" t="s">
        <v>9665</v>
      </c>
      <c r="E1852" s="28" t="s">
        <v>8934</v>
      </c>
      <c r="F1852" s="28" t="s">
        <v>8935</v>
      </c>
      <c r="G1852" s="28">
        <v>1</v>
      </c>
    </row>
    <row r="1853" spans="1:7">
      <c r="A1853" s="28">
        <v>1002962</v>
      </c>
      <c r="B1853" s="28" t="s">
        <v>8936</v>
      </c>
      <c r="C1853" s="28">
        <v>4</v>
      </c>
      <c r="D1853" s="54" t="s">
        <v>9665</v>
      </c>
      <c r="E1853" s="28" t="s">
        <v>8938</v>
      </c>
      <c r="F1853" s="28" t="s">
        <v>8939</v>
      </c>
      <c r="G1853" s="28">
        <v>1</v>
      </c>
    </row>
    <row r="1854" spans="1:7">
      <c r="A1854" s="28">
        <v>1002963</v>
      </c>
      <c r="B1854" s="28" t="s">
        <v>8940</v>
      </c>
      <c r="C1854" s="28">
        <v>4</v>
      </c>
      <c r="D1854" s="54" t="s">
        <v>9665</v>
      </c>
      <c r="E1854" s="28" t="s">
        <v>8942</v>
      </c>
      <c r="F1854" s="28" t="s">
        <v>8943</v>
      </c>
      <c r="G1854" s="28">
        <v>1</v>
      </c>
    </row>
    <row r="1855" spans="1:7">
      <c r="A1855" s="28">
        <v>1002964</v>
      </c>
      <c r="B1855" s="28" t="s">
        <v>8944</v>
      </c>
      <c r="C1855" s="28">
        <v>4</v>
      </c>
      <c r="D1855" s="54" t="s">
        <v>9665</v>
      </c>
      <c r="E1855" s="28" t="s">
        <v>8946</v>
      </c>
      <c r="F1855" s="28" t="s">
        <v>8947</v>
      </c>
      <c r="G1855" s="28">
        <v>1</v>
      </c>
    </row>
    <row r="1856" spans="1:7">
      <c r="A1856" s="28">
        <v>1002965</v>
      </c>
      <c r="B1856" s="28" t="s">
        <v>8948</v>
      </c>
      <c r="C1856" s="28">
        <v>4</v>
      </c>
      <c r="D1856" s="54" t="s">
        <v>9665</v>
      </c>
      <c r="E1856" s="28" t="s">
        <v>8950</v>
      </c>
      <c r="F1856" s="28" t="s">
        <v>8951</v>
      </c>
      <c r="G1856" s="28">
        <v>1</v>
      </c>
    </row>
    <row r="1857" spans="1:7">
      <c r="A1857" s="28">
        <v>1002966</v>
      </c>
      <c r="B1857" s="28" t="s">
        <v>8952</v>
      </c>
      <c r="C1857" s="28">
        <v>4</v>
      </c>
      <c r="D1857" s="54" t="s">
        <v>9665</v>
      </c>
      <c r="E1857" s="28" t="s">
        <v>8954</v>
      </c>
      <c r="F1857" s="28" t="s">
        <v>8955</v>
      </c>
      <c r="G1857" s="28">
        <v>1</v>
      </c>
    </row>
    <row r="1858" spans="1:7">
      <c r="A1858" s="28">
        <v>1002967</v>
      </c>
      <c r="B1858" s="28" t="s">
        <v>8956</v>
      </c>
      <c r="C1858" s="28">
        <v>4</v>
      </c>
      <c r="D1858" s="54" t="s">
        <v>9665</v>
      </c>
      <c r="E1858" s="28" t="s">
        <v>8958</v>
      </c>
      <c r="F1858" s="28" t="s">
        <v>8959</v>
      </c>
      <c r="G1858" s="28">
        <v>1</v>
      </c>
    </row>
    <row r="1859" spans="1:7">
      <c r="A1859" s="28">
        <v>1002968</v>
      </c>
      <c r="B1859" s="28" t="s">
        <v>8960</v>
      </c>
      <c r="C1859" s="28">
        <v>4</v>
      </c>
      <c r="D1859" s="54" t="s">
        <v>9665</v>
      </c>
      <c r="E1859" s="28" t="s">
        <v>8962</v>
      </c>
      <c r="F1859" s="28" t="s">
        <v>8963</v>
      </c>
      <c r="G1859" s="28">
        <v>1</v>
      </c>
    </row>
    <row r="1860" spans="1:7">
      <c r="A1860" s="28">
        <v>1002969</v>
      </c>
      <c r="B1860" s="28" t="s">
        <v>8964</v>
      </c>
      <c r="C1860" s="28">
        <v>4</v>
      </c>
      <c r="D1860" s="54" t="s">
        <v>9665</v>
      </c>
      <c r="E1860" s="28" t="s">
        <v>8966</v>
      </c>
      <c r="F1860" s="28" t="s">
        <v>8967</v>
      </c>
      <c r="G1860" s="28">
        <v>1</v>
      </c>
    </row>
    <row r="1861" spans="1:7">
      <c r="A1861" s="28">
        <v>1002970</v>
      </c>
      <c r="B1861" s="28" t="s">
        <v>8968</v>
      </c>
      <c r="C1861" s="28">
        <v>4</v>
      </c>
      <c r="D1861" s="54" t="s">
        <v>9665</v>
      </c>
      <c r="E1861" s="28" t="s">
        <v>8970</v>
      </c>
      <c r="F1861" s="28" t="s">
        <v>8971</v>
      </c>
      <c r="G1861" s="28">
        <v>1</v>
      </c>
    </row>
    <row r="1862" spans="1:7">
      <c r="A1862" s="28">
        <v>1002971</v>
      </c>
      <c r="B1862" s="28" t="s">
        <v>8972</v>
      </c>
      <c r="C1862" s="28">
        <v>4</v>
      </c>
      <c r="D1862" s="54" t="s">
        <v>9665</v>
      </c>
      <c r="E1862" s="28" t="s">
        <v>8974</v>
      </c>
      <c r="F1862" s="28" t="s">
        <v>8975</v>
      </c>
      <c r="G1862" s="28">
        <v>1</v>
      </c>
    </row>
    <row r="1863" spans="1:7">
      <c r="A1863" s="28">
        <v>1002972</v>
      </c>
      <c r="B1863" s="28" t="s">
        <v>8976</v>
      </c>
      <c r="C1863" s="28">
        <v>4</v>
      </c>
      <c r="D1863" s="54" t="s">
        <v>9665</v>
      </c>
      <c r="E1863" s="28" t="s">
        <v>8978</v>
      </c>
      <c r="F1863" s="28" t="s">
        <v>8979</v>
      </c>
      <c r="G1863" s="28">
        <v>1</v>
      </c>
    </row>
    <row r="1864" spans="1:7">
      <c r="A1864" s="28">
        <v>1002973</v>
      </c>
      <c r="B1864" s="28" t="s">
        <v>8980</v>
      </c>
      <c r="C1864" s="28">
        <v>4</v>
      </c>
      <c r="D1864" s="54" t="s">
        <v>9665</v>
      </c>
      <c r="E1864" s="28" t="s">
        <v>8982</v>
      </c>
      <c r="F1864" s="28" t="s">
        <v>8983</v>
      </c>
      <c r="G1864" s="28">
        <v>1</v>
      </c>
    </row>
    <row r="1865" spans="1:7">
      <c r="A1865" s="28">
        <v>1002974</v>
      </c>
      <c r="B1865" s="28" t="s">
        <v>8984</v>
      </c>
      <c r="C1865" s="28">
        <v>4</v>
      </c>
      <c r="D1865" s="54" t="s">
        <v>9665</v>
      </c>
      <c r="E1865" s="28" t="s">
        <v>8986</v>
      </c>
      <c r="F1865" s="28" t="s">
        <v>8987</v>
      </c>
      <c r="G1865" s="28">
        <v>1</v>
      </c>
    </row>
    <row r="1866" spans="1:7">
      <c r="A1866" s="28">
        <v>1002975</v>
      </c>
      <c r="B1866" s="28" t="s">
        <v>8988</v>
      </c>
      <c r="C1866" s="28">
        <v>4</v>
      </c>
      <c r="D1866" s="54" t="s">
        <v>9665</v>
      </c>
      <c r="E1866" s="28" t="s">
        <v>8990</v>
      </c>
      <c r="F1866" s="28" t="s">
        <v>8991</v>
      </c>
      <c r="G1866" s="28">
        <v>1</v>
      </c>
    </row>
    <row r="1867" spans="1:7">
      <c r="A1867" s="28">
        <v>1002976</v>
      </c>
      <c r="B1867" s="28" t="s">
        <v>8992</v>
      </c>
      <c r="C1867" s="28">
        <v>4</v>
      </c>
      <c r="D1867" s="54" t="s">
        <v>9665</v>
      </c>
      <c r="E1867" s="28" t="s">
        <v>8994</v>
      </c>
      <c r="F1867" s="28" t="s">
        <v>8995</v>
      </c>
      <c r="G1867" s="28">
        <v>1</v>
      </c>
    </row>
    <row r="1868" spans="1:7">
      <c r="A1868" s="28">
        <v>1002977</v>
      </c>
      <c r="B1868" s="28" t="s">
        <v>8996</v>
      </c>
      <c r="C1868" s="28">
        <v>4</v>
      </c>
      <c r="D1868" s="54" t="s">
        <v>9665</v>
      </c>
      <c r="E1868" s="28" t="s">
        <v>8998</v>
      </c>
      <c r="F1868" s="28" t="s">
        <v>8999</v>
      </c>
      <c r="G1868" s="28">
        <v>1</v>
      </c>
    </row>
    <row r="1869" spans="1:7">
      <c r="A1869" s="28">
        <v>1002978</v>
      </c>
      <c r="B1869" s="28" t="s">
        <v>9000</v>
      </c>
      <c r="C1869" s="28">
        <v>4</v>
      </c>
      <c r="D1869" s="54" t="s">
        <v>9665</v>
      </c>
      <c r="E1869" s="28" t="s">
        <v>9002</v>
      </c>
      <c r="F1869" s="28" t="s">
        <v>9003</v>
      </c>
      <c r="G1869" s="28">
        <v>1</v>
      </c>
    </row>
    <row r="1870" spans="1:7">
      <c r="A1870" s="28">
        <v>1002979</v>
      </c>
      <c r="B1870" s="28" t="s">
        <v>9004</v>
      </c>
      <c r="C1870" s="28">
        <v>4</v>
      </c>
      <c r="D1870" s="54" t="s">
        <v>9665</v>
      </c>
      <c r="E1870" s="28" t="s">
        <v>9006</v>
      </c>
      <c r="F1870" s="28" t="s">
        <v>9007</v>
      </c>
      <c r="G1870" s="28">
        <v>1</v>
      </c>
    </row>
    <row r="1871" spans="1:7">
      <c r="A1871" s="28">
        <v>1002980</v>
      </c>
      <c r="B1871" s="28" t="s">
        <v>9008</v>
      </c>
      <c r="C1871" s="28">
        <v>4</v>
      </c>
      <c r="D1871" s="54" t="s">
        <v>9665</v>
      </c>
      <c r="E1871" s="28" t="s">
        <v>9010</v>
      </c>
      <c r="F1871" s="28" t="s">
        <v>9011</v>
      </c>
      <c r="G1871" s="28">
        <v>1</v>
      </c>
    </row>
    <row r="1872" spans="1:7">
      <c r="A1872" s="28">
        <v>1002981</v>
      </c>
      <c r="B1872" s="28" t="s">
        <v>9012</v>
      </c>
      <c r="C1872" s="28">
        <v>4</v>
      </c>
      <c r="D1872" s="54" t="s">
        <v>9665</v>
      </c>
      <c r="E1872" s="28" t="s">
        <v>9014</v>
      </c>
      <c r="F1872" s="28" t="s">
        <v>9015</v>
      </c>
      <c r="G1872" s="28">
        <v>1</v>
      </c>
    </row>
    <row r="1873" spans="1:7">
      <c r="A1873" s="28">
        <v>1002982</v>
      </c>
      <c r="B1873" s="28" t="s">
        <v>9016</v>
      </c>
      <c r="C1873" s="28">
        <v>4</v>
      </c>
      <c r="D1873" s="54" t="s">
        <v>9665</v>
      </c>
      <c r="E1873" s="28" t="s">
        <v>9018</v>
      </c>
      <c r="F1873" s="28" t="s">
        <v>9019</v>
      </c>
      <c r="G1873" s="28">
        <v>1</v>
      </c>
    </row>
    <row r="1874" spans="1:7">
      <c r="A1874" s="28">
        <v>1002983</v>
      </c>
      <c r="B1874" s="28" t="s">
        <v>9020</v>
      </c>
      <c r="C1874" s="28">
        <v>4</v>
      </c>
      <c r="D1874" s="54" t="s">
        <v>9665</v>
      </c>
      <c r="E1874" s="28" t="s">
        <v>9022</v>
      </c>
      <c r="F1874" s="28" t="s">
        <v>9023</v>
      </c>
      <c r="G1874" s="28">
        <v>1</v>
      </c>
    </row>
    <row r="1875" spans="1:7">
      <c r="A1875" s="28">
        <v>1002984</v>
      </c>
      <c r="B1875" s="28" t="s">
        <v>9024</v>
      </c>
      <c r="C1875" s="28">
        <v>4</v>
      </c>
      <c r="D1875" s="54" t="s">
        <v>9665</v>
      </c>
      <c r="E1875" s="28" t="s">
        <v>9026</v>
      </c>
      <c r="F1875" s="28" t="s">
        <v>9027</v>
      </c>
      <c r="G1875" s="28">
        <v>1</v>
      </c>
    </row>
    <row r="1876" spans="1:7">
      <c r="A1876" s="28">
        <v>1002985</v>
      </c>
      <c r="B1876" s="28" t="s">
        <v>9028</v>
      </c>
      <c r="C1876" s="28">
        <v>4</v>
      </c>
      <c r="D1876" s="54" t="s">
        <v>9665</v>
      </c>
      <c r="E1876" s="28" t="s">
        <v>9030</v>
      </c>
      <c r="F1876" s="28" t="s">
        <v>9031</v>
      </c>
      <c r="G1876" s="28">
        <v>1</v>
      </c>
    </row>
    <row r="1877" spans="1:7">
      <c r="A1877" s="28">
        <v>1002986</v>
      </c>
      <c r="B1877" s="28" t="s">
        <v>9032</v>
      </c>
      <c r="C1877" s="28">
        <v>4</v>
      </c>
      <c r="D1877" s="54" t="s">
        <v>9665</v>
      </c>
      <c r="E1877" s="28" t="s">
        <v>9034</v>
      </c>
      <c r="F1877" s="28" t="s">
        <v>9035</v>
      </c>
      <c r="G1877" s="28">
        <v>1</v>
      </c>
    </row>
    <row r="1878" spans="1:7">
      <c r="A1878" s="28">
        <v>1002987</v>
      </c>
      <c r="B1878" s="28" t="s">
        <v>9036</v>
      </c>
      <c r="C1878" s="28">
        <v>4</v>
      </c>
      <c r="D1878" s="54" t="s">
        <v>9665</v>
      </c>
      <c r="E1878" s="28" t="s">
        <v>9038</v>
      </c>
      <c r="F1878" s="28" t="s">
        <v>9039</v>
      </c>
      <c r="G1878" s="28">
        <v>1</v>
      </c>
    </row>
    <row r="1879" spans="1:7">
      <c r="A1879" s="28">
        <v>1002988</v>
      </c>
      <c r="B1879" s="28" t="s">
        <v>9040</v>
      </c>
      <c r="C1879" s="28">
        <v>4</v>
      </c>
      <c r="D1879" s="54" t="s">
        <v>9665</v>
      </c>
      <c r="E1879" s="28" t="s">
        <v>9042</v>
      </c>
      <c r="F1879" s="28" t="s">
        <v>9043</v>
      </c>
      <c r="G1879" s="28">
        <v>1</v>
      </c>
    </row>
    <row r="1880" spans="1:7">
      <c r="A1880" s="28">
        <v>1002989</v>
      </c>
      <c r="B1880" s="28" t="s">
        <v>9044</v>
      </c>
      <c r="C1880" s="28">
        <v>4</v>
      </c>
      <c r="D1880" s="54" t="s">
        <v>9665</v>
      </c>
      <c r="E1880" s="28" t="s">
        <v>9046</v>
      </c>
      <c r="F1880" s="28" t="s">
        <v>9047</v>
      </c>
      <c r="G1880" s="28">
        <v>1</v>
      </c>
    </row>
    <row r="1881" spans="1:7">
      <c r="A1881" s="28">
        <v>1005001</v>
      </c>
      <c r="B1881" s="28" t="s">
        <v>9666</v>
      </c>
      <c r="C1881" s="28">
        <v>3</v>
      </c>
      <c r="D1881" s="54" t="s">
        <v>9667</v>
      </c>
      <c r="E1881" s="28" t="s">
        <v>9668</v>
      </c>
      <c r="F1881" s="28" t="s">
        <v>9669</v>
      </c>
      <c r="G1881" s="28">
        <v>1</v>
      </c>
    </row>
    <row r="1882" spans="1:7">
      <c r="A1882" s="28">
        <v>1005002</v>
      </c>
      <c r="B1882" s="28" t="s">
        <v>9670</v>
      </c>
      <c r="C1882" s="28">
        <v>4</v>
      </c>
      <c r="D1882" s="54" t="s">
        <v>9671</v>
      </c>
      <c r="E1882" s="28" t="s">
        <v>9672</v>
      </c>
      <c r="F1882" s="28" t="s">
        <v>9673</v>
      </c>
      <c r="G1882" s="28">
        <v>1</v>
      </c>
    </row>
    <row r="1883" spans="1:7">
      <c r="A1883" s="28">
        <v>1006001</v>
      </c>
      <c r="B1883" s="28" t="s">
        <v>9674</v>
      </c>
      <c r="C1883" s="28">
        <v>3</v>
      </c>
      <c r="D1883" s="54" t="s">
        <v>9675</v>
      </c>
      <c r="E1883" s="28" t="s">
        <v>9676</v>
      </c>
      <c r="F1883" s="28" t="s">
        <v>9677</v>
      </c>
      <c r="G1883" s="28">
        <v>1</v>
      </c>
    </row>
    <row r="1884" spans="1:7">
      <c r="A1884" s="28">
        <v>1010101</v>
      </c>
      <c r="B1884" s="28" t="s">
        <v>9678</v>
      </c>
      <c r="C1884" s="28">
        <v>4</v>
      </c>
      <c r="D1884" s="54" t="s">
        <v>9679</v>
      </c>
      <c r="E1884" s="28" t="s">
        <v>9680</v>
      </c>
      <c r="F1884" s="28" t="s">
        <v>9681</v>
      </c>
      <c r="G1884" s="28">
        <v>1</v>
      </c>
    </row>
    <row r="1885" spans="1:7">
      <c r="A1885" s="28">
        <v>1010102</v>
      </c>
      <c r="B1885" s="28" t="s">
        <v>9682</v>
      </c>
      <c r="C1885" s="28">
        <v>4</v>
      </c>
      <c r="D1885" s="54" t="s">
        <v>9683</v>
      </c>
      <c r="E1885" s="28" t="s">
        <v>9684</v>
      </c>
      <c r="F1885" s="28" t="s">
        <v>9685</v>
      </c>
      <c r="G1885" s="28">
        <v>1</v>
      </c>
    </row>
    <row r="1886" spans="1:7">
      <c r="A1886" s="28">
        <v>1010201</v>
      </c>
      <c r="B1886" s="28" t="s">
        <v>9686</v>
      </c>
      <c r="C1886" s="28">
        <v>4</v>
      </c>
      <c r="D1886" s="54" t="s">
        <v>9687</v>
      </c>
      <c r="E1886" s="54" t="s">
        <v>9688</v>
      </c>
      <c r="F1886" s="28" t="s">
        <v>9689</v>
      </c>
      <c r="G1886" s="28">
        <v>1</v>
      </c>
    </row>
    <row r="1887" spans="1:7">
      <c r="A1887" s="28">
        <v>1010202</v>
      </c>
      <c r="B1887" s="28" t="s">
        <v>9690</v>
      </c>
      <c r="C1887" s="28">
        <v>4</v>
      </c>
      <c r="D1887" s="54" t="s">
        <v>9691</v>
      </c>
      <c r="E1887" s="54" t="s">
        <v>9692</v>
      </c>
      <c r="F1887" s="28" t="s">
        <v>9693</v>
      </c>
      <c r="G1887" s="28">
        <v>1</v>
      </c>
    </row>
    <row r="1888" spans="1:7">
      <c r="A1888" s="28">
        <v>1010301</v>
      </c>
      <c r="B1888" s="28" t="s">
        <v>9694</v>
      </c>
      <c r="C1888" s="28">
        <v>4</v>
      </c>
      <c r="D1888" s="54" t="s">
        <v>9695</v>
      </c>
      <c r="E1888" s="54" t="s">
        <v>9696</v>
      </c>
      <c r="F1888" s="28" t="s">
        <v>9697</v>
      </c>
      <c r="G1888" s="28">
        <v>1</v>
      </c>
    </row>
    <row r="1889" spans="1:7">
      <c r="A1889" s="28">
        <v>1010302</v>
      </c>
      <c r="B1889" s="28" t="s">
        <v>9698</v>
      </c>
      <c r="C1889" s="28">
        <v>4</v>
      </c>
      <c r="D1889" s="54" t="s">
        <v>9699</v>
      </c>
      <c r="E1889" s="28" t="s">
        <v>9700</v>
      </c>
      <c r="F1889" s="28" t="s">
        <v>9701</v>
      </c>
      <c r="G1889" s="28">
        <v>1</v>
      </c>
    </row>
    <row r="1890" spans="1:7">
      <c r="A1890" s="28">
        <v>1010401</v>
      </c>
      <c r="B1890" s="28" t="s">
        <v>9702</v>
      </c>
      <c r="C1890" s="28">
        <v>4</v>
      </c>
      <c r="D1890" s="54" t="s">
        <v>9703</v>
      </c>
      <c r="E1890" s="28" t="s">
        <v>9704</v>
      </c>
      <c r="F1890" s="28" t="s">
        <v>9705</v>
      </c>
      <c r="G1890" s="28">
        <v>1</v>
      </c>
    </row>
    <row r="1891" spans="1:7">
      <c r="A1891" s="28">
        <v>1010402</v>
      </c>
      <c r="B1891" s="28" t="s">
        <v>9706</v>
      </c>
      <c r="C1891" s="28">
        <v>4</v>
      </c>
      <c r="D1891" s="54" t="s">
        <v>9707</v>
      </c>
      <c r="E1891" s="28" t="s">
        <v>9708</v>
      </c>
      <c r="F1891" s="28" t="s">
        <v>9709</v>
      </c>
      <c r="G1891" s="28">
        <v>1</v>
      </c>
    </row>
    <row r="1892" spans="1:7">
      <c r="A1892" s="28">
        <v>1010501</v>
      </c>
      <c r="B1892" s="28" t="s">
        <v>9710</v>
      </c>
      <c r="C1892" s="28">
        <v>4</v>
      </c>
      <c r="D1892" s="54" t="s">
        <v>9711</v>
      </c>
      <c r="E1892" s="54" t="s">
        <v>9712</v>
      </c>
      <c r="F1892" s="28" t="s">
        <v>9713</v>
      </c>
      <c r="G1892" s="28">
        <v>1</v>
      </c>
    </row>
    <row r="1893" spans="1:7">
      <c r="A1893" s="28">
        <v>1010502</v>
      </c>
      <c r="B1893" s="28" t="s">
        <v>9714</v>
      </c>
      <c r="C1893" s="28">
        <v>4</v>
      </c>
      <c r="D1893" s="54" t="s">
        <v>9715</v>
      </c>
      <c r="E1893" s="28" t="s">
        <v>9716</v>
      </c>
      <c r="F1893" s="28" t="s">
        <v>9717</v>
      </c>
      <c r="G1893" s="28">
        <v>1</v>
      </c>
    </row>
    <row r="1894" spans="1:7">
      <c r="A1894" s="28">
        <v>1010701</v>
      </c>
      <c r="B1894" s="28" t="s">
        <v>9718</v>
      </c>
      <c r="C1894" s="28">
        <v>4</v>
      </c>
      <c r="D1894" s="54" t="s">
        <v>9719</v>
      </c>
      <c r="E1894" s="28" t="s">
        <v>9720</v>
      </c>
      <c r="F1894" s="28" t="s">
        <v>9721</v>
      </c>
      <c r="G1894" s="28">
        <v>1</v>
      </c>
    </row>
    <row r="1895" spans="1:7">
      <c r="A1895" s="28">
        <v>1010702</v>
      </c>
      <c r="B1895" s="28" t="s">
        <v>9722</v>
      </c>
      <c r="C1895" s="28">
        <v>4</v>
      </c>
      <c r="D1895" s="54" t="s">
        <v>9723</v>
      </c>
      <c r="E1895" s="54" t="s">
        <v>9724</v>
      </c>
      <c r="F1895" s="28" t="s">
        <v>9725</v>
      </c>
      <c r="G1895" s="28">
        <v>1</v>
      </c>
    </row>
    <row r="1896" spans="1:7">
      <c r="A1896" s="28">
        <v>1010801</v>
      </c>
      <c r="B1896" s="28" t="s">
        <v>9726</v>
      </c>
      <c r="C1896" s="28">
        <v>4</v>
      </c>
      <c r="D1896" s="54" t="s">
        <v>9727</v>
      </c>
      <c r="E1896" s="54" t="s">
        <v>9728</v>
      </c>
      <c r="F1896" s="28" t="s">
        <v>9729</v>
      </c>
      <c r="G1896" s="28">
        <v>1</v>
      </c>
    </row>
    <row r="1897" spans="1:7">
      <c r="A1897" s="28">
        <v>1010802</v>
      </c>
      <c r="B1897" s="28" t="s">
        <v>9730</v>
      </c>
      <c r="C1897" s="28">
        <v>4</v>
      </c>
      <c r="D1897" s="54" t="s">
        <v>9731</v>
      </c>
      <c r="E1897" s="28" t="s">
        <v>9732</v>
      </c>
      <c r="F1897" s="28" t="s">
        <v>9733</v>
      </c>
      <c r="G1897" s="28">
        <v>1</v>
      </c>
    </row>
    <row r="1898" spans="1:7">
      <c r="A1898" s="28">
        <v>1011101</v>
      </c>
      <c r="B1898" s="28" t="s">
        <v>9734</v>
      </c>
      <c r="C1898" s="28">
        <v>4</v>
      </c>
      <c r="D1898" s="54" t="s">
        <v>9735</v>
      </c>
      <c r="E1898" s="54" t="s">
        <v>9736</v>
      </c>
      <c r="F1898" s="28" t="s">
        <v>9737</v>
      </c>
      <c r="G1898" s="28">
        <v>1</v>
      </c>
    </row>
    <row r="1899" spans="1:7">
      <c r="A1899" s="28">
        <v>1011102</v>
      </c>
      <c r="B1899" s="28" t="s">
        <v>9738</v>
      </c>
      <c r="C1899" s="28">
        <v>4</v>
      </c>
      <c r="D1899" s="54" t="s">
        <v>9739</v>
      </c>
      <c r="E1899" s="28" t="s">
        <v>9740</v>
      </c>
      <c r="F1899" s="28" t="s">
        <v>9741</v>
      </c>
      <c r="G1899" s="28">
        <v>1</v>
      </c>
    </row>
    <row r="1900" spans="1:7">
      <c r="A1900" s="28">
        <v>1011401</v>
      </c>
      <c r="B1900" s="28" t="s">
        <v>9742</v>
      </c>
      <c r="C1900" s="28">
        <v>4</v>
      </c>
      <c r="D1900" s="54" t="s">
        <v>9743</v>
      </c>
      <c r="E1900" s="28" t="s">
        <v>9744</v>
      </c>
      <c r="F1900" s="28" t="s">
        <v>9745</v>
      </c>
      <c r="G1900" s="28">
        <v>1</v>
      </c>
    </row>
    <row r="1901" spans="1:7">
      <c r="A1901" s="28">
        <v>1011402</v>
      </c>
      <c r="B1901" s="28" t="s">
        <v>9746</v>
      </c>
      <c r="C1901" s="28">
        <v>4</v>
      </c>
      <c r="D1901" s="54" t="s">
        <v>9747</v>
      </c>
      <c r="E1901" s="28" t="s">
        <v>9748</v>
      </c>
      <c r="F1901" s="28" t="s">
        <v>9749</v>
      </c>
      <c r="G1901" s="28">
        <v>1</v>
      </c>
    </row>
    <row r="1902" spans="1:7">
      <c r="A1902" s="28">
        <v>1011601</v>
      </c>
      <c r="B1902" s="28" t="s">
        <v>9750</v>
      </c>
      <c r="C1902" s="28">
        <v>4</v>
      </c>
      <c r="D1902" s="54" t="s">
        <v>9751</v>
      </c>
      <c r="E1902" s="54" t="s">
        <v>9752</v>
      </c>
      <c r="F1902" s="28" t="s">
        <v>9753</v>
      </c>
      <c r="G1902" s="28">
        <v>1</v>
      </c>
    </row>
    <row r="1903" spans="1:7">
      <c r="A1903" s="28">
        <v>1011602</v>
      </c>
      <c r="B1903" s="28" t="s">
        <v>9754</v>
      </c>
      <c r="C1903" s="28">
        <v>4</v>
      </c>
      <c r="D1903" s="54" t="s">
        <v>9755</v>
      </c>
      <c r="E1903" s="54" t="s">
        <v>9756</v>
      </c>
      <c r="F1903" s="28" t="s">
        <v>9757</v>
      </c>
      <c r="G1903" s="28">
        <v>1</v>
      </c>
    </row>
    <row r="1904" spans="1:7">
      <c r="A1904" s="28">
        <v>1011901</v>
      </c>
      <c r="B1904" s="28" t="s">
        <v>9758</v>
      </c>
      <c r="C1904" s="28">
        <v>4</v>
      </c>
      <c r="D1904" s="54" t="s">
        <v>9759</v>
      </c>
      <c r="E1904" s="54" t="s">
        <v>9760</v>
      </c>
      <c r="F1904" s="28" t="s">
        <v>9761</v>
      </c>
      <c r="G1904" s="28">
        <v>1</v>
      </c>
    </row>
    <row r="1905" spans="1:7">
      <c r="A1905" s="28">
        <v>1011902</v>
      </c>
      <c r="B1905" s="28" t="s">
        <v>9762</v>
      </c>
      <c r="C1905" s="28">
        <v>4</v>
      </c>
      <c r="D1905" s="54" t="s">
        <v>9763</v>
      </c>
      <c r="E1905" s="28" t="s">
        <v>9764</v>
      </c>
      <c r="F1905" s="28" t="s">
        <v>9765</v>
      </c>
      <c r="G1905" s="28">
        <v>1</v>
      </c>
    </row>
    <row r="1906" spans="1:7">
      <c r="A1906" s="28">
        <v>1012101</v>
      </c>
      <c r="B1906" s="28" t="s">
        <v>9766</v>
      </c>
      <c r="C1906" s="28">
        <v>4</v>
      </c>
      <c r="D1906" s="54" t="s">
        <v>9767</v>
      </c>
      <c r="E1906" s="65" t="s">
        <v>9768</v>
      </c>
      <c r="F1906" s="28" t="s">
        <v>9769</v>
      </c>
      <c r="G1906" s="28">
        <v>1</v>
      </c>
    </row>
    <row r="1907" spans="1:7">
      <c r="A1907" s="28">
        <v>1012102</v>
      </c>
      <c r="B1907" s="28" t="s">
        <v>9770</v>
      </c>
      <c r="C1907" s="28">
        <v>4</v>
      </c>
      <c r="D1907" s="54" t="s">
        <v>9771</v>
      </c>
      <c r="E1907" s="65" t="s">
        <v>9772</v>
      </c>
      <c r="F1907" s="28" t="s">
        <v>9773</v>
      </c>
      <c r="G1907" s="28">
        <v>1</v>
      </c>
    </row>
    <row r="1908" spans="1:7">
      <c r="A1908" s="28">
        <v>1012401</v>
      </c>
      <c r="B1908" s="28" t="s">
        <v>9774</v>
      </c>
      <c r="C1908" s="28">
        <v>4</v>
      </c>
      <c r="D1908" s="54" t="s">
        <v>9775</v>
      </c>
      <c r="E1908" s="65" t="s">
        <v>9776</v>
      </c>
      <c r="F1908" s="28" t="s">
        <v>9777</v>
      </c>
      <c r="G1908" s="28">
        <v>1</v>
      </c>
    </row>
    <row r="1909" spans="1:7">
      <c r="A1909" s="28">
        <v>1012402</v>
      </c>
      <c r="B1909" s="28" t="s">
        <v>9778</v>
      </c>
      <c r="C1909" s="28">
        <v>4</v>
      </c>
      <c r="D1909" s="54" t="s">
        <v>9779</v>
      </c>
      <c r="E1909" s="28" t="s">
        <v>9780</v>
      </c>
      <c r="F1909" s="28" t="s">
        <v>9781</v>
      </c>
      <c r="G1909" s="28">
        <v>1</v>
      </c>
    </row>
    <row r="1910" spans="1:7">
      <c r="A1910" s="28">
        <v>1014046</v>
      </c>
      <c r="B1910" s="28" t="s">
        <v>8383</v>
      </c>
      <c r="C1910" s="28">
        <v>2</v>
      </c>
      <c r="D1910" s="54" t="s">
        <v>8384</v>
      </c>
      <c r="E1910" s="28" t="s">
        <v>9782</v>
      </c>
      <c r="F1910" s="28" t="s">
        <v>7353</v>
      </c>
      <c r="G1910" s="28">
        <v>999</v>
      </c>
    </row>
    <row r="1911" spans="1:7">
      <c r="A1911" s="28">
        <v>1014047</v>
      </c>
      <c r="B1911" s="28" t="s">
        <v>8387</v>
      </c>
      <c r="C1911" s="28">
        <v>3</v>
      </c>
      <c r="D1911" s="54" t="s">
        <v>8384</v>
      </c>
      <c r="E1911" s="54" t="s">
        <v>9783</v>
      </c>
      <c r="F1911" s="28" t="s">
        <v>7357</v>
      </c>
      <c r="G1911" s="28">
        <v>999</v>
      </c>
    </row>
    <row r="1912" spans="1:7">
      <c r="A1912" s="28">
        <v>1014048</v>
      </c>
      <c r="B1912" s="28" t="s">
        <v>8390</v>
      </c>
      <c r="C1912" s="28">
        <v>4</v>
      </c>
      <c r="D1912" s="54" t="s">
        <v>8391</v>
      </c>
      <c r="E1912" s="64" t="s">
        <v>9784</v>
      </c>
      <c r="F1912" s="28" t="s">
        <v>9785</v>
      </c>
      <c r="G1912" s="28">
        <v>999</v>
      </c>
    </row>
    <row r="1913" spans="1:7">
      <c r="A1913" s="28">
        <v>1021801</v>
      </c>
      <c r="B1913" s="28" t="s">
        <v>9442</v>
      </c>
      <c r="C1913" s="28">
        <v>4</v>
      </c>
      <c r="D1913" s="54" t="s">
        <v>9786</v>
      </c>
      <c r="E1913" s="28" t="s">
        <v>9444</v>
      </c>
      <c r="F1913" s="28" t="s">
        <v>9445</v>
      </c>
      <c r="G1913" s="28">
        <v>1</v>
      </c>
    </row>
    <row r="1914" spans="1:7">
      <c r="A1914" s="28">
        <v>1021802</v>
      </c>
      <c r="B1914" s="28" t="s">
        <v>9446</v>
      </c>
      <c r="C1914" s="28">
        <v>4</v>
      </c>
      <c r="D1914" s="54" t="s">
        <v>9787</v>
      </c>
      <c r="E1914" s="54" t="s">
        <v>9448</v>
      </c>
      <c r="F1914" s="28" t="s">
        <v>9449</v>
      </c>
      <c r="G1914" s="28">
        <v>1</v>
      </c>
    </row>
    <row r="1915" spans="1:7">
      <c r="A1915" s="28">
        <v>1021803</v>
      </c>
      <c r="B1915" s="28" t="s">
        <v>9450</v>
      </c>
      <c r="C1915" s="28">
        <v>4</v>
      </c>
      <c r="D1915" s="54" t="s">
        <v>9788</v>
      </c>
      <c r="E1915" s="64" t="s">
        <v>9452</v>
      </c>
      <c r="F1915" s="28" t="s">
        <v>9453</v>
      </c>
      <c r="G1915" s="28">
        <v>1</v>
      </c>
    </row>
    <row r="1916" spans="1:7">
      <c r="A1916" s="28">
        <v>1021804</v>
      </c>
      <c r="B1916" s="28" t="s">
        <v>9454</v>
      </c>
      <c r="C1916" s="28">
        <v>4</v>
      </c>
      <c r="D1916" s="54" t="s">
        <v>9789</v>
      </c>
      <c r="E1916" s="64" t="s">
        <v>9456</v>
      </c>
      <c r="F1916" s="28" t="s">
        <v>9457</v>
      </c>
      <c r="G1916" s="28">
        <v>1</v>
      </c>
    </row>
    <row r="1917" spans="1:7">
      <c r="A1917" s="28">
        <v>1021805</v>
      </c>
      <c r="B1917" s="28" t="s">
        <v>9458</v>
      </c>
      <c r="C1917" s="28">
        <v>4</v>
      </c>
      <c r="D1917" s="54" t="s">
        <v>9790</v>
      </c>
      <c r="E1917" s="28" t="s">
        <v>9460</v>
      </c>
      <c r="F1917" s="28" t="s">
        <v>9461</v>
      </c>
      <c r="G1917" s="28">
        <v>1</v>
      </c>
    </row>
    <row r="1918" spans="1:7">
      <c r="A1918" s="28">
        <v>1021806</v>
      </c>
      <c r="B1918" s="28" t="s">
        <v>9462</v>
      </c>
      <c r="C1918" s="28">
        <v>4</v>
      </c>
      <c r="D1918" s="54" t="s">
        <v>9791</v>
      </c>
      <c r="E1918" s="65" t="s">
        <v>9464</v>
      </c>
      <c r="F1918" s="28" t="s">
        <v>9465</v>
      </c>
      <c r="G1918" s="28">
        <v>1</v>
      </c>
    </row>
    <row r="1919" spans="1:7">
      <c r="A1919" s="28">
        <v>1021807</v>
      </c>
      <c r="B1919" s="28" t="s">
        <v>9466</v>
      </c>
      <c r="C1919" s="28">
        <v>4</v>
      </c>
      <c r="D1919" s="54" t="s">
        <v>9792</v>
      </c>
      <c r="E1919" s="28" t="s">
        <v>9468</v>
      </c>
      <c r="F1919" s="28" t="s">
        <v>9469</v>
      </c>
      <c r="G1919" s="28">
        <v>1</v>
      </c>
    </row>
    <row r="1920" spans="1:7">
      <c r="A1920" s="28">
        <v>1021808</v>
      </c>
      <c r="B1920" s="28" t="s">
        <v>9470</v>
      </c>
      <c r="C1920" s="28">
        <v>4</v>
      </c>
      <c r="D1920" s="54" t="s">
        <v>9793</v>
      </c>
      <c r="E1920" s="28" t="s">
        <v>9472</v>
      </c>
      <c r="F1920" s="28" t="s">
        <v>9473</v>
      </c>
      <c r="G1920" s="28">
        <v>1</v>
      </c>
    </row>
    <row r="1921" spans="1:7">
      <c r="A1921" s="28">
        <v>1043001</v>
      </c>
      <c r="B1921" s="28" t="s">
        <v>9794</v>
      </c>
      <c r="C1921" s="28">
        <v>3</v>
      </c>
      <c r="D1921" s="54" t="s">
        <v>9795</v>
      </c>
      <c r="E1921" s="28" t="s">
        <v>9796</v>
      </c>
      <c r="F1921" s="28" t="s">
        <v>9797</v>
      </c>
      <c r="G1921" s="28">
        <v>1</v>
      </c>
    </row>
    <row r="1922" spans="1:7">
      <c r="A1922" s="28">
        <v>1043002</v>
      </c>
      <c r="B1922" s="28" t="s">
        <v>9798</v>
      </c>
      <c r="C1922" s="28">
        <v>3</v>
      </c>
      <c r="D1922" s="54" t="s">
        <v>9799</v>
      </c>
      <c r="E1922" s="28" t="s"/>
      <c r="F1922" s="28" t="s">
        <v>9800</v>
      </c>
      <c r="G1922" s="28">
        <v>1</v>
      </c>
    </row>
    <row r="1923" spans="1:7">
      <c r="A1923" s="28">
        <v>1043003</v>
      </c>
      <c r="B1923" s="28" t="s">
        <v>9801</v>
      </c>
      <c r="C1923" s="28">
        <v>3</v>
      </c>
      <c r="D1923" s="54" t="s">
        <v>9802</v>
      </c>
      <c r="E1923" s="28" t="s"/>
      <c r="F1923" s="28" t="s">
        <v>9803</v>
      </c>
      <c r="G1923" s="28">
        <v>1</v>
      </c>
    </row>
    <row r="1924" spans="1:7">
      <c r="A1924" s="28">
        <v>1043004</v>
      </c>
      <c r="B1924" s="28" t="s">
        <v>9804</v>
      </c>
      <c r="C1924" s="28">
        <v>3</v>
      </c>
      <c r="D1924" s="54" t="s">
        <v>9805</v>
      </c>
      <c r="E1924" s="28" t="s"/>
      <c r="F1924" s="28" t="s">
        <v>9806</v>
      </c>
      <c r="G1924" s="28">
        <v>1</v>
      </c>
    </row>
    <row r="1925" spans="1:7">
      <c r="A1925" s="28">
        <v>1043005</v>
      </c>
      <c r="B1925" s="28" t="s">
        <v>9807</v>
      </c>
      <c r="C1925" s="28">
        <v>3</v>
      </c>
      <c r="D1925" s="54" t="s">
        <v>9808</v>
      </c>
      <c r="E1925" s="28" t="s">
        <v>9809</v>
      </c>
      <c r="F1925" s="28" t="s">
        <v>9810</v>
      </c>
      <c r="G1925" s="28">
        <v>1</v>
      </c>
    </row>
    <row r="1926" spans="1:7">
      <c r="A1926" s="28">
        <v>1043006</v>
      </c>
      <c r="B1926" s="28" t="s">
        <v>9811</v>
      </c>
      <c r="C1926" s="28">
        <v>3</v>
      </c>
      <c r="D1926" s="54" t="s">
        <v>9812</v>
      </c>
      <c r="E1926" s="28" t="s">
        <v>9813</v>
      </c>
      <c r="F1926" s="28" t="s">
        <v>9814</v>
      </c>
      <c r="G1926" s="28">
        <v>1</v>
      </c>
    </row>
    <row r="1927" spans="1:7">
      <c r="A1927" s="28">
        <v>1043007</v>
      </c>
      <c r="B1927" s="28" t="s">
        <v>9815</v>
      </c>
      <c r="C1927" s="28">
        <v>3</v>
      </c>
      <c r="D1927" s="54" t="s">
        <v>9816</v>
      </c>
      <c r="E1927" s="28" t="s">
        <v>9817</v>
      </c>
      <c r="F1927" s="28" t="s">
        <v>9818</v>
      </c>
      <c r="G1927" s="28">
        <v>1</v>
      </c>
    </row>
    <row r="1928" spans="1:7">
      <c r="A1928" s="28">
        <v>1043008</v>
      </c>
      <c r="B1928" s="28" t="s">
        <v>9819</v>
      </c>
      <c r="C1928" s="28">
        <v>3</v>
      </c>
      <c r="D1928" s="54" t="s">
        <v>9820</v>
      </c>
      <c r="E1928" s="28" t="s"/>
      <c r="F1928" s="28" t="s">
        <v>9821</v>
      </c>
      <c r="G1928" s="28">
        <v>1</v>
      </c>
    </row>
    <row r="1929" spans="1:7">
      <c r="A1929" s="28">
        <v>1043009</v>
      </c>
      <c r="B1929" s="28" t="s">
        <v>9822</v>
      </c>
      <c r="C1929" s="28">
        <v>3</v>
      </c>
      <c r="D1929" s="54" t="s">
        <v>9823</v>
      </c>
      <c r="E1929" s="28" t="s">
        <v>9824</v>
      </c>
      <c r="F1929" s="28" t="s">
        <v>9825</v>
      </c>
      <c r="G1929" s="28">
        <v>1</v>
      </c>
    </row>
    <row r="1930" spans="1:7">
      <c r="A1930" s="28">
        <v>1043010</v>
      </c>
      <c r="B1930" s="28" t="s">
        <v>9826</v>
      </c>
      <c r="C1930" s="28">
        <v>3</v>
      </c>
      <c r="D1930" s="54" t="s">
        <v>9827</v>
      </c>
      <c r="E1930" s="28" t="s">
        <v>9828</v>
      </c>
      <c r="F1930" s="28" t="s">
        <v>9829</v>
      </c>
      <c r="G1930" s="28">
        <v>1</v>
      </c>
    </row>
    <row r="1931" spans="1:7">
      <c r="A1931" s="28">
        <v>1043011</v>
      </c>
      <c r="B1931" s="28" t="s">
        <v>9830</v>
      </c>
      <c r="C1931" s="28">
        <v>3</v>
      </c>
      <c r="D1931" s="54" t="s">
        <v>9831</v>
      </c>
      <c r="E1931" s="28" t="s"/>
      <c r="F1931" s="28" t="s">
        <v>9832</v>
      </c>
      <c r="G1931" s="28">
        <v>1</v>
      </c>
    </row>
    <row r="1932" spans="1:7">
      <c r="A1932" s="28">
        <v>1043012</v>
      </c>
      <c r="B1932" s="28" t="s">
        <v>9833</v>
      </c>
      <c r="C1932" s="28">
        <v>3</v>
      </c>
      <c r="D1932" s="54" t="s">
        <v>9834</v>
      </c>
      <c r="E1932" s="28" t="s"/>
      <c r="F1932" s="28" t="s">
        <v>9835</v>
      </c>
      <c r="G1932" s="28">
        <v>1</v>
      </c>
    </row>
    <row r="1933" spans="1:7">
      <c r="A1933" s="28">
        <v>1043013</v>
      </c>
      <c r="B1933" s="28" t="s">
        <v>9836</v>
      </c>
      <c r="C1933" s="28">
        <v>3</v>
      </c>
      <c r="D1933" s="54" t="s">
        <v>9837</v>
      </c>
      <c r="E1933" s="28" t="s">
        <v>9838</v>
      </c>
      <c r="F1933" s="28" t="s">
        <v>9839</v>
      </c>
      <c r="G1933" s="28">
        <v>1</v>
      </c>
    </row>
    <row r="1934" spans="1:7">
      <c r="A1934" s="28">
        <v>1043014</v>
      </c>
      <c r="B1934" s="28" t="s">
        <v>9840</v>
      </c>
      <c r="C1934" s="28">
        <v>3</v>
      </c>
      <c r="D1934" s="54" t="s">
        <v>9841</v>
      </c>
      <c r="E1934" s="28" t="s"/>
      <c r="F1934" s="28" t="s">
        <v>9842</v>
      </c>
      <c r="G1934" s="28">
        <v>1</v>
      </c>
    </row>
    <row r="1935" spans="1:7">
      <c r="A1935" s="28">
        <v>1043015</v>
      </c>
      <c r="B1935" s="28" t="s">
        <v>9843</v>
      </c>
      <c r="C1935" s="28">
        <v>3</v>
      </c>
      <c r="D1935" s="54" t="s">
        <v>9844</v>
      </c>
      <c r="E1935" s="28" t="s">
        <v>9845</v>
      </c>
      <c r="F1935" s="28" t="s">
        <v>9846</v>
      </c>
      <c r="G1935" s="28">
        <v>1</v>
      </c>
    </row>
    <row r="1936" spans="1:7">
      <c r="A1936" s="28">
        <v>1043016</v>
      </c>
      <c r="B1936" s="28" t="s">
        <v>9847</v>
      </c>
      <c r="C1936" s="28">
        <v>3</v>
      </c>
      <c r="D1936" s="54" t="s">
        <v>9848</v>
      </c>
      <c r="E1936" s="28" t="s">
        <v>9849</v>
      </c>
      <c r="F1936" s="28" t="s">
        <v>9850</v>
      </c>
      <c r="G1936" s="28">
        <v>1</v>
      </c>
    </row>
    <row r="1937" spans="1:7">
      <c r="A1937" s="28">
        <v>1043017</v>
      </c>
      <c r="B1937" s="28" t="s">
        <v>9851</v>
      </c>
      <c r="C1937" s="28">
        <v>3</v>
      </c>
      <c r="D1937" s="54" t="s">
        <v>9852</v>
      </c>
      <c r="E1937" s="28" t="s">
        <v>9853</v>
      </c>
      <c r="F1937" s="28" t="s">
        <v>9854</v>
      </c>
      <c r="G1937" s="28">
        <v>1</v>
      </c>
    </row>
    <row r="1938" spans="1:7">
      <c r="A1938" s="28">
        <v>1043019</v>
      </c>
      <c r="B1938" s="28" t="s">
        <v>9855</v>
      </c>
      <c r="C1938" s="28">
        <v>3</v>
      </c>
      <c r="D1938" s="54" t="s">
        <v>9856</v>
      </c>
      <c r="E1938" s="28" t="s">
        <v>9857</v>
      </c>
      <c r="F1938" s="28" t="s">
        <v>9858</v>
      </c>
      <c r="G1938" s="28">
        <v>1</v>
      </c>
    </row>
    <row r="1939" spans="1:7">
      <c r="A1939" s="28">
        <v>1044001</v>
      </c>
      <c r="B1939" s="28" t="s">
        <v>9859</v>
      </c>
      <c r="C1939" s="28">
        <v>4</v>
      </c>
      <c r="D1939" s="54" t="s">
        <v>9860</v>
      </c>
      <c r="E1939" s="28" t="s">
        <v>9861</v>
      </c>
      <c r="F1939" s="28" t="s">
        <v>9862</v>
      </c>
      <c r="G1939" s="28">
        <v>1</v>
      </c>
    </row>
    <row r="1940" spans="1:7">
      <c r="A1940" s="28">
        <v>1044002</v>
      </c>
      <c r="B1940" s="28" t="s">
        <v>9863</v>
      </c>
      <c r="C1940" s="28">
        <v>4</v>
      </c>
      <c r="D1940" s="54" t="s">
        <v>9864</v>
      </c>
      <c r="E1940" s="28" t="s">
        <v>9865</v>
      </c>
      <c r="F1940" s="28" t="s">
        <v>9866</v>
      </c>
      <c r="G1940" s="28">
        <v>1</v>
      </c>
    </row>
    <row r="1941" spans="1:7">
      <c r="A1941" s="28">
        <v>1044003</v>
      </c>
      <c r="B1941" s="28" t="s">
        <v>9867</v>
      </c>
      <c r="C1941" s="28">
        <v>3</v>
      </c>
      <c r="D1941" s="54" t="s">
        <v>9868</v>
      </c>
      <c r="E1941" s="28" t="s">
        <v>9869</v>
      </c>
      <c r="F1941" s="28" t="s">
        <v>9870</v>
      </c>
      <c r="G1941" s="28">
        <v>1</v>
      </c>
    </row>
    <row r="1942" spans="1:7">
      <c r="A1942" s="28">
        <v>1044004</v>
      </c>
      <c r="B1942" s="28" t="s">
        <v>9871</v>
      </c>
      <c r="C1942" s="28">
        <v>4</v>
      </c>
      <c r="D1942" s="54" t="s">
        <v>9872</v>
      </c>
      <c r="E1942" s="28" t="s">
        <v>9873</v>
      </c>
      <c r="F1942" s="28" t="s">
        <v>9874</v>
      </c>
      <c r="G1942" s="28">
        <v>1</v>
      </c>
    </row>
    <row r="1943" spans="1:7">
      <c r="A1943" s="28">
        <v>1044005</v>
      </c>
      <c r="B1943" s="28" t="s">
        <v>9875</v>
      </c>
      <c r="C1943" s="28">
        <v>4</v>
      </c>
      <c r="D1943" s="54" t="s">
        <v>9876</v>
      </c>
      <c r="E1943" s="28" t="s">
        <v>9877</v>
      </c>
      <c r="F1943" s="28" t="s">
        <v>9878</v>
      </c>
      <c r="G1943" s="28">
        <v>1</v>
      </c>
    </row>
    <row r="1944" spans="1:7">
      <c r="A1944" s="28">
        <v>1044006</v>
      </c>
      <c r="B1944" s="28" t="s">
        <v>9879</v>
      </c>
      <c r="C1944" s="28">
        <v>4</v>
      </c>
      <c r="D1944" s="54" t="s">
        <v>9880</v>
      </c>
      <c r="E1944" s="28" t="s">
        <v>9881</v>
      </c>
      <c r="F1944" s="28" t="s">
        <v>9882</v>
      </c>
      <c r="G1944" s="28">
        <v>1</v>
      </c>
    </row>
    <row r="1945" spans="1:7">
      <c r="A1945" s="28">
        <v>1044008</v>
      </c>
      <c r="B1945" s="28" t="s">
        <v>9883</v>
      </c>
      <c r="C1945" s="28">
        <v>4</v>
      </c>
      <c r="D1945" s="54" t="s">
        <v>9884</v>
      </c>
      <c r="E1945" s="28" t="s">
        <v>9885</v>
      </c>
      <c r="F1945" s="28" t="s">
        <v>9886</v>
      </c>
      <c r="G1945" s="28">
        <v>1</v>
      </c>
    </row>
    <row r="1946" spans="1:7">
      <c r="A1946" s="28">
        <v>1044009</v>
      </c>
      <c r="B1946" s="28" t="s">
        <v>9887</v>
      </c>
      <c r="C1946" s="28">
        <v>4</v>
      </c>
      <c r="D1946" s="54" t="s">
        <v>9888</v>
      </c>
      <c r="E1946" s="28" t="s">
        <v>9889</v>
      </c>
      <c r="F1946" s="28" t="s">
        <v>9890</v>
      </c>
      <c r="G1946" s="28">
        <v>1</v>
      </c>
    </row>
    <row r="1947" spans="1:7">
      <c r="A1947" s="28">
        <v>1044011</v>
      </c>
      <c r="B1947" s="28" t="s">
        <v>9891</v>
      </c>
      <c r="C1947" s="28">
        <v>4</v>
      </c>
      <c r="D1947" s="54" t="s">
        <v>9892</v>
      </c>
      <c r="E1947" s="28" t="s">
        <v>9893</v>
      </c>
      <c r="F1947" s="28" t="s">
        <v>9894</v>
      </c>
      <c r="G1947" s="28">
        <v>1</v>
      </c>
    </row>
    <row r="1948" spans="1:7">
      <c r="A1948" s="28">
        <v>1044012</v>
      </c>
      <c r="B1948" s="28" t="s">
        <v>9895</v>
      </c>
      <c r="C1948" s="28">
        <v>4</v>
      </c>
      <c r="D1948" s="54" t="s">
        <v>9896</v>
      </c>
      <c r="E1948" s="28" t="s">
        <v>9897</v>
      </c>
      <c r="F1948" s="28" t="s">
        <v>9898</v>
      </c>
      <c r="G1948" s="28">
        <v>1</v>
      </c>
    </row>
    <row r="1949" spans="1:7">
      <c r="A1949" s="28">
        <v>1044013</v>
      </c>
      <c r="B1949" s="28" t="s">
        <v>9899</v>
      </c>
      <c r="C1949" s="28">
        <v>4</v>
      </c>
      <c r="D1949" s="54" t="s">
        <v>9900</v>
      </c>
      <c r="E1949" s="28" t="s">
        <v>9901</v>
      </c>
      <c r="F1949" s="28" t="s">
        <v>9902</v>
      </c>
      <c r="G1949" s="28">
        <v>1</v>
      </c>
    </row>
    <row r="1950" spans="1:7">
      <c r="A1950" s="28">
        <v>1044014</v>
      </c>
      <c r="B1950" s="28" t="s">
        <v>9903</v>
      </c>
      <c r="C1950" s="28">
        <v>4</v>
      </c>
      <c r="D1950" s="54" t="s">
        <v>9904</v>
      </c>
      <c r="E1950" s="28" t="s">
        <v>9905</v>
      </c>
      <c r="F1950" s="28" t="s">
        <v>9906</v>
      </c>
      <c r="G1950" s="28">
        <v>1</v>
      </c>
    </row>
    <row r="1951" spans="1:7">
      <c r="A1951" s="28">
        <v>1044015</v>
      </c>
      <c r="B1951" s="28" t="s">
        <v>9907</v>
      </c>
      <c r="C1951" s="28">
        <v>4</v>
      </c>
      <c r="D1951" s="54" t="s">
        <v>9908</v>
      </c>
      <c r="E1951" s="28" t="s">
        <v>9909</v>
      </c>
      <c r="F1951" s="28" t="s">
        <v>9910</v>
      </c>
      <c r="G1951" s="28">
        <v>1</v>
      </c>
    </row>
    <row r="1952" spans="1:7">
      <c r="A1952" s="28">
        <v>1044016</v>
      </c>
      <c r="B1952" s="28" t="s">
        <v>9911</v>
      </c>
      <c r="C1952" s="28">
        <v>4</v>
      </c>
      <c r="D1952" s="54" t="s">
        <v>9912</v>
      </c>
      <c r="E1952" s="28" t="s">
        <v>9913</v>
      </c>
      <c r="F1952" s="28" t="s">
        <v>9914</v>
      </c>
      <c r="G1952" s="28">
        <v>1</v>
      </c>
    </row>
    <row r="1953" spans="1:7">
      <c r="A1953" s="28">
        <v>1044017</v>
      </c>
      <c r="B1953" s="28" t="s">
        <v>9915</v>
      </c>
      <c r="C1953" s="28">
        <v>4</v>
      </c>
      <c r="D1953" s="54" t="s">
        <v>9916</v>
      </c>
      <c r="E1953" s="28" t="s">
        <v>9917</v>
      </c>
      <c r="F1953" s="28" t="s">
        <v>9918</v>
      </c>
      <c r="G1953" s="28">
        <v>1</v>
      </c>
    </row>
    <row r="1954" spans="1:7">
      <c r="A1954" s="28">
        <v>1044018</v>
      </c>
      <c r="B1954" s="28" t="s">
        <v>9919</v>
      </c>
      <c r="C1954" s="28">
        <v>4</v>
      </c>
      <c r="D1954" s="54" t="s">
        <v>9920</v>
      </c>
      <c r="E1954" s="28" t="s">
        <v>9921</v>
      </c>
      <c r="F1954" s="28" t="s">
        <v>9922</v>
      </c>
      <c r="G1954" s="28">
        <v>1</v>
      </c>
    </row>
    <row r="1955" spans="1:7">
      <c r="A1955" s="28">
        <v>1044019</v>
      </c>
      <c r="B1955" s="28" t="s">
        <v>9923</v>
      </c>
      <c r="C1955" s="28">
        <v>4</v>
      </c>
      <c r="D1955" s="54" t="s">
        <v>9924</v>
      </c>
      <c r="E1955" s="28" t="s">
        <v>9925</v>
      </c>
      <c r="F1955" s="28" t="s">
        <v>9926</v>
      </c>
      <c r="G1955" s="28">
        <v>1</v>
      </c>
    </row>
    <row r="1956" spans="1:7">
      <c r="A1956" s="28">
        <v>1044020</v>
      </c>
      <c r="B1956" s="28" t="s">
        <v>9927</v>
      </c>
      <c r="C1956" s="28">
        <v>4</v>
      </c>
      <c r="D1956" s="54" t="s">
        <v>9928</v>
      </c>
      <c r="E1956" s="28" t="s">
        <v>9929</v>
      </c>
      <c r="F1956" s="28" t="s">
        <v>9930</v>
      </c>
      <c r="G1956" s="28">
        <v>1</v>
      </c>
    </row>
    <row r="1957" spans="1:7">
      <c r="A1957" s="28">
        <v>1044021</v>
      </c>
      <c r="B1957" s="54" t="s">
        <v>9931</v>
      </c>
      <c r="C1957" s="28">
        <v>4</v>
      </c>
      <c r="D1957" s="54" t="s">
        <v>9932</v>
      </c>
      <c r="E1957" s="28" t="s">
        <v>9933</v>
      </c>
      <c r="F1957" s="28" t="s">
        <v>9934</v>
      </c>
      <c r="G1957" s="28">
        <v>1</v>
      </c>
    </row>
    <row r="1958" spans="1:7">
      <c r="A1958" s="28">
        <v>1053001</v>
      </c>
      <c r="B1958" s="54" t="s">
        <v>9935</v>
      </c>
      <c r="C1958" s="28">
        <v>3</v>
      </c>
      <c r="D1958" s="54" t="s">
        <v>9936</v>
      </c>
      <c r="E1958" s="28" t="s">
        <v>9937</v>
      </c>
      <c r="F1958" s="28" t="s">
        <v>9797</v>
      </c>
      <c r="G1958" s="28">
        <v>1</v>
      </c>
    </row>
    <row r="1959" spans="1:7">
      <c r="A1959" s="28">
        <v>1053002</v>
      </c>
      <c r="B1959" s="54" t="s">
        <v>9938</v>
      </c>
      <c r="C1959" s="28">
        <v>3</v>
      </c>
      <c r="D1959" s="54" t="s">
        <v>9939</v>
      </c>
      <c r="E1959" s="28" t="s">
        <v>9937</v>
      </c>
      <c r="F1959" s="28" t="s">
        <v>9800</v>
      </c>
      <c r="G1959" s="28">
        <v>1</v>
      </c>
    </row>
    <row r="1960" spans="1:7">
      <c r="A1960" s="28">
        <v>1053003</v>
      </c>
      <c r="B1960" s="54" t="s">
        <v>9940</v>
      </c>
      <c r="C1960" s="28">
        <v>3</v>
      </c>
      <c r="D1960" s="54" t="s">
        <v>9941</v>
      </c>
      <c r="E1960" s="28" t="s">
        <v>9937</v>
      </c>
      <c r="F1960" s="28" t="s">
        <v>9803</v>
      </c>
      <c r="G1960" s="28">
        <v>1</v>
      </c>
    </row>
    <row r="1961" spans="1:7">
      <c r="A1961" s="28">
        <v>1053004</v>
      </c>
      <c r="B1961" s="54" t="s">
        <v>9942</v>
      </c>
      <c r="C1961" s="28">
        <v>3</v>
      </c>
      <c r="D1961" s="54" t="s">
        <v>9943</v>
      </c>
      <c r="E1961" s="28" t="s">
        <v>9937</v>
      </c>
      <c r="F1961" s="28" t="s">
        <v>9806</v>
      </c>
      <c r="G1961" s="28">
        <v>1</v>
      </c>
    </row>
    <row r="1962" spans="1:7">
      <c r="A1962" s="28">
        <v>1053005</v>
      </c>
      <c r="B1962" s="54" t="s">
        <v>9944</v>
      </c>
      <c r="C1962" s="28">
        <v>3</v>
      </c>
      <c r="D1962" s="54" t="s">
        <v>9945</v>
      </c>
      <c r="E1962" s="28" t="s">
        <v>9937</v>
      </c>
      <c r="F1962" s="28" t="s">
        <v>9810</v>
      </c>
      <c r="G1962" s="28">
        <v>1</v>
      </c>
    </row>
    <row r="1963" spans="1:7">
      <c r="A1963" s="28">
        <v>1053006</v>
      </c>
      <c r="B1963" s="28" t="s">
        <v>9946</v>
      </c>
      <c r="C1963" s="28">
        <v>3</v>
      </c>
      <c r="D1963" s="54" t="s">
        <v>9947</v>
      </c>
      <c r="E1963" s="28" t="s">
        <v>9937</v>
      </c>
      <c r="F1963" s="28" t="s">
        <v>9814</v>
      </c>
      <c r="G1963" s="28">
        <v>1</v>
      </c>
    </row>
    <row r="1964" spans="1:7">
      <c r="A1964" s="28">
        <v>1053007</v>
      </c>
      <c r="B1964" s="28" t="s">
        <v>9948</v>
      </c>
      <c r="C1964" s="28">
        <v>3</v>
      </c>
      <c r="D1964" s="54" t="s">
        <v>9949</v>
      </c>
      <c r="E1964" s="28" t="s">
        <v>9937</v>
      </c>
      <c r="F1964" s="28" t="s">
        <v>9818</v>
      </c>
      <c r="G1964" s="28">
        <v>1</v>
      </c>
    </row>
    <row r="1965" spans="1:7">
      <c r="A1965" s="28">
        <v>1053008</v>
      </c>
      <c r="B1965" s="28" t="s">
        <v>9950</v>
      </c>
      <c r="C1965" s="28">
        <v>3</v>
      </c>
      <c r="D1965" s="54" t="s">
        <v>9951</v>
      </c>
      <c r="E1965" s="28" t="s">
        <v>9937</v>
      </c>
      <c r="F1965" s="28" t="s">
        <v>9821</v>
      </c>
      <c r="G1965" s="28">
        <v>1</v>
      </c>
    </row>
    <row r="1966" spans="1:7">
      <c r="A1966" s="28">
        <v>1053009</v>
      </c>
      <c r="B1966" s="28" t="s">
        <v>9952</v>
      </c>
      <c r="C1966" s="28">
        <v>3</v>
      </c>
      <c r="D1966" s="54" t="s">
        <v>9953</v>
      </c>
      <c r="E1966" s="28" t="s">
        <v>9937</v>
      </c>
      <c r="F1966" s="28" t="s">
        <v>9825</v>
      </c>
      <c r="G1966" s="28">
        <v>1</v>
      </c>
    </row>
    <row r="1967" spans="1:7">
      <c r="A1967" s="28">
        <v>1053010</v>
      </c>
      <c r="B1967" s="28" t="s">
        <v>9954</v>
      </c>
      <c r="C1967" s="28">
        <v>3</v>
      </c>
      <c r="D1967" s="54" t="s">
        <v>9955</v>
      </c>
      <c r="E1967" s="28" t="s">
        <v>9937</v>
      </c>
      <c r="F1967" s="28" t="s">
        <v>9829</v>
      </c>
      <c r="G1967" s="28">
        <v>1</v>
      </c>
    </row>
    <row r="1968" spans="1:7">
      <c r="A1968" s="28">
        <v>1053011</v>
      </c>
      <c r="B1968" s="28" t="s">
        <v>9956</v>
      </c>
      <c r="C1968" s="28">
        <v>3</v>
      </c>
      <c r="D1968" s="54" t="s">
        <v>9957</v>
      </c>
      <c r="E1968" s="28" t="s">
        <v>9937</v>
      </c>
      <c r="F1968" s="28" t="s">
        <v>9832</v>
      </c>
      <c r="G1968" s="28">
        <v>1</v>
      </c>
    </row>
    <row r="1969" spans="1:7">
      <c r="A1969" s="28">
        <v>1053012</v>
      </c>
      <c r="B1969" s="28" t="s">
        <v>9958</v>
      </c>
      <c r="C1969" s="28">
        <v>3</v>
      </c>
      <c r="D1969" s="54" t="s">
        <v>9959</v>
      </c>
      <c r="E1969" s="28" t="s">
        <v>9937</v>
      </c>
      <c r="F1969" s="28" t="s">
        <v>9835</v>
      </c>
      <c r="G1969" s="28">
        <v>1</v>
      </c>
    </row>
    <row r="1970" spans="1:7">
      <c r="A1970" s="28">
        <v>1053013</v>
      </c>
      <c r="B1970" s="28" t="s">
        <v>9960</v>
      </c>
      <c r="C1970" s="28">
        <v>3</v>
      </c>
      <c r="D1970" s="54" t="s">
        <v>9961</v>
      </c>
      <c r="E1970" s="28" t="s">
        <v>9937</v>
      </c>
      <c r="F1970" s="28" t="s">
        <v>9839</v>
      </c>
      <c r="G1970" s="28">
        <v>1</v>
      </c>
    </row>
    <row r="1971" spans="1:7">
      <c r="A1971" s="28">
        <v>1053017</v>
      </c>
      <c r="B1971" s="28" t="s">
        <v>9962</v>
      </c>
      <c r="C1971" s="28">
        <v>3</v>
      </c>
      <c r="D1971" s="54" t="s">
        <v>9963</v>
      </c>
      <c r="E1971" s="28" t="s">
        <v>9937</v>
      </c>
      <c r="F1971" s="28" t="s">
        <v>9854</v>
      </c>
      <c r="G1971" s="28">
        <v>1</v>
      </c>
    </row>
    <row r="1972" spans="1:7">
      <c r="A1972" s="28">
        <v>1054001</v>
      </c>
      <c r="B1972" s="28" t="s">
        <v>9964</v>
      </c>
      <c r="C1972" s="28">
        <v>4</v>
      </c>
      <c r="D1972" s="54" t="s">
        <v>9965</v>
      </c>
      <c r="E1972" s="28" t="s">
        <v>9937</v>
      </c>
      <c r="F1972" s="28" t="s">
        <v>9862</v>
      </c>
      <c r="G1972" s="28">
        <v>1</v>
      </c>
    </row>
    <row r="1973" spans="1:7">
      <c r="A1973" s="28">
        <v>1054002</v>
      </c>
      <c r="B1973" s="28" t="s">
        <v>9966</v>
      </c>
      <c r="C1973" s="28">
        <v>4</v>
      </c>
      <c r="D1973" s="54" t="s">
        <v>9967</v>
      </c>
      <c r="E1973" s="28" t="s">
        <v>9937</v>
      </c>
      <c r="F1973" s="28" t="s">
        <v>9866</v>
      </c>
      <c r="G1973" s="28">
        <v>1</v>
      </c>
    </row>
    <row r="1974" spans="1:7">
      <c r="A1974" s="28">
        <v>1054003</v>
      </c>
      <c r="B1974" s="28" t="s">
        <v>9968</v>
      </c>
      <c r="C1974" s="28">
        <v>3</v>
      </c>
      <c r="D1974" s="54" t="s">
        <v>9969</v>
      </c>
      <c r="E1974" s="28" t="s">
        <v>9937</v>
      </c>
      <c r="F1974" s="28" t="s">
        <v>9870</v>
      </c>
      <c r="G1974" s="28">
        <v>1</v>
      </c>
    </row>
    <row r="1975" spans="1:7">
      <c r="A1975" s="28">
        <v>1054004</v>
      </c>
      <c r="B1975" s="28" t="s">
        <v>9970</v>
      </c>
      <c r="C1975" s="28">
        <v>4</v>
      </c>
      <c r="D1975" s="54" t="s">
        <v>9971</v>
      </c>
      <c r="E1975" s="28" t="s">
        <v>9937</v>
      </c>
      <c r="F1975" s="28" t="s">
        <v>9874</v>
      </c>
      <c r="G1975" s="28">
        <v>1</v>
      </c>
    </row>
    <row r="1976" spans="1:7">
      <c r="A1976" s="28">
        <v>1054005</v>
      </c>
      <c r="B1976" s="28" t="s">
        <v>9972</v>
      </c>
      <c r="C1976" s="28">
        <v>4</v>
      </c>
      <c r="D1976" s="54" t="s">
        <v>9973</v>
      </c>
      <c r="E1976" s="28" t="s">
        <v>9937</v>
      </c>
      <c r="F1976" s="28" t="s">
        <v>9878</v>
      </c>
      <c r="G1976" s="28">
        <v>1</v>
      </c>
    </row>
    <row r="1977" spans="1:7">
      <c r="A1977" s="28">
        <v>1054006</v>
      </c>
      <c r="B1977" s="28" t="s">
        <v>9974</v>
      </c>
      <c r="C1977" s="28">
        <v>4</v>
      </c>
      <c r="D1977" s="54" t="s">
        <v>9975</v>
      </c>
      <c r="E1977" s="28" t="s">
        <v>9937</v>
      </c>
      <c r="F1977" s="28" t="s">
        <v>9882</v>
      </c>
      <c r="G1977" s="28">
        <v>1</v>
      </c>
    </row>
    <row r="1978" spans="1:7">
      <c r="A1978" s="28">
        <v>1054008</v>
      </c>
      <c r="B1978" s="28" t="s">
        <v>9976</v>
      </c>
      <c r="C1978" s="28">
        <v>4</v>
      </c>
      <c r="D1978" s="54" t="s">
        <v>9977</v>
      </c>
      <c r="E1978" s="28" t="s">
        <v>9937</v>
      </c>
      <c r="F1978" s="28" t="s">
        <v>9886</v>
      </c>
      <c r="G1978" s="28">
        <v>1</v>
      </c>
    </row>
    <row r="1979" spans="1:7">
      <c r="A1979" s="28">
        <v>1054009</v>
      </c>
      <c r="B1979" s="28" t="s">
        <v>9978</v>
      </c>
      <c r="C1979" s="28">
        <v>4</v>
      </c>
      <c r="D1979" s="54" t="s">
        <v>9979</v>
      </c>
      <c r="E1979" s="28" t="s">
        <v>9937</v>
      </c>
      <c r="F1979" s="28" t="s">
        <v>9890</v>
      </c>
      <c r="G1979" s="28">
        <v>1</v>
      </c>
    </row>
    <row r="1980" spans="1:7">
      <c r="A1980" s="28">
        <v>1054011</v>
      </c>
      <c r="B1980" s="28" t="s">
        <v>9980</v>
      </c>
      <c r="C1980" s="28">
        <v>4</v>
      </c>
      <c r="D1980" s="54" t="s">
        <v>9981</v>
      </c>
      <c r="E1980" s="28" t="s">
        <v>9937</v>
      </c>
      <c r="F1980" s="28" t="s">
        <v>9894</v>
      </c>
      <c r="G1980" s="28">
        <v>1</v>
      </c>
    </row>
    <row r="1981" spans="1:7">
      <c r="A1981" s="28">
        <v>1054012</v>
      </c>
      <c r="B1981" s="28" t="s">
        <v>9982</v>
      </c>
      <c r="C1981" s="28">
        <v>4</v>
      </c>
      <c r="D1981" s="54" t="s">
        <v>9983</v>
      </c>
      <c r="E1981" s="28" t="s">
        <v>9937</v>
      </c>
      <c r="F1981" s="28" t="s">
        <v>9898</v>
      </c>
      <c r="G1981" s="28">
        <v>1</v>
      </c>
    </row>
    <row r="1982" spans="1:7">
      <c r="A1982" s="28">
        <v>1054013</v>
      </c>
      <c r="B1982" s="28" t="s">
        <v>9984</v>
      </c>
      <c r="C1982" s="28">
        <v>4</v>
      </c>
      <c r="D1982" s="54" t="s">
        <v>9985</v>
      </c>
      <c r="E1982" s="28" t="s">
        <v>9937</v>
      </c>
      <c r="F1982" s="28" t="s">
        <v>9902</v>
      </c>
      <c r="G1982" s="28">
        <v>1</v>
      </c>
    </row>
    <row r="1983" spans="1:7">
      <c r="A1983" s="28">
        <v>1090001</v>
      </c>
      <c r="B1983" s="28" t="s">
        <v>9986</v>
      </c>
      <c r="C1983" s="28">
        <v>4</v>
      </c>
      <c r="D1983" s="54" t="s">
        <v>9987</v>
      </c>
      <c r="E1983" s="28" t="s">
        <v>9988</v>
      </c>
      <c r="F1983" s="28" t="s">
        <v>9989</v>
      </c>
      <c r="G1983" s="28">
        <v>1</v>
      </c>
    </row>
    <row r="1984" spans="1:7">
      <c r="A1984" s="28">
        <v>1090002</v>
      </c>
      <c r="B1984" s="28" t="s">
        <v>9990</v>
      </c>
      <c r="C1984" s="28">
        <v>4</v>
      </c>
      <c r="D1984" s="54" t="s">
        <v>9991</v>
      </c>
      <c r="E1984" s="28" t="s">
        <v>9988</v>
      </c>
      <c r="F1984" s="28" t="s">
        <v>9992</v>
      </c>
      <c r="G1984" s="28">
        <v>1</v>
      </c>
    </row>
    <row r="1985" spans="1:7">
      <c r="A1985" s="28">
        <v>1090003</v>
      </c>
      <c r="B1985" s="28" t="s">
        <v>9993</v>
      </c>
      <c r="C1985" s="28">
        <v>4</v>
      </c>
      <c r="D1985" s="54" t="s">
        <v>9994</v>
      </c>
      <c r="E1985" s="28" t="s">
        <v>9988</v>
      </c>
      <c r="F1985" s="28" t="s">
        <v>9995</v>
      </c>
      <c r="G1985" s="28">
        <v>1</v>
      </c>
    </row>
    <row r="1986" spans="1:7">
      <c r="A1986" s="28">
        <v>1090004</v>
      </c>
      <c r="B1986" s="28" t="s">
        <v>9996</v>
      </c>
      <c r="C1986" s="28">
        <v>4</v>
      </c>
      <c r="D1986" s="54" t="s">
        <v>9997</v>
      </c>
      <c r="E1986" s="28" t="s">
        <v>9988</v>
      </c>
      <c r="F1986" s="28" t="s">
        <v>9998</v>
      </c>
      <c r="G1986" s="28">
        <v>1</v>
      </c>
    </row>
    <row r="1987" spans="1:7">
      <c r="A1987" s="28">
        <v>1090005</v>
      </c>
      <c r="B1987" s="28" t="s">
        <v>9999</v>
      </c>
      <c r="C1987" s="28">
        <v>4</v>
      </c>
      <c r="D1987" s="54" t="s">
        <v>10000</v>
      </c>
      <c r="E1987" s="28" t="s">
        <v>9988</v>
      </c>
      <c r="F1987" s="28" t="s">
        <v>10001</v>
      </c>
      <c r="G1987" s="28">
        <v>1</v>
      </c>
    </row>
    <row r="1988" spans="1:7">
      <c r="A1988" s="28">
        <v>1090006</v>
      </c>
      <c r="B1988" s="28" t="s">
        <v>10002</v>
      </c>
      <c r="C1988" s="28">
        <v>4</v>
      </c>
      <c r="D1988" s="54" t="s">
        <v>10003</v>
      </c>
      <c r="E1988" s="28" t="s">
        <v>9988</v>
      </c>
      <c r="F1988" s="28" t="s">
        <v>10004</v>
      </c>
      <c r="G1988" s="28">
        <v>1</v>
      </c>
    </row>
    <row r="1989" spans="1:7">
      <c r="A1989" s="28">
        <v>1090007</v>
      </c>
      <c r="B1989" s="54" t="s">
        <v>10005</v>
      </c>
      <c r="C1989" s="28">
        <v>4</v>
      </c>
      <c r="D1989" s="54" t="s">
        <v>10006</v>
      </c>
      <c r="E1989" s="28" t="s">
        <v>9988</v>
      </c>
      <c r="F1989" s="28" t="s">
        <v>10007</v>
      </c>
      <c r="G1989" s="28">
        <v>1</v>
      </c>
    </row>
    <row r="1990" spans="1:7">
      <c r="A1990" s="28">
        <v>1090008</v>
      </c>
      <c r="B1990" s="54" t="s">
        <v>10008</v>
      </c>
      <c r="C1990" s="28">
        <v>4</v>
      </c>
      <c r="D1990" s="54" t="s">
        <v>10009</v>
      </c>
      <c r="E1990" s="28" t="s">
        <v>9988</v>
      </c>
      <c r="F1990" s="28" t="s">
        <v>10010</v>
      </c>
      <c r="G1990" s="28">
        <v>1</v>
      </c>
    </row>
    <row r="1991" spans="1:7">
      <c r="A1991" s="28">
        <v>1090009</v>
      </c>
      <c r="B1991" s="28" t="s">
        <v>10011</v>
      </c>
      <c r="C1991" s="28">
        <v>4</v>
      </c>
      <c r="D1991" s="54" t="s">
        <v>10012</v>
      </c>
      <c r="E1991" s="28" t="s">
        <v>9988</v>
      </c>
      <c r="F1991" s="28" t="s">
        <v>10013</v>
      </c>
      <c r="G1991" s="28">
        <v>1</v>
      </c>
    </row>
    <row r="1992" spans="1:7">
      <c r="A1992" s="28">
        <v>1090010</v>
      </c>
      <c r="B1992" s="54" t="s">
        <v>10014</v>
      </c>
      <c r="C1992" s="28">
        <v>4</v>
      </c>
      <c r="D1992" s="54" t="s">
        <v>10015</v>
      </c>
      <c r="E1992" s="28" t="s">
        <v>9988</v>
      </c>
      <c r="F1992" s="28" t="s">
        <v>10016</v>
      </c>
      <c r="G1992" s="28">
        <v>1</v>
      </c>
    </row>
    <row r="1993" spans="1:7">
      <c r="A1993" s="28">
        <v>1090011</v>
      </c>
      <c r="B1993" s="54" t="s">
        <v>10017</v>
      </c>
      <c r="C1993" s="28">
        <v>4</v>
      </c>
      <c r="D1993" s="54" t="s">
        <v>10018</v>
      </c>
      <c r="E1993" s="28" t="s">
        <v>9988</v>
      </c>
      <c r="F1993" s="28" t="s">
        <v>10019</v>
      </c>
      <c r="G1993" s="28">
        <v>1</v>
      </c>
    </row>
    <row r="1994" spans="1:7">
      <c r="A1994" s="28">
        <v>1090012</v>
      </c>
      <c r="B1994" s="54" t="s">
        <v>10020</v>
      </c>
      <c r="C1994" s="28">
        <v>4</v>
      </c>
      <c r="D1994" s="54" t="s">
        <v>10021</v>
      </c>
      <c r="E1994" s="28" t="s">
        <v>9988</v>
      </c>
      <c r="F1994" s="28" t="s">
        <v>10022</v>
      </c>
      <c r="G1994" s="28">
        <v>1</v>
      </c>
    </row>
    <row r="1995" spans="1:7">
      <c r="A1995" s="28">
        <v>1090013</v>
      </c>
      <c r="B1995" s="28" t="s">
        <v>10023</v>
      </c>
      <c r="C1995" s="28">
        <v>4</v>
      </c>
      <c r="D1995" s="54" t="s">
        <v>10024</v>
      </c>
      <c r="E1995" s="28" t="s">
        <v>9988</v>
      </c>
      <c r="F1995" s="28" t="s">
        <v>10025</v>
      </c>
      <c r="G1995" s="28">
        <v>1</v>
      </c>
    </row>
    <row r="1996" spans="1:7">
      <c r="A1996" s="28">
        <v>1100001</v>
      </c>
      <c r="B1996" s="54" t="s">
        <v>10026</v>
      </c>
      <c r="C1996" s="28">
        <v>3</v>
      </c>
      <c r="D1996" s="54" t="s">
        <v>10027</v>
      </c>
      <c r="E1996" s="28" t="s">
        <v>10028</v>
      </c>
      <c r="F1996" s="28" t="s">
        <v>10029</v>
      </c>
      <c r="G1996" s="28">
        <v>1</v>
      </c>
    </row>
    <row r="1997" spans="1:7">
      <c r="A1997" s="28">
        <v>1100003</v>
      </c>
      <c r="B1997" s="28" t="s">
        <v>10030</v>
      </c>
      <c r="C1997" s="28">
        <v>3</v>
      </c>
      <c r="D1997" s="54" t="s">
        <v>10031</v>
      </c>
      <c r="E1997" s="28" t="s">
        <v>10032</v>
      </c>
      <c r="F1997" s="28" t="s">
        <v>10029</v>
      </c>
      <c r="G1997" s="28">
        <v>1</v>
      </c>
    </row>
    <row r="1998" spans="1:7">
      <c r="A1998" s="28">
        <v>1100004</v>
      </c>
      <c r="B1998" s="28" t="s">
        <v>10033</v>
      </c>
      <c r="C1998" s="28">
        <v>3</v>
      </c>
      <c r="D1998" s="54" t="s">
        <v>10034</v>
      </c>
      <c r="E1998" s="28" t="s">
        <v>10035</v>
      </c>
      <c r="F1998" s="28" t="s">
        <v>10029</v>
      </c>
      <c r="G1998" s="28">
        <v>1</v>
      </c>
    </row>
    <row r="1999" spans="1:7">
      <c r="A1999" s="28">
        <v>1100006</v>
      </c>
      <c r="B1999" s="28" t="s">
        <v>10036</v>
      </c>
      <c r="C1999" s="28">
        <v>3</v>
      </c>
      <c r="D1999" s="54" t="s">
        <v>10037</v>
      </c>
      <c r="E1999" s="28" t="s">
        <v>10038</v>
      </c>
      <c r="F1999" s="28" t="s">
        <v>10029</v>
      </c>
      <c r="G1999" s="28">
        <v>1</v>
      </c>
    </row>
    <row r="2000" spans="1:7">
      <c r="A2000" s="28">
        <v>1100007</v>
      </c>
      <c r="B2000" s="28" t="s">
        <v>10039</v>
      </c>
      <c r="C2000" s="28">
        <v>3</v>
      </c>
      <c r="D2000" s="54" t="s">
        <v>10040</v>
      </c>
      <c r="E2000" s="28" t="s">
        <v>10041</v>
      </c>
      <c r="F2000" s="28" t="s">
        <v>10029</v>
      </c>
      <c r="G2000" s="28">
        <v>1</v>
      </c>
    </row>
    <row r="2001" spans="1:7">
      <c r="A2001" s="28">
        <v>1100010</v>
      </c>
      <c r="B2001" s="28" t="s">
        <v>10042</v>
      </c>
      <c r="C2001" s="28">
        <v>3</v>
      </c>
      <c r="D2001" s="54" t="s">
        <v>10043</v>
      </c>
      <c r="E2001" s="28" t="s">
        <v>10044</v>
      </c>
      <c r="F2001" s="28" t="s">
        <v>10045</v>
      </c>
      <c r="G2001" s="28">
        <v>1</v>
      </c>
    </row>
    <row r="2002" spans="1:7">
      <c r="A2002" s="28">
        <v>1100011</v>
      </c>
      <c r="B2002" s="28" t="s">
        <v>10046</v>
      </c>
      <c r="C2002" s="28">
        <v>3</v>
      </c>
      <c r="D2002" s="54" t="s">
        <v>10047</v>
      </c>
      <c r="E2002" s="28" t="s">
        <v>10048</v>
      </c>
      <c r="F2002" s="28" t="s">
        <v>10029</v>
      </c>
      <c r="G2002" s="28">
        <v>1</v>
      </c>
    </row>
    <row r="2003" spans="1:7">
      <c r="A2003" s="28">
        <v>1100012</v>
      </c>
      <c r="B2003" s="28" t="s">
        <v>10049</v>
      </c>
      <c r="C2003" s="28">
        <v>3</v>
      </c>
      <c r="D2003" s="54" t="s">
        <v>10050</v>
      </c>
      <c r="E2003" s="28" t="s">
        <v>10051</v>
      </c>
      <c r="F2003" s="28" t="s">
        <v>10029</v>
      </c>
      <c r="G2003" s="28">
        <v>1</v>
      </c>
    </row>
    <row r="2004" spans="1:7">
      <c r="A2004" s="28">
        <v>1100013</v>
      </c>
      <c r="B2004" s="28" t="s">
        <v>10052</v>
      </c>
      <c r="C2004" s="28">
        <v>3</v>
      </c>
      <c r="D2004" s="54" t="s">
        <v>10053</v>
      </c>
      <c r="E2004" s="28" t="s">
        <v>10054</v>
      </c>
      <c r="F2004" s="28" t="s">
        <v>10029</v>
      </c>
      <c r="G2004" s="28">
        <v>1</v>
      </c>
    </row>
    <row r="2005" spans="1:7">
      <c r="A2005" s="28">
        <v>1100014</v>
      </c>
      <c r="B2005" s="28" t="s">
        <v>10055</v>
      </c>
      <c r="C2005" s="28">
        <v>3</v>
      </c>
      <c r="D2005" s="54" t="s">
        <v>10056</v>
      </c>
      <c r="E2005" s="28" t="s">
        <v>10057</v>
      </c>
      <c r="F2005" s="28" t="s">
        <v>10029</v>
      </c>
      <c r="G2005" s="28">
        <v>1</v>
      </c>
    </row>
    <row r="2006" spans="1:7">
      <c r="A2006" s="28">
        <v>1100017</v>
      </c>
      <c r="B2006" s="28" t="s">
        <v>10058</v>
      </c>
      <c r="C2006" s="28">
        <v>3</v>
      </c>
      <c r="D2006" s="54" t="s">
        <v>10059</v>
      </c>
      <c r="E2006" s="28" t="s">
        <v>10060</v>
      </c>
      <c r="F2006" s="28" t="s">
        <v>10029</v>
      </c>
      <c r="G2006" s="28">
        <v>1</v>
      </c>
    </row>
    <row r="2007" spans="1:7">
      <c r="A2007" s="28">
        <v>1100018</v>
      </c>
      <c r="B2007" s="28" t="s">
        <v>10061</v>
      </c>
      <c r="C2007" s="28">
        <v>3</v>
      </c>
      <c r="D2007" s="54" t="s">
        <v>10062</v>
      </c>
      <c r="E2007" s="28" t="s">
        <v>10063</v>
      </c>
      <c r="F2007" s="28" t="s">
        <v>10029</v>
      </c>
      <c r="G2007" s="28">
        <v>1</v>
      </c>
    </row>
    <row r="2008" spans="1:7">
      <c r="A2008" s="28">
        <v>1100019</v>
      </c>
      <c r="B2008" s="28" t="s">
        <v>10064</v>
      </c>
      <c r="C2008" s="28">
        <v>4</v>
      </c>
      <c r="D2008" s="54" t="s">
        <v>10065</v>
      </c>
      <c r="E2008" s="28" t="s">
        <v>10066</v>
      </c>
      <c r="F2008" s="28" t="s">
        <v>10029</v>
      </c>
      <c r="G2008" s="28">
        <v>1</v>
      </c>
    </row>
    <row r="2009" spans="1:7">
      <c r="A2009" s="28">
        <v>1100020</v>
      </c>
      <c r="B2009" s="28" t="s">
        <v>10067</v>
      </c>
      <c r="C2009" s="28">
        <v>4</v>
      </c>
      <c r="D2009" s="54" t="s">
        <v>10068</v>
      </c>
      <c r="E2009" s="28" t="s">
        <v>10069</v>
      </c>
      <c r="F2009" s="28" t="s">
        <v>10029</v>
      </c>
      <c r="G2009" s="28">
        <v>1</v>
      </c>
    </row>
    <row r="2010" spans="1:7">
      <c r="A2010" s="28">
        <v>1100021</v>
      </c>
      <c r="B2010" s="28" t="s">
        <v>10070</v>
      </c>
      <c r="C2010" s="28">
        <v>4</v>
      </c>
      <c r="D2010" s="54" t="s">
        <v>10071</v>
      </c>
      <c r="E2010" s="28" t="s">
        <v>10072</v>
      </c>
      <c r="F2010" s="28" t="s">
        <v>10029</v>
      </c>
      <c r="G2010" s="28">
        <v>1</v>
      </c>
    </row>
    <row r="2011" spans="1:7">
      <c r="A2011" s="28">
        <v>1100022</v>
      </c>
      <c r="B2011" s="28" t="s">
        <v>10073</v>
      </c>
      <c r="C2011" s="28">
        <v>4</v>
      </c>
      <c r="D2011" s="54" t="s">
        <v>10074</v>
      </c>
      <c r="E2011" s="28" t="s">
        <v>10075</v>
      </c>
      <c r="F2011" s="28" t="s">
        <v>10029</v>
      </c>
      <c r="G2011" s="28">
        <v>1</v>
      </c>
    </row>
    <row r="2012" spans="1:7">
      <c r="A2012" s="28">
        <v>1100023</v>
      </c>
      <c r="B2012" s="28" t="s">
        <v>10076</v>
      </c>
      <c r="C2012" s="28">
        <v>3</v>
      </c>
      <c r="D2012" s="54" t="s">
        <v>10077</v>
      </c>
      <c r="E2012" s="28" t="s">
        <v>10078</v>
      </c>
      <c r="F2012" s="28" t="s">
        <v>10029</v>
      </c>
      <c r="G2012" s="28">
        <v>1</v>
      </c>
    </row>
    <row r="2013" spans="1:7">
      <c r="A2013" s="28">
        <v>1100024</v>
      </c>
      <c r="B2013" s="28" t="s">
        <v>10079</v>
      </c>
      <c r="C2013" s="28">
        <v>3</v>
      </c>
      <c r="D2013" s="54" t="s">
        <v>10080</v>
      </c>
      <c r="E2013" s="28" t="s">
        <v>10081</v>
      </c>
      <c r="F2013" s="28" t="s">
        <v>10029</v>
      </c>
      <c r="G2013" s="28">
        <v>1</v>
      </c>
    </row>
    <row r="2014" spans="1:7">
      <c r="A2014" s="28">
        <v>1100025</v>
      </c>
      <c r="B2014" s="28" t="s">
        <v>10082</v>
      </c>
      <c r="C2014" s="28">
        <v>3</v>
      </c>
      <c r="D2014" s="54" t="s">
        <v>10083</v>
      </c>
      <c r="E2014" s="28" t="s">
        <v>10084</v>
      </c>
      <c r="F2014" s="28" t="s">
        <v>10029</v>
      </c>
      <c r="G2014" s="28">
        <v>1</v>
      </c>
    </row>
    <row r="2015" spans="1:7">
      <c r="A2015" s="28">
        <v>1100026</v>
      </c>
      <c r="B2015" s="28" t="s">
        <v>10085</v>
      </c>
      <c r="C2015" s="28">
        <v>3</v>
      </c>
      <c r="D2015" s="54" t="s">
        <v>10086</v>
      </c>
      <c r="E2015" s="54" t="s">
        <v>10087</v>
      </c>
      <c r="F2015" s="28" t="s">
        <v>10029</v>
      </c>
      <c r="G2015" s="28">
        <v>1</v>
      </c>
    </row>
    <row r="2016" spans="1:7">
      <c r="A2016" s="28">
        <v>1100027</v>
      </c>
      <c r="B2016" s="28" t="s">
        <v>10088</v>
      </c>
      <c r="C2016" s="28">
        <v>3</v>
      </c>
      <c r="D2016" s="54" t="s">
        <v>10089</v>
      </c>
      <c r="E2016" s="54" t="s">
        <v>10090</v>
      </c>
      <c r="F2016" s="28" t="s">
        <v>10029</v>
      </c>
      <c r="G2016" s="28">
        <v>1</v>
      </c>
    </row>
    <row r="2017" spans="1:7">
      <c r="A2017" s="28">
        <v>1100029</v>
      </c>
      <c r="B2017" s="28" t="s">
        <v>10091</v>
      </c>
      <c r="C2017" s="28">
        <v>4</v>
      </c>
      <c r="D2017" s="54" t="s">
        <v>10092</v>
      </c>
      <c r="E2017" s="54" t="s">
        <v>10093</v>
      </c>
      <c r="F2017" s="28" t="s">
        <v>10029</v>
      </c>
      <c r="G2017" s="28">
        <v>1</v>
      </c>
    </row>
    <row r="2018" spans="1:7">
      <c r="A2018" s="28">
        <v>1100030</v>
      </c>
      <c r="B2018" s="28" t="s">
        <v>10094</v>
      </c>
      <c r="C2018" s="28">
        <v>4</v>
      </c>
      <c r="D2018" s="54" t="s">
        <v>10095</v>
      </c>
      <c r="E2018" s="54" t="s">
        <v>10096</v>
      </c>
      <c r="F2018" s="28" t="s">
        <v>10029</v>
      </c>
      <c r="G2018" s="28">
        <v>1</v>
      </c>
    </row>
    <row r="2019" spans="1:7">
      <c r="A2019" s="28">
        <v>1100101</v>
      </c>
      <c r="B2019" s="28" t="s">
        <v>8394</v>
      </c>
      <c r="C2019" s="28">
        <v>4</v>
      </c>
      <c r="D2019" s="54" t="s">
        <v>10097</v>
      </c>
      <c r="E2019" s="54" t="s">
        <v>8396</v>
      </c>
      <c r="F2019" s="28" t="s">
        <v>8397</v>
      </c>
      <c r="G2019" s="28">
        <v>1</v>
      </c>
    </row>
    <row r="2020" spans="1:7">
      <c r="A2020" s="28">
        <v>1100102</v>
      </c>
      <c r="B2020" s="28" t="s">
        <v>8398</v>
      </c>
      <c r="C2020" s="28">
        <v>4</v>
      </c>
      <c r="D2020" s="54" t="s">
        <v>10098</v>
      </c>
      <c r="E2020" s="54" t="s">
        <v>8400</v>
      </c>
      <c r="F2020" s="28" t="s">
        <v>8401</v>
      </c>
      <c r="G2020" s="28">
        <v>1</v>
      </c>
    </row>
    <row r="2021" spans="1:7">
      <c r="A2021" s="28">
        <v>1100103</v>
      </c>
      <c r="B2021" s="28" t="s">
        <v>8402</v>
      </c>
      <c r="C2021" s="28">
        <v>4</v>
      </c>
      <c r="D2021" s="54" t="s">
        <v>10099</v>
      </c>
      <c r="E2021" s="54" t="s">
        <v>8404</v>
      </c>
      <c r="F2021" s="28" t="s">
        <v>8405</v>
      </c>
      <c r="G2021" s="28">
        <v>1</v>
      </c>
    </row>
    <row r="2022" spans="1:7">
      <c r="A2022" s="28">
        <v>1100104</v>
      </c>
      <c r="B2022" s="28" t="s">
        <v>8406</v>
      </c>
      <c r="C2022" s="28">
        <v>3</v>
      </c>
      <c r="D2022" s="54" t="s">
        <v>10100</v>
      </c>
      <c r="E2022" s="54" t="s">
        <v>8408</v>
      </c>
      <c r="F2022" s="28" t="s">
        <v>8409</v>
      </c>
      <c r="G2022" s="28">
        <v>1</v>
      </c>
    </row>
    <row r="2023" spans="1:7">
      <c r="A2023" s="28">
        <v>1100105</v>
      </c>
      <c r="B2023" s="28" t="s">
        <v>8410</v>
      </c>
      <c r="C2023" s="28">
        <v>3</v>
      </c>
      <c r="D2023" s="54" t="s">
        <v>10101</v>
      </c>
      <c r="E2023" s="54" t="s">
        <v>8412</v>
      </c>
      <c r="F2023" s="28" t="s">
        <v>8413</v>
      </c>
      <c r="G2023" s="28">
        <v>1</v>
      </c>
    </row>
    <row r="2024" spans="1:7">
      <c r="A2024" s="28">
        <v>1100106</v>
      </c>
      <c r="B2024" s="28" t="s">
        <v>8414</v>
      </c>
      <c r="C2024" s="28">
        <v>3</v>
      </c>
      <c r="D2024" s="54" t="s">
        <v>10102</v>
      </c>
      <c r="E2024" s="54" t="s">
        <v>8416</v>
      </c>
      <c r="F2024" s="28" t="s">
        <v>8417</v>
      </c>
      <c r="G2024" s="28">
        <v>1</v>
      </c>
    </row>
    <row r="2025" spans="1:7">
      <c r="A2025" s="28">
        <v>1100107</v>
      </c>
      <c r="B2025" s="28" t="s">
        <v>8418</v>
      </c>
      <c r="C2025" s="28">
        <v>3</v>
      </c>
      <c r="D2025" s="54" t="s">
        <v>10103</v>
      </c>
      <c r="E2025" s="54" t="s">
        <v>8420</v>
      </c>
      <c r="F2025" s="28" t="s">
        <v>8421</v>
      </c>
      <c r="G2025" s="28">
        <v>1</v>
      </c>
    </row>
    <row r="2026" spans="1:7">
      <c r="A2026" s="28">
        <v>1100108</v>
      </c>
      <c r="B2026" s="28" t="s">
        <v>8422</v>
      </c>
      <c r="C2026" s="28">
        <v>2</v>
      </c>
      <c r="D2026" s="54" t="s">
        <v>10104</v>
      </c>
      <c r="E2026" s="54" t="s">
        <v>8424</v>
      </c>
      <c r="F2026" s="28" t="s">
        <v>8425</v>
      </c>
      <c r="G2026" s="28">
        <v>1</v>
      </c>
    </row>
    <row r="2027" spans="1:7">
      <c r="A2027" s="28">
        <v>1100109</v>
      </c>
      <c r="B2027" s="28" t="s">
        <v>8426</v>
      </c>
      <c r="C2027" s="28">
        <v>2</v>
      </c>
      <c r="D2027" s="54" t="s">
        <v>10105</v>
      </c>
      <c r="E2027" s="54" t="s">
        <v>8428</v>
      </c>
      <c r="F2027" s="28" t="s">
        <v>8429</v>
      </c>
      <c r="G2027" s="28">
        <v>1</v>
      </c>
    </row>
    <row r="2028" spans="1:7">
      <c r="A2028" s="28">
        <v>1100110</v>
      </c>
      <c r="B2028" s="28" t="s">
        <v>8430</v>
      </c>
      <c r="C2028" s="28">
        <v>2</v>
      </c>
      <c r="D2028" s="54" t="s">
        <v>10106</v>
      </c>
      <c r="E2028" s="54" t="s">
        <v>8432</v>
      </c>
      <c r="F2028" s="28" t="s">
        <v>8433</v>
      </c>
      <c r="G2028" s="28">
        <v>1</v>
      </c>
    </row>
    <row r="2029" spans="1:7">
      <c r="A2029" s="28">
        <v>1100111</v>
      </c>
      <c r="B2029" s="28" t="s">
        <v>8434</v>
      </c>
      <c r="C2029" s="28">
        <v>2</v>
      </c>
      <c r="D2029" s="54" t="s">
        <v>10107</v>
      </c>
      <c r="E2029" s="54" t="s">
        <v>8436</v>
      </c>
      <c r="F2029" s="28" t="s">
        <v>8437</v>
      </c>
      <c r="G2029" s="28">
        <v>1</v>
      </c>
    </row>
    <row r="2030" spans="1:7">
      <c r="A2030" s="28">
        <v>1100201</v>
      </c>
      <c r="B2030" s="28" t="s">
        <v>8442</v>
      </c>
      <c r="C2030" s="28">
        <v>4</v>
      </c>
      <c r="D2030" s="54" t="s">
        <v>10108</v>
      </c>
      <c r="E2030" s="54" t="s">
        <v>8444</v>
      </c>
      <c r="F2030" s="28" t="s">
        <v>8445</v>
      </c>
      <c r="G2030" s="28">
        <v>1</v>
      </c>
    </row>
    <row r="2031" spans="1:7">
      <c r="A2031" s="28">
        <v>1100202</v>
      </c>
      <c r="B2031" s="28" t="s">
        <v>8446</v>
      </c>
      <c r="C2031" s="28">
        <v>4</v>
      </c>
      <c r="D2031" s="54" t="s">
        <v>10109</v>
      </c>
      <c r="E2031" s="54" t="s">
        <v>8448</v>
      </c>
      <c r="F2031" s="28" t="s">
        <v>8449</v>
      </c>
      <c r="G2031" s="28">
        <v>1</v>
      </c>
    </row>
    <row r="2032" spans="1:7">
      <c r="A2032" s="28">
        <v>1100203</v>
      </c>
      <c r="B2032" s="28" t="s">
        <v>8450</v>
      </c>
      <c r="C2032" s="28">
        <v>4</v>
      </c>
      <c r="D2032" s="54" t="s">
        <v>10110</v>
      </c>
      <c r="E2032" s="54" t="s">
        <v>8452</v>
      </c>
      <c r="F2032" s="28" t="s">
        <v>8453</v>
      </c>
      <c r="G2032" s="28">
        <v>1</v>
      </c>
    </row>
    <row r="2033" spans="1:7">
      <c r="A2033" s="28">
        <v>1100204</v>
      </c>
      <c r="B2033" s="28" t="s">
        <v>8454</v>
      </c>
      <c r="C2033" s="28">
        <v>3</v>
      </c>
      <c r="D2033" s="54" t="s">
        <v>10111</v>
      </c>
      <c r="E2033" s="54" t="s">
        <v>8456</v>
      </c>
      <c r="F2033" s="28" t="s">
        <v>8457</v>
      </c>
      <c r="G2033" s="28">
        <v>1</v>
      </c>
    </row>
    <row r="2034" spans="1:7">
      <c r="A2034" s="28">
        <v>1100205</v>
      </c>
      <c r="B2034" s="28" t="s">
        <v>8458</v>
      </c>
      <c r="C2034" s="28">
        <v>3</v>
      </c>
      <c r="D2034" s="54" t="s">
        <v>10112</v>
      </c>
      <c r="E2034" s="54" t="s">
        <v>8460</v>
      </c>
      <c r="F2034" s="28" t="s">
        <v>8461</v>
      </c>
      <c r="G2034" s="28">
        <v>1</v>
      </c>
    </row>
    <row r="2035" spans="1:7">
      <c r="A2035" s="28">
        <v>1100206</v>
      </c>
      <c r="B2035" s="28" t="s">
        <v>8462</v>
      </c>
      <c r="C2035" s="28">
        <v>3</v>
      </c>
      <c r="D2035" s="54" t="s">
        <v>10113</v>
      </c>
      <c r="E2035" s="54" t="s">
        <v>8464</v>
      </c>
      <c r="F2035" s="28" t="s">
        <v>8465</v>
      </c>
      <c r="G2035" s="28">
        <v>1</v>
      </c>
    </row>
    <row r="2036" spans="1:7">
      <c r="A2036" s="28">
        <v>1100207</v>
      </c>
      <c r="B2036" s="28" t="s">
        <v>8466</v>
      </c>
      <c r="C2036" s="28">
        <v>3</v>
      </c>
      <c r="D2036" s="54" t="s">
        <v>10114</v>
      </c>
      <c r="E2036" s="54" t="s">
        <v>8468</v>
      </c>
      <c r="F2036" s="28" t="s">
        <v>8469</v>
      </c>
      <c r="G2036" s="28">
        <v>1</v>
      </c>
    </row>
    <row r="2037" spans="1:7">
      <c r="A2037" s="28">
        <v>1100208</v>
      </c>
      <c r="B2037" s="28" t="s">
        <v>8470</v>
      </c>
      <c r="C2037" s="28">
        <v>2</v>
      </c>
      <c r="D2037" s="54" t="s">
        <v>10115</v>
      </c>
      <c r="E2037" s="54" t="s">
        <v>8472</v>
      </c>
      <c r="F2037" s="28" t="s">
        <v>8473</v>
      </c>
      <c r="G2037" s="28">
        <v>1</v>
      </c>
    </row>
    <row r="2038" spans="1:7">
      <c r="A2038" s="28">
        <v>1100209</v>
      </c>
      <c r="B2038" s="28" t="s">
        <v>8474</v>
      </c>
      <c r="C2038" s="28">
        <v>2</v>
      </c>
      <c r="D2038" s="54" t="s">
        <v>10116</v>
      </c>
      <c r="E2038" s="54" t="s">
        <v>8476</v>
      </c>
      <c r="F2038" s="28" t="s">
        <v>8477</v>
      </c>
      <c r="G2038" s="28">
        <v>1</v>
      </c>
    </row>
    <row r="2039" spans="1:7">
      <c r="A2039" s="28">
        <v>1100210</v>
      </c>
      <c r="B2039" s="28" t="s">
        <v>8478</v>
      </c>
      <c r="C2039" s="28">
        <v>2</v>
      </c>
      <c r="D2039" s="54" t="s">
        <v>10117</v>
      </c>
      <c r="E2039" s="54" t="s">
        <v>8480</v>
      </c>
      <c r="F2039" s="28" t="s">
        <v>8481</v>
      </c>
      <c r="G2039" s="28">
        <v>1</v>
      </c>
    </row>
    <row r="2040" spans="1:7">
      <c r="A2040" s="28">
        <v>1100211</v>
      </c>
      <c r="B2040" s="28" t="s">
        <v>8482</v>
      </c>
      <c r="C2040" s="28">
        <v>2</v>
      </c>
      <c r="D2040" s="54" t="s">
        <v>10118</v>
      </c>
      <c r="E2040" s="54" t="s">
        <v>8484</v>
      </c>
      <c r="F2040" s="28" t="s">
        <v>8485</v>
      </c>
      <c r="G2040" s="28">
        <v>1</v>
      </c>
    </row>
    <row r="2041" spans="1:7">
      <c r="A2041" s="28">
        <v>1100301</v>
      </c>
      <c r="B2041" s="28" t="s">
        <v>8490</v>
      </c>
      <c r="C2041" s="28">
        <v>4</v>
      </c>
      <c r="D2041" s="54" t="s">
        <v>10119</v>
      </c>
      <c r="E2041" s="54" t="s">
        <v>8492</v>
      </c>
      <c r="F2041" s="28" t="s">
        <v>8493</v>
      </c>
      <c r="G2041" s="28">
        <v>1</v>
      </c>
    </row>
    <row r="2042" spans="1:7">
      <c r="A2042" s="28">
        <v>1100302</v>
      </c>
      <c r="B2042" s="28" t="s">
        <v>8494</v>
      </c>
      <c r="C2042" s="28">
        <v>4</v>
      </c>
      <c r="D2042" s="54" t="s">
        <v>10120</v>
      </c>
      <c r="E2042" s="54" t="s">
        <v>8496</v>
      </c>
      <c r="F2042" s="28" t="s">
        <v>8497</v>
      </c>
      <c r="G2042" s="28">
        <v>1</v>
      </c>
    </row>
    <row r="2043" spans="1:7">
      <c r="A2043" s="28">
        <v>1100303</v>
      </c>
      <c r="B2043" s="28" t="s">
        <v>8498</v>
      </c>
      <c r="C2043" s="28">
        <v>4</v>
      </c>
      <c r="D2043" s="54" t="s">
        <v>10121</v>
      </c>
      <c r="E2043" s="54" t="s">
        <v>8500</v>
      </c>
      <c r="F2043" s="28" t="s">
        <v>8501</v>
      </c>
      <c r="G2043" s="28">
        <v>1</v>
      </c>
    </row>
    <row r="2044" spans="1:7">
      <c r="A2044" s="28">
        <v>1100304</v>
      </c>
      <c r="B2044" s="28" t="s">
        <v>8502</v>
      </c>
      <c r="C2044" s="28">
        <v>3</v>
      </c>
      <c r="D2044" s="54" t="s">
        <v>10122</v>
      </c>
      <c r="E2044" s="54" t="s">
        <v>8504</v>
      </c>
      <c r="F2044" s="28" t="s">
        <v>8505</v>
      </c>
      <c r="G2044" s="28">
        <v>1</v>
      </c>
    </row>
    <row r="2045" spans="1:7">
      <c r="A2045" s="28">
        <v>1100305</v>
      </c>
      <c r="B2045" s="28" t="s">
        <v>8506</v>
      </c>
      <c r="C2045" s="28">
        <v>3</v>
      </c>
      <c r="D2045" s="54" t="s">
        <v>10123</v>
      </c>
      <c r="E2045" s="54" t="s">
        <v>8508</v>
      </c>
      <c r="F2045" s="28" t="s">
        <v>8509</v>
      </c>
      <c r="G2045" s="28">
        <v>1</v>
      </c>
    </row>
    <row r="2046" spans="1:7">
      <c r="A2046" s="28">
        <v>1100306</v>
      </c>
      <c r="B2046" s="28" t="s">
        <v>8510</v>
      </c>
      <c r="C2046" s="28">
        <v>3</v>
      </c>
      <c r="D2046" s="54" t="s">
        <v>10124</v>
      </c>
      <c r="E2046" s="54" t="s">
        <v>8512</v>
      </c>
      <c r="F2046" s="28" t="s">
        <v>8513</v>
      </c>
      <c r="G2046" s="28">
        <v>1</v>
      </c>
    </row>
    <row r="2047" spans="1:7">
      <c r="A2047" s="28">
        <v>1100307</v>
      </c>
      <c r="B2047" s="28" t="s">
        <v>8514</v>
      </c>
      <c r="C2047" s="28">
        <v>3</v>
      </c>
      <c r="D2047" s="54" t="s">
        <v>10125</v>
      </c>
      <c r="E2047" s="54" t="s">
        <v>8516</v>
      </c>
      <c r="F2047" s="28" t="s">
        <v>8517</v>
      </c>
      <c r="G2047" s="28">
        <v>1</v>
      </c>
    </row>
    <row r="2048" spans="1:7">
      <c r="A2048" s="28">
        <v>1100308</v>
      </c>
      <c r="B2048" s="28" t="s">
        <v>8518</v>
      </c>
      <c r="C2048" s="28">
        <v>2</v>
      </c>
      <c r="D2048" s="54" t="s">
        <v>10126</v>
      </c>
      <c r="E2048" s="54" t="s">
        <v>8520</v>
      </c>
      <c r="F2048" s="28" t="s">
        <v>8521</v>
      </c>
      <c r="G2048" s="28">
        <v>1</v>
      </c>
    </row>
    <row r="2049" spans="1:7">
      <c r="A2049" s="28">
        <v>1100309</v>
      </c>
      <c r="B2049" s="28" t="s">
        <v>8522</v>
      </c>
      <c r="C2049" s="28">
        <v>2</v>
      </c>
      <c r="D2049" s="54" t="s">
        <v>10127</v>
      </c>
      <c r="E2049" s="54" t="s">
        <v>8524</v>
      </c>
      <c r="F2049" s="28" t="s">
        <v>8525</v>
      </c>
      <c r="G2049" s="28">
        <v>1</v>
      </c>
    </row>
    <row r="2050" spans="1:7">
      <c r="A2050" s="28">
        <v>1100310</v>
      </c>
      <c r="B2050" s="28" t="s">
        <v>8526</v>
      </c>
      <c r="C2050" s="28">
        <v>2</v>
      </c>
      <c r="D2050" s="54" t="s">
        <v>10128</v>
      </c>
      <c r="E2050" s="54" t="s">
        <v>8528</v>
      </c>
      <c r="F2050" s="28" t="s">
        <v>8529</v>
      </c>
      <c r="G2050" s="28">
        <v>1</v>
      </c>
    </row>
    <row r="2051" spans="1:7">
      <c r="A2051" s="28">
        <v>1100311</v>
      </c>
      <c r="B2051" s="28" t="s">
        <v>8530</v>
      </c>
      <c r="C2051" s="28">
        <v>2</v>
      </c>
      <c r="D2051" s="54" t="s">
        <v>10129</v>
      </c>
      <c r="E2051" s="54" t="s">
        <v>8532</v>
      </c>
      <c r="F2051" s="28" t="s">
        <v>8533</v>
      </c>
      <c r="G2051" s="28">
        <v>1</v>
      </c>
    </row>
    <row r="2052" spans="1:7">
      <c r="A2052" s="28">
        <v>1100401</v>
      </c>
      <c r="B2052" s="28" t="s">
        <v>8538</v>
      </c>
      <c r="C2052" s="28">
        <v>4</v>
      </c>
      <c r="D2052" s="54" t="s">
        <v>10130</v>
      </c>
      <c r="E2052" s="54" t="s">
        <v>8540</v>
      </c>
      <c r="F2052" s="28" t="s">
        <v>8541</v>
      </c>
      <c r="G2052" s="28">
        <v>1</v>
      </c>
    </row>
    <row r="2053" spans="1:7">
      <c r="A2053" s="28">
        <v>1100402</v>
      </c>
      <c r="B2053" s="28" t="s">
        <v>8542</v>
      </c>
      <c r="C2053" s="28">
        <v>4</v>
      </c>
      <c r="D2053" s="54" t="s">
        <v>10131</v>
      </c>
      <c r="E2053" s="54" t="s">
        <v>8544</v>
      </c>
      <c r="F2053" s="28" t="s">
        <v>8545</v>
      </c>
      <c r="G2053" s="28">
        <v>1</v>
      </c>
    </row>
    <row r="2054" spans="1:7">
      <c r="A2054" s="28">
        <v>1100403</v>
      </c>
      <c r="B2054" s="28" t="s">
        <v>8546</v>
      </c>
      <c r="C2054" s="28">
        <v>4</v>
      </c>
      <c r="D2054" s="54" t="s">
        <v>10132</v>
      </c>
      <c r="E2054" s="54" t="s">
        <v>8548</v>
      </c>
      <c r="F2054" s="28" t="s">
        <v>8549</v>
      </c>
      <c r="G2054" s="28">
        <v>1</v>
      </c>
    </row>
    <row r="2055" spans="1:7">
      <c r="A2055" s="28">
        <v>1100404</v>
      </c>
      <c r="B2055" s="28" t="s">
        <v>8550</v>
      </c>
      <c r="C2055" s="28">
        <v>3</v>
      </c>
      <c r="D2055" s="54" t="s">
        <v>10133</v>
      </c>
      <c r="E2055" s="54" t="s">
        <v>8552</v>
      </c>
      <c r="F2055" s="28" t="s">
        <v>8553</v>
      </c>
      <c r="G2055" s="28">
        <v>1</v>
      </c>
    </row>
    <row r="2056" spans="1:7">
      <c r="A2056" s="28">
        <v>1100405</v>
      </c>
      <c r="B2056" s="28" t="s">
        <v>8554</v>
      </c>
      <c r="C2056" s="28">
        <v>3</v>
      </c>
      <c r="D2056" s="54" t="s">
        <v>10134</v>
      </c>
      <c r="E2056" s="54" t="s">
        <v>8556</v>
      </c>
      <c r="F2056" s="28" t="s">
        <v>8557</v>
      </c>
      <c r="G2056" s="28">
        <v>1</v>
      </c>
    </row>
    <row r="2057" spans="1:7">
      <c r="A2057" s="28">
        <v>1100406</v>
      </c>
      <c r="B2057" s="28" t="s">
        <v>8558</v>
      </c>
      <c r="C2057" s="28">
        <v>3</v>
      </c>
      <c r="D2057" s="54" t="s">
        <v>10135</v>
      </c>
      <c r="E2057" s="54" t="s">
        <v>8560</v>
      </c>
      <c r="F2057" s="28" t="s">
        <v>8561</v>
      </c>
      <c r="G2057" s="28">
        <v>1</v>
      </c>
    </row>
    <row r="2058" spans="1:7">
      <c r="A2058" s="28">
        <v>1100407</v>
      </c>
      <c r="B2058" s="28" t="s">
        <v>8562</v>
      </c>
      <c r="C2058" s="28">
        <v>3</v>
      </c>
      <c r="D2058" s="54" t="s">
        <v>10136</v>
      </c>
      <c r="E2058" s="54" t="s">
        <v>8564</v>
      </c>
      <c r="F2058" s="28" t="s">
        <v>8565</v>
      </c>
      <c r="G2058" s="28">
        <v>1</v>
      </c>
    </row>
    <row r="2059" spans="1:7">
      <c r="A2059" s="28">
        <v>1100408</v>
      </c>
      <c r="B2059" s="28" t="s">
        <v>8566</v>
      </c>
      <c r="C2059" s="28">
        <v>2</v>
      </c>
      <c r="D2059" s="54" t="s">
        <v>10137</v>
      </c>
      <c r="E2059" s="54" t="s">
        <v>8568</v>
      </c>
      <c r="F2059" s="28" t="s">
        <v>8569</v>
      </c>
      <c r="G2059" s="28">
        <v>1</v>
      </c>
    </row>
    <row r="2060" spans="1:7">
      <c r="A2060" s="28">
        <v>1100409</v>
      </c>
      <c r="B2060" s="28" t="s">
        <v>8570</v>
      </c>
      <c r="C2060" s="28">
        <v>2</v>
      </c>
      <c r="D2060" s="54" t="s">
        <v>10138</v>
      </c>
      <c r="E2060" s="54" t="s">
        <v>8572</v>
      </c>
      <c r="F2060" s="28" t="s">
        <v>8573</v>
      </c>
      <c r="G2060" s="28">
        <v>1</v>
      </c>
    </row>
    <row r="2061" spans="1:7">
      <c r="A2061" s="28">
        <v>1100410</v>
      </c>
      <c r="B2061" s="28" t="s">
        <v>8574</v>
      </c>
      <c r="C2061" s="28">
        <v>2</v>
      </c>
      <c r="D2061" s="54" t="s">
        <v>10139</v>
      </c>
      <c r="E2061" s="54" t="s">
        <v>8576</v>
      </c>
      <c r="F2061" s="28" t="s">
        <v>8577</v>
      </c>
      <c r="G2061" s="28">
        <v>1</v>
      </c>
    </row>
    <row r="2062" spans="1:7">
      <c r="A2062" s="28">
        <v>1100411</v>
      </c>
      <c r="B2062" s="28" t="s">
        <v>8578</v>
      </c>
      <c r="C2062" s="28">
        <v>2</v>
      </c>
      <c r="D2062" s="54" t="s">
        <v>10140</v>
      </c>
      <c r="E2062" s="54" t="s">
        <v>8580</v>
      </c>
      <c r="F2062" s="28" t="s">
        <v>8581</v>
      </c>
      <c r="G2062" s="28">
        <v>1</v>
      </c>
    </row>
    <row r="2063" spans="1:7">
      <c r="A2063" s="28">
        <v>1100501</v>
      </c>
      <c r="B2063" s="28" t="s">
        <v>8586</v>
      </c>
      <c r="C2063" s="28">
        <v>4</v>
      </c>
      <c r="D2063" s="54" t="s">
        <v>10141</v>
      </c>
      <c r="E2063" s="54" t="s">
        <v>8588</v>
      </c>
      <c r="F2063" s="28" t="s">
        <v>8589</v>
      </c>
      <c r="G2063" s="28">
        <v>1</v>
      </c>
    </row>
    <row r="2064" spans="1:7">
      <c r="A2064" s="28">
        <v>1100502</v>
      </c>
      <c r="B2064" s="28" t="s">
        <v>8590</v>
      </c>
      <c r="C2064" s="28">
        <v>4</v>
      </c>
      <c r="D2064" s="54" t="s">
        <v>10142</v>
      </c>
      <c r="E2064" s="54" t="s">
        <v>8592</v>
      </c>
      <c r="F2064" s="28" t="s">
        <v>8593</v>
      </c>
      <c r="G2064" s="28">
        <v>1</v>
      </c>
    </row>
    <row r="2065" spans="1:7">
      <c r="A2065" s="28">
        <v>1100503</v>
      </c>
      <c r="B2065" s="28" t="s">
        <v>8594</v>
      </c>
      <c r="C2065" s="28">
        <v>4</v>
      </c>
      <c r="D2065" s="54" t="s">
        <v>10143</v>
      </c>
      <c r="E2065" s="54" t="s">
        <v>8596</v>
      </c>
      <c r="F2065" s="28" t="s">
        <v>8597</v>
      </c>
      <c r="G2065" s="28">
        <v>1</v>
      </c>
    </row>
    <row r="2066" spans="1:7">
      <c r="A2066" s="28">
        <v>1100504</v>
      </c>
      <c r="B2066" s="28" t="s">
        <v>8598</v>
      </c>
      <c r="C2066" s="28">
        <v>3</v>
      </c>
      <c r="D2066" s="54" t="s">
        <v>10144</v>
      </c>
      <c r="E2066" s="54" t="s">
        <v>8600</v>
      </c>
      <c r="F2066" s="28" t="s">
        <v>8601</v>
      </c>
      <c r="G2066" s="28">
        <v>1</v>
      </c>
    </row>
    <row r="2067" spans="1:7">
      <c r="A2067" s="28">
        <v>1100505</v>
      </c>
      <c r="B2067" s="28" t="s">
        <v>8602</v>
      </c>
      <c r="C2067" s="28">
        <v>3</v>
      </c>
      <c r="D2067" s="54" t="s">
        <v>10145</v>
      </c>
      <c r="E2067" s="54" t="s">
        <v>8604</v>
      </c>
      <c r="F2067" s="28" t="s">
        <v>8605</v>
      </c>
      <c r="G2067" s="28">
        <v>1</v>
      </c>
    </row>
    <row r="2068" spans="1:7">
      <c r="A2068" s="28">
        <v>1100506</v>
      </c>
      <c r="B2068" s="28" t="s">
        <v>8606</v>
      </c>
      <c r="C2068" s="28">
        <v>3</v>
      </c>
      <c r="D2068" s="54" t="s">
        <v>10146</v>
      </c>
      <c r="E2068" s="54" t="s">
        <v>8608</v>
      </c>
      <c r="F2068" s="28" t="s">
        <v>8609</v>
      </c>
      <c r="G2068" s="28">
        <v>1</v>
      </c>
    </row>
    <row r="2069" spans="1:7">
      <c r="A2069" s="28">
        <v>1100507</v>
      </c>
      <c r="B2069" s="28" t="s">
        <v>8610</v>
      </c>
      <c r="C2069" s="28">
        <v>3</v>
      </c>
      <c r="D2069" s="54" t="s">
        <v>10147</v>
      </c>
      <c r="E2069" s="54" t="s">
        <v>8612</v>
      </c>
      <c r="F2069" s="28" t="s">
        <v>8613</v>
      </c>
      <c r="G2069" s="28">
        <v>1</v>
      </c>
    </row>
    <row r="2070" spans="1:7">
      <c r="A2070" s="28">
        <v>1100508</v>
      </c>
      <c r="B2070" s="28" t="s">
        <v>8614</v>
      </c>
      <c r="C2070" s="28">
        <v>2</v>
      </c>
      <c r="D2070" s="54" t="s">
        <v>10148</v>
      </c>
      <c r="E2070" s="54" t="s">
        <v>8616</v>
      </c>
      <c r="F2070" s="28" t="s">
        <v>8617</v>
      </c>
      <c r="G2070" s="28">
        <v>1</v>
      </c>
    </row>
    <row r="2071" spans="1:7">
      <c r="A2071" s="28">
        <v>1100509</v>
      </c>
      <c r="B2071" s="28" t="s">
        <v>8618</v>
      </c>
      <c r="C2071" s="28">
        <v>2</v>
      </c>
      <c r="D2071" s="54" t="s">
        <v>10149</v>
      </c>
      <c r="E2071" s="54" t="s">
        <v>8620</v>
      </c>
      <c r="F2071" s="28" t="s">
        <v>8621</v>
      </c>
      <c r="G2071" s="28">
        <v>1</v>
      </c>
    </row>
    <row r="2072" spans="1:7">
      <c r="A2072" s="28">
        <v>1100510</v>
      </c>
      <c r="B2072" s="28" t="s">
        <v>8622</v>
      </c>
      <c r="C2072" s="28">
        <v>2</v>
      </c>
      <c r="D2072" s="54" t="s">
        <v>10150</v>
      </c>
      <c r="E2072" s="54" t="s">
        <v>8624</v>
      </c>
      <c r="F2072" s="28" t="s">
        <v>8625</v>
      </c>
      <c r="G2072" s="28">
        <v>1</v>
      </c>
    </row>
    <row r="2073" spans="1:7">
      <c r="A2073" s="28">
        <v>1100511</v>
      </c>
      <c r="B2073" s="28" t="s">
        <v>8626</v>
      </c>
      <c r="C2073" s="28">
        <v>2</v>
      </c>
      <c r="D2073" s="54" t="s">
        <v>10151</v>
      </c>
      <c r="E2073" s="54" t="s">
        <v>8628</v>
      </c>
      <c r="F2073" s="28" t="s">
        <v>8629</v>
      </c>
      <c r="G2073" s="28">
        <v>1</v>
      </c>
    </row>
    <row r="2074" spans="1:7">
      <c r="A2074" s="28">
        <v>1100701</v>
      </c>
      <c r="B2074" s="28" t="s">
        <v>8646</v>
      </c>
      <c r="C2074" s="28">
        <v>4</v>
      </c>
      <c r="D2074" s="54" t="s">
        <v>10152</v>
      </c>
      <c r="E2074" s="54" t="s">
        <v>8648</v>
      </c>
      <c r="F2074" s="28" t="s">
        <v>8649</v>
      </c>
      <c r="G2074" s="28">
        <v>1</v>
      </c>
    </row>
    <row r="2075" spans="1:7">
      <c r="A2075" s="28">
        <v>1100702</v>
      </c>
      <c r="B2075" s="28" t="s">
        <v>8650</v>
      </c>
      <c r="C2075" s="28">
        <v>4</v>
      </c>
      <c r="D2075" s="54" t="s">
        <v>10153</v>
      </c>
      <c r="E2075" s="54" t="s">
        <v>8652</v>
      </c>
      <c r="F2075" s="28" t="s">
        <v>8653</v>
      </c>
      <c r="G2075" s="28">
        <v>1</v>
      </c>
    </row>
    <row r="2076" spans="1:7">
      <c r="A2076" s="28">
        <v>1100703</v>
      </c>
      <c r="B2076" s="28" t="s">
        <v>8654</v>
      </c>
      <c r="C2076" s="28">
        <v>4</v>
      </c>
      <c r="D2076" s="54" t="s">
        <v>10154</v>
      </c>
      <c r="E2076" s="54" t="s">
        <v>8656</v>
      </c>
      <c r="F2076" s="28" t="s">
        <v>8657</v>
      </c>
      <c r="G2076" s="28">
        <v>1</v>
      </c>
    </row>
    <row r="2077" spans="1:7">
      <c r="A2077" s="28">
        <v>1100704</v>
      </c>
      <c r="B2077" s="28" t="s">
        <v>8658</v>
      </c>
      <c r="C2077" s="28">
        <v>3</v>
      </c>
      <c r="D2077" s="54" t="s">
        <v>10155</v>
      </c>
      <c r="E2077" s="54" t="s">
        <v>8660</v>
      </c>
      <c r="F2077" s="28" t="s">
        <v>8661</v>
      </c>
      <c r="G2077" s="28">
        <v>1</v>
      </c>
    </row>
    <row r="2078" spans="1:7">
      <c r="A2078" s="28">
        <v>1100705</v>
      </c>
      <c r="B2078" s="28" t="s">
        <v>8662</v>
      </c>
      <c r="C2078" s="28">
        <v>3</v>
      </c>
      <c r="D2078" s="54" t="s">
        <v>10156</v>
      </c>
      <c r="E2078" s="54" t="s">
        <v>8664</v>
      </c>
      <c r="F2078" s="28" t="s">
        <v>8665</v>
      </c>
      <c r="G2078" s="28">
        <v>1</v>
      </c>
    </row>
    <row r="2079" spans="1:7">
      <c r="A2079" s="28">
        <v>1100706</v>
      </c>
      <c r="B2079" s="28" t="s">
        <v>8666</v>
      </c>
      <c r="C2079" s="28">
        <v>3</v>
      </c>
      <c r="D2079" s="54" t="s">
        <v>10157</v>
      </c>
      <c r="E2079" s="54" t="s">
        <v>8668</v>
      </c>
      <c r="F2079" s="28" t="s">
        <v>8669</v>
      </c>
      <c r="G2079" s="28">
        <v>1</v>
      </c>
    </row>
    <row r="2080" spans="1:7">
      <c r="A2080" s="28">
        <v>1100707</v>
      </c>
      <c r="B2080" s="28" t="s">
        <v>8670</v>
      </c>
      <c r="C2080" s="28">
        <v>3</v>
      </c>
      <c r="D2080" s="54" t="s">
        <v>10158</v>
      </c>
      <c r="E2080" s="54" t="s">
        <v>8672</v>
      </c>
      <c r="F2080" s="28" t="s">
        <v>8673</v>
      </c>
      <c r="G2080" s="28">
        <v>1</v>
      </c>
    </row>
    <row r="2081" spans="1:7">
      <c r="A2081" s="28">
        <v>1100708</v>
      </c>
      <c r="B2081" s="28" t="s">
        <v>8674</v>
      </c>
      <c r="C2081" s="28">
        <v>2</v>
      </c>
      <c r="D2081" s="54" t="s">
        <v>10159</v>
      </c>
      <c r="E2081" s="54" t="s">
        <v>8676</v>
      </c>
      <c r="F2081" s="28" t="s">
        <v>8677</v>
      </c>
      <c r="G2081" s="28">
        <v>1</v>
      </c>
    </row>
    <row r="2082" spans="1:7">
      <c r="A2082" s="28">
        <v>1100709</v>
      </c>
      <c r="B2082" s="28" t="s">
        <v>8678</v>
      </c>
      <c r="C2082" s="28">
        <v>2</v>
      </c>
      <c r="D2082" s="54" t="s">
        <v>10160</v>
      </c>
      <c r="E2082" s="54" t="s">
        <v>8679</v>
      </c>
      <c r="F2082" s="28" t="s">
        <v>8680</v>
      </c>
      <c r="G2082" s="28">
        <v>1</v>
      </c>
    </row>
    <row r="2083" spans="1:7">
      <c r="A2083" s="28">
        <v>1100710</v>
      </c>
      <c r="B2083" s="28" t="s">
        <v>8681</v>
      </c>
      <c r="C2083" s="28">
        <v>2</v>
      </c>
      <c r="D2083" s="54" t="s">
        <v>10161</v>
      </c>
      <c r="E2083" s="54" t="s">
        <v>8683</v>
      </c>
      <c r="F2083" s="28" t="s">
        <v>8684</v>
      </c>
      <c r="G2083" s="28">
        <v>1</v>
      </c>
    </row>
    <row r="2084" spans="1:7">
      <c r="A2084" s="28">
        <v>1100711</v>
      </c>
      <c r="B2084" s="28" t="s">
        <v>8685</v>
      </c>
      <c r="C2084" s="28">
        <v>2</v>
      </c>
      <c r="D2084" s="54" t="s">
        <v>10162</v>
      </c>
      <c r="E2084" s="54" t="s">
        <v>8687</v>
      </c>
      <c r="F2084" s="28" t="s">
        <v>8688</v>
      </c>
      <c r="G2084" s="28">
        <v>1</v>
      </c>
    </row>
    <row r="2085" spans="1:7">
      <c r="A2085" s="28">
        <v>1100801</v>
      </c>
      <c r="B2085" s="28" t="s">
        <v>8697</v>
      </c>
      <c r="C2085" s="28">
        <v>4</v>
      </c>
      <c r="D2085" s="54" t="s">
        <v>10163</v>
      </c>
      <c r="E2085" s="54" t="s">
        <v>8699</v>
      </c>
      <c r="F2085" s="28" t="s">
        <v>8700</v>
      </c>
      <c r="G2085" s="28">
        <v>1</v>
      </c>
    </row>
    <row r="2086" spans="1:7">
      <c r="A2086" s="28">
        <v>1100802</v>
      </c>
      <c r="B2086" s="28" t="s">
        <v>8701</v>
      </c>
      <c r="C2086" s="28">
        <v>4</v>
      </c>
      <c r="D2086" s="54" t="s">
        <v>10164</v>
      </c>
      <c r="E2086" s="54" t="s">
        <v>8703</v>
      </c>
      <c r="F2086" s="28" t="s">
        <v>8704</v>
      </c>
      <c r="G2086" s="28">
        <v>1</v>
      </c>
    </row>
    <row r="2087" spans="1:7">
      <c r="A2087" s="28">
        <v>1100803</v>
      </c>
      <c r="B2087" s="28" t="s">
        <v>8705</v>
      </c>
      <c r="C2087" s="28">
        <v>4</v>
      </c>
      <c r="D2087" s="54" t="s">
        <v>10165</v>
      </c>
      <c r="E2087" s="54" t="s">
        <v>8707</v>
      </c>
      <c r="F2087" s="28" t="s">
        <v>8708</v>
      </c>
      <c r="G2087" s="28">
        <v>1</v>
      </c>
    </row>
    <row r="2088" spans="1:7">
      <c r="A2088" s="28">
        <v>1100804</v>
      </c>
      <c r="B2088" s="28" t="s">
        <v>8709</v>
      </c>
      <c r="C2088" s="28">
        <v>3</v>
      </c>
      <c r="D2088" s="54" t="s">
        <v>10166</v>
      </c>
      <c r="E2088" s="54" t="s">
        <v>8711</v>
      </c>
      <c r="F2088" s="28" t="s">
        <v>8712</v>
      </c>
      <c r="G2088" s="28">
        <v>1</v>
      </c>
    </row>
    <row r="2089" spans="1:7">
      <c r="A2089" s="28">
        <v>1100805</v>
      </c>
      <c r="B2089" s="28" t="s">
        <v>8713</v>
      </c>
      <c r="C2089" s="28">
        <v>3</v>
      </c>
      <c r="D2089" s="54" t="s">
        <v>10167</v>
      </c>
      <c r="E2089" s="54" t="s">
        <v>8715</v>
      </c>
      <c r="F2089" s="28" t="s">
        <v>8716</v>
      </c>
      <c r="G2089" s="28">
        <v>1</v>
      </c>
    </row>
    <row r="2090" spans="1:7">
      <c r="A2090" s="28">
        <v>1100806</v>
      </c>
      <c r="B2090" s="28" t="s">
        <v>8717</v>
      </c>
      <c r="C2090" s="28">
        <v>3</v>
      </c>
      <c r="D2090" s="54" t="s">
        <v>10168</v>
      </c>
      <c r="E2090" s="54" t="s">
        <v>8719</v>
      </c>
      <c r="F2090" s="28" t="s">
        <v>8720</v>
      </c>
      <c r="G2090" s="28">
        <v>1</v>
      </c>
    </row>
    <row r="2091" spans="1:7">
      <c r="A2091" s="28">
        <v>1100807</v>
      </c>
      <c r="B2091" s="28" t="s">
        <v>8721</v>
      </c>
      <c r="C2091" s="28">
        <v>3</v>
      </c>
      <c r="D2091" s="54" t="s">
        <v>10169</v>
      </c>
      <c r="E2091" s="54" t="s">
        <v>8723</v>
      </c>
      <c r="F2091" s="28" t="s">
        <v>8724</v>
      </c>
      <c r="G2091" s="28">
        <v>1</v>
      </c>
    </row>
    <row r="2092" spans="1:7">
      <c r="A2092" s="28">
        <v>1100808</v>
      </c>
      <c r="B2092" s="28" t="s">
        <v>8725</v>
      </c>
      <c r="C2092" s="28">
        <v>2</v>
      </c>
      <c r="D2092" s="54" t="s">
        <v>10170</v>
      </c>
      <c r="E2092" s="54" t="s">
        <v>8727</v>
      </c>
      <c r="F2092" s="28" t="s">
        <v>8728</v>
      </c>
      <c r="G2092" s="28">
        <v>1</v>
      </c>
    </row>
    <row r="2093" spans="1:7">
      <c r="A2093" s="28">
        <v>1100809</v>
      </c>
      <c r="B2093" s="28" t="s">
        <v>8729</v>
      </c>
      <c r="C2093" s="28">
        <v>2</v>
      </c>
      <c r="D2093" s="54" t="s">
        <v>10171</v>
      </c>
      <c r="E2093" s="54" t="s">
        <v>8731</v>
      </c>
      <c r="F2093" s="28" t="s">
        <v>8732</v>
      </c>
      <c r="G2093" s="28">
        <v>1</v>
      </c>
    </row>
    <row r="2094" spans="1:7">
      <c r="A2094" s="28">
        <v>1100810</v>
      </c>
      <c r="B2094" s="28" t="s">
        <v>8733</v>
      </c>
      <c r="C2094" s="28">
        <v>2</v>
      </c>
      <c r="D2094" s="54" t="s">
        <v>10172</v>
      </c>
      <c r="E2094" s="54" t="s">
        <v>8735</v>
      </c>
      <c r="F2094" s="28" t="s">
        <v>8736</v>
      </c>
      <c r="G2094" s="28">
        <v>1</v>
      </c>
    </row>
    <row r="2095" spans="1:7">
      <c r="A2095" s="28">
        <v>1100811</v>
      </c>
      <c r="B2095" s="28" t="s">
        <v>8737</v>
      </c>
      <c r="C2095" s="28">
        <v>2</v>
      </c>
      <c r="D2095" s="54" t="s">
        <v>10173</v>
      </c>
      <c r="E2095" s="54" t="s">
        <v>8739</v>
      </c>
      <c r="F2095" s="28" t="s">
        <v>8740</v>
      </c>
      <c r="G2095" s="28">
        <v>1</v>
      </c>
    </row>
    <row r="2096" spans="1:7">
      <c r="A2096" s="28">
        <v>1100946</v>
      </c>
      <c r="B2096" s="28" t="s">
        <v>8872</v>
      </c>
      <c r="C2096" s="28">
        <v>4</v>
      </c>
      <c r="D2096" s="54" t="s">
        <v>10174</v>
      </c>
      <c r="E2096" s="54" t="s">
        <v>8874</v>
      </c>
      <c r="F2096" s="28" t="s">
        <v>8875</v>
      </c>
      <c r="G2096" s="28">
        <v>1</v>
      </c>
    </row>
    <row r="2097" spans="1:7">
      <c r="A2097" s="28">
        <v>1100947</v>
      </c>
      <c r="B2097" s="28" t="s">
        <v>8876</v>
      </c>
      <c r="C2097" s="28">
        <v>4</v>
      </c>
      <c r="D2097" s="54" t="s">
        <v>10175</v>
      </c>
      <c r="E2097" s="54" t="s">
        <v>8878</v>
      </c>
      <c r="F2097" s="28" t="s">
        <v>8879</v>
      </c>
      <c r="G2097" s="28">
        <v>1</v>
      </c>
    </row>
    <row r="2098" spans="1:7">
      <c r="A2098" s="28">
        <v>1100948</v>
      </c>
      <c r="B2098" s="28" t="s">
        <v>8880</v>
      </c>
      <c r="C2098" s="28">
        <v>4</v>
      </c>
      <c r="D2098" s="54" t="s">
        <v>10176</v>
      </c>
      <c r="E2098" s="54" t="s">
        <v>8882</v>
      </c>
      <c r="F2098" s="28" t="s">
        <v>8883</v>
      </c>
      <c r="G2098" s="28">
        <v>1</v>
      </c>
    </row>
    <row r="2099" spans="1:7">
      <c r="A2099" s="28">
        <v>1100952</v>
      </c>
      <c r="B2099" s="28" t="s">
        <v>8896</v>
      </c>
      <c r="C2099" s="28">
        <v>4</v>
      </c>
      <c r="D2099" s="54" t="s">
        <v>10177</v>
      </c>
      <c r="E2099" s="54" t="s">
        <v>8898</v>
      </c>
      <c r="F2099" s="28" t="s">
        <v>8899</v>
      </c>
      <c r="G2099" s="28">
        <v>1</v>
      </c>
    </row>
    <row r="2100" spans="1:7">
      <c r="A2100" s="28">
        <v>1100953</v>
      </c>
      <c r="B2100" s="28" t="s">
        <v>8900</v>
      </c>
      <c r="C2100" s="28">
        <v>4</v>
      </c>
      <c r="D2100" s="54" t="s">
        <v>10178</v>
      </c>
      <c r="E2100" s="54" t="s">
        <v>8902</v>
      </c>
      <c r="F2100" s="28" t="s">
        <v>8903</v>
      </c>
      <c r="G2100" s="28">
        <v>1</v>
      </c>
    </row>
    <row r="2101" spans="1:7">
      <c r="A2101" s="28">
        <v>1100959</v>
      </c>
      <c r="B2101" s="28" t="s">
        <v>8924</v>
      </c>
      <c r="C2101" s="28">
        <v>4</v>
      </c>
      <c r="D2101" s="54" t="s">
        <v>10179</v>
      </c>
      <c r="E2101" s="54" t="s">
        <v>8926</v>
      </c>
      <c r="F2101" s="28" t="s">
        <v>8927</v>
      </c>
      <c r="G2101" s="28">
        <v>1</v>
      </c>
    </row>
    <row r="2102" spans="1:7">
      <c r="A2102" s="28">
        <v>1100963</v>
      </c>
      <c r="B2102" s="28" t="s">
        <v>8940</v>
      </c>
      <c r="C2102" s="28">
        <v>4</v>
      </c>
      <c r="D2102" s="54" t="s">
        <v>10180</v>
      </c>
      <c r="E2102" s="54" t="s">
        <v>8942</v>
      </c>
      <c r="F2102" s="28" t="s">
        <v>8943</v>
      </c>
      <c r="G2102" s="28">
        <v>1</v>
      </c>
    </row>
    <row r="2103" spans="1:7">
      <c r="A2103" s="28">
        <v>1100964</v>
      </c>
      <c r="B2103" s="28" t="s">
        <v>8944</v>
      </c>
      <c r="C2103" s="28">
        <v>4</v>
      </c>
      <c r="D2103" s="54" t="s">
        <v>10181</v>
      </c>
      <c r="E2103" s="54" t="s">
        <v>8946</v>
      </c>
      <c r="F2103" s="28" t="s">
        <v>8947</v>
      </c>
      <c r="G2103" s="28">
        <v>1</v>
      </c>
    </row>
    <row r="2104" spans="1:7">
      <c r="A2104" s="28">
        <v>1100965</v>
      </c>
      <c r="B2104" s="28" t="s">
        <v>8948</v>
      </c>
      <c r="C2104" s="28">
        <v>4</v>
      </c>
      <c r="D2104" s="54" t="s">
        <v>10182</v>
      </c>
      <c r="E2104" s="54" t="s">
        <v>8950</v>
      </c>
      <c r="F2104" s="28" t="s">
        <v>8951</v>
      </c>
      <c r="G2104" s="28">
        <v>1</v>
      </c>
    </row>
    <row r="2105" spans="1:7">
      <c r="A2105" s="28">
        <v>1101005</v>
      </c>
      <c r="B2105" s="28" t="s">
        <v>10183</v>
      </c>
      <c r="C2105" s="28">
        <v>3</v>
      </c>
      <c r="D2105" s="54" t="s">
        <v>10184</v>
      </c>
      <c r="E2105" s="54" t="s">
        <v>10185</v>
      </c>
      <c r="F2105" s="28" t="s">
        <v>10029</v>
      </c>
      <c r="G2105" s="28">
        <v>1</v>
      </c>
    </row>
    <row r="2106" spans="1:7">
      <c r="A2106" s="28">
        <v>1101006</v>
      </c>
      <c r="B2106" s="28" t="s">
        <v>10186</v>
      </c>
      <c r="C2106" s="28">
        <v>3</v>
      </c>
      <c r="D2106" s="54" t="s">
        <v>10187</v>
      </c>
      <c r="E2106" s="54" t="s">
        <v>10188</v>
      </c>
      <c r="F2106" s="28" t="s">
        <v>10029</v>
      </c>
      <c r="G2106" s="28">
        <v>1</v>
      </c>
    </row>
    <row r="2107" spans="1:7">
      <c r="A2107" s="28">
        <v>1101007</v>
      </c>
      <c r="B2107" s="28" t="s">
        <v>10189</v>
      </c>
      <c r="C2107" s="28">
        <v>3</v>
      </c>
      <c r="D2107" s="54" t="s">
        <v>10190</v>
      </c>
      <c r="E2107" s="54" t="s">
        <v>10191</v>
      </c>
      <c r="F2107" s="28" t="s">
        <v>10029</v>
      </c>
      <c r="G2107" s="28">
        <v>1</v>
      </c>
    </row>
    <row r="2108" spans="1:7">
      <c r="A2108" s="28">
        <v>1101008</v>
      </c>
      <c r="B2108" s="28" t="s">
        <v>10192</v>
      </c>
      <c r="C2108" s="28">
        <v>3</v>
      </c>
      <c r="D2108" s="54" t="s">
        <v>10193</v>
      </c>
      <c r="E2108" s="54" t="s">
        <v>10194</v>
      </c>
      <c r="F2108" s="28" t="s">
        <v>10029</v>
      </c>
      <c r="G2108" s="28">
        <v>1</v>
      </c>
    </row>
    <row r="2109" spans="1:7">
      <c r="A2109" s="28">
        <v>1101009</v>
      </c>
      <c r="B2109" s="28" t="s">
        <v>10195</v>
      </c>
      <c r="C2109" s="28">
        <v>3</v>
      </c>
      <c r="D2109" s="54" t="s">
        <v>10196</v>
      </c>
      <c r="E2109" s="54" t="s">
        <v>10197</v>
      </c>
      <c r="F2109" s="28" t="s">
        <v>10029</v>
      </c>
      <c r="G2109" s="28">
        <v>1</v>
      </c>
    </row>
    <row r="2110" spans="1:7">
      <c r="A2110" s="28">
        <v>1101010</v>
      </c>
      <c r="B2110" s="28" t="s">
        <v>10198</v>
      </c>
      <c r="C2110" s="28">
        <v>3</v>
      </c>
      <c r="D2110" s="54" t="s">
        <v>10199</v>
      </c>
      <c r="E2110" s="54" t="s">
        <v>10200</v>
      </c>
      <c r="F2110" s="28" t="s">
        <v>10029</v>
      </c>
      <c r="G2110" s="28">
        <v>1</v>
      </c>
    </row>
    <row r="2111" spans="1:7">
      <c r="A2111" s="28">
        <v>1101011</v>
      </c>
      <c r="B2111" s="28" t="s">
        <v>10201</v>
      </c>
      <c r="C2111" s="28">
        <v>3</v>
      </c>
      <c r="D2111" s="54" t="s">
        <v>10202</v>
      </c>
      <c r="E2111" s="54" t="s">
        <v>10203</v>
      </c>
      <c r="F2111" s="28" t="s">
        <v>10029</v>
      </c>
      <c r="G2111" s="28">
        <v>1</v>
      </c>
    </row>
    <row r="2112" spans="1:7">
      <c r="A2112" s="28">
        <v>1101101</v>
      </c>
      <c r="B2112" s="28" t="s">
        <v>9290</v>
      </c>
      <c r="C2112" s="28">
        <v>4</v>
      </c>
      <c r="D2112" s="54" t="s">
        <v>10204</v>
      </c>
      <c r="E2112" s="54" t="s">
        <v>9292</v>
      </c>
      <c r="F2112" s="28" t="s">
        <v>9293</v>
      </c>
      <c r="G2112" s="28">
        <v>1</v>
      </c>
    </row>
    <row r="2113" spans="1:7">
      <c r="A2113" s="28">
        <v>1101102</v>
      </c>
      <c r="B2113" s="28" t="s">
        <v>9294</v>
      </c>
      <c r="C2113" s="28">
        <v>4</v>
      </c>
      <c r="D2113" s="54" t="s">
        <v>10205</v>
      </c>
      <c r="E2113" s="54" t="s">
        <v>9296</v>
      </c>
      <c r="F2113" s="28" t="s">
        <v>9297</v>
      </c>
      <c r="G2113" s="28">
        <v>1</v>
      </c>
    </row>
    <row r="2114" spans="1:7">
      <c r="A2114" s="28">
        <v>1101103</v>
      </c>
      <c r="B2114" s="28" t="s">
        <v>9298</v>
      </c>
      <c r="C2114" s="28">
        <v>4</v>
      </c>
      <c r="D2114" s="54" t="s">
        <v>10206</v>
      </c>
      <c r="E2114" s="54" t="s">
        <v>9300</v>
      </c>
      <c r="F2114" s="28" t="s">
        <v>9301</v>
      </c>
      <c r="G2114" s="28">
        <v>1</v>
      </c>
    </row>
    <row r="2115" spans="1:7">
      <c r="A2115" s="28">
        <v>1101104</v>
      </c>
      <c r="B2115" s="28" t="s">
        <v>9302</v>
      </c>
      <c r="C2115" s="28">
        <v>3</v>
      </c>
      <c r="D2115" s="54" t="s">
        <v>10207</v>
      </c>
      <c r="E2115" s="54" t="s">
        <v>9304</v>
      </c>
      <c r="F2115" s="28" t="s">
        <v>9305</v>
      </c>
      <c r="G2115" s="28">
        <v>1</v>
      </c>
    </row>
    <row r="2116" spans="1:7">
      <c r="A2116" s="28">
        <v>1101105</v>
      </c>
      <c r="B2116" s="28" t="s">
        <v>9306</v>
      </c>
      <c r="C2116" s="54">
        <v>3</v>
      </c>
      <c r="D2116" s="54" t="s">
        <v>10208</v>
      </c>
      <c r="E2116" s="54" t="s">
        <v>9308</v>
      </c>
      <c r="F2116" s="28" t="s">
        <v>9309</v>
      </c>
      <c r="G2116" s="28">
        <v>1</v>
      </c>
    </row>
    <row r="2117" spans="1:7">
      <c r="A2117" s="28">
        <v>1101106</v>
      </c>
      <c r="B2117" s="28" t="s">
        <v>9310</v>
      </c>
      <c r="C2117" s="54">
        <v>3</v>
      </c>
      <c r="D2117" s="54" t="s">
        <v>10209</v>
      </c>
      <c r="E2117" s="54" t="s">
        <v>9312</v>
      </c>
      <c r="F2117" s="28" t="s">
        <v>9313</v>
      </c>
      <c r="G2117" s="28">
        <v>1</v>
      </c>
    </row>
    <row r="2118" spans="1:7">
      <c r="A2118" s="28">
        <v>1101107</v>
      </c>
      <c r="B2118" s="28" t="s">
        <v>9314</v>
      </c>
      <c r="C2118" s="54">
        <v>3</v>
      </c>
      <c r="D2118" s="54" t="s">
        <v>10210</v>
      </c>
      <c r="E2118" s="54" t="s">
        <v>9316</v>
      </c>
      <c r="F2118" s="28" t="s">
        <v>9317</v>
      </c>
      <c r="G2118" s="28">
        <v>1</v>
      </c>
    </row>
    <row r="2119" spans="1:7">
      <c r="A2119" s="28">
        <v>1101108</v>
      </c>
      <c r="B2119" s="28" t="s">
        <v>9318</v>
      </c>
      <c r="C2119" s="54">
        <v>2</v>
      </c>
      <c r="D2119" s="54" t="s">
        <v>10211</v>
      </c>
      <c r="E2119" s="54" t="s">
        <v>9320</v>
      </c>
      <c r="F2119" s="28" t="s">
        <v>9321</v>
      </c>
      <c r="G2119" s="28">
        <v>1</v>
      </c>
    </row>
    <row r="2120" spans="1:7">
      <c r="A2120" s="28">
        <v>1101109</v>
      </c>
      <c r="B2120" s="28" t="s">
        <v>9322</v>
      </c>
      <c r="C2120" s="54">
        <v>2</v>
      </c>
      <c r="D2120" s="54" t="s">
        <v>10212</v>
      </c>
      <c r="E2120" s="54" t="s">
        <v>9324</v>
      </c>
      <c r="F2120" s="28" t="s">
        <v>9325</v>
      </c>
      <c r="G2120" s="28">
        <v>1</v>
      </c>
    </row>
    <row r="2121" spans="1:7">
      <c r="A2121" s="28">
        <v>1101110</v>
      </c>
      <c r="B2121" s="28" t="s">
        <v>9326</v>
      </c>
      <c r="C2121" s="54">
        <v>2</v>
      </c>
      <c r="D2121" s="54" t="s">
        <v>10213</v>
      </c>
      <c r="E2121" s="54" t="s">
        <v>9328</v>
      </c>
      <c r="F2121" s="28" t="s">
        <v>9329</v>
      </c>
      <c r="G2121" s="28">
        <v>1</v>
      </c>
    </row>
    <row r="2122" spans="1:7">
      <c r="A2122" s="28">
        <v>1101111</v>
      </c>
      <c r="B2122" s="28" t="s">
        <v>9330</v>
      </c>
      <c r="C2122" s="54">
        <v>2</v>
      </c>
      <c r="D2122" s="54" t="s">
        <v>10214</v>
      </c>
      <c r="E2122" s="54" t="s">
        <v>9332</v>
      </c>
      <c r="F2122" s="28" t="s">
        <v>9333</v>
      </c>
      <c r="G2122" s="28">
        <v>1</v>
      </c>
    </row>
    <row r="2123" spans="1:7">
      <c r="A2123" s="28">
        <v>1101401</v>
      </c>
      <c r="B2123" s="28" t="s">
        <v>9338</v>
      </c>
      <c r="C2123" s="28">
        <v>4</v>
      </c>
      <c r="D2123" s="54" t="s">
        <v>10215</v>
      </c>
      <c r="E2123" s="54" t="s">
        <v>9340</v>
      </c>
      <c r="F2123" s="28" t="s">
        <v>9341</v>
      </c>
      <c r="G2123" s="28">
        <v>1</v>
      </c>
    </row>
    <row r="2124" spans="1:7">
      <c r="A2124" s="28">
        <v>1101402</v>
      </c>
      <c r="B2124" s="28" t="s">
        <v>9342</v>
      </c>
      <c r="C2124" s="28">
        <v>4</v>
      </c>
      <c r="D2124" s="54" t="s">
        <v>10216</v>
      </c>
      <c r="E2124" s="54" t="s">
        <v>9344</v>
      </c>
      <c r="F2124" s="28" t="s">
        <v>9345</v>
      </c>
      <c r="G2124" s="28">
        <v>1</v>
      </c>
    </row>
    <row r="2125" spans="1:7">
      <c r="A2125" s="28">
        <v>1101403</v>
      </c>
      <c r="B2125" s="28" t="s">
        <v>9346</v>
      </c>
      <c r="C2125" s="54">
        <v>4</v>
      </c>
      <c r="D2125" s="54" t="s">
        <v>10217</v>
      </c>
      <c r="E2125" s="54" t="s">
        <v>9348</v>
      </c>
      <c r="F2125" s="28" t="s">
        <v>9349</v>
      </c>
      <c r="G2125" s="28">
        <v>1</v>
      </c>
    </row>
    <row r="2126" spans="1:7">
      <c r="A2126" s="28">
        <v>1101404</v>
      </c>
      <c r="B2126" s="28" t="s">
        <v>9350</v>
      </c>
      <c r="C2126" s="54">
        <v>3</v>
      </c>
      <c r="D2126" s="54" t="s">
        <v>10218</v>
      </c>
      <c r="E2126" s="54" t="s">
        <v>9352</v>
      </c>
      <c r="F2126" s="28" t="s">
        <v>9353</v>
      </c>
      <c r="G2126" s="28">
        <v>1</v>
      </c>
    </row>
    <row r="2127" spans="1:7">
      <c r="A2127" s="28">
        <v>1101405</v>
      </c>
      <c r="B2127" s="28" t="s">
        <v>9354</v>
      </c>
      <c r="C2127" s="54">
        <v>3</v>
      </c>
      <c r="D2127" s="54" t="s">
        <v>10219</v>
      </c>
      <c r="E2127" s="54" t="s">
        <v>9356</v>
      </c>
      <c r="F2127" s="28" t="s">
        <v>9357</v>
      </c>
      <c r="G2127" s="28">
        <v>1</v>
      </c>
    </row>
    <row r="2128" spans="1:7">
      <c r="A2128" s="28">
        <v>1101406</v>
      </c>
      <c r="B2128" s="28" t="s">
        <v>9358</v>
      </c>
      <c r="C2128" s="54">
        <v>3</v>
      </c>
      <c r="D2128" s="54" t="s">
        <v>10220</v>
      </c>
      <c r="E2128" s="54" t="s">
        <v>9360</v>
      </c>
      <c r="F2128" s="28" t="s">
        <v>9361</v>
      </c>
      <c r="G2128" s="28">
        <v>1</v>
      </c>
    </row>
    <row r="2129" spans="1:7">
      <c r="A2129" s="28">
        <v>1101407</v>
      </c>
      <c r="B2129" s="28" t="s">
        <v>9362</v>
      </c>
      <c r="C2129" s="54">
        <v>3</v>
      </c>
      <c r="D2129" s="54" t="s">
        <v>10221</v>
      </c>
      <c r="E2129" s="54" t="s">
        <v>9364</v>
      </c>
      <c r="F2129" s="28" t="s">
        <v>9365</v>
      </c>
      <c r="G2129" s="28">
        <v>1</v>
      </c>
    </row>
    <row r="2130" spans="1:7">
      <c r="A2130" s="28">
        <v>1101408</v>
      </c>
      <c r="B2130" s="28" t="s">
        <v>9366</v>
      </c>
      <c r="C2130" s="54">
        <v>2</v>
      </c>
      <c r="D2130" s="54" t="s">
        <v>10222</v>
      </c>
      <c r="E2130" s="54" t="s">
        <v>9368</v>
      </c>
      <c r="F2130" s="28" t="s">
        <v>9369</v>
      </c>
      <c r="G2130" s="28">
        <v>1</v>
      </c>
    </row>
    <row r="2131" spans="1:7">
      <c r="A2131" s="28">
        <v>1101409</v>
      </c>
      <c r="B2131" s="28" t="s">
        <v>9370</v>
      </c>
      <c r="C2131" s="54">
        <v>2</v>
      </c>
      <c r="D2131" s="54" t="s">
        <v>10223</v>
      </c>
      <c r="E2131" s="54" t="s">
        <v>9372</v>
      </c>
      <c r="F2131" s="28" t="s">
        <v>9373</v>
      </c>
      <c r="G2131" s="28">
        <v>1</v>
      </c>
    </row>
    <row r="2132" spans="1:7">
      <c r="A2132" s="28">
        <v>1101410</v>
      </c>
      <c r="B2132" s="28" t="s">
        <v>9374</v>
      </c>
      <c r="C2132" s="54">
        <v>2</v>
      </c>
      <c r="D2132" s="54" t="s">
        <v>10224</v>
      </c>
      <c r="E2132" s="54" t="s">
        <v>9376</v>
      </c>
      <c r="F2132" s="28" t="s">
        <v>9377</v>
      </c>
      <c r="G2132" s="28">
        <v>1</v>
      </c>
    </row>
    <row r="2133" spans="1:7">
      <c r="A2133" s="28">
        <v>1101411</v>
      </c>
      <c r="B2133" s="28" t="s">
        <v>9378</v>
      </c>
      <c r="C2133" s="28">
        <v>2</v>
      </c>
      <c r="D2133" s="54" t="s">
        <v>10225</v>
      </c>
      <c r="E2133" s="54" t="s">
        <v>9380</v>
      </c>
      <c r="F2133" s="28" t="s">
        <v>9381</v>
      </c>
      <c r="G2133" s="28">
        <v>1</v>
      </c>
    </row>
    <row r="2134" spans="1:7">
      <c r="A2134" s="28">
        <v>1101601</v>
      </c>
      <c r="B2134" s="28" t="s">
        <v>9386</v>
      </c>
      <c r="C2134" s="28">
        <v>4</v>
      </c>
      <c r="D2134" s="54" t="s">
        <v>10226</v>
      </c>
      <c r="E2134" s="54" t="s">
        <v>9388</v>
      </c>
      <c r="F2134" s="28" t="s">
        <v>9389</v>
      </c>
      <c r="G2134" s="28">
        <v>1</v>
      </c>
    </row>
    <row r="2135" spans="1:7">
      <c r="A2135" s="28">
        <v>1101602</v>
      </c>
      <c r="B2135" s="28" t="s">
        <v>9390</v>
      </c>
      <c r="C2135" s="28">
        <v>4</v>
      </c>
      <c r="D2135" s="54" t="s">
        <v>10227</v>
      </c>
      <c r="E2135" s="54" t="s">
        <v>9392</v>
      </c>
      <c r="F2135" s="28" t="s">
        <v>9393</v>
      </c>
      <c r="G2135" s="28">
        <v>1</v>
      </c>
    </row>
    <row r="2136" spans="1:7">
      <c r="A2136" s="28">
        <v>1101603</v>
      </c>
      <c r="B2136" s="28" t="s">
        <v>9394</v>
      </c>
      <c r="C2136" s="28">
        <v>4</v>
      </c>
      <c r="D2136" s="54" t="s">
        <v>10228</v>
      </c>
      <c r="E2136" s="54" t="s">
        <v>9396</v>
      </c>
      <c r="F2136" s="28" t="s">
        <v>9397</v>
      </c>
      <c r="G2136" s="28">
        <v>1</v>
      </c>
    </row>
    <row r="2137" spans="1:7">
      <c r="A2137" s="28">
        <v>1101604</v>
      </c>
      <c r="B2137" s="28" t="s">
        <v>9398</v>
      </c>
      <c r="C2137" s="28">
        <v>3</v>
      </c>
      <c r="D2137" s="54" t="s">
        <v>10229</v>
      </c>
      <c r="E2137" s="54" t="s">
        <v>9400</v>
      </c>
      <c r="F2137" s="28" t="s">
        <v>9401</v>
      </c>
      <c r="G2137" s="28">
        <v>1</v>
      </c>
    </row>
    <row r="2138" spans="1:7">
      <c r="A2138" s="28">
        <v>1101605</v>
      </c>
      <c r="B2138" s="28" t="s">
        <v>9402</v>
      </c>
      <c r="C2138" s="28">
        <v>3</v>
      </c>
      <c r="D2138" s="54" t="s">
        <v>10230</v>
      </c>
      <c r="E2138" s="54" t="s">
        <v>9404</v>
      </c>
      <c r="F2138" s="28" t="s">
        <v>9405</v>
      </c>
      <c r="G2138" s="28">
        <v>1</v>
      </c>
    </row>
    <row r="2139" spans="1:7">
      <c r="A2139" s="28">
        <v>1101606</v>
      </c>
      <c r="B2139" s="28" t="s">
        <v>9406</v>
      </c>
      <c r="C2139" s="28">
        <v>3</v>
      </c>
      <c r="D2139" s="54" t="s">
        <v>10231</v>
      </c>
      <c r="E2139" s="54" t="s">
        <v>9408</v>
      </c>
      <c r="F2139" s="28" t="s">
        <v>9409</v>
      </c>
      <c r="G2139" s="28">
        <v>1</v>
      </c>
    </row>
    <row r="2140" spans="1:7">
      <c r="A2140" s="28">
        <v>1101607</v>
      </c>
      <c r="B2140" s="28" t="s">
        <v>9410</v>
      </c>
      <c r="C2140" s="28">
        <v>3</v>
      </c>
      <c r="D2140" s="54" t="s">
        <v>10232</v>
      </c>
      <c r="E2140" s="54" t="s">
        <v>9412</v>
      </c>
      <c r="F2140" s="28" t="s">
        <v>9413</v>
      </c>
      <c r="G2140" s="28">
        <v>1</v>
      </c>
    </row>
    <row r="2141" spans="1:7">
      <c r="A2141" s="28">
        <v>1101608</v>
      </c>
      <c r="B2141" s="28" t="s">
        <v>9414</v>
      </c>
      <c r="C2141" s="28">
        <v>2</v>
      </c>
      <c r="D2141" s="54" t="s">
        <v>10233</v>
      </c>
      <c r="E2141" s="54" t="s">
        <v>9416</v>
      </c>
      <c r="F2141" s="28" t="s">
        <v>9417</v>
      </c>
      <c r="G2141" s="28">
        <v>1</v>
      </c>
    </row>
    <row r="2142" spans="1:7">
      <c r="A2142" s="28">
        <v>1101609</v>
      </c>
      <c r="B2142" s="28" t="s">
        <v>9418</v>
      </c>
      <c r="C2142" s="28">
        <v>2</v>
      </c>
      <c r="D2142" s="54" t="s">
        <v>10234</v>
      </c>
      <c r="E2142" s="54" t="s">
        <v>9420</v>
      </c>
      <c r="F2142" s="28" t="s">
        <v>9421</v>
      </c>
      <c r="G2142" s="28">
        <v>1</v>
      </c>
    </row>
    <row r="2143" spans="1:7">
      <c r="A2143" s="28">
        <v>1101610</v>
      </c>
      <c r="B2143" s="28" t="s">
        <v>9422</v>
      </c>
      <c r="C2143" s="28">
        <v>2</v>
      </c>
      <c r="D2143" s="54" t="s">
        <v>10235</v>
      </c>
      <c r="E2143" s="54" t="s">
        <v>9424</v>
      </c>
      <c r="F2143" s="28" t="s">
        <v>9425</v>
      </c>
      <c r="G2143" s="28">
        <v>1</v>
      </c>
    </row>
    <row r="2144" spans="1:7">
      <c r="A2144" s="28">
        <v>1101611</v>
      </c>
      <c r="B2144" s="28" t="s">
        <v>9426</v>
      </c>
      <c r="C2144" s="28">
        <v>2</v>
      </c>
      <c r="D2144" s="54" t="s">
        <v>10236</v>
      </c>
      <c r="E2144" s="54" t="s">
        <v>9428</v>
      </c>
      <c r="F2144" s="28" t="s">
        <v>9429</v>
      </c>
      <c r="G2144" s="28">
        <v>1</v>
      </c>
    </row>
    <row r="2145" spans="1:7">
      <c r="A2145" s="28">
        <v>1101901</v>
      </c>
      <c r="B2145" s="28" t="s">
        <v>9478</v>
      </c>
      <c r="C2145" s="28">
        <v>4</v>
      </c>
      <c r="D2145" s="54" t="s">
        <v>10237</v>
      </c>
      <c r="E2145" s="54" t="s">
        <v>9480</v>
      </c>
      <c r="F2145" s="28" t="s">
        <v>9481</v>
      </c>
      <c r="G2145" s="28">
        <v>1</v>
      </c>
    </row>
    <row r="2146" spans="1:7">
      <c r="A2146" s="28">
        <v>1101902</v>
      </c>
      <c r="B2146" s="28" t="s">
        <v>9482</v>
      </c>
      <c r="C2146" s="28">
        <v>4</v>
      </c>
      <c r="D2146" s="54" t="s">
        <v>10238</v>
      </c>
      <c r="E2146" s="54" t="s">
        <v>9484</v>
      </c>
      <c r="F2146" s="28" t="s">
        <v>9485</v>
      </c>
      <c r="G2146" s="28">
        <v>1</v>
      </c>
    </row>
    <row r="2147" spans="1:7">
      <c r="A2147" s="28">
        <v>1101903</v>
      </c>
      <c r="B2147" s="28" t="s">
        <v>9486</v>
      </c>
      <c r="C2147" s="28">
        <v>4</v>
      </c>
      <c r="D2147" s="54" t="s">
        <v>10239</v>
      </c>
      <c r="E2147" s="54" t="s">
        <v>9488</v>
      </c>
      <c r="F2147" s="28" t="s">
        <v>9489</v>
      </c>
      <c r="G2147" s="28">
        <v>1</v>
      </c>
    </row>
    <row r="2148" spans="1:7">
      <c r="A2148" s="28">
        <v>1101904</v>
      </c>
      <c r="B2148" s="28" t="s">
        <v>9490</v>
      </c>
      <c r="C2148" s="28">
        <v>3</v>
      </c>
      <c r="D2148" s="54" t="s">
        <v>10240</v>
      </c>
      <c r="E2148" s="54" t="s">
        <v>9492</v>
      </c>
      <c r="F2148" s="28" t="s">
        <v>9493</v>
      </c>
      <c r="G2148" s="28">
        <v>1</v>
      </c>
    </row>
    <row r="2149" spans="1:7">
      <c r="A2149" s="28">
        <v>1101905</v>
      </c>
      <c r="B2149" s="28" t="s">
        <v>9494</v>
      </c>
      <c r="C2149" s="54">
        <v>3</v>
      </c>
      <c r="D2149" s="54" t="s">
        <v>10241</v>
      </c>
      <c r="E2149" s="54" t="s">
        <v>9496</v>
      </c>
      <c r="F2149" s="28" t="s">
        <v>9497</v>
      </c>
      <c r="G2149" s="28">
        <v>1</v>
      </c>
    </row>
    <row r="2150" spans="1:7">
      <c r="A2150" s="28">
        <v>1101906</v>
      </c>
      <c r="B2150" s="28" t="s">
        <v>9498</v>
      </c>
      <c r="C2150" s="28">
        <v>3</v>
      </c>
      <c r="D2150" s="54" t="s">
        <v>10242</v>
      </c>
      <c r="E2150" s="54" t="s">
        <v>9500</v>
      </c>
      <c r="F2150" s="28" t="s">
        <v>9501</v>
      </c>
      <c r="G2150" s="28">
        <v>1</v>
      </c>
    </row>
    <row r="2151" spans="1:7">
      <c r="A2151" s="28">
        <v>1101907</v>
      </c>
      <c r="B2151" s="28" t="s">
        <v>9502</v>
      </c>
      <c r="C2151" s="28">
        <v>3</v>
      </c>
      <c r="D2151" s="54" t="s">
        <v>10243</v>
      </c>
      <c r="E2151" s="54" t="s">
        <v>9504</v>
      </c>
      <c r="F2151" s="28" t="s">
        <v>9505</v>
      </c>
      <c r="G2151" s="28">
        <v>1</v>
      </c>
    </row>
    <row r="2152" spans="1:7">
      <c r="A2152" s="28">
        <v>1101908</v>
      </c>
      <c r="B2152" s="28" t="s">
        <v>9506</v>
      </c>
      <c r="C2152" s="28">
        <v>2</v>
      </c>
      <c r="D2152" s="54" t="s">
        <v>10244</v>
      </c>
      <c r="E2152" s="54" t="s">
        <v>9508</v>
      </c>
      <c r="F2152" s="28" t="s">
        <v>9509</v>
      </c>
      <c r="G2152" s="28">
        <v>1</v>
      </c>
    </row>
    <row r="2153" spans="1:7">
      <c r="A2153" s="28">
        <v>1101909</v>
      </c>
      <c r="B2153" s="28" t="s">
        <v>9510</v>
      </c>
      <c r="C2153" s="28">
        <v>2</v>
      </c>
      <c r="D2153" s="54" t="s">
        <v>10245</v>
      </c>
      <c r="E2153" s="54" t="s">
        <v>9512</v>
      </c>
      <c r="F2153" s="28" t="s">
        <v>9513</v>
      </c>
      <c r="G2153" s="28">
        <v>1</v>
      </c>
    </row>
    <row r="2154" spans="1:7">
      <c r="A2154" s="28">
        <v>1101910</v>
      </c>
      <c r="B2154" s="28" t="s">
        <v>9514</v>
      </c>
      <c r="C2154" s="28">
        <v>2</v>
      </c>
      <c r="D2154" s="54" t="s">
        <v>10246</v>
      </c>
      <c r="E2154" s="54" t="s">
        <v>9516</v>
      </c>
      <c r="F2154" s="28" t="s">
        <v>9517</v>
      </c>
      <c r="G2154" s="28">
        <v>1</v>
      </c>
    </row>
    <row r="2155" spans="1:7">
      <c r="A2155" s="28">
        <v>1101911</v>
      </c>
      <c r="B2155" s="28" t="s">
        <v>9518</v>
      </c>
      <c r="C2155" s="28">
        <v>2</v>
      </c>
      <c r="D2155" s="54" t="s">
        <v>10247</v>
      </c>
      <c r="E2155" s="54" t="s">
        <v>9760</v>
      </c>
      <c r="F2155" s="28" t="s">
        <v>9521</v>
      </c>
      <c r="G2155" s="28">
        <v>1</v>
      </c>
    </row>
    <row r="2156" spans="1:7">
      <c r="A2156" s="28">
        <v>1102001</v>
      </c>
      <c r="B2156" s="28" t="s">
        <v>10248</v>
      </c>
      <c r="C2156" s="28">
        <v>3</v>
      </c>
      <c r="D2156" s="54" t="s">
        <v>10249</v>
      </c>
      <c r="E2156" s="54" t="s">
        <v>10250</v>
      </c>
      <c r="F2156" s="28" t="s">
        <v>10029</v>
      </c>
      <c r="G2156" s="28">
        <v>1</v>
      </c>
    </row>
    <row r="2157" spans="1:7">
      <c r="A2157" s="28">
        <v>1102101</v>
      </c>
      <c r="B2157" s="28" t="s">
        <v>9534</v>
      </c>
      <c r="C2157" s="28">
        <v>4</v>
      </c>
      <c r="D2157" s="54" t="s">
        <v>10251</v>
      </c>
      <c r="E2157" s="54" t="s">
        <v>9536</v>
      </c>
      <c r="F2157" s="28" t="s">
        <v>9537</v>
      </c>
      <c r="G2157" s="28">
        <v>1</v>
      </c>
    </row>
    <row r="2158" spans="1:7">
      <c r="A2158" s="28">
        <v>1102102</v>
      </c>
      <c r="B2158" s="28" t="s">
        <v>9538</v>
      </c>
      <c r="C2158" s="28">
        <v>4</v>
      </c>
      <c r="D2158" s="54" t="s">
        <v>10252</v>
      </c>
      <c r="E2158" s="54" t="s">
        <v>9540</v>
      </c>
      <c r="F2158" s="28" t="s">
        <v>9541</v>
      </c>
      <c r="G2158" s="28">
        <v>1</v>
      </c>
    </row>
    <row r="2159" spans="1:7">
      <c r="A2159" s="28">
        <v>1102103</v>
      </c>
      <c r="B2159" s="28" t="s">
        <v>9542</v>
      </c>
      <c r="C2159" s="28">
        <v>4</v>
      </c>
      <c r="D2159" s="54" t="s">
        <v>10253</v>
      </c>
      <c r="E2159" s="54" t="s">
        <v>9544</v>
      </c>
      <c r="F2159" s="28" t="s">
        <v>9545</v>
      </c>
      <c r="G2159" s="28">
        <v>1</v>
      </c>
    </row>
    <row r="2160" spans="1:7">
      <c r="A2160" s="28">
        <v>1102104</v>
      </c>
      <c r="B2160" s="28" t="s">
        <v>9546</v>
      </c>
      <c r="C2160" s="28">
        <v>3</v>
      </c>
      <c r="D2160" s="54" t="s">
        <v>10254</v>
      </c>
      <c r="E2160" s="54" t="s">
        <v>9548</v>
      </c>
      <c r="F2160" s="28" t="s">
        <v>9549</v>
      </c>
      <c r="G2160" s="28">
        <v>1</v>
      </c>
    </row>
    <row r="2161" spans="1:7">
      <c r="A2161" s="28">
        <v>1102105</v>
      </c>
      <c r="B2161" s="28" t="s">
        <v>9550</v>
      </c>
      <c r="C2161" s="28">
        <v>3</v>
      </c>
      <c r="D2161" s="54" t="s">
        <v>10255</v>
      </c>
      <c r="E2161" s="54" t="s">
        <v>9552</v>
      </c>
      <c r="F2161" s="28" t="s">
        <v>9553</v>
      </c>
      <c r="G2161" s="28">
        <v>1</v>
      </c>
    </row>
    <row r="2162" spans="1:7">
      <c r="A2162" s="28">
        <v>1102106</v>
      </c>
      <c r="B2162" s="28" t="s">
        <v>9554</v>
      </c>
      <c r="C2162" s="28">
        <v>3</v>
      </c>
      <c r="D2162" s="54" t="s">
        <v>10256</v>
      </c>
      <c r="E2162" s="54" t="s">
        <v>9556</v>
      </c>
      <c r="F2162" s="28" t="s">
        <v>9557</v>
      </c>
      <c r="G2162" s="28">
        <v>1</v>
      </c>
    </row>
    <row r="2163" spans="1:7">
      <c r="A2163" s="28">
        <v>1102107</v>
      </c>
      <c r="B2163" s="28" t="s">
        <v>9558</v>
      </c>
      <c r="C2163" s="28">
        <v>3</v>
      </c>
      <c r="D2163" s="54" t="s">
        <v>10257</v>
      </c>
      <c r="E2163" s="54" t="s">
        <v>9560</v>
      </c>
      <c r="F2163" s="28" t="s">
        <v>9561</v>
      </c>
      <c r="G2163" s="28">
        <v>1</v>
      </c>
    </row>
    <row r="2164" spans="1:7">
      <c r="A2164" s="28">
        <v>1102108</v>
      </c>
      <c r="B2164" s="28" t="s">
        <v>9562</v>
      </c>
      <c r="C2164" s="28">
        <v>2</v>
      </c>
      <c r="D2164" s="54" t="s">
        <v>10258</v>
      </c>
      <c r="E2164" s="54" t="s">
        <v>9564</v>
      </c>
      <c r="F2164" s="28" t="s">
        <v>9565</v>
      </c>
      <c r="G2164" s="28">
        <v>1</v>
      </c>
    </row>
    <row r="2165" spans="1:7">
      <c r="A2165" s="28">
        <v>1102109</v>
      </c>
      <c r="B2165" s="28" t="s">
        <v>9566</v>
      </c>
      <c r="C2165" s="28">
        <v>2</v>
      </c>
      <c r="D2165" s="54" t="s">
        <v>10259</v>
      </c>
      <c r="E2165" s="54" t="s">
        <v>9568</v>
      </c>
      <c r="F2165" s="28" t="s">
        <v>9569</v>
      </c>
      <c r="G2165" s="28">
        <v>1</v>
      </c>
    </row>
    <row r="2166" spans="1:7">
      <c r="A2166" s="28">
        <v>1102110</v>
      </c>
      <c r="B2166" s="28" t="s">
        <v>9570</v>
      </c>
      <c r="C2166" s="28">
        <v>2</v>
      </c>
      <c r="D2166" s="54" t="s">
        <v>10260</v>
      </c>
      <c r="E2166" s="54" t="s">
        <v>9572</v>
      </c>
      <c r="F2166" s="28" t="s">
        <v>9573</v>
      </c>
      <c r="G2166" s="28">
        <v>1</v>
      </c>
    </row>
    <row r="2167" spans="1:7">
      <c r="A2167" s="28">
        <v>1102111</v>
      </c>
      <c r="B2167" s="28" t="s">
        <v>9574</v>
      </c>
      <c r="C2167" s="28">
        <v>2</v>
      </c>
      <c r="D2167" s="54" t="s">
        <v>10261</v>
      </c>
      <c r="E2167" s="54" t="s">
        <v>9576</v>
      </c>
      <c r="F2167" s="28" t="s">
        <v>9577</v>
      </c>
      <c r="G2167" s="28">
        <v>1</v>
      </c>
    </row>
    <row r="2168" spans="1:7">
      <c r="A2168" s="28">
        <v>1102201</v>
      </c>
      <c r="B2168" s="28" t="s">
        <v>9582</v>
      </c>
      <c r="C2168" s="28">
        <v>4</v>
      </c>
      <c r="D2168" s="54" t="s">
        <v>10262</v>
      </c>
      <c r="E2168" s="54" t="s">
        <v>9584</v>
      </c>
      <c r="F2168" s="28" t="s">
        <v>9585</v>
      </c>
      <c r="G2168" s="28">
        <v>1</v>
      </c>
    </row>
    <row r="2169" spans="1:7">
      <c r="A2169" s="28">
        <v>1102202</v>
      </c>
      <c r="B2169" s="28" t="s">
        <v>9586</v>
      </c>
      <c r="C2169" s="28">
        <v>4</v>
      </c>
      <c r="D2169" s="54" t="s">
        <v>10263</v>
      </c>
      <c r="E2169" s="65" t="s">
        <v>9588</v>
      </c>
      <c r="F2169" s="28" t="s">
        <v>9589</v>
      </c>
      <c r="G2169" s="28">
        <v>1</v>
      </c>
    </row>
    <row r="2170" spans="1:7">
      <c r="A2170" s="28">
        <v>1102203</v>
      </c>
      <c r="B2170" s="28" t="s">
        <v>9590</v>
      </c>
      <c r="C2170" s="28">
        <v>4</v>
      </c>
      <c r="D2170" s="54" t="s">
        <v>10264</v>
      </c>
      <c r="E2170" s="65" t="s">
        <v>9592</v>
      </c>
      <c r="F2170" s="28" t="s">
        <v>9593</v>
      </c>
      <c r="G2170" s="28">
        <v>1</v>
      </c>
    </row>
    <row r="2171" spans="1:7">
      <c r="A2171" s="28">
        <v>1102401</v>
      </c>
      <c r="B2171" s="28" t="s">
        <v>9618</v>
      </c>
      <c r="C2171" s="28">
        <v>4</v>
      </c>
      <c r="D2171" s="54" t="s">
        <v>10265</v>
      </c>
      <c r="E2171" s="65" t="s">
        <v>9620</v>
      </c>
      <c r="F2171" s="28" t="s">
        <v>9621</v>
      </c>
      <c r="G2171" s="28">
        <v>1</v>
      </c>
    </row>
    <row r="2172" spans="1:7">
      <c r="A2172" s="28">
        <v>1102402</v>
      </c>
      <c r="B2172" s="28" t="s">
        <v>9622</v>
      </c>
      <c r="C2172" s="28">
        <v>4</v>
      </c>
      <c r="D2172" s="54" t="s">
        <v>10266</v>
      </c>
      <c r="E2172" s="65" t="s">
        <v>9624</v>
      </c>
      <c r="F2172" s="28" t="s">
        <v>9625</v>
      </c>
      <c r="G2172" s="28">
        <v>1</v>
      </c>
    </row>
    <row r="2173" spans="1:7">
      <c r="A2173" s="28">
        <v>1102403</v>
      </c>
      <c r="B2173" s="28" t="s">
        <v>9626</v>
      </c>
      <c r="C2173" s="28">
        <v>4</v>
      </c>
      <c r="D2173" s="54" t="s">
        <v>10267</v>
      </c>
      <c r="E2173" s="64" t="s">
        <v>9628</v>
      </c>
      <c r="F2173" s="28" t="s">
        <v>9629</v>
      </c>
      <c r="G2173" s="28">
        <v>1</v>
      </c>
    </row>
    <row r="2174" spans="1:7">
      <c r="A2174" s="28">
        <v>1102404</v>
      </c>
      <c r="B2174" s="28" t="s">
        <v>9630</v>
      </c>
      <c r="C2174" s="28">
        <v>3</v>
      </c>
      <c r="D2174" s="54" t="s">
        <v>10268</v>
      </c>
      <c r="E2174" s="64" t="s">
        <v>9632</v>
      </c>
      <c r="F2174" s="28" t="s">
        <v>9633</v>
      </c>
      <c r="G2174" s="28">
        <v>1</v>
      </c>
    </row>
    <row r="2175" spans="1:7">
      <c r="A2175" s="28">
        <v>1102405</v>
      </c>
      <c r="B2175" s="28" t="s">
        <v>9634</v>
      </c>
      <c r="C2175" s="28">
        <v>3</v>
      </c>
      <c r="D2175" s="54" t="s">
        <v>10269</v>
      </c>
      <c r="E2175" s="64" t="s">
        <v>9636</v>
      </c>
      <c r="F2175" s="28" t="s">
        <v>9637</v>
      </c>
      <c r="G2175" s="28">
        <v>1</v>
      </c>
    </row>
    <row r="2176" spans="1:7">
      <c r="A2176" s="28">
        <v>1102406</v>
      </c>
      <c r="B2176" s="28" t="s">
        <v>9638</v>
      </c>
      <c r="C2176" s="28">
        <v>3</v>
      </c>
      <c r="D2176" s="54" t="s">
        <v>10270</v>
      </c>
      <c r="E2176" s="64" t="s">
        <v>9640</v>
      </c>
      <c r="F2176" s="28" t="s">
        <v>9641</v>
      </c>
      <c r="G2176" s="28">
        <v>1</v>
      </c>
    </row>
    <row r="2177" spans="1:7">
      <c r="A2177" s="28">
        <v>1102407</v>
      </c>
      <c r="B2177" s="28" t="s">
        <v>9642</v>
      </c>
      <c r="C2177" s="28">
        <v>3</v>
      </c>
      <c r="D2177" s="54" t="s">
        <v>10271</v>
      </c>
      <c r="E2177" s="64" t="s">
        <v>9644</v>
      </c>
      <c r="F2177" s="28" t="s">
        <v>9645</v>
      </c>
      <c r="G2177" s="28">
        <v>1</v>
      </c>
    </row>
    <row r="2178" spans="1:7">
      <c r="A2178" s="28">
        <v>1102408</v>
      </c>
      <c r="B2178" s="28" t="s">
        <v>9646</v>
      </c>
      <c r="C2178" s="28">
        <v>2</v>
      </c>
      <c r="D2178" s="54" t="s">
        <v>10272</v>
      </c>
      <c r="E2178" s="64" t="s">
        <v>9648</v>
      </c>
      <c r="F2178" s="28" t="s">
        <v>9649</v>
      </c>
      <c r="G2178" s="28">
        <v>1</v>
      </c>
    </row>
    <row r="2179" spans="1:7">
      <c r="A2179" s="28">
        <v>1102409</v>
      </c>
      <c r="B2179" s="28" t="s">
        <v>9650</v>
      </c>
      <c r="C2179" s="28">
        <v>2</v>
      </c>
      <c r="D2179" s="54" t="s">
        <v>10273</v>
      </c>
      <c r="E2179" s="64" t="s">
        <v>9652</v>
      </c>
      <c r="F2179" s="28" t="s">
        <v>9653</v>
      </c>
      <c r="G2179" s="28">
        <v>1</v>
      </c>
    </row>
    <row r="2180" spans="1:7">
      <c r="A2180" s="28">
        <v>1102410</v>
      </c>
      <c r="B2180" s="28" t="s">
        <v>9654</v>
      </c>
      <c r="C2180" s="54">
        <v>2</v>
      </c>
      <c r="D2180" s="54" t="s">
        <v>10274</v>
      </c>
      <c r="E2180" s="64" t="s">
        <v>9656</v>
      </c>
      <c r="F2180" s="28" t="s">
        <v>9657</v>
      </c>
      <c r="G2180" s="28">
        <v>1</v>
      </c>
    </row>
    <row r="2181" spans="1:7">
      <c r="A2181" s="28">
        <v>1102411</v>
      </c>
      <c r="B2181" s="28" t="s">
        <v>9658</v>
      </c>
      <c r="C2181" s="54">
        <v>2</v>
      </c>
      <c r="D2181" s="54" t="s">
        <v>10275</v>
      </c>
      <c r="E2181" s="64" t="s">
        <v>9659</v>
      </c>
      <c r="F2181" s="28" t="s">
        <v>9660</v>
      </c>
      <c r="G2181" s="28">
        <v>1</v>
      </c>
    </row>
    <row r="2182" spans="1:7">
      <c r="A2182" s="28">
        <v>1106001</v>
      </c>
      <c r="B2182" s="28" t="s">
        <v>10276</v>
      </c>
      <c r="C2182" s="54">
        <v>3</v>
      </c>
      <c r="D2182" s="54" t="s">
        <v>10277</v>
      </c>
      <c r="E2182" s="64" t="s">
        <v>10278</v>
      </c>
      <c r="F2182" s="28" t="s">
        <v>10029</v>
      </c>
      <c r="G2182" s="28">
        <v>1</v>
      </c>
    </row>
    <row r="2183" spans="1:7">
      <c r="A2183" s="28">
        <v>1106002</v>
      </c>
      <c r="B2183" s="28" t="s">
        <v>10279</v>
      </c>
      <c r="C2183" s="54">
        <v>3</v>
      </c>
      <c r="D2183" s="54" t="s">
        <v>10280</v>
      </c>
      <c r="E2183" s="64" t="s">
        <v>10281</v>
      </c>
      <c r="F2183" s="28" t="s">
        <v>10029</v>
      </c>
      <c r="G2183" s="28">
        <v>1</v>
      </c>
    </row>
    <row r="2184" spans="1:7">
      <c r="A2184" s="28">
        <v>1106003</v>
      </c>
      <c r="B2184" s="28" t="s">
        <v>10282</v>
      </c>
      <c r="C2184" s="54">
        <v>3</v>
      </c>
      <c r="D2184" s="54" t="s">
        <v>10283</v>
      </c>
      <c r="E2184" s="64" t="s">
        <v>10284</v>
      </c>
      <c r="F2184" s="28" t="s">
        <v>10029</v>
      </c>
      <c r="G2184" s="28">
        <v>1</v>
      </c>
    </row>
    <row r="2185" spans="1:7">
      <c r="A2185" s="28">
        <v>1110001</v>
      </c>
      <c r="B2185" s="28" t="s">
        <v>10285</v>
      </c>
      <c r="C2185" s="54">
        <v>3</v>
      </c>
      <c r="D2185" s="54" t="s">
        <v>10286</v>
      </c>
      <c r="E2185" s="64" t="s"/>
      <c r="F2185" s="28" t="s">
        <v>10029</v>
      </c>
      <c r="G2185" s="28">
        <v>1</v>
      </c>
    </row>
    <row r="2186" spans="1:7">
      <c r="A2186" s="28">
        <v>1110002</v>
      </c>
      <c r="B2186" s="28" t="s">
        <v>10287</v>
      </c>
      <c r="C2186" s="54">
        <v>3</v>
      </c>
      <c r="D2186" s="54" t="s">
        <v>10288</v>
      </c>
      <c r="E2186" s="64" t="s"/>
      <c r="F2186" s="28" t="s">
        <v>10029</v>
      </c>
      <c r="G2186" s="28">
        <v>1</v>
      </c>
    </row>
    <row r="2187" spans="1:7">
      <c r="A2187" s="28">
        <v>1110003</v>
      </c>
      <c r="B2187" s="28" t="s">
        <v>10289</v>
      </c>
      <c r="C2187" s="54">
        <v>3</v>
      </c>
      <c r="D2187" s="54" t="s">
        <v>10286</v>
      </c>
      <c r="E2187" s="64" t="s"/>
      <c r="F2187" s="28" t="s">
        <v>10029</v>
      </c>
      <c r="G2187" s="28">
        <v>1</v>
      </c>
    </row>
    <row r="2188" spans="1:7">
      <c r="A2188" s="28">
        <v>1110004</v>
      </c>
      <c r="B2188" s="28" t="s">
        <v>10290</v>
      </c>
      <c r="C2188" s="54">
        <v>3</v>
      </c>
      <c r="D2188" s="54" t="s">
        <v>10291</v>
      </c>
      <c r="E2188" s="64" t="s"/>
      <c r="F2188" s="28" t="s">
        <v>10029</v>
      </c>
      <c r="G2188" s="28">
        <v>1</v>
      </c>
    </row>
    <row r="2189" spans="1:7">
      <c r="A2189" s="28">
        <v>1110005</v>
      </c>
      <c r="B2189" s="28" t="s">
        <v>10292</v>
      </c>
      <c r="C2189" s="54">
        <v>3</v>
      </c>
      <c r="D2189" s="54" t="s">
        <v>10293</v>
      </c>
      <c r="E2189" s="64" t="s"/>
      <c r="F2189" s="28" t="s">
        <v>10029</v>
      </c>
      <c r="G2189" s="28">
        <v>1</v>
      </c>
    </row>
    <row r="2190" spans="1:7">
      <c r="A2190" s="28">
        <v>1110006</v>
      </c>
      <c r="B2190" s="28" t="s">
        <v>10294</v>
      </c>
      <c r="C2190" s="54">
        <v>3</v>
      </c>
      <c r="D2190" s="54" t="s">
        <v>10295</v>
      </c>
      <c r="E2190" s="64" t="s"/>
      <c r="F2190" s="28" t="s">
        <v>10029</v>
      </c>
      <c r="G2190" s="28">
        <v>1</v>
      </c>
    </row>
    <row r="2191" spans="1:7">
      <c r="A2191" s="28">
        <v>1110007</v>
      </c>
      <c r="B2191" s="28" t="s">
        <v>10296</v>
      </c>
      <c r="C2191" s="54">
        <v>3</v>
      </c>
      <c r="D2191" s="54" t="s">
        <v>10297</v>
      </c>
      <c r="E2191" s="64" t="s"/>
      <c r="F2191" s="28" t="s">
        <v>10029</v>
      </c>
      <c r="G2191" s="28">
        <v>1</v>
      </c>
    </row>
    <row r="2192" spans="1:7">
      <c r="A2192" s="28">
        <v>1110008</v>
      </c>
      <c r="B2192" s="28" t="s">
        <v>10298</v>
      </c>
      <c r="C2192" s="54">
        <v>3</v>
      </c>
      <c r="D2192" s="54" t="s">
        <v>10299</v>
      </c>
      <c r="E2192" s="64" t="s"/>
      <c r="F2192" s="28" t="s">
        <v>10029</v>
      </c>
      <c r="G2192" s="28">
        <v>1</v>
      </c>
    </row>
    <row r="2193" spans="1:7">
      <c r="A2193" s="28">
        <v>1110009</v>
      </c>
      <c r="B2193" s="28" t="s">
        <v>10300</v>
      </c>
      <c r="C2193" s="54">
        <v>3</v>
      </c>
      <c r="D2193" s="54" t="s">
        <v>10301</v>
      </c>
      <c r="E2193" s="64" t="s"/>
      <c r="F2193" s="28" t="s">
        <v>10029</v>
      </c>
      <c r="G2193" s="28">
        <v>1</v>
      </c>
    </row>
    <row r="2194" spans="1:7">
      <c r="A2194" s="28">
        <v>1110010</v>
      </c>
      <c r="B2194" s="28" t="s">
        <v>10302</v>
      </c>
      <c r="C2194" s="54">
        <v>3</v>
      </c>
      <c r="D2194" s="54" t="s">
        <v>10303</v>
      </c>
      <c r="E2194" s="54" t="s"/>
      <c r="F2194" s="28" t="s">
        <v>10029</v>
      </c>
      <c r="G2194" s="28">
        <v>1</v>
      </c>
    </row>
    <row r="2195" spans="1:7">
      <c r="A2195" s="28">
        <v>1110011</v>
      </c>
      <c r="B2195" s="28" t="s">
        <v>10304</v>
      </c>
      <c r="C2195" s="54">
        <v>3</v>
      </c>
      <c r="D2195" s="54" t="s">
        <v>10305</v>
      </c>
      <c r="E2195" s="54" t="s"/>
      <c r="F2195" s="28" t="s">
        <v>10029</v>
      </c>
      <c r="G2195" s="28">
        <v>1</v>
      </c>
    </row>
    <row r="2196" spans="1:7">
      <c r="A2196" s="28">
        <v>1110012</v>
      </c>
      <c r="B2196" s="28" t="s">
        <v>10306</v>
      </c>
      <c r="C2196" s="54">
        <v>3</v>
      </c>
      <c r="D2196" s="54" t="s">
        <v>10307</v>
      </c>
      <c r="E2196" s="54" t="s"/>
      <c r="F2196" s="28" t="s">
        <v>10029</v>
      </c>
      <c r="G2196" s="28">
        <v>1</v>
      </c>
    </row>
    <row r="2197" spans="1:7">
      <c r="A2197" s="28">
        <v>1110013</v>
      </c>
      <c r="B2197" s="28" t="s">
        <v>10308</v>
      </c>
      <c r="C2197" s="54">
        <v>3</v>
      </c>
      <c r="D2197" s="54" t="s">
        <v>10309</v>
      </c>
      <c r="E2197" s="64" t="s"/>
      <c r="F2197" s="28" t="s">
        <v>10029</v>
      </c>
      <c r="G2197" s="28">
        <v>1</v>
      </c>
    </row>
    <row r="2198" spans="1:7">
      <c r="A2198" s="28">
        <v>1110014</v>
      </c>
      <c r="B2198" s="28" t="s">
        <v>10310</v>
      </c>
      <c r="C2198" s="54">
        <v>3</v>
      </c>
      <c r="D2198" s="54" t="s">
        <v>10311</v>
      </c>
      <c r="E2198" s="54" t="s"/>
      <c r="F2198" s="28" t="s">
        <v>10029</v>
      </c>
      <c r="G2198" s="28">
        <v>1</v>
      </c>
    </row>
    <row r="2199" spans="1:7">
      <c r="A2199" s="28">
        <v>1110015</v>
      </c>
      <c r="B2199" s="28" t="s">
        <v>10312</v>
      </c>
      <c r="C2199" s="54">
        <v>3</v>
      </c>
      <c r="D2199" s="54" t="s">
        <v>10313</v>
      </c>
      <c r="E2199" s="54" t="s"/>
      <c r="F2199" s="28" t="s">
        <v>10029</v>
      </c>
      <c r="G2199" s="28">
        <v>1</v>
      </c>
    </row>
    <row r="2200" spans="1:7">
      <c r="A2200" s="28">
        <v>1110016</v>
      </c>
      <c r="B2200" s="28" t="s">
        <v>10314</v>
      </c>
      <c r="C2200" s="54">
        <v>3</v>
      </c>
      <c r="D2200" s="54" t="s">
        <v>10315</v>
      </c>
      <c r="E2200" s="54" t="s"/>
      <c r="F2200" s="28" t="s">
        <v>10029</v>
      </c>
      <c r="G2200" s="28">
        <v>1</v>
      </c>
    </row>
    <row r="2201" spans="1:7">
      <c r="A2201" s="28">
        <v>1110017</v>
      </c>
      <c r="B2201" s="28" t="s">
        <v>10316</v>
      </c>
      <c r="C2201" s="54">
        <v>3</v>
      </c>
      <c r="D2201" s="54" t="s">
        <v>10317</v>
      </c>
      <c r="E2201" s="64" t="s"/>
      <c r="F2201" s="28" t="s">
        <v>10029</v>
      </c>
      <c r="G2201" s="28">
        <v>1</v>
      </c>
    </row>
    <row r="2202" spans="1:7">
      <c r="A2202" s="28">
        <v>1110018</v>
      </c>
      <c r="B2202" s="28" t="s">
        <v>10318</v>
      </c>
      <c r="C2202" s="54">
        <v>3</v>
      </c>
      <c r="D2202" s="54" t="s">
        <v>10319</v>
      </c>
      <c r="E2202" s="54" t="s"/>
      <c r="F2202" s="28" t="s">
        <v>10029</v>
      </c>
      <c r="G2202" s="28">
        <v>1</v>
      </c>
    </row>
    <row r="2203" spans="1:7">
      <c r="A2203" s="28">
        <v>1110019</v>
      </c>
      <c r="B2203" s="28" t="s">
        <v>10320</v>
      </c>
      <c r="C2203" s="54">
        <v>3</v>
      </c>
      <c r="D2203" s="54" t="s">
        <v>10321</v>
      </c>
      <c r="E2203" s="64" t="s"/>
      <c r="F2203" s="28" t="s">
        <v>10029</v>
      </c>
      <c r="G2203" s="28">
        <v>1</v>
      </c>
    </row>
    <row r="2204" spans="1:7">
      <c r="A2204" s="28">
        <v>1110020</v>
      </c>
      <c r="B2204" s="28" t="s">
        <v>10322</v>
      </c>
      <c r="C2204" s="54">
        <v>3</v>
      </c>
      <c r="D2204" s="54" t="s">
        <v>10323</v>
      </c>
      <c r="E2204" s="64" t="s"/>
      <c r="F2204" s="28" t="s">
        <v>10029</v>
      </c>
      <c r="G2204" s="28">
        <v>1</v>
      </c>
    </row>
    <row r="2205" spans="1:7">
      <c r="A2205" s="28">
        <v>1110021</v>
      </c>
      <c r="B2205" s="28" t="s">
        <v>10324</v>
      </c>
      <c r="C2205" s="54">
        <v>3</v>
      </c>
      <c r="D2205" s="54" t="s">
        <v>10325</v>
      </c>
      <c r="E2205" s="64" t="s"/>
      <c r="F2205" s="28" t="s">
        <v>10029</v>
      </c>
      <c r="G2205" s="28">
        <v>1</v>
      </c>
    </row>
    <row r="2206" spans="1:7">
      <c r="A2206" s="28">
        <v>1110022</v>
      </c>
      <c r="B2206" s="28" t="s">
        <v>10326</v>
      </c>
      <c r="C2206" s="54">
        <v>3</v>
      </c>
      <c r="D2206" s="54" t="s">
        <v>10327</v>
      </c>
      <c r="E2206" s="64" t="s"/>
      <c r="F2206" s="28" t="s">
        <v>10029</v>
      </c>
      <c r="G2206" s="28">
        <v>1</v>
      </c>
    </row>
    <row r="2207" spans="1:7">
      <c r="A2207" s="28">
        <v>1110023</v>
      </c>
      <c r="B2207" s="28" t="s">
        <v>10328</v>
      </c>
      <c r="C2207" s="54">
        <v>3</v>
      </c>
      <c r="D2207" s="54" t="s">
        <v>10329</v>
      </c>
      <c r="E2207" s="64" t="s"/>
      <c r="F2207" s="28" t="s">
        <v>10029</v>
      </c>
      <c r="G2207" s="28">
        <v>1</v>
      </c>
    </row>
    <row r="2208" spans="1:7">
      <c r="A2208" s="28">
        <v>1110024</v>
      </c>
      <c r="B2208" s="28" t="s">
        <v>10330</v>
      </c>
      <c r="C2208" s="54">
        <v>3</v>
      </c>
      <c r="D2208" s="54" t="s">
        <v>10331</v>
      </c>
      <c r="E2208" s="64" t="s"/>
      <c r="F2208" s="28" t="s">
        <v>10029</v>
      </c>
      <c r="G2208" s="28">
        <v>1</v>
      </c>
    </row>
    <row r="2209" spans="1:7">
      <c r="A2209" s="28">
        <v>1110025</v>
      </c>
      <c r="B2209" s="28" t="s">
        <v>10332</v>
      </c>
      <c r="C2209" s="54">
        <v>3</v>
      </c>
      <c r="D2209" s="54" t="s">
        <v>10333</v>
      </c>
      <c r="E2209" s="64" t="s"/>
      <c r="F2209" s="28" t="s">
        <v>10029</v>
      </c>
      <c r="G2209" s="28">
        <v>1</v>
      </c>
    </row>
    <row r="2210" spans="1:7">
      <c r="A2210" s="28">
        <v>1200001</v>
      </c>
      <c r="B2210" s="28" t="s">
        <v>10334</v>
      </c>
      <c r="C2210" s="54">
        <v>3</v>
      </c>
      <c r="D2210" s="54" t="s">
        <v>10335</v>
      </c>
      <c r="E2210" s="64" t="s">
        <v>10336</v>
      </c>
      <c r="F2210" s="28" t="s">
        <v>10337</v>
      </c>
      <c r="G2210" s="28">
        <v>99</v>
      </c>
    </row>
    <row r="2211" spans="1:7">
      <c r="A2211" s="28">
        <v>1200002</v>
      </c>
      <c r="B2211" s="28" t="s">
        <v>10338</v>
      </c>
      <c r="C2211" s="54">
        <v>3</v>
      </c>
      <c r="D2211" s="54" t="s">
        <v>10339</v>
      </c>
      <c r="E2211" s="64" t="s">
        <v>10340</v>
      </c>
      <c r="F2211" s="28" t="s">
        <v>10341</v>
      </c>
      <c r="G2211" s="28">
        <v>99</v>
      </c>
    </row>
    <row r="2212" spans="1:7">
      <c r="A2212" s="28">
        <v>1200003</v>
      </c>
      <c r="B2212" s="28" t="s">
        <v>10342</v>
      </c>
      <c r="C2212" s="54">
        <v>3</v>
      </c>
      <c r="D2212" s="54" t="s">
        <v>10343</v>
      </c>
      <c r="E2212" s="64" t="s">
        <v>10344</v>
      </c>
      <c r="F2212" s="28" t="s">
        <v>10345</v>
      </c>
      <c r="G2212" s="28">
        <v>1</v>
      </c>
    </row>
    <row r="2213" spans="1:7">
      <c r="A2213" s="28">
        <v>1200010</v>
      </c>
      <c r="B2213" s="28" t="s">
        <v>10346</v>
      </c>
      <c r="C2213" s="54">
        <v>3</v>
      </c>
      <c r="D2213" s="54" t="s">
        <v>10347</v>
      </c>
      <c r="E2213" s="64" t="s"/>
      <c r="F2213" s="28" t="s">
        <v>10348</v>
      </c>
      <c r="G2213" s="28">
        <v>3</v>
      </c>
    </row>
    <row r="2214" spans="1:7">
      <c r="A2214" s="28">
        <v>1200011</v>
      </c>
      <c r="B2214" s="28" t="s">
        <v>10349</v>
      </c>
      <c r="C2214" s="54">
        <v>4</v>
      </c>
      <c r="D2214" s="54" t="s">
        <v>10350</v>
      </c>
      <c r="E2214" s="64" t="s">
        <v>10351</v>
      </c>
      <c r="F2214" s="28" t="s">
        <v>10352</v>
      </c>
      <c r="G2214" s="28">
        <v>99</v>
      </c>
    </row>
    <row r="2215" spans="1:7">
      <c r="A2215" s="28">
        <v>1200012</v>
      </c>
      <c r="B2215" s="28" t="s">
        <v>6102</v>
      </c>
      <c r="C2215" s="54">
        <v>2</v>
      </c>
      <c r="D2215" s="54" t="s"/>
      <c r="E2215" s="64" t="s"/>
      <c r="F2215" s="28" t="s">
        <v>6105</v>
      </c>
      <c r="G2215" s="28">
        <v>9999999</v>
      </c>
    </row>
    <row r="2216" spans="1:7">
      <c r="A2216" s="28">
        <v>1200013</v>
      </c>
      <c r="B2216" s="28" t="s">
        <v>6100</v>
      </c>
      <c r="C2216" s="54">
        <v>2</v>
      </c>
      <c r="D2216" s="54" t="s"/>
      <c r="E2216" s="64" t="s"/>
      <c r="F2216" s="28" t="s">
        <v>6101</v>
      </c>
      <c r="G2216" s="28">
        <v>9999999</v>
      </c>
    </row>
    <row r="2217" spans="1:7">
      <c r="A2217" s="28">
        <v>1200015</v>
      </c>
      <c r="B2217" s="28" t="s">
        <v>10353</v>
      </c>
      <c r="C2217" s="54">
        <v>3</v>
      </c>
      <c r="D2217" s="54" t="s">
        <v>10354</v>
      </c>
      <c r="E2217" s="64" t="s"/>
      <c r="F2217" s="28" t="s">
        <v>10355</v>
      </c>
      <c r="G2217" s="28">
        <v>99</v>
      </c>
    </row>
    <row r="2218" spans="1:7">
      <c r="A2218" s="28">
        <v>1200016</v>
      </c>
      <c r="B2218" s="28" t="s">
        <v>963</v>
      </c>
      <c r="C2218" s="54">
        <v>3</v>
      </c>
      <c r="D2218" s="54" t="s">
        <v>10356</v>
      </c>
      <c r="E2218" s="64" t="s">
        <v>10340</v>
      </c>
      <c r="F2218" s="28" t="s">
        <v>10357</v>
      </c>
      <c r="G2218" s="28">
        <v>99</v>
      </c>
    </row>
    <row r="2219" spans="1:7">
      <c r="A2219" s="28">
        <v>1310101</v>
      </c>
      <c r="B2219" s="28" t="s">
        <v>10358</v>
      </c>
      <c r="C2219" s="54">
        <v>3</v>
      </c>
      <c r="D2219" s="54" t="s">
        <v>10359</v>
      </c>
      <c r="E2219" s="64" t="s"/>
      <c r="F2219" s="28" t="s">
        <v>10360</v>
      </c>
      <c r="G2219" s="28">
        <v>1</v>
      </c>
    </row>
    <row r="2220" spans="1:7">
      <c r="A2220" s="28">
        <v>1310102</v>
      </c>
      <c r="B2220" s="28" t="s">
        <v>10361</v>
      </c>
      <c r="C2220" s="54">
        <v>3</v>
      </c>
      <c r="D2220" s="54" t="s">
        <v>10362</v>
      </c>
      <c r="E2220" s="64" t="s"/>
      <c r="F2220" s="28" t="s">
        <v>10363</v>
      </c>
      <c r="G2220" s="28">
        <v>1</v>
      </c>
    </row>
    <row r="2221" spans="1:7">
      <c r="A2221" s="28">
        <v>1310103</v>
      </c>
      <c r="B2221" s="28" t="s">
        <v>10364</v>
      </c>
      <c r="C2221" s="54">
        <v>3</v>
      </c>
      <c r="D2221" s="54" t="s">
        <v>10365</v>
      </c>
      <c r="E2221" s="64" t="s"/>
      <c r="F2221" s="28" t="s">
        <v>10366</v>
      </c>
      <c r="G2221" s="28">
        <v>1</v>
      </c>
    </row>
    <row r="2222" spans="1:7">
      <c r="A2222" s="28">
        <v>1310104</v>
      </c>
      <c r="B2222" s="28" t="s">
        <v>10367</v>
      </c>
      <c r="C2222" s="54">
        <v>2</v>
      </c>
      <c r="D2222" s="54" t="s">
        <v>10368</v>
      </c>
      <c r="E2222" s="64" t="s"/>
      <c r="F2222" s="28" t="s">
        <v>10369</v>
      </c>
      <c r="G2222" s="28">
        <v>1</v>
      </c>
    </row>
    <row r="2223" spans="1:7">
      <c r="A2223" s="28">
        <v>1310105</v>
      </c>
      <c r="B2223" s="28" t="s">
        <v>10370</v>
      </c>
      <c r="C2223" s="54">
        <v>2</v>
      </c>
      <c r="D2223" s="54" t="s">
        <v>10371</v>
      </c>
      <c r="E2223" s="64" t="s"/>
      <c r="F2223" s="28" t="s">
        <v>10372</v>
      </c>
      <c r="G2223" s="28">
        <v>1</v>
      </c>
    </row>
    <row r="2224" spans="1:7">
      <c r="A2224" s="28">
        <v>1310106</v>
      </c>
      <c r="B2224" s="28" t="s">
        <v>10373</v>
      </c>
      <c r="C2224" s="54">
        <v>2</v>
      </c>
      <c r="D2224" s="54" t="s">
        <v>10374</v>
      </c>
      <c r="E2224" s="64" t="s"/>
      <c r="F2224" s="28" t="s">
        <v>10375</v>
      </c>
      <c r="G2224" s="28">
        <v>1</v>
      </c>
    </row>
    <row r="2225" spans="1:7">
      <c r="A2225" s="28">
        <v>1310201</v>
      </c>
      <c r="B2225" s="28" t="s">
        <v>10376</v>
      </c>
      <c r="C2225" s="54">
        <v>3</v>
      </c>
      <c r="D2225" s="54" t="s">
        <v>10377</v>
      </c>
      <c r="E2225" s="64" t="s"/>
      <c r="F2225" s="28" t="s">
        <v>10378</v>
      </c>
      <c r="G2225" s="28">
        <v>1</v>
      </c>
    </row>
    <row r="2226" spans="1:7">
      <c r="A2226" s="28">
        <v>1310202</v>
      </c>
      <c r="B2226" s="28" t="s">
        <v>10379</v>
      </c>
      <c r="C2226" s="54">
        <v>3</v>
      </c>
      <c r="D2226" s="54" t="s">
        <v>10380</v>
      </c>
      <c r="E2226" s="64" t="s"/>
      <c r="F2226" s="28" t="s">
        <v>10381</v>
      </c>
      <c r="G2226" s="28">
        <v>1</v>
      </c>
    </row>
    <row r="2227" spans="1:7">
      <c r="A2227" s="28">
        <v>1310203</v>
      </c>
      <c r="B2227" s="28" t="s">
        <v>10382</v>
      </c>
      <c r="C2227" s="54">
        <v>3</v>
      </c>
      <c r="D2227" s="54" t="s">
        <v>10383</v>
      </c>
      <c r="E2227" s="64" t="s"/>
      <c r="F2227" s="28" t="s">
        <v>10384</v>
      </c>
      <c r="G2227" s="28">
        <v>1</v>
      </c>
    </row>
    <row r="2228" spans="1:7">
      <c r="A2228" s="28">
        <v>1310204</v>
      </c>
      <c r="B2228" s="28" t="s">
        <v>10385</v>
      </c>
      <c r="C2228" s="54">
        <v>2</v>
      </c>
      <c r="D2228" s="54" t="s">
        <v>10386</v>
      </c>
      <c r="E2228" s="64" t="s"/>
      <c r="F2228" s="28" t="s">
        <v>10387</v>
      </c>
      <c r="G2228" s="28">
        <v>1</v>
      </c>
    </row>
    <row r="2229" spans="1:7">
      <c r="A2229" s="28">
        <v>1310205</v>
      </c>
      <c r="B2229" s="28" t="s">
        <v>10388</v>
      </c>
      <c r="C2229" s="54">
        <v>2</v>
      </c>
      <c r="D2229" s="54" t="s">
        <v>10389</v>
      </c>
      <c r="E2229" s="64" t="s"/>
      <c r="F2229" s="28" t="s">
        <v>10390</v>
      </c>
      <c r="G2229" s="28">
        <v>1</v>
      </c>
    </row>
    <row r="2230" spans="1:7">
      <c r="A2230" s="28">
        <v>1310206</v>
      </c>
      <c r="B2230" s="28" t="s">
        <v>10391</v>
      </c>
      <c r="C2230" s="54">
        <v>2</v>
      </c>
      <c r="D2230" s="54" t="s">
        <v>10392</v>
      </c>
      <c r="E2230" s="64" t="s"/>
      <c r="F2230" s="28" t="s">
        <v>10393</v>
      </c>
      <c r="G2230" s="28">
        <v>1</v>
      </c>
    </row>
    <row r="2231" spans="1:7">
      <c r="A2231" s="28">
        <v>1310301</v>
      </c>
      <c r="B2231" s="28" t="s">
        <v>10394</v>
      </c>
      <c r="C2231" s="54">
        <v>3</v>
      </c>
      <c r="D2231" s="54" t="s">
        <v>10395</v>
      </c>
      <c r="E2231" s="64" t="s"/>
      <c r="F2231" s="28" t="s">
        <v>10396</v>
      </c>
      <c r="G2231" s="28">
        <v>1</v>
      </c>
    </row>
    <row r="2232" spans="1:7">
      <c r="A2232" s="28">
        <v>1310302</v>
      </c>
      <c r="B2232" s="28" t="s">
        <v>10397</v>
      </c>
      <c r="C2232" s="54">
        <v>3</v>
      </c>
      <c r="D2232" s="54" t="s">
        <v>10398</v>
      </c>
      <c r="E2232" s="64" t="s"/>
      <c r="F2232" s="28" t="s">
        <v>10399</v>
      </c>
      <c r="G2232" s="28">
        <v>1</v>
      </c>
    </row>
    <row r="2233" spans="1:7">
      <c r="A2233" s="28">
        <v>1310303</v>
      </c>
      <c r="B2233" s="28" t="s">
        <v>10400</v>
      </c>
      <c r="C2233" s="54">
        <v>3</v>
      </c>
      <c r="D2233" s="54" t="s">
        <v>10401</v>
      </c>
      <c r="E2233" s="64" t="s"/>
      <c r="F2233" s="28" t="s">
        <v>10402</v>
      </c>
      <c r="G2233" s="28">
        <v>1</v>
      </c>
    </row>
    <row r="2234" spans="1:7">
      <c r="A2234" s="28">
        <v>1310304</v>
      </c>
      <c r="B2234" s="28" t="s">
        <v>10403</v>
      </c>
      <c r="C2234" s="54">
        <v>2</v>
      </c>
      <c r="D2234" s="54" t="s">
        <v>10404</v>
      </c>
      <c r="E2234" s="64" t="s"/>
      <c r="F2234" s="28" t="s">
        <v>10405</v>
      </c>
      <c r="G2234" s="28">
        <v>1</v>
      </c>
    </row>
    <row r="2235" spans="1:7">
      <c r="A2235" s="28">
        <v>1310305</v>
      </c>
      <c r="B2235" s="28" t="s">
        <v>10406</v>
      </c>
      <c r="C2235" s="54">
        <v>2</v>
      </c>
      <c r="D2235" s="54" t="s">
        <v>10407</v>
      </c>
      <c r="E2235" s="64" t="s"/>
      <c r="F2235" s="28" t="s">
        <v>10408</v>
      </c>
      <c r="G2235" s="28">
        <v>1</v>
      </c>
    </row>
    <row r="2236" spans="1:7">
      <c r="A2236" s="28">
        <v>1310306</v>
      </c>
      <c r="B2236" s="28" t="s">
        <v>10409</v>
      </c>
      <c r="C2236" s="28">
        <v>2</v>
      </c>
      <c r="D2236" s="54" t="s">
        <v>10410</v>
      </c>
      <c r="E2236" s="64" t="s"/>
      <c r="F2236" s="28" t="s">
        <v>10411</v>
      </c>
      <c r="G2236" s="28">
        <v>1</v>
      </c>
    </row>
    <row r="2237" spans="1:7">
      <c r="A2237" s="28">
        <v>1310401</v>
      </c>
      <c r="B2237" s="28" t="s">
        <v>10412</v>
      </c>
      <c r="C2237" s="28">
        <v>3</v>
      </c>
      <c r="D2237" s="54" t="s">
        <v>10413</v>
      </c>
      <c r="E2237" s="64" t="s"/>
      <c r="F2237" s="28" t="s">
        <v>10414</v>
      </c>
      <c r="G2237" s="28">
        <v>1</v>
      </c>
    </row>
    <row r="2238" spans="1:7">
      <c r="A2238" s="28">
        <v>1310402</v>
      </c>
      <c r="B2238" s="28" t="s">
        <v>10415</v>
      </c>
      <c r="C2238" s="28">
        <v>3</v>
      </c>
      <c r="D2238" s="54" t="s">
        <v>10416</v>
      </c>
      <c r="E2238" s="64" t="s"/>
      <c r="F2238" s="28" t="s">
        <v>10417</v>
      </c>
      <c r="G2238" s="28">
        <v>1</v>
      </c>
    </row>
    <row r="2239" spans="1:7">
      <c r="A2239" s="28">
        <v>1310403</v>
      </c>
      <c r="B2239" s="28" t="s">
        <v>10418</v>
      </c>
      <c r="C2239" s="28">
        <v>3</v>
      </c>
      <c r="D2239" s="54" t="s">
        <v>10419</v>
      </c>
      <c r="E2239" s="64" t="s"/>
      <c r="F2239" s="28" t="s">
        <v>10420</v>
      </c>
      <c r="G2239" s="28">
        <v>1</v>
      </c>
    </row>
    <row r="2240" spans="1:7">
      <c r="A2240" s="28">
        <v>1310404</v>
      </c>
      <c r="B2240" s="28" t="s">
        <v>10421</v>
      </c>
      <c r="C2240" s="28">
        <v>2</v>
      </c>
      <c r="D2240" s="54" t="s">
        <v>10422</v>
      </c>
      <c r="E2240" s="64" t="s"/>
      <c r="F2240" s="28" t="s">
        <v>10423</v>
      </c>
      <c r="G2240" s="28">
        <v>1</v>
      </c>
    </row>
    <row r="2241" spans="1:7">
      <c r="A2241" s="28">
        <v>1310405</v>
      </c>
      <c r="B2241" s="28" t="s">
        <v>10424</v>
      </c>
      <c r="C2241" s="54">
        <v>2</v>
      </c>
      <c r="D2241" s="54" t="s">
        <v>10425</v>
      </c>
      <c r="E2241" s="64" t="s"/>
      <c r="F2241" s="28" t="s">
        <v>10426</v>
      </c>
      <c r="G2241" s="28">
        <v>1</v>
      </c>
    </row>
    <row r="2242" spans="1:7">
      <c r="A2242" s="28">
        <v>1310406</v>
      </c>
      <c r="B2242" s="28" t="s">
        <v>10427</v>
      </c>
      <c r="C2242" s="28">
        <v>2</v>
      </c>
      <c r="D2242" s="54" t="s">
        <v>10428</v>
      </c>
      <c r="E2242" s="64" t="s"/>
      <c r="F2242" s="28" t="s">
        <v>10429</v>
      </c>
      <c r="G2242" s="28">
        <v>1</v>
      </c>
    </row>
    <row r="2243" spans="1:7">
      <c r="A2243" s="28">
        <v>1310501</v>
      </c>
      <c r="B2243" s="28" t="s">
        <v>10430</v>
      </c>
      <c r="C2243" s="28">
        <v>3</v>
      </c>
      <c r="D2243" s="54" t="s">
        <v>10431</v>
      </c>
      <c r="E2243" s="64" t="s"/>
      <c r="F2243" s="28" t="s">
        <v>10432</v>
      </c>
      <c r="G2243" s="28">
        <v>1</v>
      </c>
    </row>
    <row r="2244" spans="1:7">
      <c r="A2244" s="28">
        <v>1310502</v>
      </c>
      <c r="B2244" s="28" t="s">
        <v>10433</v>
      </c>
      <c r="C2244" s="28">
        <v>3</v>
      </c>
      <c r="D2244" s="54" t="s">
        <v>10434</v>
      </c>
      <c r="E2244" s="64" t="s"/>
      <c r="F2244" s="28" t="s">
        <v>10435</v>
      </c>
      <c r="G2244" s="28">
        <v>1</v>
      </c>
    </row>
    <row r="2245" spans="1:7">
      <c r="A2245" s="28">
        <v>1310503</v>
      </c>
      <c r="B2245" s="28" t="s">
        <v>10436</v>
      </c>
      <c r="C2245" s="28">
        <v>3</v>
      </c>
      <c r="D2245" s="54" t="s">
        <v>10437</v>
      </c>
      <c r="E2245" s="64" t="s"/>
      <c r="F2245" s="28" t="s">
        <v>10438</v>
      </c>
      <c r="G2245" s="28">
        <v>1</v>
      </c>
    </row>
    <row r="2246" spans="1:7">
      <c r="A2246" s="28">
        <v>1310601</v>
      </c>
      <c r="B2246" s="28" t="s">
        <v>10439</v>
      </c>
      <c r="C2246" s="54">
        <v>3</v>
      </c>
      <c r="D2246" s="54" t="s">
        <v>10440</v>
      </c>
      <c r="E2246" s="64" t="s"/>
      <c r="F2246" s="28" t="s">
        <v>10441</v>
      </c>
      <c r="G2246" s="28">
        <v>1</v>
      </c>
    </row>
    <row r="2247" spans="1:7">
      <c r="A2247" s="28">
        <v>1310602</v>
      </c>
      <c r="B2247" s="28" t="s">
        <v>10442</v>
      </c>
      <c r="C2247" s="28">
        <v>3</v>
      </c>
      <c r="D2247" s="54" t="s">
        <v>10443</v>
      </c>
      <c r="E2247" s="64" t="s"/>
      <c r="F2247" s="28" t="s">
        <v>10444</v>
      </c>
      <c r="G2247" s="28">
        <v>1</v>
      </c>
    </row>
    <row r="2248" spans="1:7">
      <c r="A2248" s="28">
        <v>1310603</v>
      </c>
      <c r="B2248" s="28" t="s">
        <v>10445</v>
      </c>
      <c r="C2248" s="28">
        <v>3</v>
      </c>
      <c r="D2248" s="54" t="s">
        <v>10446</v>
      </c>
      <c r="E2248" s="64" t="s"/>
      <c r="F2248" s="28" t="s">
        <v>10447</v>
      </c>
      <c r="G2248" s="28">
        <v>1</v>
      </c>
    </row>
    <row r="2249" spans="1:7">
      <c r="A2249" s="28">
        <v>1310701</v>
      </c>
      <c r="B2249" s="28" t="s">
        <v>10448</v>
      </c>
      <c r="C2249" s="54">
        <v>3</v>
      </c>
      <c r="D2249" s="54" t="s">
        <v>10449</v>
      </c>
      <c r="E2249" s="64" t="s"/>
      <c r="F2249" s="28" t="s">
        <v>10450</v>
      </c>
      <c r="G2249" s="28">
        <v>1</v>
      </c>
    </row>
    <row r="2250" spans="1:7">
      <c r="A2250" s="28">
        <v>1310702</v>
      </c>
      <c r="B2250" s="28" t="s">
        <v>10451</v>
      </c>
      <c r="C2250" s="54">
        <v>3</v>
      </c>
      <c r="D2250" s="54" t="s">
        <v>10452</v>
      </c>
      <c r="E2250" s="64" t="s"/>
      <c r="F2250" s="28" t="s">
        <v>10453</v>
      </c>
      <c r="G2250" s="28">
        <v>1</v>
      </c>
    </row>
    <row r="2251" spans="1:7">
      <c r="A2251" s="28">
        <v>1310703</v>
      </c>
      <c r="B2251" s="28" t="s">
        <v>10454</v>
      </c>
      <c r="C2251" s="28">
        <v>3</v>
      </c>
      <c r="D2251" s="54" t="s">
        <v>10455</v>
      </c>
      <c r="E2251" s="64" t="s"/>
      <c r="F2251" s="28" t="s">
        <v>10456</v>
      </c>
      <c r="G2251" s="28">
        <v>1</v>
      </c>
    </row>
    <row r="2252" spans="1:7">
      <c r="A2252" s="28">
        <v>1310801</v>
      </c>
      <c r="B2252" s="28" t="s">
        <v>10457</v>
      </c>
      <c r="C2252" s="28">
        <v>3</v>
      </c>
      <c r="D2252" s="54" t="s">
        <v>10458</v>
      </c>
      <c r="E2252" s="64" t="s"/>
      <c r="F2252" s="28" t="s">
        <v>10459</v>
      </c>
      <c r="G2252" s="28">
        <v>1</v>
      </c>
    </row>
    <row r="2253" spans="1:7">
      <c r="A2253" s="28">
        <v>1310802</v>
      </c>
      <c r="B2253" s="28" t="s">
        <v>10460</v>
      </c>
      <c r="C2253" s="28">
        <v>3</v>
      </c>
      <c r="D2253" s="54" t="s">
        <v>10461</v>
      </c>
      <c r="E2253" s="64" t="s"/>
      <c r="F2253" s="28" t="s">
        <v>10462</v>
      </c>
      <c r="G2253" s="28">
        <v>1</v>
      </c>
    </row>
    <row r="2254" spans="1:7">
      <c r="A2254" s="28">
        <v>1310803</v>
      </c>
      <c r="B2254" s="28" t="s">
        <v>10463</v>
      </c>
      <c r="C2254" s="54">
        <v>3</v>
      </c>
      <c r="D2254" s="54" t="s">
        <v>10464</v>
      </c>
      <c r="E2254" s="64" t="s"/>
      <c r="F2254" s="28" t="s">
        <v>10465</v>
      </c>
      <c r="G2254" s="28">
        <v>1</v>
      </c>
    </row>
    <row r="2255" spans="1:7">
      <c r="A2255" s="28">
        <v>1310901</v>
      </c>
      <c r="B2255" s="28" t="s">
        <v>10466</v>
      </c>
      <c r="C2255" s="28">
        <v>3</v>
      </c>
      <c r="D2255" s="54" t="s">
        <v>10467</v>
      </c>
      <c r="E2255" s="64" t="s"/>
      <c r="F2255" s="28" t="s">
        <v>9071</v>
      </c>
      <c r="G2255" s="28">
        <v>1</v>
      </c>
    </row>
    <row r="2256" spans="1:7">
      <c r="A2256" s="28">
        <v>1310902</v>
      </c>
      <c r="B2256" s="28" t="s">
        <v>10468</v>
      </c>
      <c r="C2256" s="54">
        <v>3</v>
      </c>
      <c r="D2256" s="54" t="s">
        <v>10469</v>
      </c>
      <c r="E2256" s="64" t="s"/>
      <c r="F2256" s="28" t="s">
        <v>10470</v>
      </c>
      <c r="G2256" s="28">
        <v>1</v>
      </c>
    </row>
    <row r="2257" spans="1:7">
      <c r="A2257" s="28">
        <v>1310903</v>
      </c>
      <c r="B2257" s="28" t="s">
        <v>10471</v>
      </c>
      <c r="C2257" s="54">
        <v>2</v>
      </c>
      <c r="D2257" s="54" t="s">
        <v>10472</v>
      </c>
      <c r="E2257" s="64" t="s"/>
      <c r="F2257" s="28" t="s">
        <v>10473</v>
      </c>
      <c r="G2257" s="28">
        <v>1</v>
      </c>
    </row>
    <row r="2258" spans="1:7">
      <c r="A2258" s="28">
        <v>1310904</v>
      </c>
      <c r="B2258" s="28" t="s">
        <v>10474</v>
      </c>
      <c r="C2258" s="54">
        <v>3</v>
      </c>
      <c r="D2258" s="54" t="s">
        <v>10475</v>
      </c>
      <c r="E2258" s="64" t="s"/>
      <c r="F2258" s="28" t="s">
        <v>9091</v>
      </c>
      <c r="G2258" s="28">
        <v>1</v>
      </c>
    </row>
    <row r="2259" spans="1:7">
      <c r="A2259" s="28">
        <v>1310905</v>
      </c>
      <c r="B2259" s="28" t="s">
        <v>10476</v>
      </c>
      <c r="C2259" s="54">
        <v>3</v>
      </c>
      <c r="D2259" s="54" t="s">
        <v>10122</v>
      </c>
      <c r="E2259" s="64" t="s"/>
      <c r="F2259" s="28" t="s">
        <v>9095</v>
      </c>
      <c r="G2259" s="28">
        <v>1</v>
      </c>
    </row>
    <row r="2260" spans="1:7">
      <c r="A2260" s="28">
        <v>1310906</v>
      </c>
      <c r="B2260" s="28" t="s">
        <v>10477</v>
      </c>
      <c r="C2260" s="54">
        <v>2</v>
      </c>
      <c r="D2260" s="54" t="s">
        <v>10129</v>
      </c>
      <c r="E2260" s="64" t="s"/>
      <c r="F2260" s="28" t="s">
        <v>9191</v>
      </c>
      <c r="G2260" s="28">
        <v>1</v>
      </c>
    </row>
    <row r="2261" spans="1:7">
      <c r="A2261" s="28">
        <v>1310907</v>
      </c>
      <c r="B2261" s="28" t="s">
        <v>10478</v>
      </c>
      <c r="C2261" s="54">
        <v>3</v>
      </c>
      <c r="D2261" s="54" t="s">
        <v>10479</v>
      </c>
      <c r="E2261" s="64" t="s"/>
      <c r="F2261" s="28" t="s">
        <v>9187</v>
      </c>
      <c r="G2261" s="28">
        <v>1</v>
      </c>
    </row>
    <row r="2262" spans="1:7">
      <c r="A2262" s="28">
        <v>1310908</v>
      </c>
      <c r="B2262" s="28" t="s">
        <v>10480</v>
      </c>
      <c r="C2262" s="54">
        <v>3</v>
      </c>
      <c r="D2262" s="54" t="s">
        <v>10134</v>
      </c>
      <c r="E2262" s="64" t="s"/>
      <c r="F2262" s="28" t="s">
        <v>9184</v>
      </c>
      <c r="G2262" s="28">
        <v>1</v>
      </c>
    </row>
    <row r="2263" spans="1:7">
      <c r="A2263" s="28">
        <v>1310909</v>
      </c>
      <c r="B2263" s="28" t="s">
        <v>10481</v>
      </c>
      <c r="C2263" s="28">
        <v>2</v>
      </c>
      <c r="D2263" s="54" t="s">
        <v>10482</v>
      </c>
      <c r="E2263" s="64" t="s"/>
      <c r="F2263" s="28" t="s">
        <v>9207</v>
      </c>
      <c r="G2263" s="28">
        <v>1</v>
      </c>
    </row>
    <row r="2264" spans="1:7">
      <c r="A2264" s="28">
        <v>1310910</v>
      </c>
      <c r="B2264" s="28" t="s">
        <v>10483</v>
      </c>
      <c r="C2264" s="28">
        <v>3</v>
      </c>
      <c r="D2264" s="54" t="s">
        <v>10484</v>
      </c>
      <c r="E2264" s="64" t="s"/>
      <c r="F2264" s="28" t="s">
        <v>9127</v>
      </c>
      <c r="G2264" s="28">
        <v>1</v>
      </c>
    </row>
    <row r="2265" spans="1:7">
      <c r="A2265" s="28">
        <v>1310911</v>
      </c>
      <c r="B2265" s="28" t="s">
        <v>10485</v>
      </c>
      <c r="C2265" s="28">
        <v>3</v>
      </c>
      <c r="D2265" s="54" t="s">
        <v>10155</v>
      </c>
      <c r="E2265" s="64" t="s"/>
      <c r="F2265" s="28" t="s">
        <v>9079</v>
      </c>
      <c r="G2265" s="28">
        <v>1</v>
      </c>
    </row>
    <row r="2266" spans="1:7">
      <c r="A2266" s="28">
        <v>1310912</v>
      </c>
      <c r="B2266" s="28" t="s">
        <v>10486</v>
      </c>
      <c r="C2266" s="54">
        <v>2</v>
      </c>
      <c r="D2266" s="54" t="s">
        <v>10160</v>
      </c>
      <c r="E2266" s="64" t="s"/>
      <c r="F2266" s="28" t="s">
        <v>9155</v>
      </c>
      <c r="G2266" s="28">
        <v>1</v>
      </c>
    </row>
    <row r="2267" spans="1:7">
      <c r="A2267" s="28">
        <v>1310913</v>
      </c>
      <c r="B2267" s="28" t="s">
        <v>10487</v>
      </c>
      <c r="C2267" s="54">
        <v>3</v>
      </c>
      <c r="D2267" s="54" t="s">
        <v>9387</v>
      </c>
      <c r="E2267" s="64" t="s"/>
      <c r="F2267" s="28" t="s">
        <v>9176</v>
      </c>
      <c r="G2267" s="28">
        <v>1</v>
      </c>
    </row>
    <row r="2268" spans="1:7">
      <c r="A2268" s="28">
        <v>1310914</v>
      </c>
      <c r="B2268" s="28" t="s">
        <v>10488</v>
      </c>
      <c r="C2268" s="54">
        <v>3</v>
      </c>
      <c r="D2268" s="54" t="s">
        <v>10489</v>
      </c>
      <c r="E2268" s="64" t="s"/>
      <c r="F2268" s="28" t="s">
        <v>9172</v>
      </c>
      <c r="G2268" s="28">
        <v>1</v>
      </c>
    </row>
    <row r="2269" spans="1:7">
      <c r="A2269" s="28">
        <v>1310915</v>
      </c>
      <c r="B2269" s="28" t="s">
        <v>10490</v>
      </c>
      <c r="C2269" s="54">
        <v>2</v>
      </c>
      <c r="D2269" s="54" t="s">
        <v>9423</v>
      </c>
      <c r="E2269" s="64" t="s"/>
      <c r="F2269" s="28" t="s">
        <v>10491</v>
      </c>
      <c r="G2269" s="28">
        <v>1</v>
      </c>
    </row>
    <row r="2270" spans="1:7">
      <c r="A2270" s="28">
        <v>1310916</v>
      </c>
      <c r="B2270" s="28" t="s">
        <v>10492</v>
      </c>
      <c r="C2270" s="54">
        <v>2</v>
      </c>
      <c r="D2270" s="54" t="s">
        <v>10493</v>
      </c>
      <c r="E2270" s="64" t="s"/>
      <c r="F2270" s="28" t="s">
        <v>9231</v>
      </c>
      <c r="G2270" s="28">
        <v>1</v>
      </c>
    </row>
    <row r="2271" spans="1:7">
      <c r="A2271" s="28">
        <v>1310917</v>
      </c>
      <c r="B2271" s="28" t="s">
        <v>10494</v>
      </c>
      <c r="C2271" s="54">
        <v>3</v>
      </c>
      <c r="D2271" s="54" t="s">
        <v>10169</v>
      </c>
      <c r="E2271" s="64" t="s"/>
      <c r="F2271" s="28" t="s">
        <v>10495</v>
      </c>
      <c r="G2271" s="28">
        <v>1</v>
      </c>
    </row>
    <row r="2272" spans="1:7">
      <c r="A2272" s="28">
        <v>1310918</v>
      </c>
      <c r="B2272" s="28" t="s">
        <v>10496</v>
      </c>
      <c r="C2272" s="54">
        <v>3</v>
      </c>
      <c r="D2272" s="54" t="s">
        <v>10497</v>
      </c>
      <c r="E2272" s="64" t="s"/>
      <c r="F2272" s="28" t="s">
        <v>10498</v>
      </c>
      <c r="G2272" s="28">
        <v>1</v>
      </c>
    </row>
    <row r="2273" spans="1:7">
      <c r="A2273" s="28">
        <v>1310919</v>
      </c>
      <c r="B2273" s="28" t="s">
        <v>10499</v>
      </c>
      <c r="C2273" s="54">
        <v>3</v>
      </c>
      <c r="D2273" s="54" t="s">
        <v>8754</v>
      </c>
      <c r="E2273" s="64" t="s"/>
      <c r="F2273" s="28" t="s">
        <v>9115</v>
      </c>
      <c r="G2273" s="28">
        <v>1</v>
      </c>
    </row>
    <row r="2274" spans="1:7">
      <c r="A2274" s="28">
        <v>1310920</v>
      </c>
      <c r="B2274" s="28" t="s">
        <v>10500</v>
      </c>
      <c r="C2274" s="54">
        <v>2</v>
      </c>
      <c r="D2274" s="54" t="s">
        <v>8762</v>
      </c>
      <c r="E2274" s="64" t="s"/>
      <c r="F2274" s="28" t="s">
        <v>9131</v>
      </c>
      <c r="G2274" s="28">
        <v>1</v>
      </c>
    </row>
    <row r="2275" spans="1:7">
      <c r="A2275" s="28">
        <v>1310921</v>
      </c>
      <c r="B2275" s="28" t="s">
        <v>10501</v>
      </c>
      <c r="C2275" s="54">
        <v>3</v>
      </c>
      <c r="D2275" s="54" t="s">
        <v>8818</v>
      </c>
      <c r="E2275" s="64" t="s"/>
      <c r="F2275" s="28" t="s">
        <v>9119</v>
      </c>
      <c r="G2275" s="28">
        <v>1</v>
      </c>
    </row>
    <row r="2276" spans="1:7">
      <c r="A2276" s="28">
        <v>1310922</v>
      </c>
      <c r="B2276" s="28" t="s">
        <v>10502</v>
      </c>
      <c r="C2276" s="54">
        <v>4</v>
      </c>
      <c r="D2276" s="54" t="s">
        <v>10503</v>
      </c>
      <c r="E2276" s="64" t="s"/>
      <c r="F2276" s="28" t="s">
        <v>10504</v>
      </c>
      <c r="G2276" s="28">
        <v>1</v>
      </c>
    </row>
    <row r="2277" spans="1:7">
      <c r="A2277" s="28">
        <v>1310923</v>
      </c>
      <c r="B2277" s="28" t="s">
        <v>10505</v>
      </c>
      <c r="C2277" s="54">
        <v>4</v>
      </c>
      <c r="D2277" s="54" t="s">
        <v>10506</v>
      </c>
      <c r="E2277" s="64" t="s"/>
      <c r="F2277" s="28" t="s">
        <v>10504</v>
      </c>
      <c r="G2277" s="28">
        <v>1</v>
      </c>
    </row>
    <row r="2278" spans="1:7">
      <c r="A2278" s="28">
        <v>1310924</v>
      </c>
      <c r="B2278" s="28" t="s">
        <v>10507</v>
      </c>
      <c r="C2278" s="54">
        <v>4</v>
      </c>
      <c r="D2278" s="54" t="s">
        <v>10508</v>
      </c>
      <c r="E2278" s="64" t="s"/>
      <c r="F2278" s="28" t="s">
        <v>10504</v>
      </c>
      <c r="G2278" s="28">
        <v>1</v>
      </c>
    </row>
    <row r="2279" spans="1:7">
      <c r="A2279" s="28">
        <v>1310925</v>
      </c>
      <c r="B2279" s="28" t="s">
        <v>10509</v>
      </c>
      <c r="C2279" s="54">
        <v>4</v>
      </c>
      <c r="D2279" s="54" t="s">
        <v>10510</v>
      </c>
      <c r="E2279" s="64" t="s"/>
      <c r="F2279" s="28" t="s">
        <v>10504</v>
      </c>
      <c r="G2279" s="28">
        <v>1</v>
      </c>
    </row>
    <row r="2280" spans="1:7">
      <c r="A2280" s="28">
        <v>1310926</v>
      </c>
      <c r="B2280" s="28" t="s">
        <v>10511</v>
      </c>
      <c r="C2280" s="54">
        <v>4</v>
      </c>
      <c r="D2280" s="54" t="s">
        <v>10512</v>
      </c>
      <c r="E2280" s="64" t="s"/>
      <c r="F2280" s="28" t="s">
        <v>10504</v>
      </c>
      <c r="G2280" s="28">
        <v>1</v>
      </c>
    </row>
    <row r="2281" spans="1:7">
      <c r="A2281" s="28">
        <v>1310927</v>
      </c>
      <c r="B2281" s="28" t="s">
        <v>10513</v>
      </c>
      <c r="C2281" s="54">
        <v>4</v>
      </c>
      <c r="D2281" s="54" t="s">
        <v>10514</v>
      </c>
      <c r="E2281" s="64" t="s"/>
      <c r="F2281" s="28" t="s">
        <v>10504</v>
      </c>
      <c r="G2281" s="28">
        <v>1</v>
      </c>
    </row>
    <row r="2282" spans="1:7">
      <c r="A2282" s="28">
        <v>1310928</v>
      </c>
      <c r="B2282" s="28" t="s">
        <v>10515</v>
      </c>
      <c r="C2282" s="54">
        <v>4</v>
      </c>
      <c r="D2282" s="54" t="s">
        <v>10516</v>
      </c>
      <c r="E2282" s="64" t="s"/>
      <c r="F2282" s="28" t="s">
        <v>10504</v>
      </c>
      <c r="G2282" s="28">
        <v>1</v>
      </c>
    </row>
    <row r="2283" spans="1:7">
      <c r="A2283" s="28">
        <v>1310929</v>
      </c>
      <c r="B2283" s="28" t="s">
        <v>10517</v>
      </c>
      <c r="C2283" s="54">
        <v>4</v>
      </c>
      <c r="D2283" s="54" t="s">
        <v>10518</v>
      </c>
      <c r="E2283" s="64" t="s"/>
      <c r="F2283" s="28" t="s">
        <v>10504</v>
      </c>
      <c r="G2283" s="28">
        <v>1</v>
      </c>
    </row>
    <row r="2284" spans="1:7">
      <c r="A2284" s="28">
        <v>1310930</v>
      </c>
      <c r="B2284" s="28" t="s">
        <v>10519</v>
      </c>
      <c r="C2284" s="54">
        <v>4</v>
      </c>
      <c r="D2284" s="54" t="s">
        <v>10520</v>
      </c>
      <c r="E2284" s="64" t="s"/>
      <c r="F2284" s="28" t="s">
        <v>10504</v>
      </c>
      <c r="G2284" s="28">
        <v>1</v>
      </c>
    </row>
    <row r="2285" spans="1:7">
      <c r="A2285" s="28">
        <v>1310931</v>
      </c>
      <c r="B2285" s="28" t="s">
        <v>10521</v>
      </c>
      <c r="C2285" s="54">
        <v>4</v>
      </c>
      <c r="D2285" s="54" t="s">
        <v>10522</v>
      </c>
      <c r="E2285" s="64" t="s"/>
      <c r="F2285" s="28" t="s">
        <v>10504</v>
      </c>
      <c r="G2285" s="28">
        <v>1</v>
      </c>
    </row>
    <row r="2286" spans="1:7">
      <c r="A2286" s="28">
        <v>1310932</v>
      </c>
      <c r="B2286" s="28" t="s">
        <v>10523</v>
      </c>
      <c r="C2286" s="54">
        <v>4</v>
      </c>
      <c r="D2286" s="54" t="s">
        <v>10524</v>
      </c>
      <c r="E2286" s="64" t="s"/>
      <c r="F2286" s="28" t="s">
        <v>10504</v>
      </c>
      <c r="G2286" s="28">
        <v>1</v>
      </c>
    </row>
    <row r="2287" spans="1:7">
      <c r="A2287" s="28">
        <v>1311001</v>
      </c>
      <c r="B2287" s="28" t="s">
        <v>10525</v>
      </c>
      <c r="C2287" s="54">
        <v>3</v>
      </c>
      <c r="D2287" s="54" t="s">
        <v>10526</v>
      </c>
      <c r="E2287" s="64" t="s"/>
      <c r="F2287" s="28" t="s">
        <v>10527</v>
      </c>
      <c r="G2287" s="28">
        <v>1</v>
      </c>
    </row>
    <row r="2288" spans="1:7">
      <c r="A2288" s="28">
        <v>1311002</v>
      </c>
      <c r="B2288" s="28" t="s">
        <v>10528</v>
      </c>
      <c r="C2288" s="54">
        <v>3</v>
      </c>
      <c r="D2288" s="54" t="s">
        <v>10529</v>
      </c>
      <c r="E2288" s="64" t="s"/>
      <c r="F2288" s="28" t="s">
        <v>10530</v>
      </c>
      <c r="G2288" s="28">
        <v>1</v>
      </c>
    </row>
    <row r="2289" spans="1:7">
      <c r="A2289" s="28">
        <v>1311003</v>
      </c>
      <c r="B2289" s="28" t="s">
        <v>10531</v>
      </c>
      <c r="C2289" s="54">
        <v>3</v>
      </c>
      <c r="D2289" s="54" t="s">
        <v>10532</v>
      </c>
      <c r="E2289" s="64" t="s"/>
      <c r="F2289" s="28" t="s">
        <v>10533</v>
      </c>
      <c r="G2289" s="28">
        <v>1</v>
      </c>
    </row>
    <row r="2290" spans="1:7">
      <c r="A2290" s="28">
        <v>1311004</v>
      </c>
      <c r="B2290" s="28" t="s">
        <v>10534</v>
      </c>
      <c r="C2290" s="54">
        <v>2</v>
      </c>
      <c r="D2290" s="54" t="s">
        <v>10535</v>
      </c>
      <c r="E2290" s="64" t="s"/>
      <c r="F2290" s="28" t="s">
        <v>10536</v>
      </c>
      <c r="G2290" s="28">
        <v>1</v>
      </c>
    </row>
    <row r="2291" spans="1:7">
      <c r="A2291" s="28">
        <v>1311005</v>
      </c>
      <c r="B2291" s="28" t="s">
        <v>10537</v>
      </c>
      <c r="C2291" s="54">
        <v>2</v>
      </c>
      <c r="D2291" s="54" t="s">
        <v>10538</v>
      </c>
      <c r="E2291" s="64" t="s"/>
      <c r="F2291" s="28" t="s">
        <v>10539</v>
      </c>
      <c r="G2291" s="28">
        <v>1</v>
      </c>
    </row>
    <row r="2292" spans="1:7">
      <c r="A2292" s="28">
        <v>1311006</v>
      </c>
      <c r="B2292" s="28" t="s">
        <v>10540</v>
      </c>
      <c r="C2292" s="54">
        <v>2</v>
      </c>
      <c r="D2292" s="54" t="s">
        <v>10541</v>
      </c>
      <c r="E2292" s="64" t="s"/>
      <c r="F2292" s="28" t="s">
        <v>10542</v>
      </c>
      <c r="G2292" s="28">
        <v>1</v>
      </c>
    </row>
    <row r="2293" spans="1:7">
      <c r="A2293" s="28">
        <v>1312201</v>
      </c>
      <c r="B2293" s="28" t="s">
        <v>10543</v>
      </c>
      <c r="C2293" s="54">
        <v>3</v>
      </c>
      <c r="D2293" s="54" t="s">
        <v>10544</v>
      </c>
      <c r="E2293" s="64" t="s"/>
      <c r="F2293" s="28" t="s">
        <v>10545</v>
      </c>
      <c r="G2293" s="28">
        <v>1</v>
      </c>
    </row>
    <row r="2294" spans="1:7">
      <c r="A2294" s="28">
        <v>1312202</v>
      </c>
      <c r="B2294" s="28" t="s">
        <v>10546</v>
      </c>
      <c r="C2294" s="54">
        <v>3</v>
      </c>
      <c r="D2294" s="54" t="s">
        <v>10547</v>
      </c>
      <c r="E2294" s="64" t="s"/>
      <c r="F2294" s="28" t="s">
        <v>10548</v>
      </c>
      <c r="G2294" s="28">
        <v>1</v>
      </c>
    </row>
    <row r="2295" spans="1:7">
      <c r="A2295" s="28">
        <v>1312203</v>
      </c>
      <c r="B2295" s="28" t="s">
        <v>10549</v>
      </c>
      <c r="C2295" s="54">
        <v>3</v>
      </c>
      <c r="D2295" s="54" t="s">
        <v>10550</v>
      </c>
      <c r="E2295" s="64" t="s"/>
      <c r="F2295" s="28" t="s">
        <v>10551</v>
      </c>
      <c r="G2295" s="28">
        <v>1</v>
      </c>
    </row>
    <row r="2296" spans="1:7">
      <c r="A2296" s="28">
        <v>1312301</v>
      </c>
      <c r="B2296" s="28" t="s">
        <v>10552</v>
      </c>
      <c r="C2296" s="54">
        <v>3</v>
      </c>
      <c r="D2296" s="54" t="s">
        <v>10553</v>
      </c>
      <c r="E2296" s="64" t="s"/>
      <c r="F2296" s="28" t="s">
        <v>10554</v>
      </c>
      <c r="G2296" s="28">
        <v>1</v>
      </c>
    </row>
    <row r="2297" spans="1:7">
      <c r="A2297" s="28">
        <v>1312302</v>
      </c>
      <c r="B2297" s="28" t="s">
        <v>10555</v>
      </c>
      <c r="C2297" s="54">
        <v>3</v>
      </c>
      <c r="D2297" s="54" t="s">
        <v>10556</v>
      </c>
      <c r="E2297" s="64" t="s"/>
      <c r="F2297" s="28" t="s">
        <v>10557</v>
      </c>
      <c r="G2297" s="28">
        <v>1</v>
      </c>
    </row>
    <row r="2298" spans="1:7">
      <c r="A2298" s="28">
        <v>1312303</v>
      </c>
      <c r="B2298" s="28" t="s">
        <v>10558</v>
      </c>
      <c r="C2298" s="54">
        <v>3</v>
      </c>
      <c r="D2298" s="54" t="s">
        <v>10559</v>
      </c>
      <c r="E2298" s="64" t="s"/>
      <c r="F2298" s="28" t="s">
        <v>10560</v>
      </c>
      <c r="G2298" s="28">
        <v>1</v>
      </c>
    </row>
    <row r="2299" spans="1:7">
      <c r="A2299" s="28">
        <v>1312401</v>
      </c>
      <c r="B2299" s="28" t="s">
        <v>10561</v>
      </c>
      <c r="C2299" s="54">
        <v>3</v>
      </c>
      <c r="D2299" s="54" t="s">
        <v>10562</v>
      </c>
      <c r="E2299" s="64" t="s"/>
      <c r="F2299" s="28" t="s">
        <v>10563</v>
      </c>
      <c r="G2299" s="28">
        <v>1</v>
      </c>
    </row>
    <row r="2300" spans="1:7">
      <c r="A2300" s="28">
        <v>1312402</v>
      </c>
      <c r="B2300" s="28" t="s">
        <v>10564</v>
      </c>
      <c r="C2300" s="54">
        <v>3</v>
      </c>
      <c r="D2300" s="54" t="s">
        <v>10565</v>
      </c>
      <c r="E2300" s="64" t="s"/>
      <c r="F2300" s="28" t="s">
        <v>10566</v>
      </c>
      <c r="G2300" s="28">
        <v>1</v>
      </c>
    </row>
    <row r="2301" spans="1:7">
      <c r="A2301" s="28">
        <v>1312403</v>
      </c>
      <c r="B2301" s="28" t="s">
        <v>10567</v>
      </c>
      <c r="C2301" s="54">
        <v>3</v>
      </c>
      <c r="D2301" s="54" t="s">
        <v>10568</v>
      </c>
      <c r="E2301" s="64" t="s"/>
      <c r="F2301" s="28" t="s">
        <v>10569</v>
      </c>
      <c r="G2301" s="28">
        <v>1</v>
      </c>
    </row>
    <row r="2302" spans="1:7">
      <c r="A2302" s="28">
        <v>1312501</v>
      </c>
      <c r="B2302" s="28" t="s">
        <v>10570</v>
      </c>
      <c r="C2302" s="54">
        <v>3</v>
      </c>
      <c r="D2302" s="54" t="s">
        <v>10571</v>
      </c>
      <c r="E2302" s="64" t="s"/>
      <c r="F2302" s="28" t="s">
        <v>10572</v>
      </c>
      <c r="G2302" s="28">
        <v>1</v>
      </c>
    </row>
    <row r="2303" spans="1:7">
      <c r="A2303" s="28">
        <v>1312502</v>
      </c>
      <c r="B2303" s="28" t="s">
        <v>10573</v>
      </c>
      <c r="C2303" s="54">
        <v>3</v>
      </c>
      <c r="D2303" s="54" t="s">
        <v>10574</v>
      </c>
      <c r="E2303" s="64" t="s"/>
      <c r="F2303" s="28" t="s">
        <v>10575</v>
      </c>
      <c r="G2303" s="28">
        <v>1</v>
      </c>
    </row>
    <row r="2304" spans="1:7">
      <c r="A2304" s="28">
        <v>1312503</v>
      </c>
      <c r="B2304" s="28" t="s">
        <v>10576</v>
      </c>
      <c r="C2304" s="54">
        <v>3</v>
      </c>
      <c r="D2304" s="54" t="s">
        <v>10577</v>
      </c>
      <c r="E2304" s="64" t="s"/>
      <c r="F2304" s="28" t="s">
        <v>10578</v>
      </c>
      <c r="G2304" s="28">
        <v>1</v>
      </c>
    </row>
    <row r="2305" spans="1:7">
      <c r="A2305" s="28">
        <v>1319901</v>
      </c>
      <c r="B2305" s="28" t="s">
        <v>10579</v>
      </c>
      <c r="C2305" s="54">
        <v>3</v>
      </c>
      <c r="D2305" s="54" t="s">
        <v>10580</v>
      </c>
      <c r="E2305" s="64" t="s"/>
      <c r="F2305" s="28" t="s">
        <v>10581</v>
      </c>
      <c r="G2305" s="28">
        <v>1</v>
      </c>
    </row>
    <row r="2306" spans="1:7">
      <c r="A2306" s="28">
        <v>1319902</v>
      </c>
      <c r="B2306" s="28" t="s">
        <v>10582</v>
      </c>
      <c r="C2306" s="54">
        <v>3</v>
      </c>
      <c r="D2306" s="54" t="s">
        <v>10583</v>
      </c>
      <c r="E2306" s="64" t="s"/>
      <c r="F2306" s="28" t="s">
        <v>10584</v>
      </c>
      <c r="G2306" s="28">
        <v>1</v>
      </c>
    </row>
    <row r="2307" spans="1:7">
      <c r="A2307" s="28">
        <v>1319903</v>
      </c>
      <c r="B2307" s="28" t="s">
        <v>10585</v>
      </c>
      <c r="C2307" s="54">
        <v>3</v>
      </c>
      <c r="D2307" s="54" t="s">
        <v>10586</v>
      </c>
      <c r="E2307" s="64" t="s"/>
      <c r="F2307" s="28" t="s">
        <v>10587</v>
      </c>
      <c r="G2307" s="28">
        <v>1</v>
      </c>
    </row>
    <row r="2308" spans="1:7">
      <c r="A2308" s="28">
        <v>1319904</v>
      </c>
      <c r="B2308" s="28" t="s">
        <v>10588</v>
      </c>
      <c r="C2308" s="54">
        <v>4</v>
      </c>
      <c r="D2308" s="54" t="s">
        <v>10589</v>
      </c>
      <c r="E2308" s="64" t="s"/>
      <c r="F2308" s="28" t="s">
        <v>10590</v>
      </c>
      <c r="G2308" s="28">
        <v>1</v>
      </c>
    </row>
    <row r="2309" spans="1:7">
      <c r="A2309" s="28">
        <v>1319905</v>
      </c>
      <c r="B2309" s="28" t="s">
        <v>10591</v>
      </c>
      <c r="C2309" s="54">
        <v>4</v>
      </c>
      <c r="D2309" s="54" t="s">
        <v>10592</v>
      </c>
      <c r="E2309" s="64" t="s"/>
      <c r="F2309" s="28" t="s">
        <v>10593</v>
      </c>
      <c r="G2309" s="28">
        <v>1</v>
      </c>
    </row>
    <row r="2310" spans="1:7">
      <c r="A2310" s="28">
        <v>1320101</v>
      </c>
      <c r="B2310" s="28" t="s">
        <v>10594</v>
      </c>
      <c r="C2310" s="54">
        <v>4</v>
      </c>
      <c r="D2310" s="54" t="s">
        <v>10595</v>
      </c>
      <c r="E2310" s="64" t="s"/>
      <c r="F2310" s="28" t="s">
        <v>10596</v>
      </c>
      <c r="G2310" s="28">
        <v>1</v>
      </c>
    </row>
    <row r="2311" spans="1:7">
      <c r="A2311" s="28">
        <v>1320102</v>
      </c>
      <c r="B2311" s="28" t="s">
        <v>10597</v>
      </c>
      <c r="C2311" s="54">
        <v>4</v>
      </c>
      <c r="D2311" s="54" t="s">
        <v>10598</v>
      </c>
      <c r="E2311" s="64" t="s"/>
      <c r="F2311" s="28" t="s">
        <v>10599</v>
      </c>
      <c r="G2311" s="28">
        <v>1</v>
      </c>
    </row>
    <row r="2312" spans="1:7">
      <c r="A2312" s="28">
        <v>1320201</v>
      </c>
      <c r="B2312" s="28" t="s">
        <v>10600</v>
      </c>
      <c r="C2312" s="54">
        <v>4</v>
      </c>
      <c r="D2312" s="54" t="s">
        <v>10601</v>
      </c>
      <c r="E2312" s="64" t="s"/>
      <c r="F2312" s="28" t="s">
        <v>10602</v>
      </c>
      <c r="G2312" s="28">
        <v>1</v>
      </c>
    </row>
    <row r="2313" spans="1:7">
      <c r="A2313" s="28">
        <v>1320202</v>
      </c>
      <c r="B2313" s="28" t="s">
        <v>10603</v>
      </c>
      <c r="C2313" s="54">
        <v>4</v>
      </c>
      <c r="D2313" s="54" t="s">
        <v>10604</v>
      </c>
      <c r="E2313" s="64" t="s"/>
      <c r="F2313" s="28" t="s">
        <v>10605</v>
      </c>
      <c r="G2313" s="28">
        <v>1</v>
      </c>
    </row>
    <row r="2314" spans="1:7">
      <c r="A2314" s="28">
        <v>1320301</v>
      </c>
      <c r="B2314" s="28" t="s">
        <v>10606</v>
      </c>
      <c r="C2314" s="28">
        <v>4</v>
      </c>
      <c r="D2314" s="54" t="s">
        <v>10607</v>
      </c>
      <c r="E2314" s="64" t="s"/>
      <c r="F2314" s="28" t="s">
        <v>10608</v>
      </c>
      <c r="G2314" s="28">
        <v>1</v>
      </c>
    </row>
    <row r="2315" spans="1:7">
      <c r="A2315" s="28">
        <v>1320302</v>
      </c>
      <c r="B2315" s="28" t="s">
        <v>10609</v>
      </c>
      <c r="C2315" s="28">
        <v>4</v>
      </c>
      <c r="D2315" s="54" t="s">
        <v>10610</v>
      </c>
      <c r="E2315" s="64" t="s"/>
      <c r="F2315" s="28" t="s">
        <v>10611</v>
      </c>
      <c r="G2315" s="28">
        <v>1</v>
      </c>
    </row>
    <row r="2316" spans="1:7">
      <c r="A2316" s="28">
        <v>1320401</v>
      </c>
      <c r="B2316" s="28" t="s">
        <v>10612</v>
      </c>
      <c r="C2316" s="28">
        <v>4</v>
      </c>
      <c r="D2316" s="54" t="s">
        <v>10613</v>
      </c>
      <c r="E2316" s="64" t="s"/>
      <c r="F2316" s="28" t="s">
        <v>10614</v>
      </c>
      <c r="G2316" s="28">
        <v>1</v>
      </c>
    </row>
    <row r="2317" spans="1:7">
      <c r="A2317" s="28">
        <v>1320403</v>
      </c>
      <c r="B2317" s="28" t="s">
        <v>10615</v>
      </c>
      <c r="C2317" s="28">
        <v>4</v>
      </c>
      <c r="D2317" s="54" t="s">
        <v>10616</v>
      </c>
      <c r="E2317" s="64" t="s"/>
      <c r="F2317" s="28" t="s">
        <v>10617</v>
      </c>
      <c r="G2317" s="28">
        <v>1</v>
      </c>
    </row>
    <row r="2318" spans="1:7">
      <c r="A2318" s="28">
        <v>1320501</v>
      </c>
      <c r="B2318" s="28" t="s">
        <v>10618</v>
      </c>
      <c r="C2318" s="28">
        <v>4</v>
      </c>
      <c r="D2318" s="54" t="s">
        <v>10619</v>
      </c>
      <c r="E2318" s="64" t="s"/>
      <c r="F2318" s="28" t="s">
        <v>10620</v>
      </c>
      <c r="G2318" s="28">
        <v>1</v>
      </c>
    </row>
    <row r="2319" spans="1:7">
      <c r="A2319" s="28">
        <v>1320502</v>
      </c>
      <c r="B2319" s="28" t="s">
        <v>10621</v>
      </c>
      <c r="C2319" s="28">
        <v>4</v>
      </c>
      <c r="D2319" s="54" t="s">
        <v>10622</v>
      </c>
      <c r="E2319" s="64" t="s"/>
      <c r="F2319" s="28" t="s">
        <v>10623</v>
      </c>
      <c r="G2319" s="28">
        <v>1</v>
      </c>
    </row>
    <row r="2320" spans="1:7">
      <c r="A2320" s="28">
        <v>1320503</v>
      </c>
      <c r="B2320" s="28" t="s">
        <v>10624</v>
      </c>
      <c r="C2320" s="28">
        <v>4</v>
      </c>
      <c r="D2320" s="54" t="s">
        <v>10625</v>
      </c>
      <c r="E2320" s="64" t="s"/>
      <c r="F2320" s="28" t="s">
        <v>10626</v>
      </c>
      <c r="G2320" s="28">
        <v>1</v>
      </c>
    </row>
    <row r="2321" spans="1:7">
      <c r="A2321" s="28">
        <v>1320601</v>
      </c>
      <c r="B2321" s="28" t="s">
        <v>10627</v>
      </c>
      <c r="C2321" s="28">
        <v>4</v>
      </c>
      <c r="D2321" s="54" t="s">
        <v>10628</v>
      </c>
      <c r="E2321" s="64" t="s"/>
      <c r="F2321" s="28" t="s">
        <v>10629</v>
      </c>
      <c r="G2321" s="28">
        <v>1</v>
      </c>
    </row>
    <row r="2322" spans="1:7">
      <c r="A2322" s="28">
        <v>1320602</v>
      </c>
      <c r="B2322" s="28" t="s">
        <v>10630</v>
      </c>
      <c r="C2322" s="28">
        <v>4</v>
      </c>
      <c r="D2322" s="54" t="s">
        <v>10631</v>
      </c>
      <c r="E2322" s="64" t="s"/>
      <c r="F2322" s="28" t="s">
        <v>10632</v>
      </c>
      <c r="G2322" s="28">
        <v>1</v>
      </c>
    </row>
    <row r="2323" spans="1:7">
      <c r="A2323" s="28">
        <v>1320603</v>
      </c>
      <c r="B2323" s="28" t="s">
        <v>10633</v>
      </c>
      <c r="C2323" s="28">
        <v>4</v>
      </c>
      <c r="D2323" s="54" t="s">
        <v>10634</v>
      </c>
      <c r="E2323" s="64" t="s"/>
      <c r="F2323" s="28" t="s">
        <v>10635</v>
      </c>
      <c r="G2323" s="28">
        <v>1</v>
      </c>
    </row>
    <row r="2324" spans="1:7">
      <c r="A2324" s="28">
        <v>1320701</v>
      </c>
      <c r="B2324" s="28" t="s">
        <v>10636</v>
      </c>
      <c r="C2324" s="28">
        <v>4</v>
      </c>
      <c r="D2324" s="54" t="s">
        <v>10637</v>
      </c>
      <c r="E2324" s="64" t="s"/>
      <c r="F2324" s="28" t="s">
        <v>10638</v>
      </c>
      <c r="G2324" s="28">
        <v>1</v>
      </c>
    </row>
    <row r="2325" spans="1:7">
      <c r="A2325" s="28">
        <v>1320702</v>
      </c>
      <c r="B2325" s="28" t="s">
        <v>10639</v>
      </c>
      <c r="C2325" s="28">
        <v>4</v>
      </c>
      <c r="D2325" s="54" t="s">
        <v>10640</v>
      </c>
      <c r="E2325" s="64" t="s"/>
      <c r="F2325" s="28" t="s">
        <v>10641</v>
      </c>
      <c r="G2325" s="28">
        <v>1</v>
      </c>
    </row>
    <row r="2326" spans="1:7">
      <c r="A2326" s="28">
        <v>1320703</v>
      </c>
      <c r="B2326" s="28" t="s">
        <v>10642</v>
      </c>
      <c r="C2326" s="28">
        <v>4</v>
      </c>
      <c r="D2326" s="54" t="s">
        <v>10643</v>
      </c>
      <c r="E2326" s="64" t="s"/>
      <c r="F2326" s="28" t="s">
        <v>10644</v>
      </c>
      <c r="G2326" s="28">
        <v>1</v>
      </c>
    </row>
    <row r="2327" spans="1:7">
      <c r="A2327" s="28">
        <v>1320801</v>
      </c>
      <c r="B2327" s="28" t="s">
        <v>10645</v>
      </c>
      <c r="C2327" s="28">
        <v>4</v>
      </c>
      <c r="D2327" s="54" t="s">
        <v>10646</v>
      </c>
      <c r="E2327" s="64" t="s"/>
      <c r="F2327" s="28" t="s">
        <v>10647</v>
      </c>
      <c r="G2327" s="28">
        <v>1</v>
      </c>
    </row>
    <row r="2328" spans="1:7">
      <c r="A2328" s="28">
        <v>1320802</v>
      </c>
      <c r="B2328" s="28" t="s">
        <v>10648</v>
      </c>
      <c r="C2328" s="28">
        <v>4</v>
      </c>
      <c r="D2328" s="54" t="s">
        <v>10649</v>
      </c>
      <c r="E2328" s="64" t="s"/>
      <c r="F2328" s="28" t="s">
        <v>10650</v>
      </c>
      <c r="G2328" s="28">
        <v>1</v>
      </c>
    </row>
    <row r="2329" spans="1:7">
      <c r="A2329" s="28">
        <v>1320803</v>
      </c>
      <c r="B2329" s="28" t="s">
        <v>10651</v>
      </c>
      <c r="C2329" s="28">
        <v>4</v>
      </c>
      <c r="D2329" s="54" t="s">
        <v>10652</v>
      </c>
      <c r="E2329" s="64" t="s"/>
      <c r="F2329" s="28" t="s">
        <v>10653</v>
      </c>
      <c r="G2329" s="28">
        <v>1</v>
      </c>
    </row>
    <row r="2330" spans="1:7">
      <c r="A2330" s="28">
        <v>1321001</v>
      </c>
      <c r="B2330" s="28" t="s">
        <v>10654</v>
      </c>
      <c r="C2330" s="28">
        <v>4</v>
      </c>
      <c r="D2330" s="54" t="s">
        <v>10655</v>
      </c>
      <c r="E2330" s="64" t="s"/>
      <c r="F2330" s="28" t="s">
        <v>10656</v>
      </c>
      <c r="G2330" s="28">
        <v>1</v>
      </c>
    </row>
    <row r="2331" spans="1:7">
      <c r="A2331" s="28">
        <v>1321002</v>
      </c>
      <c r="B2331" s="28" t="s">
        <v>10657</v>
      </c>
      <c r="C2331" s="28">
        <v>4</v>
      </c>
      <c r="D2331" s="54" t="s">
        <v>10658</v>
      </c>
      <c r="E2331" s="64" t="s"/>
      <c r="F2331" s="28" t="s">
        <v>10659</v>
      </c>
      <c r="G2331" s="28">
        <v>1</v>
      </c>
    </row>
    <row r="2332" spans="1:7">
      <c r="A2332" s="28">
        <v>1322201</v>
      </c>
      <c r="B2332" s="28" t="s">
        <v>10660</v>
      </c>
      <c r="C2332" s="28">
        <v>4</v>
      </c>
      <c r="D2332" s="54" t="s">
        <v>10661</v>
      </c>
      <c r="E2332" s="64" t="s"/>
      <c r="F2332" s="28" t="s">
        <v>10662</v>
      </c>
      <c r="G2332" s="28">
        <v>1</v>
      </c>
    </row>
    <row r="2333" spans="1:7">
      <c r="A2333" s="28">
        <v>1322202</v>
      </c>
      <c r="B2333" s="28" t="s">
        <v>10663</v>
      </c>
      <c r="C2333" s="28">
        <v>4</v>
      </c>
      <c r="D2333" s="54" t="s">
        <v>10664</v>
      </c>
      <c r="E2333" s="64" t="s"/>
      <c r="F2333" s="28" t="s">
        <v>10665</v>
      </c>
      <c r="G2333" s="28">
        <v>1</v>
      </c>
    </row>
    <row r="2334" spans="1:7">
      <c r="A2334" s="28">
        <v>1322203</v>
      </c>
      <c r="B2334" s="28" t="s">
        <v>10666</v>
      </c>
      <c r="C2334" s="54">
        <v>4</v>
      </c>
      <c r="D2334" s="54" t="s">
        <v>10667</v>
      </c>
      <c r="E2334" s="64" t="s"/>
      <c r="F2334" s="28" t="s">
        <v>10668</v>
      </c>
      <c r="G2334" s="28">
        <v>1</v>
      </c>
    </row>
    <row r="2335" spans="1:7">
      <c r="A2335" s="28">
        <v>1322301</v>
      </c>
      <c r="B2335" s="28" t="s">
        <v>10669</v>
      </c>
      <c r="C2335" s="54">
        <v>4</v>
      </c>
      <c r="D2335" s="54" t="s">
        <v>10670</v>
      </c>
      <c r="E2335" s="64" t="s"/>
      <c r="F2335" s="28" t="s">
        <v>10671</v>
      </c>
      <c r="G2335" s="28">
        <v>1</v>
      </c>
    </row>
    <row r="2336" spans="1:7">
      <c r="A2336" s="28">
        <v>1322302</v>
      </c>
      <c r="B2336" s="28" t="s">
        <v>10672</v>
      </c>
      <c r="C2336" s="54">
        <v>4</v>
      </c>
      <c r="D2336" s="54" t="s">
        <v>10673</v>
      </c>
      <c r="E2336" s="64" t="s"/>
      <c r="F2336" s="28" t="s">
        <v>10674</v>
      </c>
      <c r="G2336" s="28">
        <v>1</v>
      </c>
    </row>
    <row r="2337" spans="1:7">
      <c r="A2337" s="28">
        <v>1322303</v>
      </c>
      <c r="B2337" s="28" t="s">
        <v>10675</v>
      </c>
      <c r="C2337" s="54">
        <v>4</v>
      </c>
      <c r="D2337" s="54" t="s">
        <v>10676</v>
      </c>
      <c r="E2337" s="64" t="s"/>
      <c r="F2337" s="28" t="s">
        <v>10677</v>
      </c>
      <c r="G2337" s="28">
        <v>1</v>
      </c>
    </row>
    <row r="2338" spans="1:7">
      <c r="A2338" s="28">
        <v>1322401</v>
      </c>
      <c r="B2338" s="28" t="s">
        <v>10678</v>
      </c>
      <c r="C2338" s="54">
        <v>4</v>
      </c>
      <c r="D2338" s="54" t="s">
        <v>10679</v>
      </c>
      <c r="E2338" s="64" t="s"/>
      <c r="F2338" s="28" t="s">
        <v>10680</v>
      </c>
      <c r="G2338" s="28">
        <v>1</v>
      </c>
    </row>
    <row r="2339" spans="1:7">
      <c r="A2339" s="28">
        <v>1322402</v>
      </c>
      <c r="B2339" s="28" t="s">
        <v>10681</v>
      </c>
      <c r="C2339" s="54">
        <v>4</v>
      </c>
      <c r="D2339" s="54" t="s">
        <v>10682</v>
      </c>
      <c r="E2339" s="64" t="s"/>
      <c r="F2339" s="28" t="s">
        <v>10683</v>
      </c>
      <c r="G2339" s="28">
        <v>1</v>
      </c>
    </row>
    <row r="2340" spans="1:7">
      <c r="A2340" s="28">
        <v>1322403</v>
      </c>
      <c r="B2340" s="28" t="s">
        <v>10684</v>
      </c>
      <c r="C2340" s="54">
        <v>4</v>
      </c>
      <c r="D2340" s="54" t="s">
        <v>10685</v>
      </c>
      <c r="E2340" s="64" t="s"/>
      <c r="F2340" s="28" t="s">
        <v>10686</v>
      </c>
      <c r="G2340" s="28">
        <v>1</v>
      </c>
    </row>
    <row r="2341" spans="1:7">
      <c r="A2341" s="28">
        <v>1322501</v>
      </c>
      <c r="B2341" s="28" t="s">
        <v>10687</v>
      </c>
      <c r="C2341" s="54">
        <v>4</v>
      </c>
      <c r="D2341" s="54" t="s">
        <v>10688</v>
      </c>
      <c r="E2341" s="64" t="s"/>
      <c r="F2341" s="28" t="s">
        <v>10689</v>
      </c>
      <c r="G2341" s="28">
        <v>1</v>
      </c>
    </row>
    <row r="2342" spans="1:7">
      <c r="A2342" s="28">
        <v>1322502</v>
      </c>
      <c r="B2342" s="28" t="s">
        <v>10690</v>
      </c>
      <c r="C2342" s="54">
        <v>4</v>
      </c>
      <c r="D2342" s="54" t="s">
        <v>10691</v>
      </c>
      <c r="E2342" s="64" t="s"/>
      <c r="F2342" s="28" t="s">
        <v>10692</v>
      </c>
      <c r="G2342" s="28">
        <v>1</v>
      </c>
    </row>
    <row r="2343" spans="1:7">
      <c r="A2343" s="28">
        <v>1322503</v>
      </c>
      <c r="B2343" s="28" t="s">
        <v>10693</v>
      </c>
      <c r="C2343" s="54">
        <v>4</v>
      </c>
      <c r="D2343" s="54" t="s">
        <v>10694</v>
      </c>
      <c r="E2343" s="64" t="s"/>
      <c r="F2343" s="28" t="s">
        <v>10695</v>
      </c>
      <c r="G2343" s="28">
        <v>1</v>
      </c>
    </row>
    <row r="2344" spans="1:7">
      <c r="A2344" s="28">
        <v>1330101</v>
      </c>
      <c r="B2344" s="28" t="s">
        <v>10696</v>
      </c>
      <c r="C2344" s="54">
        <v>4</v>
      </c>
      <c r="D2344" s="54" t="s">
        <v>10697</v>
      </c>
      <c r="E2344" s="64" t="s"/>
      <c r="F2344" s="28" t="s">
        <v>10698</v>
      </c>
      <c r="G2344" s="28">
        <v>1</v>
      </c>
    </row>
    <row r="2345" spans="1:7">
      <c r="A2345" s="28">
        <v>1330201</v>
      </c>
      <c r="B2345" s="28" t="s">
        <v>10699</v>
      </c>
      <c r="C2345" s="54">
        <v>4</v>
      </c>
      <c r="D2345" s="54" t="s">
        <v>10700</v>
      </c>
      <c r="E2345" s="64" t="s"/>
      <c r="F2345" s="28" t="s">
        <v>10701</v>
      </c>
      <c r="G2345" s="28">
        <v>1</v>
      </c>
    </row>
    <row r="2346" spans="1:7">
      <c r="A2346" s="28">
        <v>1330301</v>
      </c>
      <c r="B2346" s="28" t="s">
        <v>10702</v>
      </c>
      <c r="C2346" s="54">
        <v>4</v>
      </c>
      <c r="D2346" s="54" t="s">
        <v>10703</v>
      </c>
      <c r="E2346" s="64" t="s"/>
      <c r="F2346" s="28" t="s">
        <v>10704</v>
      </c>
      <c r="G2346" s="28">
        <v>1</v>
      </c>
    </row>
    <row r="2347" spans="1:7">
      <c r="A2347" s="28">
        <v>1330401</v>
      </c>
      <c r="B2347" s="28" t="s">
        <v>10705</v>
      </c>
      <c r="C2347" s="54">
        <v>4</v>
      </c>
      <c r="D2347" s="54" t="s">
        <v>10706</v>
      </c>
      <c r="E2347" s="64" t="s"/>
      <c r="F2347" s="28" t="s">
        <v>10707</v>
      </c>
      <c r="G2347" s="28">
        <v>1</v>
      </c>
    </row>
    <row r="2348" spans="1:7">
      <c r="A2348" s="28">
        <v>1331001</v>
      </c>
      <c r="B2348" s="28" t="s">
        <v>10708</v>
      </c>
      <c r="C2348" s="54">
        <v>4</v>
      </c>
      <c r="D2348" s="54" t="s">
        <v>10709</v>
      </c>
      <c r="E2348" s="64" t="s"/>
      <c r="F2348" s="28" t="s">
        <v>10710</v>
      </c>
      <c r="G2348" s="28">
        <v>1</v>
      </c>
    </row>
    <row r="2349" spans="1:7">
      <c r="A2349" s="28">
        <v>1339701</v>
      </c>
      <c r="B2349" s="28" t="s">
        <v>10711</v>
      </c>
      <c r="C2349" s="54">
        <v>4</v>
      </c>
      <c r="D2349" s="54" t="s">
        <v>10712</v>
      </c>
      <c r="E2349" s="64" t="s"/>
      <c r="F2349" s="28" t="s">
        <v>10355</v>
      </c>
      <c r="G2349" s="28">
        <v>1</v>
      </c>
    </row>
    <row r="2350" spans="1:7">
      <c r="A2350" s="28">
        <v>1339702</v>
      </c>
      <c r="B2350" s="28" t="s">
        <v>10713</v>
      </c>
      <c r="C2350" s="54">
        <v>4</v>
      </c>
      <c r="D2350" s="54" t="s">
        <v>10714</v>
      </c>
      <c r="E2350" s="64" t="s"/>
      <c r="F2350" s="28" t="s">
        <v>10715</v>
      </c>
      <c r="G2350" s="28">
        <v>1</v>
      </c>
    </row>
    <row r="2351" spans="1:7">
      <c r="A2351" s="28">
        <v>1339703</v>
      </c>
      <c r="B2351" s="28" t="s">
        <v>10716</v>
      </c>
      <c r="C2351" s="54">
        <v>4</v>
      </c>
      <c r="D2351" s="54" t="s">
        <v>10717</v>
      </c>
      <c r="E2351" s="64" t="s"/>
      <c r="F2351" s="28" t="s">
        <v>10718</v>
      </c>
      <c r="G2351" s="28">
        <v>1</v>
      </c>
    </row>
    <row r="2352" spans="1:7">
      <c r="A2352" s="28">
        <v>1339704</v>
      </c>
      <c r="B2352" s="28" t="s">
        <v>10719</v>
      </c>
      <c r="C2352" s="54">
        <v>4</v>
      </c>
      <c r="D2352" s="54" t="s">
        <v>10720</v>
      </c>
      <c r="E2352" s="64" t="s"/>
      <c r="F2352" s="28" t="s">
        <v>10721</v>
      </c>
      <c r="G2352" s="28">
        <v>1</v>
      </c>
    </row>
    <row r="2353" spans="1:7">
      <c r="A2353" s="28">
        <v>1339705</v>
      </c>
      <c r="B2353" s="28" t="s">
        <v>10722</v>
      </c>
      <c r="C2353" s="54">
        <v>4</v>
      </c>
      <c r="D2353" s="54" t="s">
        <v>10723</v>
      </c>
      <c r="E2353" s="64" t="s"/>
      <c r="F2353" s="28" t="s">
        <v>10724</v>
      </c>
      <c r="G2353" s="28">
        <v>1</v>
      </c>
    </row>
    <row r="2354" spans="1:7">
      <c r="A2354" s="28">
        <v>1339706</v>
      </c>
      <c r="B2354" s="28" t="s">
        <v>10725</v>
      </c>
      <c r="C2354" s="54">
        <v>4</v>
      </c>
      <c r="D2354" s="67" t="s">
        <v>10726</v>
      </c>
      <c r="E2354" s="64" t="s"/>
      <c r="F2354" s="28" t="s">
        <v>10727</v>
      </c>
      <c r="G2354" s="28">
        <v>1</v>
      </c>
    </row>
    <row r="2355" spans="1:7">
      <c r="A2355" s="28">
        <v>1339707</v>
      </c>
      <c r="B2355" s="28" t="s">
        <v>10728</v>
      </c>
      <c r="C2355" s="54">
        <v>4</v>
      </c>
      <c r="D2355" s="67" t="s">
        <v>10729</v>
      </c>
      <c r="E2355" s="64" t="s"/>
      <c r="F2355" s="28" t="s">
        <v>10730</v>
      </c>
      <c r="G2355" s="28">
        <v>1</v>
      </c>
    </row>
    <row r="2356" spans="1:7">
      <c r="A2356" s="28">
        <v>1339708</v>
      </c>
      <c r="B2356" s="28" t="s">
        <v>10713</v>
      </c>
      <c r="C2356" s="54">
        <v>4</v>
      </c>
      <c r="D2356" s="67" t="s">
        <v>10714</v>
      </c>
      <c r="E2356" s="64" t="s"/>
      <c r="F2356" s="28" t="s">
        <v>10715</v>
      </c>
      <c r="G2356" s="28">
        <v>1</v>
      </c>
    </row>
    <row r="2357" spans="1:7">
      <c r="A2357" s="28">
        <v>1339709</v>
      </c>
      <c r="B2357" s="28" t="s">
        <v>10716</v>
      </c>
      <c r="C2357" s="54">
        <v>4</v>
      </c>
      <c r="D2357" s="67" t="s">
        <v>10717</v>
      </c>
      <c r="E2357" s="64" t="s"/>
      <c r="F2357" s="28" t="s">
        <v>10718</v>
      </c>
      <c r="G2357" s="28">
        <v>1</v>
      </c>
    </row>
    <row r="2358" spans="1:7">
      <c r="A2358" s="28">
        <v>1339710</v>
      </c>
      <c r="B2358" s="28" t="s">
        <v>10719</v>
      </c>
      <c r="C2358" s="54">
        <v>4</v>
      </c>
      <c r="D2358" s="67" t="s">
        <v>10720</v>
      </c>
      <c r="E2358" s="64" t="s"/>
      <c r="F2358" s="28" t="s">
        <v>10721</v>
      </c>
      <c r="G2358" s="28">
        <v>1</v>
      </c>
    </row>
    <row r="2359" spans="1:7">
      <c r="A2359" s="28">
        <v>1339711</v>
      </c>
      <c r="B2359" s="28" t="s">
        <v>10722</v>
      </c>
      <c r="C2359" s="54">
        <v>4</v>
      </c>
      <c r="D2359" s="67" t="s">
        <v>10723</v>
      </c>
      <c r="E2359" s="64" t="s"/>
      <c r="F2359" s="28" t="s">
        <v>10724</v>
      </c>
      <c r="G2359" s="28">
        <v>1</v>
      </c>
    </row>
    <row r="2360" spans="1:7">
      <c r="A2360" s="28">
        <v>1339712</v>
      </c>
      <c r="B2360" s="28" t="s">
        <v>10725</v>
      </c>
      <c r="C2360" s="54">
        <v>4</v>
      </c>
      <c r="D2360" s="67" t="s">
        <v>10726</v>
      </c>
      <c r="E2360" s="64" t="s"/>
      <c r="F2360" s="28" t="s">
        <v>10727</v>
      </c>
      <c r="G2360" s="28">
        <v>1</v>
      </c>
    </row>
    <row r="2361" spans="1:7">
      <c r="A2361" s="28">
        <v>1339713</v>
      </c>
      <c r="B2361" s="28" t="s">
        <v>10728</v>
      </c>
      <c r="C2361" s="54">
        <v>4</v>
      </c>
      <c r="D2361" s="67" t="s">
        <v>10729</v>
      </c>
      <c r="E2361" s="64" t="s"/>
      <c r="F2361" s="28" t="s">
        <v>10730</v>
      </c>
      <c r="G2361" s="28">
        <v>1</v>
      </c>
    </row>
    <row r="2362" spans="1:7">
      <c r="A2362" s="28">
        <v>1339751</v>
      </c>
      <c r="B2362" s="28" t="s">
        <v>10731</v>
      </c>
      <c r="C2362" s="54">
        <v>4</v>
      </c>
      <c r="D2362" s="67" t="s">
        <v>10732</v>
      </c>
      <c r="E2362" s="64" t="s"/>
      <c r="F2362" s="28" t="s">
        <v>10733</v>
      </c>
      <c r="G2362" s="28">
        <v>1</v>
      </c>
    </row>
    <row r="2363" spans="1:7">
      <c r="A2363" s="28">
        <v>1339801</v>
      </c>
      <c r="B2363" s="28" t="s">
        <v>10734</v>
      </c>
      <c r="C2363" s="54">
        <v>4</v>
      </c>
      <c r="D2363" s="67" t="s">
        <v>10735</v>
      </c>
      <c r="E2363" s="64" t="s"/>
      <c r="F2363" s="28" t="s">
        <v>10736</v>
      </c>
      <c r="G2363" s="28">
        <v>1</v>
      </c>
    </row>
    <row r="2364" spans="1:7">
      <c r="A2364" s="28">
        <v>1339802</v>
      </c>
      <c r="B2364" s="28" t="s">
        <v>10737</v>
      </c>
      <c r="C2364" s="54">
        <v>4</v>
      </c>
      <c r="D2364" s="67" t="s">
        <v>10738</v>
      </c>
      <c r="E2364" s="64" t="s"/>
      <c r="F2364" s="28" t="s">
        <v>10739</v>
      </c>
      <c r="G2364" s="28">
        <v>1</v>
      </c>
    </row>
    <row r="2365" spans="1:7">
      <c r="A2365" s="28">
        <v>1339803</v>
      </c>
      <c r="B2365" s="28" t="s">
        <v>10740</v>
      </c>
      <c r="C2365" s="54">
        <v>4</v>
      </c>
      <c r="D2365" s="67" t="s">
        <v>10741</v>
      </c>
      <c r="E2365" s="64" t="s"/>
      <c r="F2365" s="28" t="s">
        <v>10742</v>
      </c>
      <c r="G2365" s="28">
        <v>1</v>
      </c>
    </row>
    <row r="2366" spans="1:7">
      <c r="A2366" s="28">
        <v>1339804</v>
      </c>
      <c r="B2366" s="28" t="s">
        <v>10743</v>
      </c>
      <c r="C2366" s="54">
        <v>4</v>
      </c>
      <c r="D2366" s="67" t="s">
        <v>10744</v>
      </c>
      <c r="E2366" s="64" t="s"/>
      <c r="F2366" s="28" t="s">
        <v>10745</v>
      </c>
      <c r="G2366" s="28">
        <v>1</v>
      </c>
    </row>
    <row r="2367" spans="1:7">
      <c r="A2367" s="28">
        <v>1339805</v>
      </c>
      <c r="B2367" s="28" t="s">
        <v>10746</v>
      </c>
      <c r="C2367" s="54">
        <v>4</v>
      </c>
      <c r="D2367" s="67" t="s">
        <v>10747</v>
      </c>
      <c r="E2367" s="64" t="s"/>
      <c r="F2367" s="28" t="s">
        <v>10748</v>
      </c>
      <c r="G2367" s="28">
        <v>1</v>
      </c>
    </row>
    <row r="2368" spans="1:7">
      <c r="A2368" s="28">
        <v>1339806</v>
      </c>
      <c r="B2368" s="28" t="s">
        <v>10749</v>
      </c>
      <c r="C2368" s="54">
        <v>3</v>
      </c>
      <c r="D2368" s="67" t="s">
        <v>10750</v>
      </c>
      <c r="E2368" s="64" t="s"/>
      <c r="F2368" s="28" t="s">
        <v>10751</v>
      </c>
      <c r="G2368" s="28">
        <v>1</v>
      </c>
    </row>
    <row r="2369" spans="1:7">
      <c r="A2369" s="28">
        <v>1339807</v>
      </c>
      <c r="B2369" s="28" t="s">
        <v>10752</v>
      </c>
      <c r="C2369" s="54">
        <v>3</v>
      </c>
      <c r="D2369" s="67" t="s">
        <v>10753</v>
      </c>
      <c r="E2369" s="64" t="s"/>
      <c r="F2369" s="28" t="s">
        <v>10754</v>
      </c>
      <c r="G2369" s="28">
        <v>1</v>
      </c>
    </row>
    <row r="2370" spans="1:7">
      <c r="A2370" s="28">
        <v>1339808</v>
      </c>
      <c r="B2370" s="28" t="s">
        <v>10755</v>
      </c>
      <c r="C2370" s="54">
        <v>3</v>
      </c>
      <c r="D2370" s="67" t="s">
        <v>10756</v>
      </c>
      <c r="E2370" s="64" t="s"/>
      <c r="F2370" s="28" t="s">
        <v>10757</v>
      </c>
      <c r="G2370" s="28">
        <v>1</v>
      </c>
    </row>
    <row r="2371" spans="1:7">
      <c r="A2371" s="28">
        <v>1339809</v>
      </c>
      <c r="B2371" s="28" t="s">
        <v>10749</v>
      </c>
      <c r="C2371" s="54">
        <v>3</v>
      </c>
      <c r="D2371" s="67" t="s">
        <v>10750</v>
      </c>
      <c r="E2371" s="64" t="s"/>
      <c r="F2371" s="28" t="s">
        <v>10751</v>
      </c>
      <c r="G2371" s="28">
        <v>1</v>
      </c>
    </row>
    <row r="2372" spans="1:7">
      <c r="A2372" s="28">
        <v>1339810</v>
      </c>
      <c r="B2372" s="28" t="s">
        <v>10752</v>
      </c>
      <c r="C2372" s="54">
        <v>3</v>
      </c>
      <c r="D2372" s="67" t="s">
        <v>10753</v>
      </c>
      <c r="E2372" s="64" t="s"/>
      <c r="F2372" s="28" t="s">
        <v>10754</v>
      </c>
      <c r="G2372" s="28">
        <v>1</v>
      </c>
    </row>
    <row r="2373" spans="1:7">
      <c r="A2373" s="28">
        <v>1339811</v>
      </c>
      <c r="B2373" s="28" t="s">
        <v>10755</v>
      </c>
      <c r="C2373" s="54">
        <v>3</v>
      </c>
      <c r="D2373" s="67" t="s">
        <v>10756</v>
      </c>
      <c r="E2373" s="64" t="s"/>
      <c r="F2373" s="28" t="s">
        <v>10757</v>
      </c>
      <c r="G2373" s="28">
        <v>1</v>
      </c>
    </row>
    <row r="2374" spans="1:7">
      <c r="A2374" s="28">
        <v>1339812</v>
      </c>
      <c r="B2374" s="28" t="s">
        <v>10758</v>
      </c>
      <c r="C2374" s="54">
        <v>4</v>
      </c>
      <c r="D2374" s="67" t="s">
        <v>10759</v>
      </c>
      <c r="E2374" s="64" t="s"/>
      <c r="F2374" s="28" t="s">
        <v>10760</v>
      </c>
      <c r="G2374" s="28">
        <v>1</v>
      </c>
    </row>
    <row r="2375" spans="1:7">
      <c r="A2375" s="28">
        <v>1339813</v>
      </c>
      <c r="B2375" s="28" t="s">
        <v>10761</v>
      </c>
      <c r="C2375" s="54">
        <v>4</v>
      </c>
      <c r="D2375" s="67" t="s">
        <v>10762</v>
      </c>
      <c r="E2375" s="64" t="s"/>
      <c r="F2375" s="28" t="s">
        <v>9445</v>
      </c>
      <c r="G2375" s="28">
        <v>1</v>
      </c>
    </row>
    <row r="2376" spans="1:7">
      <c r="A2376" s="28">
        <v>1339814</v>
      </c>
      <c r="B2376" s="28" t="s">
        <v>10763</v>
      </c>
      <c r="C2376" s="54">
        <v>4</v>
      </c>
      <c r="D2376" s="67" t="s">
        <v>10764</v>
      </c>
      <c r="E2376" s="64" t="s"/>
      <c r="F2376" s="28" t="s">
        <v>9449</v>
      </c>
      <c r="G2376" s="28">
        <v>1</v>
      </c>
    </row>
    <row r="2377" spans="1:7">
      <c r="A2377" s="28">
        <v>1339815</v>
      </c>
      <c r="B2377" s="28" t="s">
        <v>10765</v>
      </c>
      <c r="C2377" s="54">
        <v>4</v>
      </c>
      <c r="D2377" s="67" t="s">
        <v>10766</v>
      </c>
      <c r="E2377" s="64" t="s"/>
      <c r="F2377" s="28" t="s">
        <v>9453</v>
      </c>
      <c r="G2377" s="28">
        <v>1</v>
      </c>
    </row>
    <row r="2378" spans="1:7">
      <c r="A2378" s="28">
        <v>1339816</v>
      </c>
      <c r="B2378" s="28" t="s">
        <v>10767</v>
      </c>
      <c r="C2378" s="28">
        <v>4</v>
      </c>
      <c r="D2378" s="67" t="s">
        <v>10768</v>
      </c>
      <c r="E2378" s="64" t="s"/>
      <c r="F2378" s="28" t="s">
        <v>9457</v>
      </c>
      <c r="G2378" s="28">
        <v>1</v>
      </c>
    </row>
    <row r="2379" spans="1:7">
      <c r="A2379" s="28">
        <v>1339817</v>
      </c>
      <c r="B2379" s="28" t="s">
        <v>10769</v>
      </c>
      <c r="C2379" s="28">
        <v>4</v>
      </c>
      <c r="D2379" s="67" t="s">
        <v>10770</v>
      </c>
      <c r="E2379" s="64" t="s"/>
      <c r="F2379" s="28" t="s">
        <v>10771</v>
      </c>
      <c r="G2379" s="28">
        <v>1</v>
      </c>
    </row>
    <row r="2380" spans="1:7">
      <c r="A2380" s="28">
        <v>1339818</v>
      </c>
      <c r="B2380" s="28" t="s">
        <v>10772</v>
      </c>
      <c r="C2380" s="28">
        <v>4</v>
      </c>
      <c r="D2380" s="67" t="s">
        <v>10773</v>
      </c>
      <c r="E2380" s="64" t="s"/>
      <c r="F2380" s="28" t="s">
        <v>10771</v>
      </c>
      <c r="G2380" s="28">
        <v>1</v>
      </c>
    </row>
    <row r="2381" spans="1:7">
      <c r="A2381" s="28">
        <v>1339819</v>
      </c>
      <c r="B2381" s="28" t="s">
        <v>10774</v>
      </c>
      <c r="C2381" s="54">
        <v>4</v>
      </c>
      <c r="D2381" s="67" t="s">
        <v>10775</v>
      </c>
      <c r="E2381" s="64" t="s"/>
      <c r="F2381" s="28" t="s">
        <v>10771</v>
      </c>
      <c r="G2381" s="28">
        <v>1</v>
      </c>
    </row>
    <row r="2382" spans="1:7">
      <c r="A2382" s="28">
        <v>1339820</v>
      </c>
      <c r="B2382" s="28" t="s">
        <v>10776</v>
      </c>
      <c r="C2382" s="54">
        <v>4</v>
      </c>
      <c r="D2382" s="67" t="s">
        <v>10777</v>
      </c>
      <c r="E2382" s="64" t="s"/>
      <c r="F2382" s="28" t="s">
        <v>10771</v>
      </c>
      <c r="G2382" s="28">
        <v>1</v>
      </c>
    </row>
    <row r="2383" spans="1:7">
      <c r="A2383" s="28">
        <v>1339821</v>
      </c>
      <c r="B2383" s="28" t="s">
        <v>10778</v>
      </c>
      <c r="C2383" s="54">
        <v>4</v>
      </c>
      <c r="D2383" s="67" t="s">
        <v>10779</v>
      </c>
      <c r="E2383" s="64" t="s"/>
      <c r="F2383" s="28" t="s">
        <v>10771</v>
      </c>
      <c r="G2383" s="28">
        <v>1</v>
      </c>
    </row>
    <row r="2384" spans="1:7">
      <c r="A2384" s="28">
        <v>1339822</v>
      </c>
      <c r="B2384" s="28" t="s">
        <v>10780</v>
      </c>
      <c r="C2384" s="54">
        <v>4</v>
      </c>
      <c r="D2384" s="67" t="s">
        <v>10781</v>
      </c>
      <c r="E2384" s="64" t="s"/>
      <c r="F2384" s="28" t="s">
        <v>10771</v>
      </c>
      <c r="G2384" s="28">
        <v>1</v>
      </c>
    </row>
    <row r="2385" spans="1:7">
      <c r="A2385" s="28">
        <v>1339823</v>
      </c>
      <c r="B2385" s="28" t="s">
        <v>10782</v>
      </c>
      <c r="C2385" s="54">
        <v>4</v>
      </c>
      <c r="D2385" s="67" t="s">
        <v>10783</v>
      </c>
      <c r="E2385" s="64" t="s"/>
      <c r="F2385" s="28" t="s">
        <v>10739</v>
      </c>
      <c r="G2385" s="28">
        <v>1</v>
      </c>
    </row>
    <row r="2386" spans="1:7">
      <c r="A2386" s="28">
        <v>1339825</v>
      </c>
      <c r="B2386" s="28" t="s">
        <v>10784</v>
      </c>
      <c r="C2386" s="54">
        <v>4</v>
      </c>
      <c r="D2386" s="67" t="s">
        <v>10785</v>
      </c>
      <c r="E2386" s="64" t="s"/>
      <c r="F2386" s="28" t="s">
        <v>10748</v>
      </c>
      <c r="G2386" s="28">
        <v>1</v>
      </c>
    </row>
    <row r="2387" spans="1:7">
      <c r="A2387" s="28">
        <v>1339826</v>
      </c>
      <c r="B2387" s="28" t="s">
        <v>10786</v>
      </c>
      <c r="C2387" s="54">
        <v>4</v>
      </c>
      <c r="D2387" s="67" t="s">
        <v>10787</v>
      </c>
      <c r="E2387" s="64" t="s"/>
      <c r="F2387" s="28" t="s">
        <v>10788</v>
      </c>
      <c r="G2387" s="28">
        <v>1</v>
      </c>
    </row>
    <row r="2388" spans="1:7">
      <c r="A2388" s="28">
        <v>1339827</v>
      </c>
      <c r="B2388" s="28" t="s">
        <v>10789</v>
      </c>
      <c r="C2388" s="54">
        <v>4</v>
      </c>
      <c r="D2388" s="67" t="s">
        <v>10790</v>
      </c>
      <c r="E2388" s="64" t="s"/>
      <c r="F2388" s="28" t="s">
        <v>10745</v>
      </c>
      <c r="G2388" s="28">
        <v>1</v>
      </c>
    </row>
    <row r="2389" spans="1:7">
      <c r="A2389" s="28">
        <v>1339828</v>
      </c>
      <c r="B2389" s="28" t="s">
        <v>10791</v>
      </c>
      <c r="C2389" s="28">
        <v>4</v>
      </c>
      <c r="D2389" s="67" t="s">
        <v>10792</v>
      </c>
      <c r="E2389" s="64" t="s"/>
      <c r="F2389" s="28" t="s">
        <v>10793</v>
      </c>
      <c r="G2389" s="28">
        <v>1</v>
      </c>
    </row>
    <row r="2390" spans="1:7">
      <c r="A2390" s="28">
        <v>1339901</v>
      </c>
      <c r="B2390" s="28" t="s">
        <v>10794</v>
      </c>
      <c r="C2390" s="28">
        <v>4</v>
      </c>
      <c r="D2390" s="67" t="s">
        <v>10795</v>
      </c>
      <c r="E2390" s="64" t="s"/>
      <c r="F2390" s="28" t="s">
        <v>10796</v>
      </c>
      <c r="G2390" s="28">
        <v>1</v>
      </c>
    </row>
    <row r="2391" spans="1:7">
      <c r="A2391" s="28">
        <v>1339902</v>
      </c>
      <c r="B2391" s="28" t="s">
        <v>10797</v>
      </c>
      <c r="C2391" s="28">
        <v>4</v>
      </c>
      <c r="D2391" s="67" t="s">
        <v>10798</v>
      </c>
      <c r="E2391" s="64" t="s"/>
      <c r="F2391" s="28" t="s">
        <v>10788</v>
      </c>
      <c r="G2391" s="28">
        <v>1</v>
      </c>
    </row>
    <row r="2392" spans="1:7">
      <c r="A2392" s="28">
        <v>1339903</v>
      </c>
      <c r="B2392" s="28" t="s">
        <v>10799</v>
      </c>
      <c r="C2392" s="28">
        <v>3</v>
      </c>
      <c r="D2392" s="67" t="s">
        <v>9053</v>
      </c>
      <c r="E2392" s="64" t="s"/>
      <c r="F2392" s="28" t="s">
        <v>10760</v>
      </c>
      <c r="G2392" s="28">
        <v>1</v>
      </c>
    </row>
    <row r="2393" spans="1:7">
      <c r="A2393" s="28">
        <v>1339904</v>
      </c>
      <c r="B2393" s="28" t="s">
        <v>10800</v>
      </c>
      <c r="C2393" s="28">
        <v>3</v>
      </c>
      <c r="D2393" s="67" t="s">
        <v>9061</v>
      </c>
      <c r="E2393" s="64" t="s"/>
      <c r="F2393" s="28" t="s">
        <v>10801</v>
      </c>
      <c r="G2393" s="28">
        <v>1</v>
      </c>
    </row>
    <row r="2394" spans="1:7">
      <c r="A2394" s="28">
        <v>1339905</v>
      </c>
      <c r="B2394" s="28" t="s">
        <v>10802</v>
      </c>
      <c r="C2394" s="28">
        <v>4</v>
      </c>
      <c r="D2394" s="67" t="s">
        <v>10803</v>
      </c>
      <c r="E2394" s="64" t="s"/>
      <c r="F2394" s="28" t="s">
        <v>10804</v>
      </c>
      <c r="G2394" s="28">
        <v>1</v>
      </c>
    </row>
    <row r="2395" spans="1:7">
      <c r="A2395" s="28">
        <v>1339906</v>
      </c>
      <c r="B2395" s="28" t="s">
        <v>10805</v>
      </c>
      <c r="C2395" s="28">
        <v>3</v>
      </c>
      <c r="D2395" s="67" t="s">
        <v>10806</v>
      </c>
      <c r="E2395" s="64" t="s"/>
      <c r="F2395" s="28" t="s">
        <v>10807</v>
      </c>
      <c r="G2395" s="28">
        <v>1</v>
      </c>
    </row>
    <row r="2396" spans="1:7">
      <c r="A2396" s="28">
        <v>1339907</v>
      </c>
      <c r="B2396" s="28" t="s">
        <v>10808</v>
      </c>
      <c r="C2396" s="28">
        <v>4</v>
      </c>
      <c r="D2396" s="67" t="s">
        <v>10809</v>
      </c>
      <c r="E2396" s="64" t="s"/>
      <c r="F2396" s="28" t="s">
        <v>10793</v>
      </c>
      <c r="G2396" s="28">
        <v>1</v>
      </c>
    </row>
    <row r="2397" spans="1:7">
      <c r="A2397" s="28">
        <v>1339908</v>
      </c>
      <c r="B2397" s="28" t="s">
        <v>10810</v>
      </c>
      <c r="C2397" s="28">
        <v>3</v>
      </c>
      <c r="D2397" s="67" t="s">
        <v>10811</v>
      </c>
      <c r="E2397" s="64" t="s"/>
      <c r="F2397" s="28" t="s">
        <v>10812</v>
      </c>
      <c r="G2397" s="28">
        <v>1</v>
      </c>
    </row>
    <row r="2398" spans="1:7">
      <c r="A2398" s="28">
        <v>1339909</v>
      </c>
      <c r="B2398" s="28" t="s">
        <v>10813</v>
      </c>
      <c r="C2398" s="28">
        <v>4</v>
      </c>
      <c r="D2398" s="67" t="s">
        <v>10814</v>
      </c>
      <c r="E2398" s="64" t="s"/>
      <c r="F2398" s="28" t="s">
        <v>10815</v>
      </c>
      <c r="G2398" s="28">
        <v>1</v>
      </c>
    </row>
    <row r="2399" spans="1:7">
      <c r="A2399" s="28">
        <v>1339910</v>
      </c>
      <c r="B2399" s="28" t="s">
        <v>10816</v>
      </c>
      <c r="C2399" s="28">
        <v>4</v>
      </c>
      <c r="D2399" s="54" t="s">
        <v>10817</v>
      </c>
      <c r="E2399" s="64" t="s"/>
      <c r="F2399" s="28" t="s">
        <v>10818</v>
      </c>
      <c r="G2399" s="28">
        <v>1</v>
      </c>
    </row>
    <row r="2400" spans="1:7">
      <c r="A2400" s="28">
        <v>1339911</v>
      </c>
      <c r="B2400" s="28" t="s">
        <v>10749</v>
      </c>
      <c r="C2400" s="28">
        <v>3</v>
      </c>
      <c r="D2400" s="54" t="s">
        <v>10750</v>
      </c>
      <c r="E2400" s="64" t="s"/>
      <c r="F2400" s="28" t="s">
        <v>10751</v>
      </c>
      <c r="G2400" s="28">
        <v>1</v>
      </c>
    </row>
    <row r="2401" spans="1:7">
      <c r="A2401" s="28">
        <v>1339912</v>
      </c>
      <c r="B2401" s="28" t="s">
        <v>10752</v>
      </c>
      <c r="C2401" s="28">
        <v>3</v>
      </c>
      <c r="D2401" s="54" t="s">
        <v>10753</v>
      </c>
      <c r="E2401" s="64" t="s"/>
      <c r="F2401" s="28" t="s">
        <v>10754</v>
      </c>
      <c r="G2401" s="28">
        <v>1</v>
      </c>
    </row>
    <row r="2402" spans="1:7">
      <c r="A2402" s="28">
        <v>1339913</v>
      </c>
      <c r="B2402" s="28" t="s">
        <v>10755</v>
      </c>
      <c r="C2402" s="28">
        <v>3</v>
      </c>
      <c r="D2402" s="54" t="s">
        <v>10756</v>
      </c>
      <c r="E2402" s="64" t="s"/>
      <c r="F2402" s="28" t="s">
        <v>10757</v>
      </c>
      <c r="G2402" s="28">
        <v>1</v>
      </c>
    </row>
    <row r="2403" spans="1:7">
      <c r="A2403" s="28">
        <v>1339914</v>
      </c>
      <c r="B2403" s="28" t="s">
        <v>10819</v>
      </c>
      <c r="C2403" s="28">
        <v>4</v>
      </c>
      <c r="D2403" s="54" t="s">
        <v>10820</v>
      </c>
      <c r="E2403" s="64" t="s"/>
      <c r="F2403" s="28" t="s">
        <v>10821</v>
      </c>
      <c r="G2403" s="28">
        <v>1</v>
      </c>
    </row>
    <row r="2404" spans="1:7">
      <c r="A2404" s="28">
        <v>1339921</v>
      </c>
      <c r="B2404" s="28" t="s">
        <v>10822</v>
      </c>
      <c r="C2404" s="28">
        <v>4</v>
      </c>
      <c r="D2404" s="54" t="s">
        <v>10823</v>
      </c>
      <c r="E2404" s="64" t="s"/>
      <c r="F2404" s="28" t="s">
        <v>10710</v>
      </c>
      <c r="G2404" s="28">
        <v>1</v>
      </c>
    </row>
    <row r="2405" spans="1:7">
      <c r="A2405" s="28">
        <v>1339922</v>
      </c>
      <c r="B2405" s="28" t="s">
        <v>10824</v>
      </c>
      <c r="C2405" s="28">
        <v>4</v>
      </c>
      <c r="D2405" s="54" t="s">
        <v>10825</v>
      </c>
      <c r="E2405" s="64" t="s"/>
      <c r="F2405" s="28" t="s">
        <v>10826</v>
      </c>
      <c r="G2405" s="28">
        <v>1</v>
      </c>
    </row>
    <row r="2406" spans="1:7">
      <c r="A2406" s="28">
        <v>1339923</v>
      </c>
      <c r="B2406" s="28" t="s">
        <v>10827</v>
      </c>
      <c r="C2406" s="28">
        <v>4</v>
      </c>
      <c r="D2406" s="54" t="s">
        <v>10828</v>
      </c>
      <c r="E2406" s="64" t="s"/>
      <c r="F2406" s="28" t="s">
        <v>10829</v>
      </c>
      <c r="G2406" s="28">
        <v>1</v>
      </c>
    </row>
    <row r="2407" spans="1:7">
      <c r="A2407" s="28">
        <v>1339924</v>
      </c>
      <c r="B2407" s="28" t="s">
        <v>10830</v>
      </c>
      <c r="C2407" s="28">
        <v>4</v>
      </c>
      <c r="D2407" s="54" t="s">
        <v>10831</v>
      </c>
      <c r="E2407" s="64" t="s"/>
      <c r="F2407" s="28" t="s">
        <v>10832</v>
      </c>
      <c r="G2407" s="28">
        <v>1</v>
      </c>
    </row>
    <row r="2408" spans="1:7">
      <c r="A2408" s="28">
        <v>1339925</v>
      </c>
      <c r="B2408" s="28" t="s">
        <v>10833</v>
      </c>
      <c r="C2408" s="28">
        <v>4</v>
      </c>
      <c r="D2408" s="54" t="s">
        <v>10834</v>
      </c>
      <c r="E2408" s="64" t="s"/>
      <c r="F2408" s="28" t="s">
        <v>10835</v>
      </c>
      <c r="G2408" s="28">
        <v>1</v>
      </c>
    </row>
    <row r="2409" spans="1:7">
      <c r="A2409" s="28">
        <v>1339926</v>
      </c>
      <c r="B2409" s="28" t="s">
        <v>10836</v>
      </c>
      <c r="C2409" s="28">
        <v>4</v>
      </c>
      <c r="D2409" s="54" t="s">
        <v>10837</v>
      </c>
      <c r="E2409" s="64" t="s"/>
      <c r="F2409" s="28" t="s">
        <v>10838</v>
      </c>
      <c r="G2409" s="28">
        <v>1</v>
      </c>
    </row>
    <row r="2410" spans="1:7">
      <c r="A2410" s="28">
        <v>1339927</v>
      </c>
      <c r="B2410" s="28" t="s">
        <v>10839</v>
      </c>
      <c r="C2410" s="28">
        <v>4</v>
      </c>
      <c r="D2410" s="54" t="s">
        <v>10840</v>
      </c>
      <c r="E2410" s="64" t="s"/>
      <c r="F2410" s="28" t="s">
        <v>10841</v>
      </c>
      <c r="G2410" s="28">
        <v>1</v>
      </c>
    </row>
    <row r="2411" spans="1:7">
      <c r="A2411" s="28">
        <v>1339928</v>
      </c>
      <c r="B2411" s="28" t="s">
        <v>10842</v>
      </c>
      <c r="C2411" s="54">
        <v>4</v>
      </c>
      <c r="D2411" s="54" t="s">
        <v>10843</v>
      </c>
      <c r="E2411" s="64" t="s"/>
      <c r="F2411" s="28" t="s">
        <v>10844</v>
      </c>
      <c r="G2411" s="28">
        <v>1</v>
      </c>
    </row>
    <row r="2412" spans="1:7">
      <c r="A2412" s="28">
        <v>1339929</v>
      </c>
      <c r="B2412" s="28" t="s">
        <v>10845</v>
      </c>
      <c r="C2412" s="28">
        <v>4</v>
      </c>
      <c r="D2412" s="54" t="s">
        <v>10846</v>
      </c>
      <c r="E2412" s="64" t="s"/>
      <c r="F2412" s="28" t="s">
        <v>10847</v>
      </c>
      <c r="G2412" s="28">
        <v>1</v>
      </c>
    </row>
    <row r="2413" spans="1:7">
      <c r="A2413" s="28">
        <v>1339930</v>
      </c>
      <c r="B2413" s="28" t="s">
        <v>10848</v>
      </c>
      <c r="C2413" s="28">
        <v>4</v>
      </c>
      <c r="D2413" s="54" t="s">
        <v>10849</v>
      </c>
      <c r="E2413" s="64" t="s"/>
      <c r="F2413" s="28" t="s">
        <v>10850</v>
      </c>
      <c r="G2413" s="28">
        <v>1</v>
      </c>
    </row>
    <row r="2414" spans="1:7">
      <c r="A2414" s="28">
        <v>1339931</v>
      </c>
      <c r="B2414" s="28" t="s">
        <v>10851</v>
      </c>
      <c r="C2414" s="28">
        <v>4</v>
      </c>
      <c r="D2414" s="54" t="s">
        <v>10852</v>
      </c>
      <c r="E2414" s="64" t="s"/>
      <c r="F2414" s="28" t="s">
        <v>10853</v>
      </c>
      <c r="G2414" s="28">
        <v>1</v>
      </c>
    </row>
    <row r="2415" spans="1:7">
      <c r="A2415" s="28">
        <v>1339932</v>
      </c>
      <c r="B2415" s="28" t="s">
        <v>10854</v>
      </c>
      <c r="C2415" s="28">
        <v>4</v>
      </c>
      <c r="D2415" s="54" t="s">
        <v>10855</v>
      </c>
      <c r="E2415" s="64" t="s"/>
      <c r="F2415" s="28" t="s">
        <v>10856</v>
      </c>
      <c r="G2415" s="28">
        <v>1</v>
      </c>
    </row>
    <row r="2416" spans="1:7">
      <c r="A2416" s="28">
        <v>1339933</v>
      </c>
      <c r="B2416" s="28" t="s">
        <v>10857</v>
      </c>
      <c r="C2416" s="28">
        <v>4</v>
      </c>
      <c r="D2416" s="54" t="s">
        <v>10858</v>
      </c>
      <c r="E2416" s="64" t="s"/>
      <c r="F2416" s="28" t="s">
        <v>10859</v>
      </c>
      <c r="G2416" s="28">
        <v>1</v>
      </c>
    </row>
    <row r="2417" spans="1:7">
      <c r="A2417" s="28">
        <v>1339934</v>
      </c>
      <c r="B2417" s="28" t="s">
        <v>10860</v>
      </c>
      <c r="C2417" s="28">
        <v>4</v>
      </c>
      <c r="D2417" s="54" t="s">
        <v>10861</v>
      </c>
      <c r="E2417" s="64" t="s"/>
      <c r="F2417" s="28" t="s">
        <v>10862</v>
      </c>
      <c r="G2417" s="28">
        <v>1</v>
      </c>
    </row>
    <row r="2418" spans="1:7">
      <c r="A2418" s="28">
        <v>1340001</v>
      </c>
      <c r="B2418" s="28" t="s">
        <v>10863</v>
      </c>
      <c r="C2418" s="28">
        <v>2</v>
      </c>
      <c r="D2418" s="54" t="s">
        <v>10864</v>
      </c>
      <c r="E2418" s="64" t="s"/>
      <c r="F2418" s="28" t="s">
        <v>7485</v>
      </c>
      <c r="G2418" s="28">
        <v>1</v>
      </c>
    </row>
    <row r="2419" spans="1:7">
      <c r="A2419" s="28">
        <v>1340002</v>
      </c>
      <c r="B2419" s="28" t="s">
        <v>8113</v>
      </c>
      <c r="C2419" s="28">
        <v>2</v>
      </c>
      <c r="D2419" s="54" t="s">
        <v>10865</v>
      </c>
      <c r="E2419" s="64" t="s"/>
      <c r="F2419" s="28" t="s">
        <v>10866</v>
      </c>
      <c r="G2419" s="28">
        <v>1</v>
      </c>
    </row>
    <row r="2420" spans="1:7">
      <c r="A2420" s="28">
        <v>1340003</v>
      </c>
      <c r="B2420" s="28" t="s">
        <v>10867</v>
      </c>
      <c r="C2420" s="28">
        <v>3</v>
      </c>
      <c r="D2420" s="54" t="s">
        <v>10868</v>
      </c>
      <c r="E2420" s="64" t="s"/>
      <c r="F2420" s="28" t="s">
        <v>10869</v>
      </c>
      <c r="G2420" s="28">
        <v>1</v>
      </c>
    </row>
    <row r="2421" spans="1:7">
      <c r="A2421" s="28">
        <v>1340004</v>
      </c>
      <c r="B2421" s="28" t="s">
        <v>10870</v>
      </c>
      <c r="C2421" s="28">
        <v>3</v>
      </c>
      <c r="D2421" s="54" t="s">
        <v>10871</v>
      </c>
      <c r="E2421" s="64" t="s"/>
      <c r="F2421" s="28" t="s">
        <v>10872</v>
      </c>
      <c r="G2421" s="28">
        <v>1</v>
      </c>
    </row>
    <row r="2422" spans="1:7">
      <c r="A2422" s="28">
        <v>1340005</v>
      </c>
      <c r="B2422" s="28" t="s">
        <v>10873</v>
      </c>
      <c r="C2422" s="28">
        <v>3</v>
      </c>
      <c r="D2422" s="54" t="s">
        <v>10874</v>
      </c>
      <c r="E2422" s="64" t="s"/>
      <c r="F2422" s="28" t="s">
        <v>10875</v>
      </c>
      <c r="G2422" s="28">
        <v>1</v>
      </c>
    </row>
    <row r="2423" spans="1:7">
      <c r="A2423" s="28">
        <v>1340007</v>
      </c>
      <c r="B2423" s="28" t="s">
        <v>10867</v>
      </c>
      <c r="C2423" s="28">
        <v>3</v>
      </c>
      <c r="D2423" s="54" t="s">
        <v>10868</v>
      </c>
      <c r="E2423" s="64" t="s"/>
      <c r="F2423" s="28" t="s">
        <v>10869</v>
      </c>
      <c r="G2423" s="28">
        <v>1</v>
      </c>
    </row>
    <row r="2424" spans="1:7">
      <c r="A2424" s="28">
        <v>1340008</v>
      </c>
      <c r="B2424" s="28" t="s">
        <v>10876</v>
      </c>
      <c r="C2424" s="28">
        <v>2</v>
      </c>
      <c r="D2424" s="54" t="s">
        <v>10877</v>
      </c>
      <c r="E2424" s="64" t="s"/>
      <c r="F2424" s="28" t="s">
        <v>6101</v>
      </c>
      <c r="G2424" s="28">
        <v>1</v>
      </c>
    </row>
    <row r="2425" spans="1:7">
      <c r="A2425" s="28">
        <v>1340009</v>
      </c>
      <c r="B2425" s="28" t="s">
        <v>10878</v>
      </c>
      <c r="C2425" s="28">
        <v>2</v>
      </c>
      <c r="D2425" s="54" t="s">
        <v>10879</v>
      </c>
      <c r="E2425" s="64" t="s"/>
      <c r="F2425" s="28" t="s">
        <v>10880</v>
      </c>
      <c r="G2425" s="28">
        <v>1</v>
      </c>
    </row>
    <row r="2426" spans="1:7">
      <c r="A2426" s="28">
        <v>1340010</v>
      </c>
      <c r="B2426" s="28" t="s">
        <v>6137</v>
      </c>
      <c r="C2426" s="28">
        <v>4</v>
      </c>
      <c r="D2426" s="54" t="s">
        <v>10881</v>
      </c>
      <c r="E2426" s="64" t="s"/>
      <c r="F2426" s="28" t="s">
        <v>6140</v>
      </c>
      <c r="G2426" s="28">
        <v>1</v>
      </c>
    </row>
    <row r="2427" spans="1:7">
      <c r="A2427" s="28">
        <v>1340011</v>
      </c>
      <c r="B2427" s="28" t="s">
        <v>10870</v>
      </c>
      <c r="C2427" s="28">
        <v>4</v>
      </c>
      <c r="D2427" s="54" t="s">
        <v>10882</v>
      </c>
      <c r="E2427" s="64" t="s"/>
      <c r="F2427" s="28" t="s">
        <v>10872</v>
      </c>
      <c r="G2427" s="28">
        <v>1</v>
      </c>
    </row>
    <row r="2428" spans="1:7">
      <c r="A2428" s="28">
        <v>1340012</v>
      </c>
      <c r="B2428" s="28" t="s">
        <v>10867</v>
      </c>
      <c r="C2428" s="28">
        <v>2</v>
      </c>
      <c r="D2428" s="54" t="s">
        <v>10868</v>
      </c>
      <c r="E2428" s="64" t="s"/>
      <c r="F2428" s="28" t="s">
        <v>10869</v>
      </c>
      <c r="G2428" s="28">
        <v>1</v>
      </c>
    </row>
    <row r="2429" spans="1:7">
      <c r="A2429" s="28">
        <v>1340013</v>
      </c>
      <c r="B2429" s="28" t="s">
        <v>10883</v>
      </c>
      <c r="C2429" s="28">
        <v>2</v>
      </c>
      <c r="D2429" s="54" t="s">
        <v>10884</v>
      </c>
      <c r="E2429" s="64" t="s"/>
      <c r="F2429" s="28" t="s">
        <v>10885</v>
      </c>
      <c r="G2429" s="28">
        <v>1</v>
      </c>
    </row>
    <row r="2430" spans="1:7">
      <c r="A2430" s="28">
        <v>1340014</v>
      </c>
      <c r="B2430" s="28" t="s">
        <v>10886</v>
      </c>
      <c r="C2430" s="28">
        <v>2</v>
      </c>
      <c r="D2430" s="54" t="s">
        <v>10887</v>
      </c>
      <c r="E2430" s="64" t="s"/>
      <c r="F2430" s="28" t="s">
        <v>10885</v>
      </c>
      <c r="G2430" s="28">
        <v>1</v>
      </c>
    </row>
    <row r="2431" spans="1:7">
      <c r="A2431" s="28">
        <v>1340015</v>
      </c>
      <c r="B2431" s="28" t="s">
        <v>10888</v>
      </c>
      <c r="C2431" s="28">
        <v>2</v>
      </c>
      <c r="D2431" s="54" t="s">
        <v>10889</v>
      </c>
      <c r="E2431" s="64" t="s"/>
      <c r="F2431" s="28" t="s">
        <v>10885</v>
      </c>
      <c r="G2431" s="28">
        <v>1</v>
      </c>
    </row>
    <row r="2432" spans="1:7">
      <c r="A2432" s="28">
        <v>1340016</v>
      </c>
      <c r="B2432" s="28" t="s">
        <v>10890</v>
      </c>
      <c r="C2432" s="28">
        <v>3</v>
      </c>
      <c r="D2432" s="54" t="s">
        <v>10891</v>
      </c>
      <c r="E2432" s="64" t="s"/>
      <c r="F2432" s="28" t="s">
        <v>10892</v>
      </c>
      <c r="G2432" s="28">
        <v>1</v>
      </c>
    </row>
    <row r="2433" spans="1:7">
      <c r="A2433" s="28">
        <v>1340017</v>
      </c>
      <c r="B2433" s="28" t="s">
        <v>10890</v>
      </c>
      <c r="C2433" s="28">
        <v>3</v>
      </c>
      <c r="D2433" s="54" t="s">
        <v>10893</v>
      </c>
      <c r="E2433" s="64" t="s"/>
      <c r="F2433" s="28" t="s">
        <v>10894</v>
      </c>
      <c r="G2433" s="28">
        <v>1</v>
      </c>
    </row>
    <row r="2434" spans="1:7">
      <c r="A2434" s="28">
        <v>1340018</v>
      </c>
      <c r="B2434" s="28" t="s">
        <v>10890</v>
      </c>
      <c r="C2434" s="28">
        <v>3</v>
      </c>
      <c r="D2434" s="54" t="s">
        <v>10895</v>
      </c>
      <c r="E2434" s="64" t="s"/>
      <c r="F2434" s="28" t="s">
        <v>10896</v>
      </c>
      <c r="G2434" s="28">
        <v>1</v>
      </c>
    </row>
    <row r="2435" spans="1:7">
      <c r="A2435" s="28">
        <v>1340019</v>
      </c>
      <c r="B2435" s="28" t="s">
        <v>10890</v>
      </c>
      <c r="C2435" s="28">
        <v>3</v>
      </c>
      <c r="D2435" s="54" t="s">
        <v>10897</v>
      </c>
      <c r="E2435" s="64" t="s"/>
      <c r="F2435" s="28" t="s">
        <v>10898</v>
      </c>
      <c r="G2435" s="28">
        <v>1</v>
      </c>
    </row>
    <row r="2436" spans="1:7">
      <c r="A2436" s="28">
        <v>1340020</v>
      </c>
      <c r="B2436" s="28" t="s">
        <v>10890</v>
      </c>
      <c r="C2436" s="28">
        <v>3</v>
      </c>
      <c r="D2436" s="54" t="s">
        <v>10899</v>
      </c>
      <c r="E2436" s="64" t="s"/>
      <c r="F2436" s="28" t="s">
        <v>10900</v>
      </c>
      <c r="G2436" s="28">
        <v>1</v>
      </c>
    </row>
    <row r="2437" spans="1:7">
      <c r="A2437" s="28">
        <v>1340021</v>
      </c>
      <c r="B2437" s="28" t="s">
        <v>10901</v>
      </c>
      <c r="C2437" s="28">
        <v>3</v>
      </c>
      <c r="D2437" s="54" t="s">
        <v>10902</v>
      </c>
      <c r="E2437" s="64" t="s"/>
      <c r="F2437" s="28" t="s">
        <v>10903</v>
      </c>
      <c r="G2437" s="28">
        <v>1</v>
      </c>
    </row>
    <row r="2438" spans="1:7">
      <c r="A2438" s="28">
        <v>1340022</v>
      </c>
      <c r="B2438" s="28" t="s">
        <v>10904</v>
      </c>
      <c r="C2438" s="28">
        <v>3</v>
      </c>
      <c r="D2438" s="54" t="s">
        <v>10905</v>
      </c>
      <c r="E2438" s="64" t="s"/>
      <c r="F2438" s="28" t="s">
        <v>10903</v>
      </c>
      <c r="G2438" s="28">
        <v>1</v>
      </c>
    </row>
    <row r="2439" spans="1:7">
      <c r="A2439" s="28">
        <v>1340023</v>
      </c>
      <c r="B2439" s="28" t="s">
        <v>6137</v>
      </c>
      <c r="C2439" s="28">
        <v>4</v>
      </c>
      <c r="D2439" s="54" t="s">
        <v>10906</v>
      </c>
      <c r="E2439" s="64" t="s"/>
      <c r="F2439" s="28" t="s">
        <v>6140</v>
      </c>
      <c r="G2439" s="28">
        <v>1</v>
      </c>
    </row>
    <row r="2440" spans="1:7">
      <c r="A2440" s="28">
        <v>1340024</v>
      </c>
      <c r="B2440" s="28" t="s">
        <v>10867</v>
      </c>
      <c r="C2440" s="28">
        <v>3</v>
      </c>
      <c r="D2440" s="54" t="s">
        <v>10868</v>
      </c>
      <c r="E2440" s="64" t="s"/>
      <c r="F2440" s="28" t="s">
        <v>10869</v>
      </c>
      <c r="G2440" s="28">
        <v>1</v>
      </c>
    </row>
    <row r="2441" spans="1:7">
      <c r="A2441" s="28">
        <v>1340025</v>
      </c>
      <c r="B2441" s="28" t="s">
        <v>6137</v>
      </c>
      <c r="C2441" s="28">
        <v>4</v>
      </c>
      <c r="D2441" s="54" t="s">
        <v>10907</v>
      </c>
      <c r="E2441" s="64" t="s"/>
      <c r="F2441" s="28" t="s">
        <v>6140</v>
      </c>
      <c r="G2441" s="28">
        <v>1</v>
      </c>
    </row>
    <row r="2442" spans="1:7">
      <c r="A2442" s="28">
        <v>1340026</v>
      </c>
      <c r="B2442" s="28" t="s">
        <v>10878</v>
      </c>
      <c r="C2442" s="28">
        <v>2</v>
      </c>
      <c r="D2442" s="54" t="s">
        <v>10879</v>
      </c>
      <c r="E2442" s="64" t="s"/>
      <c r="F2442" s="28" t="s">
        <v>10880</v>
      </c>
      <c r="G2442" s="28">
        <v>1</v>
      </c>
    </row>
    <row r="2443" spans="1:7">
      <c r="A2443" s="28">
        <v>1340027</v>
      </c>
      <c r="B2443" s="28" t="s">
        <v>10886</v>
      </c>
      <c r="C2443" s="28">
        <v>2</v>
      </c>
      <c r="D2443" s="54" t="s">
        <v>10887</v>
      </c>
      <c r="E2443" s="64" t="s"/>
      <c r="F2443" s="28" t="s">
        <v>10885</v>
      </c>
      <c r="G2443" s="28">
        <v>1</v>
      </c>
    </row>
    <row r="2444" spans="1:7">
      <c r="A2444" s="28">
        <v>1340028</v>
      </c>
      <c r="B2444" s="28" t="s">
        <v>10888</v>
      </c>
      <c r="C2444" s="54">
        <v>2</v>
      </c>
      <c r="D2444" s="54" t="s">
        <v>10889</v>
      </c>
      <c r="E2444" s="64" t="s"/>
      <c r="F2444" s="28" t="s">
        <v>10885</v>
      </c>
      <c r="G2444" s="28">
        <v>1</v>
      </c>
    </row>
    <row r="2445" spans="1:7">
      <c r="A2445" s="28">
        <v>1340029</v>
      </c>
      <c r="B2445" s="28" t="s">
        <v>10890</v>
      </c>
      <c r="C2445" s="54">
        <v>3</v>
      </c>
      <c r="D2445" s="54" t="s">
        <v>10908</v>
      </c>
      <c r="E2445" s="64" t="s"/>
      <c r="F2445" s="28" t="s">
        <v>10892</v>
      </c>
      <c r="G2445" s="28">
        <v>1</v>
      </c>
    </row>
    <row r="2446" spans="1:7">
      <c r="A2446" s="28">
        <v>1340030</v>
      </c>
      <c r="B2446" s="28" t="s">
        <v>10890</v>
      </c>
      <c r="C2446" s="54">
        <v>3</v>
      </c>
      <c r="D2446" s="54" t="s">
        <v>10909</v>
      </c>
      <c r="E2446" s="64" t="s"/>
      <c r="F2446" s="28" t="s">
        <v>10894</v>
      </c>
      <c r="G2446" s="28">
        <v>1</v>
      </c>
    </row>
    <row r="2447" spans="1:7">
      <c r="A2447" s="28">
        <v>1340031</v>
      </c>
      <c r="B2447" s="28" t="s">
        <v>10890</v>
      </c>
      <c r="C2447" s="54">
        <v>3</v>
      </c>
      <c r="D2447" s="54" t="s">
        <v>10910</v>
      </c>
      <c r="E2447" s="64" t="s"/>
      <c r="F2447" s="28" t="s">
        <v>10896</v>
      </c>
      <c r="G2447" s="28">
        <v>1</v>
      </c>
    </row>
    <row r="2448" spans="1:7">
      <c r="A2448" s="28">
        <v>1340032</v>
      </c>
      <c r="B2448" s="28" t="s">
        <v>10890</v>
      </c>
      <c r="C2448" s="54">
        <v>3</v>
      </c>
      <c r="D2448" s="54" t="s">
        <v>10911</v>
      </c>
      <c r="E2448" s="64" t="s"/>
      <c r="F2448" s="28" t="s">
        <v>10898</v>
      </c>
      <c r="G2448" s="28">
        <v>1</v>
      </c>
    </row>
    <row r="2449" spans="1:7">
      <c r="A2449" s="28">
        <v>1340033</v>
      </c>
      <c r="B2449" s="28" t="s">
        <v>10890</v>
      </c>
      <c r="C2449" s="54">
        <v>3</v>
      </c>
      <c r="D2449" s="54" t="s">
        <v>10912</v>
      </c>
      <c r="E2449" s="64" t="s"/>
      <c r="F2449" s="28" t="s">
        <v>10898</v>
      </c>
      <c r="G2449" s="28">
        <v>1</v>
      </c>
    </row>
    <row r="2450" spans="1:7">
      <c r="A2450" s="28">
        <v>1340034</v>
      </c>
      <c r="B2450" s="28" t="s">
        <v>10890</v>
      </c>
      <c r="C2450" s="54">
        <v>3</v>
      </c>
      <c r="D2450" s="54" t="s">
        <v>10913</v>
      </c>
      <c r="E2450" s="64" t="s"/>
      <c r="F2450" s="28" t="s">
        <v>10900</v>
      </c>
      <c r="G2450" s="28">
        <v>1</v>
      </c>
    </row>
    <row r="2451" spans="1:7">
      <c r="A2451" s="28">
        <v>1340035</v>
      </c>
      <c r="B2451" s="28" t="s">
        <v>10901</v>
      </c>
      <c r="C2451" s="54">
        <v>3</v>
      </c>
      <c r="D2451" s="54" t="s">
        <v>10902</v>
      </c>
      <c r="E2451" s="64" t="s"/>
      <c r="F2451" s="28" t="s">
        <v>10903</v>
      </c>
      <c r="G2451" s="28">
        <v>1</v>
      </c>
    </row>
    <row r="2452" spans="1:7">
      <c r="A2452" s="28">
        <v>1340036</v>
      </c>
      <c r="B2452" s="28" t="s">
        <v>10904</v>
      </c>
      <c r="C2452" s="54">
        <v>3</v>
      </c>
      <c r="D2452" s="54" t="s">
        <v>10905</v>
      </c>
      <c r="E2452" s="64" t="s"/>
      <c r="F2452" s="28" t="s">
        <v>10903</v>
      </c>
      <c r="G2452" s="28">
        <v>1</v>
      </c>
    </row>
    <row r="2453" spans="1:7">
      <c r="A2453" s="28">
        <v>1340074</v>
      </c>
      <c r="B2453" s="28" t="s">
        <v>10914</v>
      </c>
      <c r="C2453" s="54">
        <v>3</v>
      </c>
      <c r="D2453" s="54" t="s">
        <v>10915</v>
      </c>
      <c r="E2453" s="64" t="s"/>
      <c r="F2453" s="28" t="s">
        <v>10916</v>
      </c>
      <c r="G2453" s="28">
        <v>1</v>
      </c>
    </row>
    <row r="2454" spans="1:7">
      <c r="A2454" s="28">
        <v>1340075</v>
      </c>
      <c r="B2454" s="28" t="s">
        <v>10917</v>
      </c>
      <c r="C2454" s="54">
        <v>3</v>
      </c>
      <c r="D2454" s="54" t="s">
        <v>10918</v>
      </c>
      <c r="E2454" s="64" t="s"/>
      <c r="F2454" s="28" t="s">
        <v>10919</v>
      </c>
      <c r="G2454" s="28">
        <v>1</v>
      </c>
    </row>
    <row r="2455" spans="1:7">
      <c r="A2455" s="28">
        <v>1340076</v>
      </c>
      <c r="B2455" s="28" t="s">
        <v>10920</v>
      </c>
      <c r="C2455" s="54">
        <v>3</v>
      </c>
      <c r="D2455" s="54" t="s">
        <v>10921</v>
      </c>
      <c r="E2455" s="64" t="s"/>
      <c r="F2455" s="28" t="s">
        <v>10922</v>
      </c>
      <c r="G2455" s="28">
        <v>1</v>
      </c>
    </row>
    <row r="2456" spans="1:7">
      <c r="A2456" s="28">
        <v>1340101</v>
      </c>
      <c r="B2456" s="28" t="s">
        <v>10863</v>
      </c>
      <c r="C2456" s="54">
        <v>2</v>
      </c>
      <c r="D2456" s="54" t="s">
        <v>10923</v>
      </c>
      <c r="E2456" s="64" t="s"/>
      <c r="F2456" s="28" t="s">
        <v>7485</v>
      </c>
      <c r="G2456" s="28">
        <v>1</v>
      </c>
    </row>
    <row r="2457" spans="1:7">
      <c r="A2457" s="28">
        <v>1340102</v>
      </c>
      <c r="B2457" s="28" t="s">
        <v>10863</v>
      </c>
      <c r="C2457" s="54">
        <v>2</v>
      </c>
      <c r="D2457" s="67" t="s">
        <v>10924</v>
      </c>
      <c r="E2457" s="64" t="s"/>
      <c r="F2457" s="28" t="s">
        <v>7485</v>
      </c>
      <c r="G2457" s="28">
        <v>1</v>
      </c>
    </row>
    <row r="2458" spans="1:7">
      <c r="A2458" s="28">
        <v>1340103</v>
      </c>
      <c r="B2458" s="28" t="s">
        <v>10863</v>
      </c>
      <c r="C2458" s="54">
        <v>2</v>
      </c>
      <c r="D2458" s="67" t="s">
        <v>10925</v>
      </c>
      <c r="E2458" s="64" t="s"/>
      <c r="F2458" s="28" t="s">
        <v>7485</v>
      </c>
      <c r="G2458" s="28">
        <v>1</v>
      </c>
    </row>
    <row r="2459" spans="1:7">
      <c r="A2459" s="28">
        <v>1340104</v>
      </c>
      <c r="B2459" s="28" t="s">
        <v>10863</v>
      </c>
      <c r="C2459" s="54">
        <v>2</v>
      </c>
      <c r="D2459" s="67" t="s">
        <v>10864</v>
      </c>
      <c r="E2459" s="64" t="s"/>
      <c r="F2459" s="28" t="s">
        <v>7485</v>
      </c>
      <c r="G2459" s="28">
        <v>1</v>
      </c>
    </row>
    <row r="2460" spans="1:7">
      <c r="A2460" s="28">
        <v>1340105</v>
      </c>
      <c r="B2460" s="28" t="s">
        <v>10863</v>
      </c>
      <c r="C2460" s="54">
        <v>2</v>
      </c>
      <c r="D2460" s="67" t="s">
        <v>10926</v>
      </c>
      <c r="E2460" s="64" t="s"/>
      <c r="F2460" s="28" t="s">
        <v>7485</v>
      </c>
      <c r="G2460" s="28">
        <v>1</v>
      </c>
    </row>
    <row r="2461" spans="1:7">
      <c r="A2461" s="28">
        <v>1340106</v>
      </c>
      <c r="B2461" s="28" t="s">
        <v>10863</v>
      </c>
      <c r="C2461" s="54">
        <v>2</v>
      </c>
      <c r="D2461" s="67" t="s">
        <v>10927</v>
      </c>
      <c r="E2461" s="64" t="s"/>
      <c r="F2461" s="28" t="s">
        <v>7485</v>
      </c>
      <c r="G2461" s="28">
        <v>1</v>
      </c>
    </row>
    <row r="2462" spans="1:7">
      <c r="A2462" s="28">
        <v>1340107</v>
      </c>
      <c r="B2462" s="28" t="s">
        <v>10863</v>
      </c>
      <c r="C2462" s="54">
        <v>2</v>
      </c>
      <c r="D2462" s="54" t="s">
        <v>10928</v>
      </c>
      <c r="E2462" s="64" t="s"/>
      <c r="F2462" s="28" t="s">
        <v>7485</v>
      </c>
      <c r="G2462" s="28">
        <v>1</v>
      </c>
    </row>
    <row r="2463" spans="1:7">
      <c r="A2463" s="28">
        <v>1340108</v>
      </c>
      <c r="B2463" s="28" t="s">
        <v>10863</v>
      </c>
      <c r="C2463" s="54">
        <v>2</v>
      </c>
      <c r="D2463" s="67" t="s">
        <v>10929</v>
      </c>
      <c r="E2463" s="64" t="s"/>
      <c r="F2463" s="28" t="s">
        <v>7485</v>
      </c>
      <c r="G2463" s="28">
        <v>1</v>
      </c>
    </row>
    <row r="2464" spans="1:7">
      <c r="A2464" s="28">
        <v>1340109</v>
      </c>
      <c r="B2464" s="28" t="s">
        <v>10863</v>
      </c>
      <c r="C2464" s="54">
        <v>2</v>
      </c>
      <c r="D2464" s="67" t="s">
        <v>10930</v>
      </c>
      <c r="E2464" s="64" t="s"/>
      <c r="F2464" s="28" t="s">
        <v>7485</v>
      </c>
      <c r="G2464" s="28">
        <v>1</v>
      </c>
    </row>
    <row r="2465" spans="1:7">
      <c r="A2465" s="28">
        <v>1340110</v>
      </c>
      <c r="B2465" s="28" t="s">
        <v>10863</v>
      </c>
      <c r="C2465" s="54">
        <v>2</v>
      </c>
      <c r="D2465" s="67" t="s">
        <v>10931</v>
      </c>
      <c r="E2465" s="64" t="s"/>
      <c r="F2465" s="28" t="s">
        <v>7485</v>
      </c>
      <c r="G2465" s="28">
        <v>1</v>
      </c>
    </row>
    <row r="2466" spans="1:7">
      <c r="A2466" s="28">
        <v>1340111</v>
      </c>
      <c r="B2466" s="28" t="s">
        <v>10863</v>
      </c>
      <c r="C2466" s="54">
        <v>2</v>
      </c>
      <c r="D2466" s="67" t="s">
        <v>10932</v>
      </c>
      <c r="E2466" s="64" t="s"/>
      <c r="F2466" s="28" t="s">
        <v>7485</v>
      </c>
      <c r="G2466" s="28">
        <v>1</v>
      </c>
    </row>
    <row r="2467" spans="1:7">
      <c r="A2467" s="28">
        <v>1340112</v>
      </c>
      <c r="B2467" s="28" t="s">
        <v>10863</v>
      </c>
      <c r="C2467" s="54">
        <v>2</v>
      </c>
      <c r="D2467" s="67" t="s">
        <v>10933</v>
      </c>
      <c r="E2467" s="64" t="s"/>
      <c r="F2467" s="28" t="s">
        <v>7485</v>
      </c>
      <c r="G2467" s="28">
        <v>1</v>
      </c>
    </row>
    <row r="2468" spans="1:7">
      <c r="A2468" s="28">
        <v>1340113</v>
      </c>
      <c r="B2468" s="28" t="s">
        <v>10863</v>
      </c>
      <c r="C2468" s="54">
        <v>2</v>
      </c>
      <c r="D2468" s="67" t="s">
        <v>10934</v>
      </c>
      <c r="E2468" s="64" t="s"/>
      <c r="F2468" s="28" t="s">
        <v>7485</v>
      </c>
      <c r="G2468" s="28">
        <v>1</v>
      </c>
    </row>
    <row r="2469" spans="1:7">
      <c r="A2469" s="28">
        <v>1340114</v>
      </c>
      <c r="B2469" s="28" t="s">
        <v>10863</v>
      </c>
      <c r="C2469" s="54">
        <v>2</v>
      </c>
      <c r="D2469" s="67" t="s">
        <v>10935</v>
      </c>
      <c r="E2469" s="64" t="s"/>
      <c r="F2469" s="28" t="s">
        <v>7485</v>
      </c>
      <c r="G2469" s="28">
        <v>1</v>
      </c>
    </row>
    <row r="2470" spans="1:7">
      <c r="A2470" s="28">
        <v>1340120</v>
      </c>
      <c r="B2470" s="28" t="s">
        <v>6100</v>
      </c>
      <c r="C2470" s="54">
        <v>2</v>
      </c>
      <c r="D2470" s="67" t="s">
        <v>10936</v>
      </c>
      <c r="E2470" s="64" t="s"/>
      <c r="F2470" s="28" t="s">
        <v>6101</v>
      </c>
      <c r="G2470" s="28">
        <v>1</v>
      </c>
    </row>
    <row r="2471" spans="1:7">
      <c r="A2471" s="28">
        <v>1340121</v>
      </c>
      <c r="B2471" s="28" t="s">
        <v>6100</v>
      </c>
      <c r="C2471" s="54">
        <v>2</v>
      </c>
      <c r="D2471" s="67" t="s">
        <v>10937</v>
      </c>
      <c r="E2471" s="64" t="s"/>
      <c r="F2471" s="28" t="s">
        <v>6101</v>
      </c>
      <c r="G2471" s="28">
        <v>1</v>
      </c>
    </row>
    <row r="2472" spans="1:7">
      <c r="A2472" s="28">
        <v>1340122</v>
      </c>
      <c r="B2472" s="28" t="s">
        <v>6100</v>
      </c>
      <c r="C2472" s="28">
        <v>2</v>
      </c>
      <c r="D2472" s="67" t="s">
        <v>10938</v>
      </c>
      <c r="E2472" s="64" t="s"/>
      <c r="F2472" s="28" t="s">
        <v>6101</v>
      </c>
      <c r="G2472" s="28">
        <v>1</v>
      </c>
    </row>
    <row r="2473" spans="1:7">
      <c r="A2473" s="28">
        <v>1340123</v>
      </c>
      <c r="B2473" s="28" t="s">
        <v>6100</v>
      </c>
      <c r="C2473" s="28">
        <v>2</v>
      </c>
      <c r="D2473" s="67" t="s">
        <v>10939</v>
      </c>
      <c r="E2473" s="64" t="s"/>
      <c r="F2473" s="28" t="s">
        <v>6101</v>
      </c>
      <c r="G2473" s="28">
        <v>1</v>
      </c>
    </row>
    <row r="2474" spans="1:7">
      <c r="A2474" s="28">
        <v>1340124</v>
      </c>
      <c r="B2474" s="28" t="s">
        <v>6100</v>
      </c>
      <c r="C2474" s="28">
        <v>2</v>
      </c>
      <c r="D2474" s="54" t="s">
        <v>10940</v>
      </c>
      <c r="E2474" s="64" t="s"/>
      <c r="F2474" s="28" t="s">
        <v>6101</v>
      </c>
      <c r="G2474" s="28">
        <v>1</v>
      </c>
    </row>
    <row r="2475" spans="1:7">
      <c r="A2475" s="28">
        <v>1340125</v>
      </c>
      <c r="B2475" s="28" t="s">
        <v>6100</v>
      </c>
      <c r="C2475" s="28">
        <v>2</v>
      </c>
      <c r="D2475" s="54" t="s">
        <v>10941</v>
      </c>
      <c r="E2475" s="64" t="s"/>
      <c r="F2475" s="28" t="s">
        <v>6101</v>
      </c>
      <c r="G2475" s="28">
        <v>1</v>
      </c>
    </row>
    <row r="2476" spans="1:7">
      <c r="A2476" s="28">
        <v>1340126</v>
      </c>
      <c r="B2476" s="28" t="s">
        <v>6100</v>
      </c>
      <c r="C2476" s="28">
        <v>2</v>
      </c>
      <c r="D2476" s="54" t="s">
        <v>10942</v>
      </c>
      <c r="E2476" s="64" t="s"/>
      <c r="F2476" s="28" t="s">
        <v>6101</v>
      </c>
      <c r="G2476" s="28">
        <v>1</v>
      </c>
    </row>
    <row r="2477" spans="1:7">
      <c r="A2477" s="28">
        <v>1340127</v>
      </c>
      <c r="B2477" s="28" t="s">
        <v>6100</v>
      </c>
      <c r="C2477" s="28">
        <v>2</v>
      </c>
      <c r="D2477" s="54" t="s">
        <v>10943</v>
      </c>
      <c r="E2477" s="64" t="s"/>
      <c r="F2477" s="28" t="s">
        <v>6101</v>
      </c>
      <c r="G2477" s="28">
        <v>1</v>
      </c>
    </row>
    <row r="2478" spans="1:7">
      <c r="A2478" s="28">
        <v>1340128</v>
      </c>
      <c r="B2478" s="28" t="s">
        <v>6100</v>
      </c>
      <c r="C2478" s="28">
        <v>2</v>
      </c>
      <c r="D2478" s="67" t="s">
        <v>10944</v>
      </c>
      <c r="E2478" s="64" t="s"/>
      <c r="F2478" s="28" t="s">
        <v>6101</v>
      </c>
      <c r="G2478" s="28">
        <v>1</v>
      </c>
    </row>
    <row r="2479" spans="1:7">
      <c r="A2479" s="28">
        <v>1340129</v>
      </c>
      <c r="B2479" s="28" t="s">
        <v>6100</v>
      </c>
      <c r="C2479" s="54">
        <v>2</v>
      </c>
      <c r="D2479" s="54" t="s">
        <v>10945</v>
      </c>
      <c r="E2479" s="64" t="s"/>
      <c r="F2479" s="28" t="s">
        <v>6101</v>
      </c>
      <c r="G2479" s="28">
        <v>1</v>
      </c>
    </row>
    <row r="2480" spans="1:7">
      <c r="A2480" s="28">
        <v>1340130</v>
      </c>
      <c r="B2480" s="28" t="s">
        <v>6100</v>
      </c>
      <c r="C2480" s="54">
        <v>2</v>
      </c>
      <c r="D2480" s="54" t="s">
        <v>10946</v>
      </c>
      <c r="E2480" s="64" t="s"/>
      <c r="F2480" s="28" t="s">
        <v>6101</v>
      </c>
      <c r="G2480" s="28">
        <v>1</v>
      </c>
    </row>
    <row r="2481" spans="1:7">
      <c r="A2481" s="28">
        <v>1340131</v>
      </c>
      <c r="B2481" s="28" t="s">
        <v>6100</v>
      </c>
      <c r="C2481" s="54">
        <v>2</v>
      </c>
      <c r="D2481" s="54" t="s">
        <v>10947</v>
      </c>
      <c r="E2481" s="64" t="s"/>
      <c r="F2481" s="28" t="s">
        <v>6101</v>
      </c>
      <c r="G2481" s="28">
        <v>1</v>
      </c>
    </row>
    <row r="2482" spans="1:7">
      <c r="A2482" s="28">
        <v>1340132</v>
      </c>
      <c r="B2482" s="28" t="s">
        <v>6100</v>
      </c>
      <c r="C2482" s="54">
        <v>2</v>
      </c>
      <c r="D2482" s="54" t="s">
        <v>10948</v>
      </c>
      <c r="E2482" s="64" t="s"/>
      <c r="F2482" s="28" t="s">
        <v>6101</v>
      </c>
      <c r="G2482" s="28">
        <v>1</v>
      </c>
    </row>
    <row r="2483" spans="1:7">
      <c r="A2483" s="28">
        <v>1340133</v>
      </c>
      <c r="B2483" s="28" t="s">
        <v>6100</v>
      </c>
      <c r="C2483" s="54">
        <v>2</v>
      </c>
      <c r="D2483" s="54" t="s">
        <v>10949</v>
      </c>
      <c r="E2483" s="64" t="s"/>
      <c r="F2483" s="28" t="s">
        <v>6101</v>
      </c>
      <c r="G2483" s="28">
        <v>1</v>
      </c>
    </row>
    <row r="2484" spans="1:7">
      <c r="A2484" s="28">
        <v>1340134</v>
      </c>
      <c r="B2484" s="28" t="s">
        <v>6100</v>
      </c>
      <c r="C2484" s="54">
        <v>2</v>
      </c>
      <c r="D2484" s="54" t="s">
        <v>10950</v>
      </c>
      <c r="E2484" s="64" t="s"/>
      <c r="F2484" s="28" t="s">
        <v>6101</v>
      </c>
      <c r="G2484" s="28">
        <v>1</v>
      </c>
    </row>
    <row r="2485" spans="1:7">
      <c r="A2485" s="28">
        <v>1340135</v>
      </c>
      <c r="B2485" s="28" t="s">
        <v>6100</v>
      </c>
      <c r="C2485" s="54">
        <v>2</v>
      </c>
      <c r="D2485" s="54" t="s">
        <v>10951</v>
      </c>
      <c r="E2485" s="64" t="s"/>
      <c r="F2485" s="28" t="s">
        <v>6101</v>
      </c>
      <c r="G2485" s="28">
        <v>1</v>
      </c>
    </row>
    <row r="2486" spans="1:7">
      <c r="A2486" s="28">
        <v>1340136</v>
      </c>
      <c r="B2486" s="28" t="s">
        <v>6100</v>
      </c>
      <c r="C2486" s="54">
        <v>2</v>
      </c>
      <c r="D2486" s="67" t="s">
        <v>10952</v>
      </c>
      <c r="E2486" s="64" t="s"/>
      <c r="F2486" s="28" t="s">
        <v>6101</v>
      </c>
      <c r="G2486" s="28">
        <v>1</v>
      </c>
    </row>
    <row r="2487" spans="1:7">
      <c r="A2487" s="28">
        <v>1340137</v>
      </c>
      <c r="B2487" s="28" t="s">
        <v>6100</v>
      </c>
      <c r="C2487" s="54">
        <v>2</v>
      </c>
      <c r="D2487" s="67" t="s">
        <v>10953</v>
      </c>
      <c r="E2487" s="64" t="s"/>
      <c r="F2487" s="28" t="s">
        <v>6101</v>
      </c>
      <c r="G2487" s="28">
        <v>1</v>
      </c>
    </row>
    <row r="2488" spans="1:7">
      <c r="A2488" s="28">
        <v>1340150</v>
      </c>
      <c r="B2488" s="28" t="s">
        <v>10863</v>
      </c>
      <c r="C2488" s="54">
        <v>2</v>
      </c>
      <c r="D2488" s="67" t="s">
        <v>10923</v>
      </c>
      <c r="E2488" s="64" t="s"/>
      <c r="F2488" s="28" t="s">
        <v>7485</v>
      </c>
      <c r="G2488" s="28">
        <v>1</v>
      </c>
    </row>
    <row r="2489" spans="1:7">
      <c r="A2489" s="28">
        <v>1340151</v>
      </c>
      <c r="B2489" s="28" t="s">
        <v>10863</v>
      </c>
      <c r="C2489" s="54">
        <v>2</v>
      </c>
      <c r="D2489" s="67" t="s">
        <v>10924</v>
      </c>
      <c r="E2489" s="64" t="s"/>
      <c r="F2489" s="28" t="s">
        <v>7485</v>
      </c>
      <c r="G2489" s="28">
        <v>1</v>
      </c>
    </row>
    <row r="2490" spans="1:7">
      <c r="A2490" s="28">
        <v>1340152</v>
      </c>
      <c r="B2490" s="54" t="s">
        <v>10863</v>
      </c>
      <c r="C2490" s="54">
        <v>2</v>
      </c>
      <c r="D2490" s="67" t="s">
        <v>10925</v>
      </c>
      <c r="E2490" s="64" t="s"/>
      <c r="F2490" s="28" t="s">
        <v>7485</v>
      </c>
      <c r="G2490" s="28">
        <v>1</v>
      </c>
    </row>
    <row r="2491" spans="1:7">
      <c r="A2491" s="28">
        <v>1340153</v>
      </c>
      <c r="B2491" s="54" t="s">
        <v>10863</v>
      </c>
      <c r="C2491" s="54">
        <v>2</v>
      </c>
      <c r="D2491" s="67" t="s">
        <v>10864</v>
      </c>
      <c r="E2491" s="64" t="s"/>
      <c r="F2491" s="28" t="s">
        <v>7485</v>
      </c>
      <c r="G2491" s="28">
        <v>1</v>
      </c>
    </row>
    <row r="2492" spans="1:7">
      <c r="A2492" s="28">
        <v>1340154</v>
      </c>
      <c r="B2492" s="54" t="s">
        <v>10863</v>
      </c>
      <c r="C2492" s="54">
        <v>2</v>
      </c>
      <c r="D2492" s="67" t="s">
        <v>10926</v>
      </c>
      <c r="E2492" s="64" t="s"/>
      <c r="F2492" s="28" t="s">
        <v>7485</v>
      </c>
      <c r="G2492" s="28">
        <v>1</v>
      </c>
    </row>
    <row r="2493" spans="1:7">
      <c r="A2493" s="28">
        <v>1340155</v>
      </c>
      <c r="B2493" s="28" t="s">
        <v>10863</v>
      </c>
      <c r="C2493" s="54">
        <v>2</v>
      </c>
      <c r="D2493" s="67" t="s">
        <v>10927</v>
      </c>
      <c r="E2493" s="64" t="s"/>
      <c r="F2493" s="28" t="s">
        <v>7485</v>
      </c>
      <c r="G2493" s="28">
        <v>1</v>
      </c>
    </row>
    <row r="2494" spans="1:7">
      <c r="A2494" s="28">
        <v>1340156</v>
      </c>
      <c r="B2494" s="28" t="s">
        <v>10863</v>
      </c>
      <c r="C2494" s="54">
        <v>2</v>
      </c>
      <c r="D2494" s="67" t="s">
        <v>10928</v>
      </c>
      <c r="E2494" s="64" t="s"/>
      <c r="F2494" s="28" t="s">
        <v>7485</v>
      </c>
      <c r="G2494" s="28">
        <v>1</v>
      </c>
    </row>
    <row r="2495" spans="1:7">
      <c r="A2495" s="28">
        <v>1340157</v>
      </c>
      <c r="B2495" s="28" t="s">
        <v>10863</v>
      </c>
      <c r="C2495" s="54">
        <v>2</v>
      </c>
      <c r="D2495" s="67" t="s">
        <v>10929</v>
      </c>
      <c r="E2495" s="64" t="s"/>
      <c r="F2495" s="28" t="s">
        <v>7485</v>
      </c>
      <c r="G2495" s="28">
        <v>1</v>
      </c>
    </row>
    <row r="2496" spans="1:7">
      <c r="A2496" s="28">
        <v>1340158</v>
      </c>
      <c r="B2496" s="28" t="s">
        <v>10863</v>
      </c>
      <c r="C2496" s="54">
        <v>2</v>
      </c>
      <c r="D2496" s="67" t="s">
        <v>10930</v>
      </c>
      <c r="E2496" s="64" t="s"/>
      <c r="F2496" s="28" t="s">
        <v>7485</v>
      </c>
      <c r="G2496" s="28">
        <v>1</v>
      </c>
    </row>
    <row r="2497" spans="1:7">
      <c r="A2497" s="28">
        <v>1340159</v>
      </c>
      <c r="B2497" s="28" t="s">
        <v>10863</v>
      </c>
      <c r="C2497" s="54">
        <v>2</v>
      </c>
      <c r="D2497" s="67" t="s">
        <v>10931</v>
      </c>
      <c r="E2497" s="64" t="s"/>
      <c r="F2497" s="28" t="s">
        <v>7485</v>
      </c>
      <c r="G2497" s="28">
        <v>1</v>
      </c>
    </row>
    <row r="2498" spans="1:7">
      <c r="A2498" s="28">
        <v>1340160</v>
      </c>
      <c r="B2498" s="28" t="s">
        <v>10863</v>
      </c>
      <c r="C2498" s="54">
        <v>2</v>
      </c>
      <c r="D2498" s="67" t="s">
        <v>10932</v>
      </c>
      <c r="E2498" s="64" t="s"/>
      <c r="F2498" s="28" t="s">
        <v>7485</v>
      </c>
      <c r="G2498" s="28">
        <v>1</v>
      </c>
    </row>
    <row r="2499" spans="1:7">
      <c r="A2499" s="28">
        <v>1340161</v>
      </c>
      <c r="B2499" s="28" t="s">
        <v>10863</v>
      </c>
      <c r="C2499" s="54">
        <v>2</v>
      </c>
      <c r="D2499" s="67" t="s">
        <v>10933</v>
      </c>
      <c r="E2499" s="64" t="s"/>
      <c r="F2499" s="28" t="s">
        <v>7485</v>
      </c>
      <c r="G2499" s="28">
        <v>1</v>
      </c>
    </row>
    <row r="2500" spans="1:7">
      <c r="A2500" s="28">
        <v>1340162</v>
      </c>
      <c r="B2500" s="28" t="s">
        <v>10863</v>
      </c>
      <c r="C2500" s="54">
        <v>2</v>
      </c>
      <c r="D2500" s="67" t="s">
        <v>10934</v>
      </c>
      <c r="E2500" s="64" t="s"/>
      <c r="F2500" s="28" t="s">
        <v>7485</v>
      </c>
      <c r="G2500" s="28">
        <v>1</v>
      </c>
    </row>
    <row r="2501" spans="1:7">
      <c r="A2501" s="28">
        <v>1340163</v>
      </c>
      <c r="B2501" s="54" t="s">
        <v>10863</v>
      </c>
      <c r="C2501" s="54">
        <v>2</v>
      </c>
      <c r="D2501" s="67" t="s">
        <v>10935</v>
      </c>
      <c r="E2501" s="64" t="s"/>
      <c r="F2501" s="28" t="s">
        <v>7485</v>
      </c>
      <c r="G2501" s="28">
        <v>1</v>
      </c>
    </row>
    <row r="2502" spans="1:7">
      <c r="A2502" s="28">
        <v>1340190</v>
      </c>
      <c r="B2502" s="28" t="s">
        <v>7474</v>
      </c>
      <c r="C2502" s="54">
        <v>2</v>
      </c>
      <c r="D2502" s="67" t="s">
        <v>7475</v>
      </c>
      <c r="E2502" s="64" t="s"/>
      <c r="F2502" s="28" t="s">
        <v>7476</v>
      </c>
      <c r="G2502" s="28">
        <v>1</v>
      </c>
    </row>
    <row r="2503" spans="1:7">
      <c r="A2503" s="28">
        <v>1340191</v>
      </c>
      <c r="B2503" s="54" t="s">
        <v>7474</v>
      </c>
      <c r="C2503" s="54">
        <v>2</v>
      </c>
      <c r="D2503" s="67" t="s">
        <v>7477</v>
      </c>
      <c r="E2503" s="64" t="s"/>
      <c r="F2503" s="28" t="s">
        <v>7476</v>
      </c>
      <c r="G2503" s="28">
        <v>1</v>
      </c>
    </row>
    <row r="2504" spans="1:7">
      <c r="A2504" s="28">
        <v>1340192</v>
      </c>
      <c r="B2504" s="54" t="s">
        <v>7474</v>
      </c>
      <c r="C2504" s="54">
        <v>2</v>
      </c>
      <c r="D2504" s="67" t="s">
        <v>7478</v>
      </c>
      <c r="E2504" s="64" t="s"/>
      <c r="F2504" s="28" t="s">
        <v>7476</v>
      </c>
      <c r="G2504" s="28">
        <v>1</v>
      </c>
    </row>
    <row r="2505" spans="1:7">
      <c r="A2505" s="28">
        <v>1340193</v>
      </c>
      <c r="B2505" s="54" t="s">
        <v>7474</v>
      </c>
      <c r="C2505" s="28">
        <v>2</v>
      </c>
      <c r="D2505" s="67" t="s">
        <v>7479</v>
      </c>
      <c r="E2505" s="64" t="s"/>
      <c r="F2505" s="28" t="s">
        <v>7476</v>
      </c>
      <c r="G2505" s="28">
        <v>1</v>
      </c>
    </row>
    <row r="2506" spans="1:7">
      <c r="A2506" s="28">
        <v>1340194</v>
      </c>
      <c r="B2506" s="54" t="s">
        <v>7474</v>
      </c>
      <c r="C2506" s="54">
        <v>2</v>
      </c>
      <c r="D2506" s="67" t="s">
        <v>7480</v>
      </c>
      <c r="E2506" s="64" t="s"/>
      <c r="F2506" s="28" t="s">
        <v>7476</v>
      </c>
      <c r="G2506" s="28">
        <v>1</v>
      </c>
    </row>
    <row r="2507" spans="1:7">
      <c r="A2507" s="28">
        <v>1340195</v>
      </c>
      <c r="B2507" s="54" t="s">
        <v>7474</v>
      </c>
      <c r="C2507" s="28">
        <v>2</v>
      </c>
      <c r="D2507" s="67" t="s">
        <v>7481</v>
      </c>
      <c r="E2507" s="64" t="s"/>
      <c r="F2507" s="28" t="s">
        <v>7476</v>
      </c>
      <c r="G2507" s="28">
        <v>1</v>
      </c>
    </row>
    <row r="2508" spans="1:7">
      <c r="A2508" s="28">
        <v>1340196</v>
      </c>
      <c r="B2508" s="54" t="s">
        <v>7474</v>
      </c>
      <c r="C2508" s="28">
        <v>2</v>
      </c>
      <c r="D2508" s="67" t="s">
        <v>7482</v>
      </c>
      <c r="E2508" s="64" t="s"/>
      <c r="F2508" s="28" t="s">
        <v>7476</v>
      </c>
      <c r="G2508" s="28">
        <v>1</v>
      </c>
    </row>
    <row r="2509" spans="1:7">
      <c r="A2509" s="28">
        <v>1341001</v>
      </c>
      <c r="B2509" s="54" t="s">
        <v>60</v>
      </c>
      <c r="C2509" s="28">
        <v>4</v>
      </c>
      <c r="D2509" s="67" t="s">
        <v>10954</v>
      </c>
      <c r="E2509" s="64" t="s"/>
      <c r="F2509" s="28" t="s">
        <v>8863</v>
      </c>
      <c r="G2509" s="28">
        <v>1</v>
      </c>
    </row>
    <row r="2510" spans="1:7">
      <c r="A2510" s="28">
        <v>1341002</v>
      </c>
      <c r="B2510" s="54" t="s">
        <v>79</v>
      </c>
      <c r="C2510" s="28">
        <v>4</v>
      </c>
      <c r="D2510" s="67" t="s">
        <v>10955</v>
      </c>
      <c r="E2510" s="64" t="s"/>
      <c r="F2510" s="28" t="s">
        <v>8867</v>
      </c>
      <c r="G2510" s="28">
        <v>1</v>
      </c>
    </row>
    <row r="2511" spans="1:7">
      <c r="A2511" s="28">
        <v>1341003</v>
      </c>
      <c r="B2511" s="28" t="s">
        <v>92</v>
      </c>
      <c r="C2511" s="28">
        <v>4</v>
      </c>
      <c r="D2511" s="67" t="s">
        <v>10956</v>
      </c>
      <c r="E2511" s="64" t="s"/>
      <c r="F2511" s="28" t="s">
        <v>8871</v>
      </c>
      <c r="G2511" s="28">
        <v>1</v>
      </c>
    </row>
    <row r="2512" spans="1:7">
      <c r="A2512" s="28">
        <v>1341004</v>
      </c>
      <c r="B2512" s="28" t="s">
        <v>110</v>
      </c>
      <c r="C2512" s="28">
        <v>4</v>
      </c>
      <c r="D2512" s="67" t="s">
        <v>10957</v>
      </c>
      <c r="E2512" s="64" t="s"/>
      <c r="F2512" s="28" t="s">
        <v>8875</v>
      </c>
      <c r="G2512" s="28">
        <v>1</v>
      </c>
    </row>
    <row r="2513" spans="1:7">
      <c r="A2513" s="28">
        <v>1341005</v>
      </c>
      <c r="B2513" s="28" t="s">
        <v>182</v>
      </c>
      <c r="C2513" s="28">
        <v>4</v>
      </c>
      <c r="D2513" s="67" t="s">
        <v>10958</v>
      </c>
      <c r="E2513" s="64" t="s"/>
      <c r="F2513" s="28" t="s">
        <v>8879</v>
      </c>
      <c r="G2513" s="28">
        <v>1</v>
      </c>
    </row>
    <row r="2514" spans="1:7">
      <c r="A2514" s="28">
        <v>1341006</v>
      </c>
      <c r="B2514" s="28" t="s">
        <v>238</v>
      </c>
      <c r="C2514" s="28">
        <v>4</v>
      </c>
      <c r="D2514" s="67" t="s">
        <v>10959</v>
      </c>
      <c r="E2514" s="64" t="s"/>
      <c r="F2514" s="28" t="s">
        <v>8883</v>
      </c>
      <c r="G2514" s="28">
        <v>1</v>
      </c>
    </row>
    <row r="2515" spans="1:7">
      <c r="A2515" s="28">
        <v>1341007</v>
      </c>
      <c r="B2515" s="28" t="s">
        <v>252</v>
      </c>
      <c r="C2515" s="28">
        <v>4</v>
      </c>
      <c r="D2515" s="67" t="s">
        <v>10960</v>
      </c>
      <c r="E2515" s="64" t="s"/>
      <c r="F2515" s="28" t="s">
        <v>8887</v>
      </c>
      <c r="G2515" s="28">
        <v>1</v>
      </c>
    </row>
    <row r="2516" spans="1:7">
      <c r="A2516" s="28">
        <v>1341008</v>
      </c>
      <c r="B2516" s="28" t="s">
        <v>267</v>
      </c>
      <c r="C2516" s="28">
        <v>4</v>
      </c>
      <c r="D2516" s="67" t="s">
        <v>10961</v>
      </c>
      <c r="E2516" s="64" t="s"/>
      <c r="F2516" s="28" t="s">
        <v>8891</v>
      </c>
      <c r="G2516" s="28">
        <v>1</v>
      </c>
    </row>
    <row r="2517" spans="1:7">
      <c r="A2517" s="28">
        <v>1341009</v>
      </c>
      <c r="B2517" s="28" t="s">
        <v>287</v>
      </c>
      <c r="C2517" s="28">
        <v>4</v>
      </c>
      <c r="D2517" s="67" t="s">
        <v>10962</v>
      </c>
      <c r="E2517" s="64" t="s"/>
      <c r="F2517" s="28" t="s">
        <v>8895</v>
      </c>
      <c r="G2517" s="28">
        <v>1</v>
      </c>
    </row>
    <row r="2518" spans="1:7">
      <c r="A2518" s="28">
        <v>1341010</v>
      </c>
      <c r="B2518" s="28" t="s">
        <v>372</v>
      </c>
      <c r="C2518" s="28">
        <v>4</v>
      </c>
      <c r="D2518" s="67" t="s">
        <v>10963</v>
      </c>
      <c r="E2518" s="64" t="s"/>
      <c r="F2518" s="28" t="s">
        <v>8899</v>
      </c>
      <c r="G2518" s="28">
        <v>1</v>
      </c>
    </row>
    <row r="2519" spans="1:7">
      <c r="A2519" s="28">
        <v>1341011</v>
      </c>
      <c r="B2519" s="28" t="s">
        <v>388</v>
      </c>
      <c r="C2519" s="28">
        <v>4</v>
      </c>
      <c r="D2519" s="67" t="s">
        <v>10964</v>
      </c>
      <c r="E2519" s="64" t="s"/>
      <c r="F2519" s="28" t="s">
        <v>8903</v>
      </c>
      <c r="G2519" s="28">
        <v>1</v>
      </c>
    </row>
    <row r="2520" spans="1:7">
      <c r="A2520" s="28">
        <v>1341012</v>
      </c>
      <c r="B2520" s="28" t="s">
        <v>431</v>
      </c>
      <c r="C2520" s="28">
        <v>4</v>
      </c>
      <c r="D2520" s="67" t="s">
        <v>10965</v>
      </c>
      <c r="E2520" s="64" t="s"/>
      <c r="F2520" s="28" t="s">
        <v>8907</v>
      </c>
      <c r="G2520" s="28">
        <v>1</v>
      </c>
    </row>
    <row r="2521" spans="1:7">
      <c r="A2521" s="28">
        <v>1341013</v>
      </c>
      <c r="B2521" s="28" t="s">
        <v>149</v>
      </c>
      <c r="C2521" s="28">
        <v>4</v>
      </c>
      <c r="D2521" s="67" t="s">
        <v>10966</v>
      </c>
      <c r="E2521" s="64" t="s"/>
      <c r="F2521" s="28" t="s">
        <v>8911</v>
      </c>
      <c r="G2521" s="28">
        <v>1</v>
      </c>
    </row>
    <row r="2522" spans="1:7">
      <c r="A2522" s="28">
        <v>1341014</v>
      </c>
      <c r="B2522" s="28" t="s">
        <v>220</v>
      </c>
      <c r="C2522" s="28">
        <v>4</v>
      </c>
      <c r="D2522" s="67" t="s">
        <v>10967</v>
      </c>
      <c r="E2522" s="64" t="s"/>
      <c r="F2522" s="28" t="s">
        <v>8915</v>
      </c>
      <c r="G2522" s="28">
        <v>1</v>
      </c>
    </row>
    <row r="2523" spans="1:7">
      <c r="A2523" s="28">
        <v>1341015</v>
      </c>
      <c r="B2523" s="28" t="s">
        <v>456</v>
      </c>
      <c r="C2523" s="28">
        <v>4</v>
      </c>
      <c r="D2523" s="67" t="s">
        <v>10968</v>
      </c>
      <c r="E2523" s="64" t="s"/>
      <c r="F2523" s="28" t="s">
        <v>8919</v>
      </c>
      <c r="G2523" s="28">
        <v>1</v>
      </c>
    </row>
    <row r="2524" spans="1:7">
      <c r="A2524" s="28">
        <v>1341016</v>
      </c>
      <c r="B2524" s="28" t="s">
        <v>307</v>
      </c>
      <c r="C2524" s="28">
        <v>4</v>
      </c>
      <c r="D2524" s="67" t="s">
        <v>10969</v>
      </c>
      <c r="E2524" s="64" t="s"/>
      <c r="F2524" s="28" t="s">
        <v>8923</v>
      </c>
      <c r="G2524" s="28">
        <v>1</v>
      </c>
    </row>
    <row r="2525" spans="1:7">
      <c r="A2525" s="28">
        <v>1341017</v>
      </c>
      <c r="B2525" s="28" t="s">
        <v>328</v>
      </c>
      <c r="C2525" s="28">
        <v>4</v>
      </c>
      <c r="D2525" s="67" t="s">
        <v>10970</v>
      </c>
      <c r="E2525" s="64" t="s"/>
      <c r="F2525" s="28" t="s">
        <v>8927</v>
      </c>
      <c r="G2525" s="28">
        <v>1</v>
      </c>
    </row>
    <row r="2526" spans="1:7">
      <c r="A2526" s="28">
        <v>1341018</v>
      </c>
      <c r="B2526" s="54" t="s">
        <v>540</v>
      </c>
      <c r="C2526" s="28">
        <v>4</v>
      </c>
      <c r="D2526" s="67" t="s">
        <v>10971</v>
      </c>
      <c r="E2526" s="64" t="s"/>
      <c r="F2526" s="28" t="s">
        <v>8931</v>
      </c>
      <c r="G2526" s="28">
        <v>1</v>
      </c>
    </row>
    <row r="2527" spans="1:7">
      <c r="A2527" s="28">
        <v>1341019</v>
      </c>
      <c r="B2527" s="54" t="s">
        <v>476</v>
      </c>
      <c r="C2527" s="28">
        <v>4</v>
      </c>
      <c r="D2527" s="67" t="s">
        <v>10972</v>
      </c>
      <c r="E2527" s="64" t="s"/>
      <c r="F2527" s="28" t="s">
        <v>8935</v>
      </c>
      <c r="G2527" s="28">
        <v>1</v>
      </c>
    </row>
    <row r="2528" spans="1:7">
      <c r="A2528" s="28">
        <v>1341020</v>
      </c>
      <c r="B2528" s="28" t="s">
        <v>492</v>
      </c>
      <c r="C2528" s="28">
        <v>4</v>
      </c>
      <c r="D2528" s="67" t="s">
        <v>10973</v>
      </c>
      <c r="E2528" s="64" t="s"/>
      <c r="F2528" s="28" t="s">
        <v>8939</v>
      </c>
      <c r="G2528" s="28">
        <v>1</v>
      </c>
    </row>
    <row r="2529" spans="1:7">
      <c r="A2529" s="28">
        <v>1341021</v>
      </c>
      <c r="B2529" s="54" t="s">
        <v>527</v>
      </c>
      <c r="C2529" s="28">
        <v>4</v>
      </c>
      <c r="D2529" s="67" t="s">
        <v>10974</v>
      </c>
      <c r="E2529" s="64" t="s"/>
      <c r="F2529" s="28" t="s">
        <v>8943</v>
      </c>
      <c r="G2529" s="28">
        <v>1</v>
      </c>
    </row>
    <row r="2530" spans="1:7">
      <c r="A2530" s="28">
        <v>1341022</v>
      </c>
      <c r="B2530" s="54" t="s">
        <v>164</v>
      </c>
      <c r="C2530" s="28">
        <v>4</v>
      </c>
      <c r="D2530" s="67" t="s">
        <v>10975</v>
      </c>
      <c r="E2530" s="64" t="s"/>
      <c r="F2530" s="28" t="s">
        <v>8947</v>
      </c>
      <c r="G2530" s="28">
        <v>1</v>
      </c>
    </row>
    <row r="2531" spans="1:7">
      <c r="A2531" s="28">
        <v>1341023</v>
      </c>
      <c r="B2531" s="54" t="s">
        <v>352</v>
      </c>
      <c r="C2531" s="28">
        <v>4</v>
      </c>
      <c r="D2531" s="67" t="s">
        <v>10976</v>
      </c>
      <c r="E2531" s="64" t="s"/>
      <c r="F2531" s="28" t="s">
        <v>8951</v>
      </c>
      <c r="G2531" s="28">
        <v>1</v>
      </c>
    </row>
    <row r="2532" spans="1:7">
      <c r="A2532" s="28">
        <v>1341024</v>
      </c>
      <c r="B2532" s="54" t="s">
        <v>4320</v>
      </c>
      <c r="C2532" s="28">
        <v>4</v>
      </c>
      <c r="D2532" s="67" t="s">
        <v>10977</v>
      </c>
      <c r="E2532" s="64" t="s"/>
      <c r="F2532" s="28" t="s">
        <v>8955</v>
      </c>
      <c r="G2532" s="28">
        <v>1</v>
      </c>
    </row>
    <row r="2533" spans="1:7">
      <c r="A2533" s="28">
        <v>1341025</v>
      </c>
      <c r="B2533" s="54" t="s">
        <v>4314</v>
      </c>
      <c r="C2533" s="28">
        <v>4</v>
      </c>
      <c r="D2533" s="67" t="s">
        <v>10978</v>
      </c>
      <c r="E2533" s="64" t="s"/>
      <c r="F2533" s="28" t="s">
        <v>8963</v>
      </c>
      <c r="G2533" s="28">
        <v>1</v>
      </c>
    </row>
    <row r="2534" spans="1:7">
      <c r="A2534" s="28">
        <v>1341026</v>
      </c>
      <c r="B2534" s="28" t="s">
        <v>4303</v>
      </c>
      <c r="C2534" s="28">
        <v>4</v>
      </c>
      <c r="D2534" s="67" t="s">
        <v>10979</v>
      </c>
      <c r="E2534" s="64" t="s"/>
      <c r="F2534" s="28" t="s">
        <v>8959</v>
      </c>
      <c r="G2534" s="28">
        <v>1</v>
      </c>
    </row>
    <row r="2535" spans="1:7">
      <c r="A2535" s="28">
        <v>1341027</v>
      </c>
      <c r="B2535" s="28" t="s">
        <v>590</v>
      </c>
      <c r="C2535" s="54">
        <v>4</v>
      </c>
      <c r="D2535" s="67" t="s">
        <v>10980</v>
      </c>
      <c r="E2535" s="64" t="s"/>
      <c r="F2535" s="28" t="s">
        <v>8967</v>
      </c>
      <c r="G2535" s="28">
        <v>1</v>
      </c>
    </row>
    <row r="2536" spans="1:7">
      <c r="A2536" s="28">
        <v>1341028</v>
      </c>
      <c r="B2536" s="28" t="s">
        <v>612</v>
      </c>
      <c r="C2536" s="28">
        <v>4</v>
      </c>
      <c r="D2536" s="54" t="s">
        <v>10981</v>
      </c>
      <c r="E2536" s="64" t="s"/>
      <c r="F2536" s="28" t="s">
        <v>8971</v>
      </c>
      <c r="G2536" s="28">
        <v>1</v>
      </c>
    </row>
    <row r="2537" spans="1:7">
      <c r="A2537" s="28">
        <v>1341029</v>
      </c>
      <c r="B2537" s="28" t="s">
        <v>716</v>
      </c>
      <c r="C2537" s="28">
        <v>4</v>
      </c>
      <c r="D2537" s="54" t="s">
        <v>10982</v>
      </c>
      <c r="E2537" s="64" t="s"/>
      <c r="F2537" s="28" t="s">
        <v>8975</v>
      </c>
      <c r="G2537" s="28">
        <v>1</v>
      </c>
    </row>
    <row r="2538" spans="1:7">
      <c r="A2538" s="28">
        <v>1341030</v>
      </c>
      <c r="B2538" s="54" t="s">
        <v>671</v>
      </c>
      <c r="C2538" s="28">
        <v>4</v>
      </c>
      <c r="D2538" s="54" t="s">
        <v>10983</v>
      </c>
      <c r="E2538" s="64" t="s"/>
      <c r="F2538" s="28" t="s">
        <v>8979</v>
      </c>
      <c r="G2538" s="28">
        <v>1</v>
      </c>
    </row>
    <row r="2539" spans="1:7">
      <c r="A2539" s="28">
        <v>1341031</v>
      </c>
      <c r="B2539" s="28" t="s">
        <v>659</v>
      </c>
      <c r="C2539" s="54">
        <v>4</v>
      </c>
      <c r="D2539" s="54" t="s">
        <v>10984</v>
      </c>
      <c r="E2539" s="64" t="s"/>
      <c r="F2539" s="28" t="s">
        <v>8983</v>
      </c>
      <c r="G2539" s="28">
        <v>1</v>
      </c>
    </row>
    <row r="2540" spans="1:7">
      <c r="A2540" s="28">
        <v>1341032</v>
      </c>
      <c r="B2540" s="54" t="s">
        <v>628</v>
      </c>
      <c r="C2540" s="28">
        <v>4</v>
      </c>
      <c r="D2540" s="54" t="s">
        <v>10985</v>
      </c>
      <c r="E2540" s="64" t="s"/>
      <c r="F2540" s="28" t="s">
        <v>8987</v>
      </c>
      <c r="G2540" s="28">
        <v>1</v>
      </c>
    </row>
    <row r="2541" spans="1:7">
      <c r="A2541" s="28">
        <v>1341033</v>
      </c>
      <c r="B2541" s="28" t="s">
        <v>555</v>
      </c>
      <c r="C2541" s="28">
        <v>4</v>
      </c>
      <c r="D2541" s="54" t="s">
        <v>10986</v>
      </c>
      <c r="E2541" s="64" t="s"/>
      <c r="F2541" s="28" t="s">
        <v>8991</v>
      </c>
      <c r="G2541" s="28">
        <v>1</v>
      </c>
    </row>
    <row r="2542" spans="1:7">
      <c r="A2542" s="28">
        <v>1341034</v>
      </c>
      <c r="B2542" s="28" t="s">
        <v>692</v>
      </c>
      <c r="C2542" s="28">
        <v>4</v>
      </c>
      <c r="D2542" s="54" t="s">
        <v>10987</v>
      </c>
      <c r="E2542" s="64" t="s"/>
      <c r="F2542" s="28" t="s">
        <v>8995</v>
      </c>
      <c r="G2542" s="28">
        <v>1</v>
      </c>
    </row>
    <row r="2543" spans="1:7">
      <c r="A2543" s="28">
        <v>1341035</v>
      </c>
      <c r="B2543" s="54" t="s">
        <v>734</v>
      </c>
      <c r="C2543" s="28">
        <v>4</v>
      </c>
      <c r="D2543" s="54" t="s">
        <v>10988</v>
      </c>
      <c r="E2543" s="64" t="s"/>
      <c r="F2543" s="28" t="s">
        <v>8999</v>
      </c>
      <c r="G2543" s="28">
        <v>1</v>
      </c>
    </row>
    <row r="2544" spans="1:7">
      <c r="A2544" s="28">
        <v>1341036</v>
      </c>
      <c r="B2544" s="54" t="s">
        <v>784</v>
      </c>
      <c r="C2544" s="28">
        <v>4</v>
      </c>
      <c r="D2544" s="54" t="s">
        <v>10989</v>
      </c>
      <c r="E2544" s="64" t="s"/>
      <c r="F2544" s="28" t="s">
        <v>9003</v>
      </c>
      <c r="G2544" s="28">
        <v>1</v>
      </c>
    </row>
    <row r="2545" spans="1:7">
      <c r="A2545" s="28">
        <v>1341037</v>
      </c>
      <c r="B2545" s="54" t="s">
        <v>10990</v>
      </c>
      <c r="C2545" s="28">
        <v>4</v>
      </c>
      <c r="D2545" s="54" t="s">
        <v>10991</v>
      </c>
      <c r="E2545" s="64" t="s"/>
      <c r="F2545" s="28" t="s">
        <v>6101</v>
      </c>
      <c r="G2545" s="28">
        <v>1</v>
      </c>
    </row>
    <row r="2546" spans="1:7">
      <c r="A2546" s="28">
        <v>1341038</v>
      </c>
      <c r="B2546" s="28" t="s">
        <v>10992</v>
      </c>
      <c r="C2546" s="28">
        <v>4</v>
      </c>
      <c r="D2546" s="54" t="s">
        <v>10993</v>
      </c>
      <c r="E2546" s="64" t="s"/>
      <c r="F2546" s="28" t="s">
        <v>6101</v>
      </c>
      <c r="G2546" s="28">
        <v>1</v>
      </c>
    </row>
    <row r="2547" spans="1:7">
      <c r="A2547" s="28">
        <v>1341039</v>
      </c>
      <c r="B2547" s="54" t="s">
        <v>10994</v>
      </c>
      <c r="C2547" s="28">
        <v>4</v>
      </c>
      <c r="D2547" s="54" t="s">
        <v>10995</v>
      </c>
      <c r="E2547" s="64" t="s"/>
      <c r="F2547" s="28" t="s">
        <v>6101</v>
      </c>
      <c r="G2547" s="28">
        <v>1</v>
      </c>
    </row>
    <row r="2548" spans="1:7">
      <c r="A2548" s="28">
        <v>1341040</v>
      </c>
      <c r="B2548" s="54" t="s">
        <v>10996</v>
      </c>
      <c r="C2548" s="28">
        <v>4</v>
      </c>
      <c r="D2548" s="54" t="s">
        <v>10997</v>
      </c>
      <c r="E2548" s="64" t="s"/>
      <c r="F2548" s="28" t="s">
        <v>6101</v>
      </c>
      <c r="G2548" s="28">
        <v>1</v>
      </c>
    </row>
    <row r="2549" spans="1:7">
      <c r="A2549" s="28">
        <v>1341041</v>
      </c>
      <c r="B2549" s="54" t="s">
        <v>10998</v>
      </c>
      <c r="C2549" s="28">
        <v>4</v>
      </c>
      <c r="D2549" s="54" t="s">
        <v>10999</v>
      </c>
      <c r="E2549" s="64" t="s"/>
      <c r="F2549" s="28" t="s">
        <v>6101</v>
      </c>
      <c r="G2549" s="28">
        <v>1</v>
      </c>
    </row>
    <row r="2550" spans="1:7">
      <c r="A2550" s="28">
        <v>1341042</v>
      </c>
      <c r="B2550" s="54" t="s">
        <v>11000</v>
      </c>
      <c r="C2550" s="28">
        <v>4</v>
      </c>
      <c r="D2550" s="54" t="s">
        <v>11001</v>
      </c>
      <c r="E2550" s="64" t="s"/>
      <c r="F2550" s="28" t="s">
        <v>6101</v>
      </c>
      <c r="G2550" s="28">
        <v>1</v>
      </c>
    </row>
    <row r="2551" spans="1:7">
      <c r="A2551" s="28">
        <v>1341043</v>
      </c>
      <c r="B2551" s="54" t="s">
        <v>1051</v>
      </c>
      <c r="C2551" s="28">
        <v>4</v>
      </c>
      <c r="D2551" s="54" t="s">
        <v>11002</v>
      </c>
      <c r="E2551" s="64" t="s"/>
      <c r="F2551" s="28" t="s">
        <v>6101</v>
      </c>
      <c r="G2551" s="28">
        <v>1</v>
      </c>
    </row>
    <row r="2552" spans="1:7">
      <c r="A2552" s="28">
        <v>1341044</v>
      </c>
      <c r="B2552" s="54" t="s">
        <v>11003</v>
      </c>
      <c r="C2552" s="28">
        <v>4</v>
      </c>
      <c r="D2552" s="54" t="s">
        <v>11004</v>
      </c>
      <c r="E2552" s="64" t="s"/>
      <c r="F2552" s="28" t="s">
        <v>6101</v>
      </c>
      <c r="G2552" s="28">
        <v>1</v>
      </c>
    </row>
    <row r="2553" spans="1:7">
      <c r="A2553" s="28">
        <v>1341045</v>
      </c>
      <c r="B2553" s="54" t="s">
        <v>11005</v>
      </c>
      <c r="C2553" s="28">
        <v>4</v>
      </c>
      <c r="D2553" s="54" t="s">
        <v>11006</v>
      </c>
      <c r="E2553" s="64" t="s"/>
      <c r="F2553" s="28" t="s">
        <v>6101</v>
      </c>
      <c r="G2553" s="28">
        <v>1</v>
      </c>
    </row>
    <row r="2554" spans="1:7">
      <c r="A2554" s="28">
        <v>1341046</v>
      </c>
      <c r="B2554" s="54" t="s">
        <v>11007</v>
      </c>
      <c r="C2554" s="28">
        <v>4</v>
      </c>
      <c r="D2554" s="54" t="s">
        <v>11008</v>
      </c>
      <c r="E2554" s="64" t="s"/>
      <c r="F2554" s="28" t="s">
        <v>6101</v>
      </c>
      <c r="G2554" s="28">
        <v>1</v>
      </c>
    </row>
    <row r="2555" spans="1:7">
      <c r="A2555" s="28">
        <v>1341047</v>
      </c>
      <c r="B2555" s="54" t="s">
        <v>11009</v>
      </c>
      <c r="C2555" s="28">
        <v>4</v>
      </c>
      <c r="D2555" s="54" t="s">
        <v>11010</v>
      </c>
      <c r="E2555" s="64" t="s"/>
      <c r="F2555" s="28" t="s">
        <v>6101</v>
      </c>
      <c r="G2555" s="28">
        <v>1</v>
      </c>
    </row>
    <row r="2556" spans="1:7">
      <c r="A2556" s="28">
        <v>1341048</v>
      </c>
      <c r="B2556" s="54" t="s">
        <v>11011</v>
      </c>
      <c r="C2556" s="28">
        <v>4</v>
      </c>
      <c r="D2556" s="54" t="s">
        <v>11012</v>
      </c>
      <c r="E2556" s="64" t="s"/>
      <c r="F2556" s="28" t="s">
        <v>6101</v>
      </c>
      <c r="G2556" s="28">
        <v>1</v>
      </c>
    </row>
    <row r="2557" spans="1:7">
      <c r="A2557" s="28">
        <v>1341049</v>
      </c>
      <c r="B2557" s="54" t="s">
        <v>11013</v>
      </c>
      <c r="C2557" s="28">
        <v>4</v>
      </c>
      <c r="D2557" s="54" t="s">
        <v>11014</v>
      </c>
      <c r="E2557" s="64" t="s"/>
      <c r="F2557" s="28" t="s">
        <v>6101</v>
      </c>
      <c r="G2557" s="28">
        <v>1</v>
      </c>
    </row>
    <row r="2558" spans="1:7">
      <c r="A2558" s="28">
        <v>1341050</v>
      </c>
      <c r="B2558" s="54" t="s">
        <v>11015</v>
      </c>
      <c r="C2558" s="28">
        <v>4</v>
      </c>
      <c r="D2558" s="54" t="s">
        <v>11016</v>
      </c>
      <c r="E2558" s="64" t="s"/>
      <c r="F2558" s="28" t="s">
        <v>6101</v>
      </c>
      <c r="G2558" s="28">
        <v>1</v>
      </c>
    </row>
    <row r="2559" spans="1:7">
      <c r="A2559" s="28">
        <v>1341051</v>
      </c>
      <c r="B2559" s="54" t="s">
        <v>11013</v>
      </c>
      <c r="C2559" s="28">
        <v>4</v>
      </c>
      <c r="D2559" s="54" t="s">
        <v>11017</v>
      </c>
      <c r="E2559" s="64" t="s"/>
      <c r="F2559" s="28" t="s">
        <v>6101</v>
      </c>
      <c r="G2559" s="28">
        <v>1</v>
      </c>
    </row>
    <row r="2560" spans="1:7">
      <c r="A2560" s="28">
        <v>1341052</v>
      </c>
      <c r="B2560" s="54" t="s">
        <v>11015</v>
      </c>
      <c r="C2560" s="28">
        <v>4</v>
      </c>
      <c r="D2560" s="54" t="s">
        <v>11018</v>
      </c>
      <c r="E2560" s="64" t="s"/>
      <c r="F2560" s="28" t="s">
        <v>6101</v>
      </c>
      <c r="G2560" s="28">
        <v>1</v>
      </c>
    </row>
    <row r="2561" spans="1:7">
      <c r="A2561" s="28">
        <v>1341053</v>
      </c>
      <c r="B2561" s="54" t="s">
        <v>749</v>
      </c>
      <c r="C2561" s="28">
        <v>4</v>
      </c>
      <c r="D2561" s="54" t="s">
        <v>11019</v>
      </c>
      <c r="E2561" s="64" t="s"/>
      <c r="F2561" s="28" t="s">
        <v>9007</v>
      </c>
      <c r="G2561" s="28">
        <v>1</v>
      </c>
    </row>
    <row r="2562" spans="1:7">
      <c r="A2562" s="28">
        <v>1341054</v>
      </c>
      <c r="B2562" s="54" t="s">
        <v>763</v>
      </c>
      <c r="C2562" s="28">
        <v>4</v>
      </c>
      <c r="D2562" s="54" t="s">
        <v>11020</v>
      </c>
      <c r="E2562" s="64" t="s"/>
      <c r="F2562" s="28" t="s">
        <v>9011</v>
      </c>
      <c r="G2562" s="28">
        <v>1</v>
      </c>
    </row>
    <row r="2563" spans="1:7">
      <c r="A2563" s="28">
        <v>1341055</v>
      </c>
      <c r="B2563" s="54" t="s">
        <v>864</v>
      </c>
      <c r="C2563" s="28">
        <v>4</v>
      </c>
      <c r="D2563" s="54" t="s">
        <v>11021</v>
      </c>
      <c r="E2563" s="64" t="s"/>
      <c r="F2563" s="28" t="s">
        <v>9019</v>
      </c>
      <c r="G2563" s="28">
        <v>1</v>
      </c>
    </row>
    <row r="2564" spans="1:7">
      <c r="A2564" s="28">
        <v>1341056</v>
      </c>
      <c r="B2564" s="54" t="s">
        <v>11022</v>
      </c>
      <c r="C2564" s="28">
        <v>4</v>
      </c>
      <c r="D2564" s="54" t="s">
        <v>11023</v>
      </c>
      <c r="E2564" s="64" t="s"/>
      <c r="F2564" s="28" t="s">
        <v>9015</v>
      </c>
      <c r="G2564" s="28">
        <v>1</v>
      </c>
    </row>
    <row r="2565" spans="1:7">
      <c r="A2565" s="28">
        <v>1341057</v>
      </c>
      <c r="B2565" s="54" t="s">
        <v>126</v>
      </c>
      <c r="C2565" s="28">
        <v>4</v>
      </c>
      <c r="D2565" s="54" t="s">
        <v>11024</v>
      </c>
      <c r="E2565" s="64" t="s"/>
      <c r="F2565" s="28" t="s">
        <v>9023</v>
      </c>
      <c r="G2565" s="28">
        <v>1</v>
      </c>
    </row>
    <row r="2566" spans="1:7">
      <c r="A2566" s="28">
        <v>1341058</v>
      </c>
      <c r="B2566" s="54" t="s">
        <v>849</v>
      </c>
      <c r="C2566" s="28">
        <v>4</v>
      </c>
      <c r="D2566" s="54" t="s">
        <v>11025</v>
      </c>
      <c r="E2566" s="64" t="s"/>
      <c r="F2566" s="28" t="s">
        <v>9027</v>
      </c>
      <c r="G2566" s="28">
        <v>1</v>
      </c>
    </row>
    <row r="2567" spans="1:7">
      <c r="A2567" s="28">
        <v>1341059</v>
      </c>
      <c r="B2567" s="28" t="s">
        <v>4386</v>
      </c>
      <c r="C2567" s="28">
        <v>4</v>
      </c>
      <c r="D2567" s="54" t="s">
        <v>11026</v>
      </c>
      <c r="E2567" s="64" t="s"/>
      <c r="F2567" s="28" t="s">
        <v>9031</v>
      </c>
      <c r="G2567" s="28">
        <v>1</v>
      </c>
    </row>
    <row r="2568" spans="1:7">
      <c r="A2568" s="28">
        <v>1341060</v>
      </c>
      <c r="B2568" s="28" t="s">
        <v>879</v>
      </c>
      <c r="C2568" s="28">
        <v>4</v>
      </c>
      <c r="D2568" s="54" t="s">
        <v>11027</v>
      </c>
      <c r="E2568" s="64" t="s"/>
      <c r="F2568" s="28" t="s">
        <v>9039</v>
      </c>
      <c r="G2568" s="28">
        <v>1</v>
      </c>
    </row>
    <row r="2569" spans="1:7">
      <c r="A2569" s="28">
        <v>1341061</v>
      </c>
      <c r="B2569" s="28" t="s">
        <v>900</v>
      </c>
      <c r="C2569" s="28">
        <v>4</v>
      </c>
      <c r="D2569" s="54" t="s">
        <v>11028</v>
      </c>
      <c r="E2569" s="64" t="s"/>
      <c r="F2569" s="28" t="s">
        <v>9035</v>
      </c>
      <c r="G2569" s="28">
        <v>1</v>
      </c>
    </row>
    <row r="2570" spans="1:7">
      <c r="A2570" s="28">
        <v>1341062</v>
      </c>
      <c r="B2570" s="28" t="s">
        <v>796</v>
      </c>
      <c r="C2570" s="28">
        <v>4</v>
      </c>
      <c r="D2570" s="54" t="s">
        <v>11029</v>
      </c>
      <c r="E2570" s="64" t="s"/>
      <c r="F2570" s="28" t="s">
        <v>9043</v>
      </c>
      <c r="G2570" s="28">
        <v>1</v>
      </c>
    </row>
    <row r="2571" spans="1:7">
      <c r="A2571" s="28">
        <v>1341063</v>
      </c>
      <c r="B2571" s="28" t="s">
        <v>644</v>
      </c>
      <c r="C2571" s="28">
        <v>4</v>
      </c>
      <c r="D2571" s="54" t="s">
        <v>11030</v>
      </c>
      <c r="E2571" s="64" t="s"/>
      <c r="F2571" s="28" t="s">
        <v>9047</v>
      </c>
      <c r="G2571" s="28">
        <v>1</v>
      </c>
    </row>
    <row r="2572" spans="1:7">
      <c r="A2572" s="28">
        <v>1341064</v>
      </c>
      <c r="B2572" s="54" t="s">
        <v>933</v>
      </c>
      <c r="C2572" s="28">
        <v>4</v>
      </c>
      <c r="D2572" s="54" t="s">
        <v>11031</v>
      </c>
      <c r="E2572" s="64" t="s"/>
      <c r="F2572" s="28" t="s">
        <v>11032</v>
      </c>
      <c r="G2572" s="28">
        <v>1</v>
      </c>
    </row>
    <row r="2573" spans="1:7">
      <c r="A2573" s="28">
        <v>1341065</v>
      </c>
      <c r="B2573" s="28" t="s">
        <v>915</v>
      </c>
      <c r="C2573" s="28">
        <v>4</v>
      </c>
      <c r="D2573" s="54" t="s">
        <v>11033</v>
      </c>
      <c r="E2573" s="64" t="s"/>
      <c r="F2573" s="28" t="s">
        <v>11034</v>
      </c>
      <c r="G2573" s="28">
        <v>1</v>
      </c>
    </row>
    <row r="2574" spans="1:7">
      <c r="A2574" s="28">
        <v>1342011</v>
      </c>
      <c r="B2574" s="28" t="s">
        <v>11035</v>
      </c>
      <c r="C2574" s="28">
        <v>3</v>
      </c>
      <c r="D2574" s="54" t="s">
        <v>11036</v>
      </c>
      <c r="E2574" s="64" t="s"/>
      <c r="F2574" s="28" t="s">
        <v>11037</v>
      </c>
      <c r="G2574" s="28">
        <v>1</v>
      </c>
    </row>
    <row r="2575" spans="1:7">
      <c r="A2575" s="28">
        <v>1342012</v>
      </c>
      <c r="B2575" s="28" t="s">
        <v>11038</v>
      </c>
      <c r="C2575" s="28">
        <v>3</v>
      </c>
      <c r="D2575" s="54" t="s">
        <v>11039</v>
      </c>
      <c r="E2575" s="64" t="s"/>
      <c r="F2575" s="28" t="s">
        <v>11040</v>
      </c>
      <c r="G2575" s="28">
        <v>1</v>
      </c>
    </row>
    <row r="2576" spans="1:7">
      <c r="A2576" s="28">
        <v>1342013</v>
      </c>
      <c r="B2576" s="28" t="s">
        <v>11041</v>
      </c>
      <c r="C2576" s="28">
        <v>3</v>
      </c>
      <c r="D2576" s="54" t="s">
        <v>11042</v>
      </c>
      <c r="E2576" s="64" t="s"/>
      <c r="F2576" s="28" t="s">
        <v>11043</v>
      </c>
      <c r="G2576" s="28">
        <v>1</v>
      </c>
    </row>
    <row r="2577" spans="1:7">
      <c r="A2577" s="28">
        <v>1342021</v>
      </c>
      <c r="B2577" s="28" t="s">
        <v>11044</v>
      </c>
      <c r="C2577" s="28">
        <v>3</v>
      </c>
      <c r="D2577" s="54" t="s">
        <v>11036</v>
      </c>
      <c r="E2577" s="64" t="s"/>
      <c r="F2577" s="28" t="s">
        <v>11045</v>
      </c>
      <c r="G2577" s="28">
        <v>1</v>
      </c>
    </row>
    <row r="2578" spans="1:7">
      <c r="A2578" s="28">
        <v>1342022</v>
      </c>
      <c r="B2578" s="28" t="s">
        <v>11046</v>
      </c>
      <c r="C2578" s="28">
        <v>3</v>
      </c>
      <c r="D2578" s="54" t="s">
        <v>11039</v>
      </c>
      <c r="E2578" s="64" t="s"/>
      <c r="F2578" s="28" t="s">
        <v>11047</v>
      </c>
      <c r="G2578" s="28">
        <v>1</v>
      </c>
    </row>
    <row r="2579" spans="1:7">
      <c r="A2579" s="28">
        <v>1342023</v>
      </c>
      <c r="B2579" s="28" t="s">
        <v>11048</v>
      </c>
      <c r="C2579" s="28">
        <v>3</v>
      </c>
      <c r="D2579" s="54" t="s">
        <v>11042</v>
      </c>
      <c r="E2579" s="64" t="s"/>
      <c r="F2579" s="28" t="s">
        <v>11049</v>
      </c>
      <c r="G2579" s="28">
        <v>1</v>
      </c>
    </row>
    <row r="2580" spans="1:7">
      <c r="A2580" s="28">
        <v>1342031</v>
      </c>
      <c r="B2580" s="28" t="s">
        <v>11050</v>
      </c>
      <c r="C2580" s="28">
        <v>3</v>
      </c>
      <c r="D2580" s="54" t="s">
        <v>11036</v>
      </c>
      <c r="E2580" s="64" t="s"/>
      <c r="F2580" s="28" t="s">
        <v>11051</v>
      </c>
      <c r="G2580" s="28">
        <v>1</v>
      </c>
    </row>
    <row r="2581" spans="1:7">
      <c r="A2581" s="28">
        <v>1342032</v>
      </c>
      <c r="B2581" s="28" t="s">
        <v>11052</v>
      </c>
      <c r="C2581" s="28">
        <v>3</v>
      </c>
      <c r="D2581" s="54" t="s">
        <v>11039</v>
      </c>
      <c r="E2581" s="64" t="s"/>
      <c r="F2581" s="28" t="s">
        <v>11053</v>
      </c>
      <c r="G2581" s="28">
        <v>1</v>
      </c>
    </row>
    <row r="2582" spans="1:7">
      <c r="A2582" s="28">
        <v>1342033</v>
      </c>
      <c r="B2582" s="28" t="s">
        <v>11054</v>
      </c>
      <c r="C2582" s="54">
        <v>3</v>
      </c>
      <c r="D2582" s="54" t="s">
        <v>11042</v>
      </c>
      <c r="E2582" s="64" t="s"/>
      <c r="F2582" s="28" t="s">
        <v>11055</v>
      </c>
      <c r="G2582" s="28">
        <v>1</v>
      </c>
    </row>
    <row r="2583" spans="1:7">
      <c r="A2583" s="28">
        <v>1342041</v>
      </c>
      <c r="B2583" s="28" t="s">
        <v>11056</v>
      </c>
      <c r="C2583" s="54">
        <v>3</v>
      </c>
      <c r="D2583" s="54" t="s">
        <v>11036</v>
      </c>
      <c r="E2583" s="64" t="s"/>
      <c r="F2583" s="28" t="s">
        <v>11057</v>
      </c>
      <c r="G2583" s="28">
        <v>1</v>
      </c>
    </row>
    <row r="2584" spans="1:7">
      <c r="A2584" s="28">
        <v>1342042</v>
      </c>
      <c r="B2584" s="28" t="s">
        <v>11058</v>
      </c>
      <c r="C2584" s="54">
        <v>3</v>
      </c>
      <c r="D2584" s="54" t="s">
        <v>11039</v>
      </c>
      <c r="E2584" s="64" t="s"/>
      <c r="F2584" s="28" t="s">
        <v>11059</v>
      </c>
      <c r="G2584" s="28">
        <v>1</v>
      </c>
    </row>
    <row r="2585" spans="1:7">
      <c r="A2585" s="28">
        <v>1342043</v>
      </c>
      <c r="B2585" s="28" t="s">
        <v>11060</v>
      </c>
      <c r="C2585" s="54">
        <v>3</v>
      </c>
      <c r="D2585" s="54" t="s">
        <v>11042</v>
      </c>
      <c r="E2585" s="64" t="s"/>
      <c r="F2585" s="28" t="s">
        <v>11061</v>
      </c>
      <c r="G2585" s="28">
        <v>1</v>
      </c>
    </row>
    <row r="2586" spans="1:7">
      <c r="A2586" s="28">
        <v>1342051</v>
      </c>
      <c r="B2586" s="28" t="s">
        <v>11062</v>
      </c>
      <c r="C2586" s="54">
        <v>3</v>
      </c>
      <c r="D2586" s="54" t="s">
        <v>11036</v>
      </c>
      <c r="E2586" s="64" t="s"/>
      <c r="F2586" s="28" t="s">
        <v>11063</v>
      </c>
      <c r="G2586" s="28">
        <v>1</v>
      </c>
    </row>
    <row r="2587" spans="1:7">
      <c r="A2587" s="28">
        <v>1342052</v>
      </c>
      <c r="B2587" s="28" t="s">
        <v>11064</v>
      </c>
      <c r="C2587" s="54">
        <v>3</v>
      </c>
      <c r="D2587" s="54" t="s">
        <v>11039</v>
      </c>
      <c r="E2587" s="64" t="s"/>
      <c r="F2587" s="28" t="s">
        <v>11065</v>
      </c>
      <c r="G2587" s="28">
        <v>1</v>
      </c>
    </row>
    <row r="2588" spans="1:7">
      <c r="A2588" s="28">
        <v>1342053</v>
      </c>
      <c r="B2588" s="28" t="s">
        <v>11066</v>
      </c>
      <c r="C2588" s="54">
        <v>3</v>
      </c>
      <c r="D2588" s="54" t="s">
        <v>11042</v>
      </c>
      <c r="E2588" s="64" t="s"/>
      <c r="F2588" s="28" t="s">
        <v>11067</v>
      </c>
      <c r="G2588" s="28">
        <v>1</v>
      </c>
    </row>
    <row r="2589" spans="1:7">
      <c r="A2589" s="28">
        <v>1342061</v>
      </c>
      <c r="B2589" s="28" t="s">
        <v>11068</v>
      </c>
      <c r="C2589" s="54">
        <v>3</v>
      </c>
      <c r="D2589" s="54" t="s">
        <v>11036</v>
      </c>
      <c r="E2589" s="64" t="s"/>
      <c r="F2589" s="28" t="s">
        <v>11069</v>
      </c>
      <c r="G2589" s="28">
        <v>1</v>
      </c>
    </row>
    <row r="2590" spans="1:7">
      <c r="A2590" s="28">
        <v>1342062</v>
      </c>
      <c r="B2590" s="28" t="s">
        <v>11070</v>
      </c>
      <c r="C2590" s="54">
        <v>3</v>
      </c>
      <c r="D2590" s="54" t="s">
        <v>11039</v>
      </c>
      <c r="E2590" s="64" t="s"/>
      <c r="F2590" s="28" t="s">
        <v>11071</v>
      </c>
      <c r="G2590" s="28">
        <v>1</v>
      </c>
    </row>
    <row r="2591" spans="1:7">
      <c r="A2591" s="28">
        <v>1342063</v>
      </c>
      <c r="B2591" s="28" t="s">
        <v>11072</v>
      </c>
      <c r="C2591" s="54">
        <v>3</v>
      </c>
      <c r="D2591" s="54" t="s">
        <v>11042</v>
      </c>
      <c r="E2591" s="64" t="s"/>
      <c r="F2591" s="28" t="s">
        <v>11073</v>
      </c>
      <c r="G2591" s="28">
        <v>1</v>
      </c>
    </row>
    <row r="2592" spans="1:7">
      <c r="A2592" s="28">
        <v>1342071</v>
      </c>
      <c r="B2592" s="28" t="s">
        <v>11074</v>
      </c>
      <c r="C2592" s="54">
        <v>3</v>
      </c>
      <c r="D2592" s="54" t="s">
        <v>11036</v>
      </c>
      <c r="E2592" s="64" t="s"/>
      <c r="F2592" s="28" t="s">
        <v>11075</v>
      </c>
      <c r="G2592" s="28">
        <v>1</v>
      </c>
    </row>
    <row r="2593" spans="1:7">
      <c r="A2593" s="28">
        <v>1342072</v>
      </c>
      <c r="B2593" s="28" t="s">
        <v>11076</v>
      </c>
      <c r="C2593" s="54">
        <v>3</v>
      </c>
      <c r="D2593" s="54" t="s">
        <v>11039</v>
      </c>
      <c r="E2593" s="64" t="s"/>
      <c r="F2593" s="28" t="s">
        <v>11077</v>
      </c>
      <c r="G2593" s="28">
        <v>1</v>
      </c>
    </row>
    <row r="2594" spans="1:7">
      <c r="A2594" s="28">
        <v>1342073</v>
      </c>
      <c r="B2594" s="28" t="s">
        <v>11078</v>
      </c>
      <c r="C2594" s="54">
        <v>3</v>
      </c>
      <c r="D2594" s="54" t="s">
        <v>11042</v>
      </c>
      <c r="E2594" s="64" t="s"/>
      <c r="F2594" s="28" t="s">
        <v>11079</v>
      </c>
      <c r="G2594" s="28">
        <v>1</v>
      </c>
    </row>
    <row r="2595" spans="1:7">
      <c r="A2595" s="28">
        <v>1342081</v>
      </c>
      <c r="B2595" s="54" t="s">
        <v>11080</v>
      </c>
      <c r="C2595" s="54">
        <v>3</v>
      </c>
      <c r="D2595" s="54" t="s">
        <v>11036</v>
      </c>
      <c r="E2595" s="64" t="s"/>
      <c r="F2595" s="28" t="s">
        <v>11081</v>
      </c>
      <c r="G2595" s="28">
        <v>1</v>
      </c>
    </row>
    <row r="2596" spans="1:7">
      <c r="A2596" s="28">
        <v>1342082</v>
      </c>
      <c r="B2596" s="28" t="s">
        <v>11082</v>
      </c>
      <c r="C2596" s="54">
        <v>3</v>
      </c>
      <c r="D2596" s="54" t="s">
        <v>11039</v>
      </c>
      <c r="E2596" s="64" t="s"/>
      <c r="F2596" s="28" t="s">
        <v>11083</v>
      </c>
      <c r="G2596" s="28">
        <v>1</v>
      </c>
    </row>
    <row r="2597" spans="1:7">
      <c r="A2597" s="28">
        <v>1342083</v>
      </c>
      <c r="B2597" s="28" t="s">
        <v>11084</v>
      </c>
      <c r="C2597" s="54">
        <v>3</v>
      </c>
      <c r="D2597" s="54" t="s">
        <v>11042</v>
      </c>
      <c r="E2597" s="64" t="s"/>
      <c r="F2597" s="28" t="s">
        <v>11085</v>
      </c>
      <c r="G2597" s="28">
        <v>1</v>
      </c>
    </row>
    <row r="2598" spans="1:7">
      <c r="A2598" s="28">
        <v>1342091</v>
      </c>
      <c r="B2598" s="28" t="s">
        <v>11086</v>
      </c>
      <c r="C2598" s="54">
        <v>3</v>
      </c>
      <c r="D2598" s="54" t="s">
        <v>11036</v>
      </c>
      <c r="E2598" s="64" t="s"/>
      <c r="F2598" s="28" t="s">
        <v>11087</v>
      </c>
      <c r="G2598" s="28">
        <v>1</v>
      </c>
    </row>
    <row r="2599" spans="1:7">
      <c r="A2599" s="28">
        <v>1342092</v>
      </c>
      <c r="B2599" s="28" t="s">
        <v>11088</v>
      </c>
      <c r="C2599" s="54">
        <v>3</v>
      </c>
      <c r="D2599" s="54" t="s">
        <v>11039</v>
      </c>
      <c r="E2599" s="64" t="s"/>
      <c r="F2599" s="28" t="s">
        <v>11089</v>
      </c>
      <c r="G2599" s="28">
        <v>1</v>
      </c>
    </row>
    <row r="2600" spans="1:7">
      <c r="A2600" s="28">
        <v>1342093</v>
      </c>
      <c r="B2600" s="28" t="s">
        <v>11090</v>
      </c>
      <c r="C2600" s="54">
        <v>3</v>
      </c>
      <c r="D2600" s="54" t="s">
        <v>11042</v>
      </c>
      <c r="E2600" s="64" t="s"/>
      <c r="F2600" s="28" t="s">
        <v>11091</v>
      </c>
      <c r="G2600" s="28">
        <v>1</v>
      </c>
    </row>
    <row r="2601" spans="1:7">
      <c r="A2601" s="28">
        <v>1342101</v>
      </c>
      <c r="B2601" s="28" t="s">
        <v>11092</v>
      </c>
      <c r="C2601" s="54">
        <v>3</v>
      </c>
      <c r="D2601" s="54" t="s">
        <v>11036</v>
      </c>
      <c r="E2601" s="64" t="s"/>
      <c r="F2601" s="28" t="s">
        <v>11093</v>
      </c>
      <c r="G2601" s="28">
        <v>1</v>
      </c>
    </row>
    <row r="2602" spans="1:7">
      <c r="A2602" s="28">
        <v>1342102</v>
      </c>
      <c r="B2602" s="28" t="s">
        <v>11094</v>
      </c>
      <c r="C2602" s="54">
        <v>3</v>
      </c>
      <c r="D2602" s="54" t="s">
        <v>11039</v>
      </c>
      <c r="E2602" s="64" t="s"/>
      <c r="F2602" s="28" t="s">
        <v>11095</v>
      </c>
      <c r="G2602" s="28">
        <v>1</v>
      </c>
    </row>
    <row r="2603" spans="1:7">
      <c r="A2603" s="28">
        <v>1342103</v>
      </c>
      <c r="B2603" s="28" t="s">
        <v>11096</v>
      </c>
      <c r="C2603" s="54">
        <v>3</v>
      </c>
      <c r="D2603" s="54" t="s">
        <v>11042</v>
      </c>
      <c r="E2603" s="64" t="s"/>
      <c r="F2603" s="28" t="s">
        <v>11097</v>
      </c>
      <c r="G2603" s="28">
        <v>1</v>
      </c>
    </row>
    <row r="2604" spans="1:7">
      <c r="A2604" s="28">
        <v>1342111</v>
      </c>
      <c r="B2604" s="28" t="s">
        <v>11098</v>
      </c>
      <c r="C2604" s="54">
        <v>3</v>
      </c>
      <c r="D2604" s="54" t="s">
        <v>11036</v>
      </c>
      <c r="E2604" s="64" t="s"/>
      <c r="F2604" s="28" t="s">
        <v>11099</v>
      </c>
      <c r="G2604" s="28">
        <v>1</v>
      </c>
    </row>
    <row r="2605" spans="1:7">
      <c r="A2605" s="28">
        <v>1342112</v>
      </c>
      <c r="B2605" s="28" t="s">
        <v>11100</v>
      </c>
      <c r="C2605" s="54">
        <v>3</v>
      </c>
      <c r="D2605" s="54" t="s">
        <v>11039</v>
      </c>
      <c r="E2605" s="64" t="s"/>
      <c r="F2605" s="28" t="s">
        <v>11101</v>
      </c>
      <c r="G2605" s="28">
        <v>1</v>
      </c>
    </row>
    <row r="2606" spans="1:7">
      <c r="A2606" s="28">
        <v>1342113</v>
      </c>
      <c r="B2606" s="28" t="s">
        <v>11102</v>
      </c>
      <c r="C2606" s="54">
        <v>3</v>
      </c>
      <c r="D2606" s="54" t="s">
        <v>11042</v>
      </c>
      <c r="E2606" s="64" t="s"/>
      <c r="F2606" s="28" t="s">
        <v>11103</v>
      </c>
      <c r="G2606" s="28">
        <v>1</v>
      </c>
    </row>
    <row r="2607" spans="1:7">
      <c r="A2607" s="28">
        <v>1342121</v>
      </c>
      <c r="B2607" s="28" t="s">
        <v>11104</v>
      </c>
      <c r="C2607" s="54">
        <v>3</v>
      </c>
      <c r="D2607" s="54" t="s">
        <v>11036</v>
      </c>
      <c r="E2607" s="64" t="s"/>
      <c r="F2607" s="28" t="s">
        <v>11105</v>
      </c>
      <c r="G2607" s="28">
        <v>1</v>
      </c>
    </row>
    <row r="2608" spans="1:7">
      <c r="A2608" s="28">
        <v>1342122</v>
      </c>
      <c r="B2608" s="28" t="s">
        <v>11106</v>
      </c>
      <c r="C2608" s="54">
        <v>3</v>
      </c>
      <c r="D2608" s="54" t="s">
        <v>11039</v>
      </c>
      <c r="E2608" s="64" t="s"/>
      <c r="F2608" s="28" t="s">
        <v>11107</v>
      </c>
      <c r="G2608" s="28">
        <v>1</v>
      </c>
    </row>
    <row r="2609" spans="1:7">
      <c r="A2609" s="28">
        <v>1342123</v>
      </c>
      <c r="B2609" s="28" t="s">
        <v>11108</v>
      </c>
      <c r="C2609" s="54">
        <v>3</v>
      </c>
      <c r="D2609" s="54" t="s">
        <v>11042</v>
      </c>
      <c r="E2609" s="64" t="s"/>
      <c r="F2609" s="28" t="s">
        <v>11109</v>
      </c>
      <c r="G2609" s="28">
        <v>1</v>
      </c>
    </row>
    <row r="2610" spans="1:7">
      <c r="A2610" s="28">
        <v>1342131</v>
      </c>
      <c r="B2610" s="28" t="s">
        <v>11110</v>
      </c>
      <c r="C2610" s="54">
        <v>3</v>
      </c>
      <c r="D2610" s="54" t="s">
        <v>11036</v>
      </c>
      <c r="E2610" s="64" t="s"/>
      <c r="F2610" s="28" t="s">
        <v>11111</v>
      </c>
      <c r="G2610" s="28">
        <v>1</v>
      </c>
    </row>
    <row r="2611" spans="1:7">
      <c r="A2611" s="28">
        <v>1342132</v>
      </c>
      <c r="B2611" s="28" t="s">
        <v>11112</v>
      </c>
      <c r="C2611" s="54">
        <v>3</v>
      </c>
      <c r="D2611" s="54" t="s">
        <v>11039</v>
      </c>
      <c r="E2611" s="64" t="s"/>
      <c r="F2611" s="28" t="s">
        <v>11113</v>
      </c>
      <c r="G2611" s="28">
        <v>1</v>
      </c>
    </row>
    <row r="2612" spans="1:7">
      <c r="A2612" s="28">
        <v>1342133</v>
      </c>
      <c r="B2612" s="28" t="s">
        <v>11114</v>
      </c>
      <c r="C2612" s="54">
        <v>3</v>
      </c>
      <c r="D2612" s="54" t="s">
        <v>11042</v>
      </c>
      <c r="E2612" s="64" t="s"/>
      <c r="F2612" s="28" t="s">
        <v>11115</v>
      </c>
      <c r="G2612" s="28">
        <v>1</v>
      </c>
    </row>
    <row r="2613" spans="1:7">
      <c r="A2613" s="28">
        <v>1342141</v>
      </c>
      <c r="B2613" s="28" t="s">
        <v>11116</v>
      </c>
      <c r="C2613" s="54">
        <v>3</v>
      </c>
      <c r="D2613" s="54" t="s">
        <v>11036</v>
      </c>
      <c r="E2613" s="64" t="s"/>
      <c r="F2613" s="28" t="s">
        <v>11117</v>
      </c>
      <c r="G2613" s="28">
        <v>1</v>
      </c>
    </row>
    <row r="2614" spans="1:7">
      <c r="A2614" s="28">
        <v>1342142</v>
      </c>
      <c r="B2614" s="28" t="s">
        <v>11118</v>
      </c>
      <c r="C2614" s="28">
        <v>3</v>
      </c>
      <c r="D2614" s="54" t="s">
        <v>11039</v>
      </c>
      <c r="E2614" s="64" t="s"/>
      <c r="F2614" s="28" t="s">
        <v>11119</v>
      </c>
      <c r="G2614" s="28">
        <v>1</v>
      </c>
    </row>
    <row r="2615" spans="1:7">
      <c r="A2615" s="28">
        <v>1342143</v>
      </c>
      <c r="B2615" s="28" t="s">
        <v>11120</v>
      </c>
      <c r="C2615" s="28">
        <v>3</v>
      </c>
      <c r="D2615" s="54" t="s">
        <v>11042</v>
      </c>
      <c r="E2615" s="64" t="s"/>
      <c r="F2615" s="28" t="s">
        <v>11121</v>
      </c>
      <c r="G2615" s="28">
        <v>1</v>
      </c>
    </row>
    <row r="2616" spans="1:7">
      <c r="A2616" s="28">
        <v>1342151</v>
      </c>
      <c r="B2616" s="28" t="s">
        <v>11122</v>
      </c>
      <c r="C2616" s="28">
        <v>3</v>
      </c>
      <c r="D2616" s="54" t="s">
        <v>11036</v>
      </c>
      <c r="E2616" s="64" t="s"/>
      <c r="F2616" s="28" t="s">
        <v>11123</v>
      </c>
      <c r="G2616" s="28">
        <v>1</v>
      </c>
    </row>
    <row r="2617" spans="1:7">
      <c r="A2617" s="28">
        <v>1342152</v>
      </c>
      <c r="B2617" s="28" t="s">
        <v>11124</v>
      </c>
      <c r="C2617" s="28">
        <v>3</v>
      </c>
      <c r="D2617" s="54" t="s">
        <v>11039</v>
      </c>
      <c r="E2617" s="64" t="s"/>
      <c r="F2617" s="28" t="s">
        <v>11125</v>
      </c>
      <c r="G2617" s="28">
        <v>1</v>
      </c>
    </row>
    <row r="2618" spans="1:7">
      <c r="A2618" s="28">
        <v>1342153</v>
      </c>
      <c r="B2618" s="28" t="s">
        <v>11126</v>
      </c>
      <c r="C2618" s="28">
        <v>3</v>
      </c>
      <c r="D2618" s="54" t="s">
        <v>11042</v>
      </c>
      <c r="E2618" s="64" t="s"/>
      <c r="F2618" s="28" t="s">
        <v>11127</v>
      </c>
      <c r="G2618" s="28">
        <v>1</v>
      </c>
    </row>
    <row r="2619" spans="1:7">
      <c r="A2619" s="28">
        <v>1342161</v>
      </c>
      <c r="B2619" s="28" t="s">
        <v>11128</v>
      </c>
      <c r="C2619" s="28">
        <v>3</v>
      </c>
      <c r="D2619" s="54" t="s">
        <v>11036</v>
      </c>
      <c r="E2619" s="64" t="s"/>
      <c r="F2619" s="28" t="s">
        <v>11129</v>
      </c>
      <c r="G2619" s="28">
        <v>1</v>
      </c>
    </row>
    <row r="2620" spans="1:7">
      <c r="A2620" s="28">
        <v>1342162</v>
      </c>
      <c r="B2620" s="28" t="s">
        <v>11130</v>
      </c>
      <c r="C2620" s="28">
        <v>3</v>
      </c>
      <c r="D2620" s="54" t="s">
        <v>11039</v>
      </c>
      <c r="E2620" s="64" t="s"/>
      <c r="F2620" s="28" t="s">
        <v>11131</v>
      </c>
      <c r="G2620" s="28">
        <v>1</v>
      </c>
    </row>
    <row r="2621" spans="1:7">
      <c r="A2621" s="28">
        <v>1342163</v>
      </c>
      <c r="B2621" s="28" t="s">
        <v>11132</v>
      </c>
      <c r="C2621" s="28">
        <v>3</v>
      </c>
      <c r="D2621" s="54" t="s">
        <v>11042</v>
      </c>
      <c r="E2621" s="64" t="s"/>
      <c r="F2621" s="28" t="s">
        <v>11133</v>
      </c>
      <c r="G2621" s="28">
        <v>1</v>
      </c>
    </row>
    <row r="2622" spans="1:7">
      <c r="A2622" s="28">
        <v>1342501</v>
      </c>
      <c r="B2622" s="28" t="s">
        <v>11134</v>
      </c>
      <c r="C2622" s="28">
        <v>4</v>
      </c>
      <c r="D2622" s="54" t="s">
        <v>11135</v>
      </c>
      <c r="E2622" s="64" t="s"/>
      <c r="F2622" s="28" t="s">
        <v>8509</v>
      </c>
      <c r="G2622" s="28">
        <v>1</v>
      </c>
    </row>
    <row r="2623" spans="1:7">
      <c r="A2623" s="28">
        <v>1342502</v>
      </c>
      <c r="B2623" s="28" t="s">
        <v>11136</v>
      </c>
      <c r="C2623" s="28">
        <v>4</v>
      </c>
      <c r="D2623" s="54" t="s">
        <v>11137</v>
      </c>
      <c r="E2623" s="64" t="s"/>
      <c r="F2623" s="28" t="s">
        <v>9493</v>
      </c>
      <c r="G2623" s="28">
        <v>1</v>
      </c>
    </row>
    <row r="2624" spans="1:7">
      <c r="A2624" s="28">
        <v>1342503</v>
      </c>
      <c r="B2624" s="28" t="s">
        <v>11138</v>
      </c>
      <c r="C2624" s="28">
        <v>4</v>
      </c>
      <c r="D2624" s="54" t="s">
        <v>11139</v>
      </c>
      <c r="E2624" s="64" t="s"/>
      <c r="F2624" s="28" t="s">
        <v>9549</v>
      </c>
      <c r="G2624" s="28">
        <v>1</v>
      </c>
    </row>
    <row r="2625" spans="1:7">
      <c r="A2625" s="28">
        <v>1342511</v>
      </c>
      <c r="B2625" s="28" t="s">
        <v>11134</v>
      </c>
      <c r="C2625" s="28">
        <v>4</v>
      </c>
      <c r="D2625" s="54" t="s">
        <v>11135</v>
      </c>
      <c r="E2625" s="64" t="s"/>
      <c r="F2625" s="28" t="s">
        <v>8509</v>
      </c>
      <c r="G2625" s="28">
        <v>1</v>
      </c>
    </row>
    <row r="2626" spans="1:7">
      <c r="A2626" s="28">
        <v>1342512</v>
      </c>
      <c r="B2626" s="28" t="s">
        <v>11136</v>
      </c>
      <c r="C2626" s="28">
        <v>4</v>
      </c>
      <c r="D2626" s="54" t="s">
        <v>11137</v>
      </c>
      <c r="E2626" s="64" t="s"/>
      <c r="F2626" s="28" t="s">
        <v>9493</v>
      </c>
      <c r="G2626" s="28">
        <v>1</v>
      </c>
    </row>
    <row r="2627" spans="1:7">
      <c r="A2627" s="28">
        <v>1342513</v>
      </c>
      <c r="B2627" s="28" t="s">
        <v>11138</v>
      </c>
      <c r="C2627" s="28">
        <v>4</v>
      </c>
      <c r="D2627" s="54" t="s">
        <v>11139</v>
      </c>
      <c r="E2627" s="64" t="s"/>
      <c r="F2627" s="28" t="s">
        <v>9549</v>
      </c>
      <c r="G2627" s="28">
        <v>1</v>
      </c>
    </row>
    <row r="2628" spans="1:7">
      <c r="A2628" s="28">
        <v>1343001</v>
      </c>
      <c r="B2628" s="28" t="s">
        <v>11140</v>
      </c>
      <c r="C2628" s="28">
        <v>3</v>
      </c>
      <c r="D2628" s="54" t="s">
        <v>11141</v>
      </c>
      <c r="E2628" s="64" t="s"/>
      <c r="F2628" s="28" t="s">
        <v>8525</v>
      </c>
      <c r="G2628" s="28">
        <v>9999</v>
      </c>
    </row>
    <row r="2629" spans="1:7">
      <c r="A2629" s="28">
        <v>1343002</v>
      </c>
      <c r="B2629" s="28" t="s">
        <v>11142</v>
      </c>
      <c r="C2629" s="28">
        <v>3</v>
      </c>
      <c r="D2629" s="54" t="s">
        <v>11143</v>
      </c>
      <c r="E2629" s="64" t="s"/>
      <c r="F2629" s="28" t="s">
        <v>8505</v>
      </c>
      <c r="G2629" s="28">
        <v>9999</v>
      </c>
    </row>
    <row r="2630" spans="1:7">
      <c r="A2630" s="28">
        <v>1343003</v>
      </c>
      <c r="B2630" s="28" t="s">
        <v>11144</v>
      </c>
      <c r="C2630" s="28">
        <v>3</v>
      </c>
      <c r="D2630" s="54" t="s">
        <v>11145</v>
      </c>
      <c r="E2630" s="64" t="s"/>
      <c r="F2630" s="28" t="s">
        <v>8513</v>
      </c>
      <c r="G2630" s="28">
        <v>9999</v>
      </c>
    </row>
    <row r="2631" spans="1:7">
      <c r="A2631" s="28">
        <v>1343004</v>
      </c>
      <c r="B2631" s="28" t="s">
        <v>11146</v>
      </c>
      <c r="C2631" s="28">
        <v>2</v>
      </c>
      <c r="D2631" s="54" t="s">
        <v>11147</v>
      </c>
      <c r="E2631" s="64" t="s"/>
      <c r="F2631" s="28" t="s">
        <v>8517</v>
      </c>
      <c r="G2631" s="28">
        <v>9999</v>
      </c>
    </row>
    <row r="2632" spans="1:7">
      <c r="A2632" s="28">
        <v>1343005</v>
      </c>
      <c r="B2632" s="28" t="s">
        <v>11148</v>
      </c>
      <c r="C2632" s="28">
        <v>2</v>
      </c>
      <c r="D2632" s="54" t="s">
        <v>11149</v>
      </c>
      <c r="E2632" s="64" t="s"/>
      <c r="F2632" s="28" t="s">
        <v>8501</v>
      </c>
      <c r="G2632" s="28">
        <v>9999</v>
      </c>
    </row>
    <row r="2633" spans="1:7">
      <c r="A2633" s="28">
        <v>1343006</v>
      </c>
      <c r="B2633" s="28" t="s">
        <v>11150</v>
      </c>
      <c r="C2633" s="28">
        <v>2</v>
      </c>
      <c r="D2633" s="54" t="s">
        <v>11151</v>
      </c>
      <c r="E2633" s="64" t="s"/>
      <c r="F2633" s="28" t="s">
        <v>8497</v>
      </c>
      <c r="G2633" s="28">
        <v>9999</v>
      </c>
    </row>
    <row r="2634" spans="1:7">
      <c r="A2634" s="28">
        <v>1343007</v>
      </c>
      <c r="B2634" s="28" t="s">
        <v>11152</v>
      </c>
      <c r="C2634" s="28">
        <v>4</v>
      </c>
      <c r="D2634" s="54" t="s">
        <v>11153</v>
      </c>
      <c r="E2634" s="64" t="s"/>
      <c r="F2634" s="28" t="s">
        <v>8529</v>
      </c>
      <c r="G2634" s="28">
        <v>9999</v>
      </c>
    </row>
    <row r="2635" spans="1:7">
      <c r="A2635" s="28">
        <v>1343008</v>
      </c>
      <c r="B2635" s="28" t="s">
        <v>11154</v>
      </c>
      <c r="C2635" s="28">
        <v>2</v>
      </c>
      <c r="D2635" s="54" t="s">
        <v>11155</v>
      </c>
      <c r="E2635" s="64" t="s"/>
      <c r="F2635" s="28" t="s">
        <v>8493</v>
      </c>
      <c r="G2635" s="28">
        <v>9999</v>
      </c>
    </row>
    <row r="2636" spans="1:7">
      <c r="A2636" s="28">
        <v>1343009</v>
      </c>
      <c r="B2636" s="28" t="s">
        <v>11156</v>
      </c>
      <c r="C2636" s="28">
        <v>4</v>
      </c>
      <c r="D2636" s="54" t="s">
        <v>11157</v>
      </c>
      <c r="E2636" s="64" t="s"/>
      <c r="F2636" s="28" t="s">
        <v>9697</v>
      </c>
      <c r="G2636" s="28">
        <v>9999</v>
      </c>
    </row>
    <row r="2637" spans="1:7">
      <c r="A2637" s="28">
        <v>1343010</v>
      </c>
      <c r="B2637" s="28" t="s">
        <v>11158</v>
      </c>
      <c r="C2637" s="28">
        <v>4</v>
      </c>
      <c r="D2637" s="54" t="s">
        <v>11159</v>
      </c>
      <c r="E2637" s="64" t="s"/>
      <c r="F2637" s="28" t="s">
        <v>8521</v>
      </c>
      <c r="G2637" s="28">
        <v>9999</v>
      </c>
    </row>
    <row r="2638" spans="1:7">
      <c r="A2638" s="28">
        <v>1343011</v>
      </c>
      <c r="B2638" s="28" t="s">
        <v>11160</v>
      </c>
      <c r="C2638" s="28">
        <v>3</v>
      </c>
      <c r="D2638" s="54" t="s">
        <v>11161</v>
      </c>
      <c r="E2638" s="64" t="s"/>
      <c r="F2638" s="28" t="s">
        <v>9505</v>
      </c>
      <c r="G2638" s="28">
        <v>9999</v>
      </c>
    </row>
    <row r="2639" spans="1:7">
      <c r="A2639" s="28">
        <v>1343012</v>
      </c>
      <c r="B2639" s="28" t="s">
        <v>11162</v>
      </c>
      <c r="C2639" s="28">
        <v>3</v>
      </c>
      <c r="D2639" s="54" t="s">
        <v>11163</v>
      </c>
      <c r="E2639" s="64" t="s"/>
      <c r="F2639" s="28" t="s">
        <v>9497</v>
      </c>
      <c r="G2639" s="28">
        <v>9999</v>
      </c>
    </row>
    <row r="2640" spans="1:7">
      <c r="A2640" s="28">
        <v>1343013</v>
      </c>
      <c r="B2640" s="28" t="s">
        <v>11164</v>
      </c>
      <c r="C2640" s="28">
        <v>3</v>
      </c>
      <c r="D2640" s="54" t="s">
        <v>11165</v>
      </c>
      <c r="E2640" s="64" t="s"/>
      <c r="F2640" s="28" t="s">
        <v>9481</v>
      </c>
      <c r="G2640" s="28">
        <v>9999</v>
      </c>
    </row>
    <row r="2641" spans="1:7">
      <c r="A2641" s="28">
        <v>1343014</v>
      </c>
      <c r="B2641" s="28" t="s">
        <v>11166</v>
      </c>
      <c r="C2641" s="28">
        <v>4</v>
      </c>
      <c r="D2641" s="54" t="s">
        <v>11167</v>
      </c>
      <c r="E2641" s="64" t="s"/>
      <c r="F2641" s="28" t="s">
        <v>9521</v>
      </c>
      <c r="G2641" s="28">
        <v>9999</v>
      </c>
    </row>
    <row r="2642" spans="1:7">
      <c r="A2642" s="28">
        <v>1343015</v>
      </c>
      <c r="B2642" s="28" t="s">
        <v>11168</v>
      </c>
      <c r="C2642" s="28">
        <v>2</v>
      </c>
      <c r="D2642" s="54" t="s">
        <v>11169</v>
      </c>
      <c r="E2642" s="64" t="s"/>
      <c r="F2642" s="28" t="s">
        <v>9513</v>
      </c>
      <c r="G2642" s="28">
        <v>9999</v>
      </c>
    </row>
    <row r="2643" spans="1:7">
      <c r="A2643" s="28">
        <v>1343016</v>
      </c>
      <c r="B2643" s="28" t="s">
        <v>11170</v>
      </c>
      <c r="C2643" s="28">
        <v>2</v>
      </c>
      <c r="D2643" s="54" t="s">
        <v>11171</v>
      </c>
      <c r="E2643" s="64" t="s"/>
      <c r="F2643" s="28" t="s">
        <v>9501</v>
      </c>
      <c r="G2643" s="28">
        <v>9999</v>
      </c>
    </row>
    <row r="2644" spans="1:7">
      <c r="A2644" s="28">
        <v>1343017</v>
      </c>
      <c r="B2644" s="28" t="s">
        <v>11172</v>
      </c>
      <c r="C2644" s="28">
        <v>2</v>
      </c>
      <c r="D2644" s="54" t="s">
        <v>11173</v>
      </c>
      <c r="E2644" s="64" t="s"/>
      <c r="F2644" s="28" t="s">
        <v>9481</v>
      </c>
      <c r="G2644" s="28">
        <v>9999</v>
      </c>
    </row>
    <row r="2645" spans="1:7">
      <c r="A2645" s="28">
        <v>1343018</v>
      </c>
      <c r="B2645" s="28" t="s">
        <v>11174</v>
      </c>
      <c r="C2645" s="28">
        <v>2</v>
      </c>
      <c r="D2645" s="54" t="s">
        <v>11175</v>
      </c>
      <c r="E2645" s="64" t="s"/>
      <c r="F2645" s="28" t="s">
        <v>9525</v>
      </c>
      <c r="G2645" s="28">
        <v>9999</v>
      </c>
    </row>
    <row r="2646" spans="1:7">
      <c r="A2646" s="28">
        <v>1343019</v>
      </c>
      <c r="B2646" s="28" t="s">
        <v>11176</v>
      </c>
      <c r="C2646" s="28">
        <v>4</v>
      </c>
      <c r="D2646" s="54" t="s">
        <v>11177</v>
      </c>
      <c r="E2646" s="64" t="s"/>
      <c r="F2646" s="28" t="s">
        <v>9533</v>
      </c>
      <c r="G2646" s="28">
        <v>9999</v>
      </c>
    </row>
    <row r="2647" spans="1:7">
      <c r="A2647" s="28">
        <v>1343020</v>
      </c>
      <c r="B2647" s="28" t="s">
        <v>11178</v>
      </c>
      <c r="C2647" s="28">
        <v>4</v>
      </c>
      <c r="D2647" s="54" t="s">
        <v>11179</v>
      </c>
      <c r="E2647" s="64" t="s"/>
      <c r="F2647" s="28" t="s">
        <v>9485</v>
      </c>
      <c r="G2647" s="28">
        <v>9999</v>
      </c>
    </row>
    <row r="2648" spans="1:7">
      <c r="A2648" s="28">
        <v>1343021</v>
      </c>
      <c r="B2648" s="28" t="s">
        <v>11180</v>
      </c>
      <c r="C2648" s="28">
        <v>3</v>
      </c>
      <c r="D2648" s="54" t="s">
        <v>11181</v>
      </c>
      <c r="E2648" s="64" t="s"/>
      <c r="F2648" s="28" t="s">
        <v>9581</v>
      </c>
      <c r="G2648" s="28">
        <v>9999</v>
      </c>
    </row>
    <row r="2649" spans="1:7">
      <c r="A2649" s="28">
        <v>1343022</v>
      </c>
      <c r="B2649" s="28" t="s">
        <v>11182</v>
      </c>
      <c r="C2649" s="28">
        <v>3</v>
      </c>
      <c r="D2649" s="54" t="s">
        <v>11183</v>
      </c>
      <c r="E2649" s="64" t="s"/>
      <c r="F2649" s="28" t="s">
        <v>9541</v>
      </c>
      <c r="G2649" s="28">
        <v>9999</v>
      </c>
    </row>
    <row r="2650" spans="1:7">
      <c r="A2650" s="28">
        <v>1343023</v>
      </c>
      <c r="B2650" s="28" t="s">
        <v>11184</v>
      </c>
      <c r="C2650" s="28">
        <v>3</v>
      </c>
      <c r="D2650" s="54" t="s">
        <v>11185</v>
      </c>
      <c r="E2650" s="64" t="s"/>
      <c r="F2650" s="28" t="s">
        <v>9537</v>
      </c>
      <c r="G2650" s="28">
        <v>9999</v>
      </c>
    </row>
    <row r="2651" spans="1:7">
      <c r="A2651" s="28">
        <v>1343024</v>
      </c>
      <c r="B2651" s="28" t="s">
        <v>11186</v>
      </c>
      <c r="C2651" s="28">
        <v>2</v>
      </c>
      <c r="D2651" s="54" t="s">
        <v>11187</v>
      </c>
      <c r="E2651" s="64" t="s"/>
      <c r="F2651" s="28" t="s">
        <v>9545</v>
      </c>
      <c r="G2651" s="28">
        <v>9999</v>
      </c>
    </row>
    <row r="2652" spans="1:7">
      <c r="A2652" s="28">
        <v>1343025</v>
      </c>
      <c r="B2652" s="28" t="s">
        <v>11188</v>
      </c>
      <c r="C2652" s="28">
        <v>4</v>
      </c>
      <c r="D2652" s="54" t="s">
        <v>11189</v>
      </c>
      <c r="E2652" s="64" t="s"/>
      <c r="F2652" s="28" t="s">
        <v>9573</v>
      </c>
      <c r="G2652" s="28">
        <v>9999</v>
      </c>
    </row>
    <row r="2653" spans="1:7">
      <c r="A2653" s="28">
        <v>1343026</v>
      </c>
      <c r="B2653" s="28" t="s">
        <v>11190</v>
      </c>
      <c r="C2653" s="28">
        <v>2</v>
      </c>
      <c r="D2653" s="54" t="s">
        <v>11191</v>
      </c>
      <c r="E2653" s="64" t="s"/>
      <c r="F2653" s="28" t="s">
        <v>9553</v>
      </c>
      <c r="G2653" s="28">
        <v>9999</v>
      </c>
    </row>
    <row r="2654" spans="1:7">
      <c r="A2654" s="28">
        <v>1343027</v>
      </c>
      <c r="B2654" s="28" t="s">
        <v>11192</v>
      </c>
      <c r="C2654" s="28">
        <v>2</v>
      </c>
      <c r="D2654" s="54" t="s">
        <v>11193</v>
      </c>
      <c r="E2654" s="64" t="s"/>
      <c r="F2654" s="28" t="s">
        <v>9569</v>
      </c>
      <c r="G2654" s="28">
        <v>9999</v>
      </c>
    </row>
    <row r="2655" spans="1:7">
      <c r="A2655" s="28">
        <v>1343028</v>
      </c>
      <c r="B2655" s="28" t="s">
        <v>11194</v>
      </c>
      <c r="C2655" s="28">
        <v>2</v>
      </c>
      <c r="D2655" s="54" t="s">
        <v>11195</v>
      </c>
      <c r="E2655" s="64" t="s"/>
      <c r="F2655" s="28" t="s">
        <v>9557</v>
      </c>
      <c r="G2655" s="28">
        <v>9999</v>
      </c>
    </row>
    <row r="2656" spans="1:7">
      <c r="A2656" s="28">
        <v>1343029</v>
      </c>
      <c r="B2656" s="28" t="s">
        <v>11196</v>
      </c>
      <c r="C2656" s="28">
        <v>4</v>
      </c>
      <c r="D2656" s="54" t="s">
        <v>11197</v>
      </c>
      <c r="E2656" s="64" t="s"/>
      <c r="F2656" s="28" t="s">
        <v>9565</v>
      </c>
      <c r="G2656" s="28">
        <v>9999</v>
      </c>
    </row>
    <row r="2657" spans="1:7">
      <c r="A2657" s="28">
        <v>1343030</v>
      </c>
      <c r="B2657" s="28" t="s">
        <v>11198</v>
      </c>
      <c r="C2657" s="28">
        <v>4</v>
      </c>
      <c r="D2657" s="54" t="s">
        <v>11199</v>
      </c>
      <c r="E2657" s="64" t="s"/>
      <c r="F2657" s="28" t="s">
        <v>9561</v>
      </c>
      <c r="G2657" s="28">
        <v>9999</v>
      </c>
    </row>
    <row r="2658" spans="1:7">
      <c r="A2658" s="28">
        <v>1343031</v>
      </c>
      <c r="B2658" s="28" t="s">
        <v>11200</v>
      </c>
      <c r="C2658" s="28">
        <v>3</v>
      </c>
      <c r="D2658" s="54" t="s">
        <v>11200</v>
      </c>
      <c r="E2658" s="64" t="s"/>
      <c r="F2658" s="28" t="s">
        <v>11107</v>
      </c>
      <c r="G2658" s="28">
        <v>9999</v>
      </c>
    </row>
    <row r="2659" spans="1:7">
      <c r="A2659" s="28">
        <v>1343032</v>
      </c>
      <c r="B2659" s="28" t="s">
        <v>11200</v>
      </c>
      <c r="C2659" s="28">
        <v>3</v>
      </c>
      <c r="D2659" s="54" t="s">
        <v>11200</v>
      </c>
      <c r="E2659" s="64" t="s"/>
      <c r="F2659" s="28" t="s">
        <v>11107</v>
      </c>
      <c r="G2659" s="28">
        <v>9999</v>
      </c>
    </row>
    <row r="2660" spans="1:7">
      <c r="A2660" s="28">
        <v>1343033</v>
      </c>
      <c r="B2660" s="28" t="s">
        <v>11200</v>
      </c>
      <c r="C2660" s="28">
        <v>3</v>
      </c>
      <c r="D2660" s="54" t="s">
        <v>11200</v>
      </c>
      <c r="E2660" s="64" t="s"/>
      <c r="F2660" s="28" t="s">
        <v>11107</v>
      </c>
      <c r="G2660" s="28">
        <v>9999</v>
      </c>
    </row>
    <row r="2661" spans="1:7">
      <c r="A2661" s="28">
        <v>1343501</v>
      </c>
      <c r="B2661" s="28" t="s">
        <v>11201</v>
      </c>
      <c r="C2661" s="28">
        <v>4</v>
      </c>
      <c r="D2661" s="54" t="s">
        <v>11202</v>
      </c>
      <c r="E2661" s="64" t="s"/>
      <c r="F2661" s="28" t="s">
        <v>11203</v>
      </c>
      <c r="G2661" s="28">
        <v>1</v>
      </c>
    </row>
    <row r="2662" spans="1:7">
      <c r="A2662" s="28">
        <v>1343502</v>
      </c>
      <c r="B2662" s="28" t="s">
        <v>11204</v>
      </c>
      <c r="C2662" s="28">
        <v>4</v>
      </c>
      <c r="D2662" s="54" t="s">
        <v>11205</v>
      </c>
      <c r="E2662" s="64" t="s"/>
      <c r="F2662" s="28" t="s">
        <v>11206</v>
      </c>
      <c r="G2662" s="28">
        <v>1</v>
      </c>
    </row>
    <row r="2663" spans="1:7">
      <c r="A2663" s="28">
        <v>1343503</v>
      </c>
      <c r="B2663" s="28" t="s">
        <v>11207</v>
      </c>
      <c r="C2663" s="28">
        <v>4</v>
      </c>
      <c r="D2663" s="54" t="s">
        <v>11208</v>
      </c>
      <c r="E2663" s="64" t="s"/>
      <c r="F2663" s="28" t="s">
        <v>11209</v>
      </c>
      <c r="G2663" s="28">
        <v>1</v>
      </c>
    </row>
    <row r="2664" spans="1:7">
      <c r="A2664" s="28">
        <v>1343504</v>
      </c>
      <c r="B2664" s="28" t="s">
        <v>11210</v>
      </c>
      <c r="C2664" s="28">
        <v>4</v>
      </c>
      <c r="D2664" s="54" t="s">
        <v>11211</v>
      </c>
      <c r="E2664" s="64" t="s"/>
      <c r="F2664" s="28" t="s">
        <v>11212</v>
      </c>
      <c r="G2664" s="28">
        <v>1</v>
      </c>
    </row>
    <row r="2665" spans="1:7">
      <c r="A2665" s="28">
        <v>1343505</v>
      </c>
      <c r="B2665" s="28" t="s">
        <v>11213</v>
      </c>
      <c r="C2665" s="28">
        <v>4</v>
      </c>
      <c r="D2665" s="54" t="s">
        <v>11214</v>
      </c>
      <c r="E2665" s="64" t="s"/>
      <c r="F2665" s="28" t="s">
        <v>11215</v>
      </c>
      <c r="G2665" s="28">
        <v>1</v>
      </c>
    </row>
    <row r="2666" spans="1:7">
      <c r="A2666" s="28">
        <v>1343506</v>
      </c>
      <c r="B2666" s="28" t="s">
        <v>11216</v>
      </c>
      <c r="C2666" s="28">
        <v>4</v>
      </c>
      <c r="D2666" s="54" t="s">
        <v>11217</v>
      </c>
      <c r="E2666" s="64" t="s"/>
      <c r="F2666" s="28" t="s">
        <v>11218</v>
      </c>
      <c r="G2666" s="28">
        <v>1</v>
      </c>
    </row>
    <row r="2667" spans="1:7">
      <c r="A2667" s="28">
        <v>1343507</v>
      </c>
      <c r="B2667" s="28" t="s">
        <v>11219</v>
      </c>
      <c r="C2667" s="28">
        <v>4</v>
      </c>
      <c r="D2667" s="54" t="s">
        <v>11220</v>
      </c>
      <c r="E2667" s="64" t="s"/>
      <c r="F2667" s="28" t="s">
        <v>11221</v>
      </c>
      <c r="G2667" s="28">
        <v>1</v>
      </c>
    </row>
    <row r="2668" spans="1:7">
      <c r="A2668" s="28">
        <v>1343508</v>
      </c>
      <c r="B2668" s="28" t="s">
        <v>11222</v>
      </c>
      <c r="C2668" s="28">
        <v>4</v>
      </c>
      <c r="D2668" s="54" t="s">
        <v>11223</v>
      </c>
      <c r="E2668" s="64" t="s"/>
      <c r="F2668" s="28" t="s">
        <v>11224</v>
      </c>
      <c r="G2668" s="28">
        <v>1</v>
      </c>
    </row>
    <row r="2669" spans="1:7">
      <c r="A2669" s="28">
        <v>1350001</v>
      </c>
      <c r="B2669" s="28" t="s">
        <v>11225</v>
      </c>
      <c r="C2669" s="28">
        <v>4</v>
      </c>
      <c r="D2669" s="54" t="s">
        <v>11226</v>
      </c>
      <c r="E2669" s="64" t="s"/>
      <c r="F2669" s="28" t="s">
        <v>10623</v>
      </c>
      <c r="G2669" s="28">
        <v>1</v>
      </c>
    </row>
    <row r="2670" spans="1:7">
      <c r="A2670" s="28">
        <v>1350002</v>
      </c>
      <c r="B2670" s="28" t="s">
        <v>11227</v>
      </c>
      <c r="C2670" s="28">
        <v>4</v>
      </c>
      <c r="D2670" s="54" t="s">
        <v>11228</v>
      </c>
      <c r="E2670" s="64" t="s"/>
      <c r="F2670" s="28" t="s">
        <v>10620</v>
      </c>
      <c r="G2670" s="28">
        <v>1</v>
      </c>
    </row>
    <row r="2671" spans="1:7">
      <c r="A2671" s="28">
        <v>1350003</v>
      </c>
      <c r="B2671" s="28" t="s">
        <v>11229</v>
      </c>
      <c r="C2671" s="28">
        <v>4</v>
      </c>
      <c r="D2671" s="54" t="s">
        <v>11230</v>
      </c>
      <c r="E2671" s="64" t="s"/>
      <c r="F2671" s="28" t="s">
        <v>10626</v>
      </c>
      <c r="G2671" s="28">
        <v>1</v>
      </c>
    </row>
    <row r="2672" spans="1:7">
      <c r="A2672" s="28">
        <v>1350011</v>
      </c>
      <c r="B2672" s="28" t="s">
        <v>11231</v>
      </c>
      <c r="C2672" s="28">
        <v>4</v>
      </c>
      <c r="D2672" s="54" t="s">
        <v>11232</v>
      </c>
      <c r="E2672" s="64" t="s"/>
      <c r="F2672" s="28" t="s">
        <v>10629</v>
      </c>
      <c r="G2672" s="28">
        <v>1</v>
      </c>
    </row>
    <row r="2673" spans="1:7">
      <c r="A2673" s="28">
        <v>1350012</v>
      </c>
      <c r="B2673" s="28" t="s">
        <v>11233</v>
      </c>
      <c r="C2673" s="28">
        <v>4</v>
      </c>
      <c r="D2673" s="54" t="s">
        <v>11234</v>
      </c>
      <c r="E2673" s="64" t="s"/>
      <c r="F2673" s="28" t="s">
        <v>10632</v>
      </c>
      <c r="G2673" s="28">
        <v>1</v>
      </c>
    </row>
    <row r="2674" spans="1:7">
      <c r="A2674" s="28">
        <v>1350021</v>
      </c>
      <c r="B2674" s="28" t="s">
        <v>11235</v>
      </c>
      <c r="C2674" s="28">
        <v>4</v>
      </c>
      <c r="D2674" s="54" t="s">
        <v>11236</v>
      </c>
      <c r="E2674" s="64" t="s"/>
      <c r="F2674" s="28" t="s">
        <v>10644</v>
      </c>
      <c r="G2674" s="28">
        <v>1</v>
      </c>
    </row>
    <row r="2675" spans="1:7">
      <c r="A2675" s="28">
        <v>1350022</v>
      </c>
      <c r="B2675" s="28" t="s">
        <v>11237</v>
      </c>
      <c r="C2675" s="28">
        <v>4</v>
      </c>
      <c r="D2675" s="54" t="s">
        <v>11238</v>
      </c>
      <c r="E2675" s="64" t="s"/>
      <c r="F2675" s="28" t="s">
        <v>10638</v>
      </c>
      <c r="G2675" s="28">
        <v>1</v>
      </c>
    </row>
    <row r="2676" spans="1:7">
      <c r="A2676" s="28">
        <v>1350023</v>
      </c>
      <c r="B2676" s="28" t="s">
        <v>11239</v>
      </c>
      <c r="C2676" s="28">
        <v>4</v>
      </c>
      <c r="D2676" s="54" t="s">
        <v>11240</v>
      </c>
      <c r="E2676" s="64" t="s"/>
      <c r="F2676" s="28" t="s">
        <v>10641</v>
      </c>
      <c r="G2676" s="28">
        <v>1</v>
      </c>
    </row>
    <row r="2677" spans="1:7">
      <c r="A2677" s="28">
        <v>1350031</v>
      </c>
      <c r="B2677" s="28" t="s">
        <v>11241</v>
      </c>
      <c r="C2677" s="28">
        <v>4</v>
      </c>
      <c r="D2677" s="54" t="s">
        <v>11242</v>
      </c>
      <c r="E2677" s="64" t="s"/>
      <c r="F2677" s="28" t="s">
        <v>10650</v>
      </c>
      <c r="G2677" s="28">
        <v>1</v>
      </c>
    </row>
    <row r="2678" spans="1:7">
      <c r="A2678" s="28">
        <v>1350032</v>
      </c>
      <c r="B2678" s="28" t="s">
        <v>11243</v>
      </c>
      <c r="C2678" s="28">
        <v>4</v>
      </c>
      <c r="D2678" s="54" t="s">
        <v>11244</v>
      </c>
      <c r="E2678" s="64" t="s"/>
      <c r="F2678" s="28" t="s">
        <v>10647</v>
      </c>
      <c r="G2678" s="28">
        <v>1</v>
      </c>
    </row>
    <row r="2679" spans="1:7">
      <c r="A2679" s="28">
        <v>1350033</v>
      </c>
      <c r="B2679" s="28" t="s">
        <v>11245</v>
      </c>
      <c r="C2679" s="28">
        <v>4</v>
      </c>
      <c r="D2679" s="54" t="s">
        <v>11246</v>
      </c>
      <c r="E2679" s="64" t="s"/>
      <c r="F2679" s="28" t="s">
        <v>10653</v>
      </c>
      <c r="G2679" s="28">
        <v>1</v>
      </c>
    </row>
    <row r="2680" spans="1:7">
      <c r="A2680" s="28">
        <v>1350041</v>
      </c>
      <c r="B2680" s="28" t="s">
        <v>11247</v>
      </c>
      <c r="C2680" s="28">
        <v>4</v>
      </c>
      <c r="D2680" s="54" t="s">
        <v>11248</v>
      </c>
      <c r="E2680" s="64" t="s"/>
      <c r="F2680" s="28" t="s">
        <v>10680</v>
      </c>
      <c r="G2680" s="28">
        <v>1</v>
      </c>
    </row>
    <row r="2681" spans="1:7">
      <c r="A2681" s="28">
        <v>1350042</v>
      </c>
      <c r="B2681" s="28" t="s">
        <v>11249</v>
      </c>
      <c r="C2681" s="28">
        <v>4</v>
      </c>
      <c r="D2681" s="54" t="s">
        <v>11250</v>
      </c>
      <c r="E2681" s="64" t="s"/>
      <c r="F2681" s="28" t="s">
        <v>10683</v>
      </c>
      <c r="G2681" s="28">
        <v>1</v>
      </c>
    </row>
    <row r="2682" spans="1:7">
      <c r="A2682" s="28">
        <v>1350043</v>
      </c>
      <c r="B2682" s="28" t="s">
        <v>11251</v>
      </c>
      <c r="C2682" s="28">
        <v>4</v>
      </c>
      <c r="D2682" s="54" t="s">
        <v>11252</v>
      </c>
      <c r="E2682" s="64" t="s"/>
      <c r="F2682" s="28" t="s">
        <v>10686</v>
      </c>
      <c r="G2682" s="28">
        <v>1</v>
      </c>
    </row>
    <row r="2683" spans="1:7">
      <c r="A2683" s="28">
        <v>1350051</v>
      </c>
      <c r="B2683" s="28" t="s">
        <v>11253</v>
      </c>
      <c r="C2683" s="28">
        <v>4</v>
      </c>
      <c r="D2683" s="54" t="s">
        <v>11254</v>
      </c>
      <c r="E2683" s="64" t="s"/>
      <c r="F2683" s="28" t="s">
        <v>10692</v>
      </c>
      <c r="G2683" s="28">
        <v>1</v>
      </c>
    </row>
    <row r="2684" spans="1:7">
      <c r="A2684" s="28">
        <v>1350052</v>
      </c>
      <c r="B2684" s="28" t="s">
        <v>11255</v>
      </c>
      <c r="C2684" s="28">
        <v>4</v>
      </c>
      <c r="D2684" s="54" t="s">
        <v>11256</v>
      </c>
      <c r="E2684" s="64" t="s"/>
      <c r="F2684" s="28" t="s">
        <v>10689</v>
      </c>
      <c r="G2684" s="28">
        <v>1</v>
      </c>
    </row>
    <row r="2685" spans="1:7">
      <c r="A2685" s="28">
        <v>1350061</v>
      </c>
      <c r="B2685" s="28" t="s">
        <v>11257</v>
      </c>
      <c r="C2685" s="28">
        <v>4</v>
      </c>
      <c r="D2685" s="54" t="s">
        <v>11258</v>
      </c>
      <c r="E2685" s="64" t="s"/>
      <c r="F2685" s="28" t="s">
        <v>10668</v>
      </c>
      <c r="G2685" s="28">
        <v>1</v>
      </c>
    </row>
    <row r="2686" spans="1:7">
      <c r="A2686" s="28">
        <v>1350062</v>
      </c>
      <c r="B2686" s="28" t="s">
        <v>11259</v>
      </c>
      <c r="C2686" s="28">
        <v>4</v>
      </c>
      <c r="D2686" s="54" t="s">
        <v>11260</v>
      </c>
      <c r="E2686" s="64" t="s"/>
      <c r="F2686" s="28" t="s">
        <v>10662</v>
      </c>
      <c r="G2686" s="28">
        <v>1</v>
      </c>
    </row>
    <row r="2687" spans="1:7">
      <c r="A2687" s="28">
        <v>1350063</v>
      </c>
      <c r="B2687" s="28" t="s">
        <v>11261</v>
      </c>
      <c r="C2687" s="28">
        <v>4</v>
      </c>
      <c r="D2687" s="54" t="s">
        <v>11262</v>
      </c>
      <c r="E2687" s="64" t="s"/>
      <c r="F2687" s="28" t="s">
        <v>10665</v>
      </c>
      <c r="G2687" s="28">
        <v>1</v>
      </c>
    </row>
    <row r="2688" spans="1:7">
      <c r="A2688" s="28">
        <v>1350071</v>
      </c>
      <c r="B2688" s="28" t="s">
        <v>11263</v>
      </c>
      <c r="C2688" s="28">
        <v>4</v>
      </c>
      <c r="D2688" s="54" t="s">
        <v>11264</v>
      </c>
      <c r="E2688" s="64" t="s"/>
      <c r="F2688" s="28" t="s">
        <v>10671</v>
      </c>
      <c r="G2688" s="28">
        <v>1</v>
      </c>
    </row>
    <row r="2689" spans="1:7">
      <c r="A2689" s="28">
        <v>1350072</v>
      </c>
      <c r="B2689" s="28" t="s">
        <v>11265</v>
      </c>
      <c r="C2689" s="28">
        <v>4</v>
      </c>
      <c r="D2689" s="54" t="s">
        <v>11266</v>
      </c>
      <c r="E2689" s="64" t="s"/>
      <c r="F2689" s="28" t="s">
        <v>10674</v>
      </c>
      <c r="G2689" s="28">
        <v>1</v>
      </c>
    </row>
    <row r="2690" spans="1:7">
      <c r="A2690" s="28">
        <v>1350073</v>
      </c>
      <c r="B2690" s="28" t="s">
        <v>11267</v>
      </c>
      <c r="C2690" s="28">
        <v>4</v>
      </c>
      <c r="D2690" s="54" t="s">
        <v>11268</v>
      </c>
      <c r="E2690" s="64" t="s"/>
      <c r="F2690" s="28" t="s">
        <v>10677</v>
      </c>
      <c r="G2690" s="28">
        <v>1</v>
      </c>
    </row>
    <row r="2691" spans="1:7">
      <c r="A2691" s="28">
        <v>1350081</v>
      </c>
      <c r="B2691" s="28" t="s">
        <v>11269</v>
      </c>
      <c r="C2691" s="28">
        <v>4</v>
      </c>
      <c r="D2691" s="54" t="s">
        <v>11270</v>
      </c>
      <c r="E2691" s="64" t="s"/>
      <c r="F2691" s="28" t="s">
        <v>11271</v>
      </c>
      <c r="G2691" s="28">
        <v>1</v>
      </c>
    </row>
    <row r="2692" spans="1:7">
      <c r="A2692" s="28">
        <v>1350082</v>
      </c>
      <c r="B2692" s="28" t="s">
        <v>11272</v>
      </c>
      <c r="C2692" s="28">
        <v>4</v>
      </c>
      <c r="D2692" s="54" t="s">
        <v>11273</v>
      </c>
      <c r="E2692" s="64" t="s"/>
      <c r="F2692" s="28" t="s">
        <v>11274</v>
      </c>
      <c r="G2692" s="28">
        <v>1</v>
      </c>
    </row>
    <row r="2693" spans="1:7">
      <c r="A2693" s="28">
        <v>1350083</v>
      </c>
      <c r="B2693" s="28" t="s">
        <v>11275</v>
      </c>
      <c r="C2693" s="28">
        <v>4</v>
      </c>
      <c r="D2693" s="54" t="s">
        <v>11276</v>
      </c>
      <c r="E2693" s="64" t="s"/>
      <c r="F2693" s="28" t="s">
        <v>11277</v>
      </c>
      <c r="G2693" s="28">
        <v>1</v>
      </c>
    </row>
    <row r="2694" spans="1:7">
      <c r="A2694" s="28">
        <v>1350091</v>
      </c>
      <c r="B2694" s="28" t="s">
        <v>11278</v>
      </c>
      <c r="C2694" s="28">
        <v>4</v>
      </c>
      <c r="D2694" s="54" t="s">
        <v>11279</v>
      </c>
      <c r="E2694" s="64" t="s"/>
      <c r="F2694" s="28" t="s">
        <v>11280</v>
      </c>
      <c r="G2694" s="28">
        <v>1</v>
      </c>
    </row>
    <row r="2695" spans="1:7">
      <c r="A2695" s="28">
        <v>1350092</v>
      </c>
      <c r="B2695" s="28" t="s">
        <v>11281</v>
      </c>
      <c r="C2695" s="28">
        <v>4</v>
      </c>
      <c r="D2695" s="54" t="s">
        <v>11282</v>
      </c>
      <c r="E2695" s="64" t="s"/>
      <c r="F2695" s="28" t="s">
        <v>11283</v>
      </c>
      <c r="G2695" s="28">
        <v>1</v>
      </c>
    </row>
    <row r="2696" spans="1:7">
      <c r="A2696" s="28">
        <v>1350093</v>
      </c>
      <c r="B2696" s="28" t="s">
        <v>11284</v>
      </c>
      <c r="C2696" s="28">
        <v>4</v>
      </c>
      <c r="D2696" s="54" t="s">
        <v>11285</v>
      </c>
      <c r="E2696" s="64" t="s"/>
      <c r="F2696" s="28" t="s">
        <v>11286</v>
      </c>
      <c r="G2696" s="28">
        <v>1</v>
      </c>
    </row>
    <row r="2697" spans="1:7">
      <c r="A2697" s="28">
        <v>1350121</v>
      </c>
      <c r="B2697" s="28" t="s">
        <v>11287</v>
      </c>
      <c r="C2697" s="28">
        <v>4</v>
      </c>
      <c r="D2697" s="28" t="s">
        <v>11288</v>
      </c>
      <c r="E2697" s="64" t="s"/>
      <c r="F2697" s="28" t="s">
        <v>11289</v>
      </c>
      <c r="G2697" s="28">
        <v>1</v>
      </c>
    </row>
    <row r="2698" spans="1:7">
      <c r="A2698" s="28">
        <v>1350122</v>
      </c>
      <c r="B2698" s="28" t="s">
        <v>11290</v>
      </c>
      <c r="C2698" s="28">
        <v>4</v>
      </c>
      <c r="D2698" s="28" t="s">
        <v>11291</v>
      </c>
      <c r="E2698" s="64" t="s"/>
      <c r="F2698" s="28" t="s">
        <v>11292</v>
      </c>
      <c r="G2698" s="28">
        <v>1</v>
      </c>
    </row>
    <row r="2699" spans="1:7">
      <c r="A2699" s="28">
        <v>1350123</v>
      </c>
      <c r="B2699" s="28" t="s">
        <v>11293</v>
      </c>
      <c r="C2699" s="28">
        <v>4</v>
      </c>
      <c r="D2699" s="28" t="s">
        <v>11294</v>
      </c>
      <c r="E2699" s="64" t="s"/>
      <c r="F2699" s="28" t="s">
        <v>11295</v>
      </c>
      <c r="G2699" s="28">
        <v>1</v>
      </c>
    </row>
    <row r="2700" spans="1:7">
      <c r="A2700" s="28">
        <v>1350131</v>
      </c>
      <c r="B2700" s="28" t="s">
        <v>11296</v>
      </c>
      <c r="C2700" s="28">
        <v>4</v>
      </c>
      <c r="D2700" s="28" t="s">
        <v>11297</v>
      </c>
      <c r="E2700" s="64" t="s"/>
      <c r="F2700" s="28" t="s">
        <v>11298</v>
      </c>
      <c r="G2700" s="28">
        <v>1</v>
      </c>
    </row>
    <row r="2701" spans="1:7">
      <c r="A2701" s="28">
        <v>1350132</v>
      </c>
      <c r="B2701" s="28" t="s">
        <v>11299</v>
      </c>
      <c r="C2701" s="28">
        <v>4</v>
      </c>
      <c r="D2701" s="28" t="s">
        <v>11300</v>
      </c>
      <c r="E2701" s="64" t="s"/>
      <c r="F2701" s="28" t="s">
        <v>11301</v>
      </c>
      <c r="G2701" s="28">
        <v>1</v>
      </c>
    </row>
    <row r="2702" spans="1:7">
      <c r="A2702" s="28">
        <v>1350133</v>
      </c>
      <c r="B2702" s="28" t="s">
        <v>11302</v>
      </c>
      <c r="C2702" s="28">
        <v>4</v>
      </c>
      <c r="D2702" s="28" t="s">
        <v>11303</v>
      </c>
      <c r="E2702" s="64" t="s"/>
      <c r="F2702" s="28" t="s">
        <v>11304</v>
      </c>
      <c r="G2702" s="28">
        <v>1</v>
      </c>
    </row>
    <row r="2703" spans="1:7">
      <c r="A2703" s="28">
        <v>1350141</v>
      </c>
      <c r="B2703" s="28" t="s">
        <v>11305</v>
      </c>
      <c r="C2703" s="28">
        <v>4</v>
      </c>
      <c r="D2703" s="28" t="s">
        <v>11306</v>
      </c>
      <c r="E2703" s="64" t="s"/>
      <c r="F2703" s="28" t="s">
        <v>11307</v>
      </c>
      <c r="G2703" s="28">
        <v>1</v>
      </c>
    </row>
    <row r="2704" spans="1:7">
      <c r="A2704" s="28">
        <v>1350142</v>
      </c>
      <c r="B2704" s="28" t="s">
        <v>11308</v>
      </c>
      <c r="C2704" s="28">
        <v>4</v>
      </c>
      <c r="D2704" s="28" t="s">
        <v>11309</v>
      </c>
      <c r="E2704" s="64" t="s"/>
      <c r="F2704" s="28" t="s">
        <v>11310</v>
      </c>
      <c r="G2704" s="28">
        <v>1</v>
      </c>
    </row>
    <row r="2705" spans="1:7">
      <c r="A2705" s="28">
        <v>1350143</v>
      </c>
      <c r="B2705" s="28" t="s">
        <v>11311</v>
      </c>
      <c r="C2705" s="28">
        <v>4</v>
      </c>
      <c r="D2705" s="28" t="s">
        <v>11312</v>
      </c>
      <c r="E2705" s="64" t="s"/>
      <c r="F2705" s="28" t="s">
        <v>11313</v>
      </c>
      <c r="G2705" s="28">
        <v>1</v>
      </c>
    </row>
    <row r="2706" spans="1:7">
      <c r="A2706" s="28">
        <v>1350151</v>
      </c>
      <c r="B2706" s="28" t="s">
        <v>11314</v>
      </c>
      <c r="C2706" s="28">
        <v>4</v>
      </c>
      <c r="D2706" s="28" t="s">
        <v>11315</v>
      </c>
      <c r="E2706" s="64" t="s"/>
      <c r="F2706" s="28" t="s">
        <v>11316</v>
      </c>
      <c r="G2706" s="28">
        <v>1</v>
      </c>
    </row>
    <row r="2707" spans="1:7">
      <c r="A2707" s="28">
        <v>1350152</v>
      </c>
      <c r="B2707" s="28" t="s">
        <v>11317</v>
      </c>
      <c r="C2707" s="28">
        <v>4</v>
      </c>
      <c r="D2707" s="28" t="s">
        <v>11318</v>
      </c>
      <c r="E2707" s="64" t="s"/>
      <c r="F2707" s="28" t="s">
        <v>11319</v>
      </c>
      <c r="G2707" s="28">
        <v>1</v>
      </c>
    </row>
    <row r="2708" spans="1:7">
      <c r="A2708" s="28">
        <v>1350153</v>
      </c>
      <c r="B2708" s="28" t="s">
        <v>11320</v>
      </c>
      <c r="C2708" s="28">
        <v>4</v>
      </c>
      <c r="D2708" s="28" t="s">
        <v>11321</v>
      </c>
      <c r="E2708" s="64" t="s"/>
      <c r="F2708" s="28" t="s">
        <v>11322</v>
      </c>
      <c r="G2708" s="28">
        <v>1</v>
      </c>
    </row>
    <row r="2709" spans="1:7">
      <c r="A2709" s="28">
        <v>1350161</v>
      </c>
      <c r="B2709" s="28" t="s">
        <v>11323</v>
      </c>
      <c r="C2709" s="28">
        <v>4</v>
      </c>
      <c r="D2709" s="28" t="s">
        <v>11324</v>
      </c>
      <c r="E2709" s="64" t="s"/>
      <c r="F2709" s="28" t="s">
        <v>11325</v>
      </c>
      <c r="G2709" s="28">
        <v>1</v>
      </c>
    </row>
    <row r="2710" spans="1:7">
      <c r="A2710" s="28">
        <v>1350162</v>
      </c>
      <c r="B2710" s="28" t="s">
        <v>11326</v>
      </c>
      <c r="C2710" s="28">
        <v>4</v>
      </c>
      <c r="D2710" s="28" t="s">
        <v>11327</v>
      </c>
      <c r="E2710" s="64" t="s"/>
      <c r="F2710" s="28" t="s">
        <v>11328</v>
      </c>
      <c r="G2710" s="28">
        <v>1</v>
      </c>
    </row>
    <row r="2711" spans="1:7">
      <c r="A2711" s="28">
        <v>1350163</v>
      </c>
      <c r="B2711" s="28" t="s">
        <v>11329</v>
      </c>
      <c r="C2711" s="28">
        <v>4</v>
      </c>
      <c r="D2711" s="28" t="s">
        <v>11330</v>
      </c>
      <c r="E2711" s="64" t="s"/>
      <c r="F2711" s="28" t="s">
        <v>11331</v>
      </c>
      <c r="G2711" s="28">
        <v>1</v>
      </c>
    </row>
    <row r="2712" spans="1:7">
      <c r="A2712" s="28">
        <v>1350171</v>
      </c>
      <c r="B2712" s="28" t="s">
        <v>11332</v>
      </c>
      <c r="C2712" s="28">
        <v>4</v>
      </c>
      <c r="D2712" s="28" t="s">
        <v>11333</v>
      </c>
      <c r="E2712" s="64" t="s"/>
      <c r="F2712" s="28" t="s">
        <v>11334</v>
      </c>
      <c r="G2712" s="28">
        <v>1</v>
      </c>
    </row>
    <row r="2713" spans="1:7">
      <c r="A2713" s="28">
        <v>1350172</v>
      </c>
      <c r="B2713" s="28" t="s">
        <v>11335</v>
      </c>
      <c r="C2713" s="28">
        <v>4</v>
      </c>
      <c r="D2713" s="28" t="s">
        <v>11336</v>
      </c>
      <c r="E2713" s="64" t="s"/>
      <c r="F2713" s="28" t="s">
        <v>11337</v>
      </c>
      <c r="G2713" s="28">
        <v>1</v>
      </c>
    </row>
    <row r="2714" spans="1:7">
      <c r="A2714" s="28">
        <v>1350173</v>
      </c>
      <c r="B2714" s="28" t="s">
        <v>11338</v>
      </c>
      <c r="C2714" s="28">
        <v>4</v>
      </c>
      <c r="D2714" s="28" t="s">
        <v>11339</v>
      </c>
      <c r="E2714" s="54" t="s"/>
      <c r="F2714" s="28" t="s">
        <v>11340</v>
      </c>
      <c r="G2714" s="28">
        <v>1</v>
      </c>
    </row>
    <row r="2715" spans="1:7">
      <c r="A2715" s="28">
        <v>1350181</v>
      </c>
      <c r="B2715" s="28" t="s">
        <v>11341</v>
      </c>
      <c r="C2715" s="28">
        <v>4</v>
      </c>
      <c r="D2715" s="28" t="s">
        <v>11342</v>
      </c>
      <c r="E2715" s="54" t="s"/>
      <c r="F2715" s="28" t="s">
        <v>11343</v>
      </c>
      <c r="G2715" s="28">
        <v>1</v>
      </c>
    </row>
    <row r="2716" spans="1:7">
      <c r="A2716" s="28">
        <v>1350182</v>
      </c>
      <c r="B2716" s="28" t="s">
        <v>11344</v>
      </c>
      <c r="C2716" s="28">
        <v>4</v>
      </c>
      <c r="D2716" s="28" t="s">
        <v>11345</v>
      </c>
      <c r="E2716" s="28" t="s"/>
      <c r="F2716" s="28" t="s">
        <v>11346</v>
      </c>
      <c r="G2716" s="28">
        <v>1</v>
      </c>
    </row>
    <row r="2717" spans="1:7">
      <c r="A2717" s="28">
        <v>1350183</v>
      </c>
      <c r="B2717" s="28" t="s">
        <v>11347</v>
      </c>
      <c r="C2717" s="28">
        <v>4</v>
      </c>
      <c r="D2717" s="28" t="s">
        <v>11348</v>
      </c>
      <c r="E2717" s="28" t="s"/>
      <c r="F2717" s="28" t="s">
        <v>11349</v>
      </c>
      <c r="G2717" s="28">
        <v>1</v>
      </c>
    </row>
    <row r="2718" spans="1:7">
      <c r="A2718" s="28">
        <v>1350191</v>
      </c>
      <c r="B2718" s="28" t="s">
        <v>11350</v>
      </c>
      <c r="C2718" s="28">
        <v>4</v>
      </c>
      <c r="D2718" s="28" t="s">
        <v>11351</v>
      </c>
      <c r="E2718" s="28" t="s"/>
      <c r="F2718" s="28" t="s">
        <v>11352</v>
      </c>
      <c r="G2718" s="28">
        <v>1</v>
      </c>
    </row>
    <row r="2719" spans="1:7">
      <c r="A2719" s="28">
        <v>1350192</v>
      </c>
      <c r="B2719" s="28" t="s">
        <v>11353</v>
      </c>
      <c r="C2719" s="28">
        <v>4</v>
      </c>
      <c r="D2719" s="28" t="s">
        <v>11354</v>
      </c>
      <c r="E2719" s="28" t="s"/>
      <c r="F2719" s="28" t="s">
        <v>11355</v>
      </c>
      <c r="G2719" s="28">
        <v>1</v>
      </c>
    </row>
    <row r="2720" spans="1:7">
      <c r="A2720" s="28">
        <v>1350193</v>
      </c>
      <c r="B2720" s="28" t="s">
        <v>11356</v>
      </c>
      <c r="C2720" s="28">
        <v>4</v>
      </c>
      <c r="D2720" s="28" t="s">
        <v>11357</v>
      </c>
      <c r="E2720" s="28" t="s"/>
      <c r="F2720" s="28" t="s">
        <v>11358</v>
      </c>
      <c r="G2720" s="28">
        <v>1</v>
      </c>
    </row>
    <row r="2721" spans="1:7">
      <c r="A2721" s="28">
        <v>1350201</v>
      </c>
      <c r="B2721" s="28" t="s">
        <v>11359</v>
      </c>
      <c r="C2721" s="28">
        <v>4</v>
      </c>
      <c r="D2721" s="28" t="s">
        <v>11360</v>
      </c>
      <c r="E2721" s="28" t="s"/>
      <c r="F2721" s="28" t="s">
        <v>11361</v>
      </c>
      <c r="G2721" s="28">
        <v>1</v>
      </c>
    </row>
    <row r="2722" spans="1:7">
      <c r="A2722" s="28">
        <v>1350202</v>
      </c>
      <c r="B2722" s="28" t="s">
        <v>11362</v>
      </c>
      <c r="C2722" s="28">
        <v>4</v>
      </c>
      <c r="D2722" s="28" t="s">
        <v>11363</v>
      </c>
      <c r="E2722" s="28" t="s"/>
      <c r="F2722" s="28" t="s">
        <v>11364</v>
      </c>
      <c r="G2722" s="28">
        <v>1</v>
      </c>
    </row>
    <row r="2723" spans="1:7">
      <c r="A2723" s="28">
        <v>1350203</v>
      </c>
      <c r="B2723" s="28" t="s">
        <v>11365</v>
      </c>
      <c r="C2723" s="28">
        <v>4</v>
      </c>
      <c r="D2723" s="28" t="s">
        <v>11366</v>
      </c>
      <c r="E2723" s="28" t="s"/>
      <c r="F2723" s="28" t="s">
        <v>11367</v>
      </c>
      <c r="G2723" s="28">
        <v>1</v>
      </c>
    </row>
    <row r="2724" spans="1:7">
      <c r="A2724" s="28">
        <v>1350211</v>
      </c>
      <c r="B2724" s="28" t="s">
        <v>11368</v>
      </c>
      <c r="C2724" s="28">
        <v>4</v>
      </c>
      <c r="D2724" s="28" t="s">
        <v>11369</v>
      </c>
      <c r="E2724" s="28" t="s"/>
      <c r="F2724" s="28" t="s">
        <v>11370</v>
      </c>
      <c r="G2724" s="28">
        <v>1</v>
      </c>
    </row>
    <row r="2725" spans="1:7">
      <c r="A2725" s="28">
        <v>1350212</v>
      </c>
      <c r="B2725" s="28" t="s">
        <v>11371</v>
      </c>
      <c r="C2725" s="28">
        <v>4</v>
      </c>
      <c r="D2725" s="28" t="s">
        <v>11372</v>
      </c>
      <c r="E2725" s="28" t="s"/>
      <c r="F2725" s="28" t="s">
        <v>11373</v>
      </c>
      <c r="G2725" s="28">
        <v>1</v>
      </c>
    </row>
    <row r="2726" spans="1:7">
      <c r="A2726" s="28">
        <v>1350213</v>
      </c>
      <c r="B2726" s="28" t="s">
        <v>11374</v>
      </c>
      <c r="C2726" s="28">
        <v>4</v>
      </c>
      <c r="D2726" s="28" t="s"/>
      <c r="E2726" s="54" t="s"/>
      <c r="F2726" s="28" t="s">
        <v>11375</v>
      </c>
      <c r="G2726" s="28">
        <v>1</v>
      </c>
    </row>
    <row r="2727" spans="1:7">
      <c r="A2727" s="28">
        <v>1351001</v>
      </c>
      <c r="B2727" s="28" t="s">
        <v>11376</v>
      </c>
      <c r="C2727" s="28">
        <v>1</v>
      </c>
      <c r="D2727" s="28" t="s">
        <v>11377</v>
      </c>
      <c r="E2727" s="54" t="s"/>
      <c r="F2727" s="28" t="s">
        <v>11378</v>
      </c>
      <c r="G2727" s="28">
        <v>1</v>
      </c>
    </row>
    <row r="2728" spans="1:7">
      <c r="A2728" s="28">
        <v>1351002</v>
      </c>
      <c r="B2728" s="28" t="s">
        <v>11379</v>
      </c>
      <c r="C2728" s="28">
        <v>2</v>
      </c>
      <c r="D2728" s="28" t="s">
        <v>11380</v>
      </c>
      <c r="E2728" s="54" t="s"/>
      <c r="F2728" s="28" t="s">
        <v>11381</v>
      </c>
      <c r="G2728" s="28">
        <v>1</v>
      </c>
    </row>
    <row r="2729" spans="1:7">
      <c r="A2729" s="28">
        <v>1351003</v>
      </c>
      <c r="B2729" s="28" t="s">
        <v>11382</v>
      </c>
      <c r="C2729" s="28">
        <v>2</v>
      </c>
      <c r="D2729" s="28" t="s">
        <v>11383</v>
      </c>
      <c r="E2729" s="54" t="s"/>
      <c r="F2729" s="28" t="s">
        <v>11384</v>
      </c>
      <c r="G2729" s="28">
        <v>1</v>
      </c>
    </row>
    <row r="2730" spans="1:7">
      <c r="A2730" s="28">
        <v>1351004</v>
      </c>
      <c r="B2730" s="28" t="s">
        <v>11385</v>
      </c>
      <c r="C2730" s="28">
        <v>2</v>
      </c>
      <c r="D2730" s="28" t="s">
        <v>11386</v>
      </c>
      <c r="E2730" s="54" t="s"/>
      <c r="F2730" s="28" t="s">
        <v>11387</v>
      </c>
      <c r="G2730" s="28">
        <v>1</v>
      </c>
    </row>
    <row r="2731" spans="1:7">
      <c r="A2731" s="28">
        <v>1351005</v>
      </c>
      <c r="B2731" s="28" t="s">
        <v>11388</v>
      </c>
      <c r="C2731" s="28">
        <v>3</v>
      </c>
      <c r="D2731" s="28" t="s">
        <v>11389</v>
      </c>
      <c r="E2731" s="54" t="s"/>
      <c r="F2731" s="28" t="s">
        <v>11390</v>
      </c>
      <c r="G2731" s="28">
        <v>1</v>
      </c>
    </row>
    <row r="2732" spans="1:7">
      <c r="A2732" s="28">
        <v>1351006</v>
      </c>
      <c r="B2732" s="28" t="s">
        <v>11391</v>
      </c>
      <c r="C2732" s="28">
        <v>3</v>
      </c>
      <c r="D2732" s="28" t="s">
        <v>11392</v>
      </c>
      <c r="E2732" s="54" t="s"/>
      <c r="F2732" s="28" t="s">
        <v>11393</v>
      </c>
      <c r="G2732" s="28">
        <v>1</v>
      </c>
    </row>
    <row r="2733" spans="1:7">
      <c r="A2733" s="28">
        <v>1351007</v>
      </c>
      <c r="B2733" s="28" t="s">
        <v>11394</v>
      </c>
      <c r="C2733" s="28">
        <v>1</v>
      </c>
      <c r="D2733" s="28" t="s">
        <v>11395</v>
      </c>
      <c r="E2733" s="54" t="s"/>
      <c r="F2733" s="28" t="s">
        <v>11396</v>
      </c>
      <c r="G2733" s="28">
        <v>1</v>
      </c>
    </row>
    <row r="2734" spans="1:7">
      <c r="A2734" s="28">
        <v>1351008</v>
      </c>
      <c r="B2734" s="28" t="s">
        <v>11397</v>
      </c>
      <c r="C2734" s="28">
        <v>1</v>
      </c>
      <c r="D2734" s="28" t="s">
        <v>11398</v>
      </c>
      <c r="E2734" s="54" t="s"/>
      <c r="F2734" s="28" t="s">
        <v>11399</v>
      </c>
      <c r="G2734" s="28">
        <v>1</v>
      </c>
    </row>
    <row r="2735" spans="1:7">
      <c r="A2735" s="28">
        <v>1351009</v>
      </c>
      <c r="B2735" s="28" t="s">
        <v>11400</v>
      </c>
      <c r="C2735" s="28">
        <v>2</v>
      </c>
      <c r="D2735" s="28" t="s">
        <v>11401</v>
      </c>
      <c r="E2735" s="54" t="s"/>
      <c r="F2735" s="28" t="s">
        <v>11402</v>
      </c>
      <c r="G2735" s="28">
        <v>1</v>
      </c>
    </row>
    <row r="2736" spans="1:7">
      <c r="A2736" s="28">
        <v>1351010</v>
      </c>
      <c r="B2736" s="28" t="s">
        <v>11403</v>
      </c>
      <c r="C2736" s="28">
        <v>2</v>
      </c>
      <c r="D2736" s="28" t="s">
        <v>11404</v>
      </c>
      <c r="E2736" s="28" t="s"/>
      <c r="F2736" s="28" t="s">
        <v>11405</v>
      </c>
      <c r="G2736" s="28">
        <v>1</v>
      </c>
    </row>
    <row r="2737" spans="1:7">
      <c r="A2737" s="28">
        <v>1351011</v>
      </c>
      <c r="B2737" s="28" t="s">
        <v>11406</v>
      </c>
      <c r="C2737" s="28">
        <v>2</v>
      </c>
      <c r="D2737" s="28" t="s">
        <v>11407</v>
      </c>
      <c r="E2737" s="54" t="s"/>
      <c r="F2737" s="28" t="s">
        <v>11408</v>
      </c>
      <c r="G2737" s="28">
        <v>1</v>
      </c>
    </row>
    <row r="2738" spans="1:7">
      <c r="A2738" s="28">
        <v>1351012</v>
      </c>
      <c r="B2738" s="28" t="s">
        <v>11409</v>
      </c>
      <c r="C2738" s="28">
        <v>2</v>
      </c>
      <c r="D2738" s="54" t="s">
        <v>11410</v>
      </c>
      <c r="E2738" s="54" t="s"/>
      <c r="F2738" s="28" t="s">
        <v>11411</v>
      </c>
      <c r="G2738" s="28">
        <v>1</v>
      </c>
    </row>
    <row r="2739" spans="1:7">
      <c r="A2739" s="28">
        <v>1351013</v>
      </c>
      <c r="B2739" s="28" t="s">
        <v>11412</v>
      </c>
      <c r="C2739" s="28">
        <v>2</v>
      </c>
      <c r="D2739" s="54" t="s">
        <v>11413</v>
      </c>
      <c r="E2739" s="54" t="s"/>
      <c r="F2739" s="28" t="s">
        <v>11414</v>
      </c>
      <c r="G2739" s="28">
        <v>1</v>
      </c>
    </row>
    <row r="2740" spans="1:7">
      <c r="A2740" s="28">
        <v>1351014</v>
      </c>
      <c r="B2740" s="28" t="s">
        <v>11415</v>
      </c>
      <c r="C2740" s="28">
        <v>3</v>
      </c>
      <c r="D2740" s="54" t="s">
        <v>11416</v>
      </c>
      <c r="E2740" s="54" t="s"/>
      <c r="F2740" s="28" t="s">
        <v>11417</v>
      </c>
      <c r="G2740" s="28">
        <v>1</v>
      </c>
    </row>
    <row r="2741" spans="1:7">
      <c r="A2741" s="28">
        <v>1351015</v>
      </c>
      <c r="B2741" s="28" t="s">
        <v>11418</v>
      </c>
      <c r="C2741" s="28">
        <v>3</v>
      </c>
      <c r="D2741" s="54" t="s">
        <v>11419</v>
      </c>
      <c r="E2741" s="54" t="s"/>
      <c r="F2741" s="28" t="s">
        <v>11420</v>
      </c>
      <c r="G2741" s="28">
        <v>1</v>
      </c>
    </row>
    <row r="2742" spans="1:7">
      <c r="A2742" s="28">
        <v>1351016</v>
      </c>
      <c r="B2742" s="28" t="s">
        <v>4836</v>
      </c>
      <c r="C2742" s="28">
        <v>4</v>
      </c>
      <c r="D2742" s="54" t="s">
        <v>11421</v>
      </c>
      <c r="E2742" s="54" t="s"/>
      <c r="F2742" s="28" t="s">
        <v>11422</v>
      </c>
      <c r="G2742" s="28">
        <v>1</v>
      </c>
    </row>
    <row r="2743" spans="1:7">
      <c r="A2743" s="28">
        <v>1351017</v>
      </c>
      <c r="B2743" s="28" t="s">
        <v>11423</v>
      </c>
      <c r="C2743" s="28">
        <v>1</v>
      </c>
      <c r="D2743" s="54" t="s">
        <v>11424</v>
      </c>
      <c r="E2743" s="54" t="s"/>
      <c r="F2743" s="28" t="s">
        <v>11425</v>
      </c>
      <c r="G2743" s="28">
        <v>1</v>
      </c>
    </row>
    <row r="2744" spans="1:7">
      <c r="A2744" s="28">
        <v>1351018</v>
      </c>
      <c r="B2744" s="28" t="s">
        <v>11426</v>
      </c>
      <c r="C2744" s="28">
        <v>2</v>
      </c>
      <c r="D2744" s="54" t="s">
        <v>11427</v>
      </c>
      <c r="E2744" s="54" t="s"/>
      <c r="F2744" s="28" t="s">
        <v>11428</v>
      </c>
      <c r="G2744" s="28">
        <v>1</v>
      </c>
    </row>
    <row r="2745" spans="1:7">
      <c r="A2745" s="28">
        <v>1351019</v>
      </c>
      <c r="B2745" s="28" t="s">
        <v>11429</v>
      </c>
      <c r="C2745" s="28">
        <v>2</v>
      </c>
      <c r="D2745" s="54" t="s">
        <v>11430</v>
      </c>
      <c r="E2745" s="54" t="s"/>
      <c r="F2745" s="28" t="s">
        <v>11431</v>
      </c>
      <c r="G2745" s="28">
        <v>1</v>
      </c>
    </row>
    <row r="2746" spans="1:7">
      <c r="A2746" s="28">
        <v>1351020</v>
      </c>
      <c r="B2746" s="28" t="s">
        <v>11432</v>
      </c>
      <c r="C2746" s="28">
        <v>2</v>
      </c>
      <c r="D2746" s="54" t="s">
        <v>11433</v>
      </c>
      <c r="E2746" s="54" t="s"/>
      <c r="F2746" s="28" t="s">
        <v>11434</v>
      </c>
      <c r="G2746" s="28">
        <v>1</v>
      </c>
    </row>
    <row r="2747" spans="1:7">
      <c r="A2747" s="28">
        <v>1351021</v>
      </c>
      <c r="B2747" s="28" t="s">
        <v>11435</v>
      </c>
      <c r="C2747" s="28">
        <v>3</v>
      </c>
      <c r="D2747" s="54" t="s">
        <v>11436</v>
      </c>
      <c r="E2747" s="54" t="s"/>
      <c r="F2747" s="28" t="s">
        <v>11437</v>
      </c>
      <c r="G2747" s="28">
        <v>1</v>
      </c>
    </row>
    <row r="2748" spans="1:7">
      <c r="A2748" s="28">
        <v>1351022</v>
      </c>
      <c r="B2748" s="28" t="s">
        <v>11438</v>
      </c>
      <c r="C2748" s="28">
        <v>2</v>
      </c>
      <c r="D2748" s="54" t="s">
        <v>11439</v>
      </c>
      <c r="E2748" s="54" t="s"/>
      <c r="F2748" s="28" t="s">
        <v>11440</v>
      </c>
      <c r="G2748" s="28">
        <v>1</v>
      </c>
    </row>
    <row r="2749" spans="1:7">
      <c r="A2749" s="28">
        <v>1351023</v>
      </c>
      <c r="B2749" s="28" t="s">
        <v>11441</v>
      </c>
      <c r="C2749" s="28">
        <v>2</v>
      </c>
      <c r="D2749" s="54" t="s">
        <v>11442</v>
      </c>
      <c r="E2749" s="54" t="s"/>
      <c r="F2749" s="28" t="s">
        <v>11443</v>
      </c>
      <c r="G2749" s="28">
        <v>1</v>
      </c>
    </row>
    <row r="2750" spans="1:7">
      <c r="A2750" s="28">
        <v>1351024</v>
      </c>
      <c r="B2750" s="28" t="s">
        <v>11444</v>
      </c>
      <c r="C2750" s="28">
        <v>2</v>
      </c>
      <c r="D2750" s="54" t="s">
        <v>11445</v>
      </c>
      <c r="E2750" s="54" t="s"/>
      <c r="F2750" s="28" t="s">
        <v>11446</v>
      </c>
      <c r="G2750" s="28">
        <v>1</v>
      </c>
    </row>
    <row r="2751" spans="1:7">
      <c r="A2751" s="28">
        <v>1351025</v>
      </c>
      <c r="B2751" s="28" t="s">
        <v>11447</v>
      </c>
      <c r="C2751" s="28">
        <v>2</v>
      </c>
      <c r="D2751" s="28" t="s">
        <v>11448</v>
      </c>
      <c r="E2751" s="54" t="s"/>
      <c r="F2751" s="28" t="s">
        <v>11449</v>
      </c>
      <c r="G2751" s="28">
        <v>1</v>
      </c>
    </row>
    <row r="2752" spans="1:7">
      <c r="A2752" s="28">
        <v>1352001</v>
      </c>
      <c r="B2752" s="28" t="s">
        <v>11450</v>
      </c>
      <c r="C2752" s="28">
        <v>2</v>
      </c>
      <c r="D2752" s="28" t="s"/>
      <c r="E2752" s="54" t="s"/>
      <c r="F2752" s="28" t="s">
        <v>11451</v>
      </c>
      <c r="G2752" s="28">
        <v>9999</v>
      </c>
    </row>
    <row r="2753" spans="1:7">
      <c r="A2753" s="28">
        <v>1352002</v>
      </c>
      <c r="B2753" s="28" t="s">
        <v>11452</v>
      </c>
      <c r="C2753" s="28">
        <v>2</v>
      </c>
      <c r="D2753" s="28" t="s"/>
      <c r="E2753" s="54" t="s"/>
      <c r="F2753" s="28" t="s">
        <v>11453</v>
      </c>
      <c r="G2753" s="28">
        <v>9999</v>
      </c>
    </row>
    <row r="2754" spans="1:7">
      <c r="A2754" s="28">
        <v>1352003</v>
      </c>
      <c r="B2754" s="28" t="s">
        <v>11454</v>
      </c>
      <c r="C2754" s="28">
        <v>2</v>
      </c>
      <c r="D2754" s="28" t="s"/>
      <c r="E2754" s="54" t="s"/>
      <c r="F2754" s="28" t="s">
        <v>11455</v>
      </c>
      <c r="G2754" s="28">
        <v>9999</v>
      </c>
    </row>
    <row r="2755" spans="1:7">
      <c r="A2755" s="28">
        <v>1352004</v>
      </c>
      <c r="B2755" s="28" t="s">
        <v>11456</v>
      </c>
      <c r="C2755" s="28">
        <v>2</v>
      </c>
      <c r="D2755" s="28" t="s"/>
      <c r="E2755" s="54" t="s"/>
      <c r="F2755" s="28" t="s">
        <v>11457</v>
      </c>
      <c r="G2755" s="28">
        <v>9999</v>
      </c>
    </row>
    <row r="2756" spans="1:7">
      <c r="A2756" s="28">
        <v>1352005</v>
      </c>
      <c r="B2756" s="28" t="s">
        <v>11458</v>
      </c>
      <c r="C2756" s="28">
        <v>2</v>
      </c>
      <c r="D2756" s="28" t="s"/>
      <c r="E2756" s="54" t="s"/>
      <c r="F2756" s="28" t="s">
        <v>11459</v>
      </c>
      <c r="G2756" s="28">
        <v>9999</v>
      </c>
    </row>
    <row r="2757" spans="1:7">
      <c r="A2757" s="28">
        <v>1352006</v>
      </c>
      <c r="B2757" s="28" t="s">
        <v>11460</v>
      </c>
      <c r="C2757" s="28">
        <v>2</v>
      </c>
      <c r="D2757" s="28" t="s"/>
      <c r="E2757" s="54" t="s"/>
      <c r="F2757" s="28" t="s">
        <v>11461</v>
      </c>
      <c r="G2757" s="28">
        <v>9999</v>
      </c>
    </row>
    <row r="2758" spans="1:7">
      <c r="A2758" s="28">
        <v>1352007</v>
      </c>
      <c r="B2758" s="28" t="s">
        <v>11462</v>
      </c>
      <c r="C2758" s="28">
        <v>2</v>
      </c>
      <c r="D2758" s="28" t="s"/>
      <c r="E2758" s="54" t="s"/>
      <c r="F2758" s="28" t="s">
        <v>11463</v>
      </c>
      <c r="G2758" s="28">
        <v>9999</v>
      </c>
    </row>
    <row r="2759" spans="1:7">
      <c r="A2759" s="28">
        <v>1352008</v>
      </c>
      <c r="B2759" s="28" t="s">
        <v>11464</v>
      </c>
      <c r="C2759" s="28">
        <v>2</v>
      </c>
      <c r="D2759" s="28" t="s"/>
      <c r="E2759" s="54" t="s"/>
      <c r="F2759" s="28" t="s">
        <v>11465</v>
      </c>
      <c r="G2759" s="28">
        <v>9999</v>
      </c>
    </row>
    <row r="2760" spans="1:7">
      <c r="A2760" s="28">
        <v>1352009</v>
      </c>
      <c r="B2760" s="28" t="s">
        <v>11466</v>
      </c>
      <c r="C2760" s="28">
        <v>2</v>
      </c>
      <c r="D2760" s="28" t="s"/>
      <c r="E2760" s="54" t="s"/>
      <c r="F2760" s="28" t="s">
        <v>11467</v>
      </c>
      <c r="G2760" s="28">
        <v>9999</v>
      </c>
    </row>
    <row r="2761" spans="1:7">
      <c r="A2761" s="28">
        <v>1352010</v>
      </c>
      <c r="B2761" s="28" t="s">
        <v>11468</v>
      </c>
      <c r="C2761" s="28">
        <v>2</v>
      </c>
      <c r="D2761" s="28" t="s"/>
      <c r="E2761" s="54" t="s"/>
      <c r="F2761" s="28" t="s">
        <v>11469</v>
      </c>
      <c r="G2761" s="28">
        <v>9999</v>
      </c>
    </row>
    <row r="2762" spans="1:7">
      <c r="A2762" s="28">
        <v>1352011</v>
      </c>
      <c r="B2762" s="28" t="s">
        <v>11470</v>
      </c>
      <c r="C2762" s="28">
        <v>2</v>
      </c>
      <c r="D2762" s="28" t="s"/>
      <c r="E2762" s="64" t="s"/>
      <c r="F2762" s="28" t="s">
        <v>11471</v>
      </c>
      <c r="G2762" s="28">
        <v>9999</v>
      </c>
    </row>
    <row r="2763" spans="1:7">
      <c r="A2763" s="28">
        <v>1352012</v>
      </c>
      <c r="B2763" s="28" t="s">
        <v>11472</v>
      </c>
      <c r="C2763" s="28">
        <v>2</v>
      </c>
      <c r="D2763" s="28" t="s"/>
      <c r="E2763" s="64" t="s"/>
      <c r="F2763" s="28" t="s">
        <v>11473</v>
      </c>
      <c r="G2763" s="28">
        <v>9999</v>
      </c>
    </row>
    <row r="2764" spans="1:7">
      <c r="A2764" s="28">
        <v>1352013</v>
      </c>
      <c r="B2764" s="28" t="s">
        <v>11474</v>
      </c>
      <c r="C2764" s="28">
        <v>2</v>
      </c>
      <c r="D2764" s="28" t="s"/>
      <c r="E2764" s="64" t="s"/>
      <c r="F2764" s="28" t="s">
        <v>11475</v>
      </c>
      <c r="G2764" s="28">
        <v>9999</v>
      </c>
    </row>
    <row r="2765" spans="1:7">
      <c r="A2765" s="28">
        <v>1352014</v>
      </c>
      <c r="B2765" s="28" t="s">
        <v>11476</v>
      </c>
      <c r="C2765" s="28">
        <v>2</v>
      </c>
      <c r="D2765" s="28" t="s"/>
      <c r="E2765" s="64" t="s"/>
      <c r="F2765" s="28" t="s">
        <v>11477</v>
      </c>
      <c r="G2765" s="28">
        <v>9999</v>
      </c>
    </row>
    <row r="2766" spans="1:7">
      <c r="A2766" s="28">
        <v>1352015</v>
      </c>
      <c r="B2766" s="28" t="s">
        <v>11478</v>
      </c>
      <c r="C2766" s="28">
        <v>2</v>
      </c>
      <c r="D2766" s="28" t="s"/>
      <c r="E2766" s="64" t="s"/>
      <c r="F2766" s="28" t="s">
        <v>11479</v>
      </c>
      <c r="G2766" s="28">
        <v>9999</v>
      </c>
    </row>
    <row r="2767" spans="1:7">
      <c r="A2767" s="28">
        <v>1352016</v>
      </c>
      <c r="B2767" s="28" t="s">
        <v>11480</v>
      </c>
      <c r="C2767" s="28">
        <v>2</v>
      </c>
      <c r="D2767" s="28" t="s"/>
      <c r="E2767" s="64" t="s"/>
      <c r="F2767" s="28" t="s">
        <v>11481</v>
      </c>
      <c r="G2767" s="28">
        <v>9999</v>
      </c>
    </row>
    <row r="2768" spans="1:7">
      <c r="A2768" s="28">
        <v>1352017</v>
      </c>
      <c r="B2768" s="28" t="s">
        <v>11482</v>
      </c>
      <c r="C2768" s="28">
        <v>2</v>
      </c>
      <c r="D2768" s="28" t="s"/>
      <c r="E2768" s="64" t="s"/>
      <c r="F2768" s="28" t="s">
        <v>11483</v>
      </c>
      <c r="G2768" s="28">
        <v>9999</v>
      </c>
    </row>
    <row r="2769" spans="1:7">
      <c r="A2769" s="28">
        <v>1352018</v>
      </c>
      <c r="B2769" s="28" t="s">
        <v>11484</v>
      </c>
      <c r="C2769" s="28">
        <v>2</v>
      </c>
      <c r="D2769" s="28" t="s"/>
      <c r="E2769" s="64" t="s"/>
      <c r="F2769" s="28" t="s">
        <v>11485</v>
      </c>
      <c r="G2769" s="28">
        <v>9999</v>
      </c>
    </row>
    <row r="2770" spans="1:7">
      <c r="A2770" s="28">
        <v>1352019</v>
      </c>
      <c r="B2770" s="28" t="s">
        <v>11486</v>
      </c>
      <c r="C2770" s="28">
        <v>2</v>
      </c>
      <c r="D2770" s="28" t="s"/>
      <c r="E2770" s="64" t="s"/>
      <c r="F2770" s="28" t="s">
        <v>11487</v>
      </c>
      <c r="G2770" s="28">
        <v>9999</v>
      </c>
    </row>
    <row r="2771" spans="1:7">
      <c r="A2771" s="28">
        <v>1352020</v>
      </c>
      <c r="B2771" s="28" t="s">
        <v>11488</v>
      </c>
      <c r="C2771" s="28">
        <v>2</v>
      </c>
      <c r="D2771" s="28" t="s"/>
      <c r="E2771" s="64" t="s"/>
      <c r="F2771" s="28" t="s">
        <v>11489</v>
      </c>
      <c r="G2771" s="28">
        <v>9999</v>
      </c>
    </row>
    <row r="2772" spans="1:7">
      <c r="A2772" s="28">
        <v>1352021</v>
      </c>
      <c r="B2772" s="28" t="s">
        <v>11490</v>
      </c>
      <c r="C2772" s="28">
        <v>2</v>
      </c>
      <c r="D2772" s="28" t="s"/>
      <c r="E2772" s="64" t="s"/>
      <c r="F2772" s="28" t="s">
        <v>11491</v>
      </c>
      <c r="G2772" s="28">
        <v>9999</v>
      </c>
    </row>
    <row r="2773" spans="1:7">
      <c r="A2773" s="28">
        <v>1352022</v>
      </c>
      <c r="B2773" s="28" t="s">
        <v>11492</v>
      </c>
      <c r="C2773" s="28">
        <v>2</v>
      </c>
      <c r="D2773" s="28" t="s"/>
      <c r="E2773" s="64" t="s"/>
      <c r="F2773" s="28" t="s">
        <v>11493</v>
      </c>
      <c r="G2773" s="28">
        <v>9999</v>
      </c>
    </row>
    <row r="2774" spans="1:7">
      <c r="A2774" s="28">
        <v>1352023</v>
      </c>
      <c r="B2774" s="28" t="s">
        <v>11494</v>
      </c>
      <c r="C2774" s="28">
        <v>2</v>
      </c>
      <c r="D2774" s="28" t="s"/>
      <c r="E2774" s="64" t="s"/>
      <c r="F2774" s="28" t="s">
        <v>11495</v>
      </c>
      <c r="G2774" s="28">
        <v>9999</v>
      </c>
    </row>
    <row r="2775" spans="1:7">
      <c r="A2775" s="28">
        <v>1352024</v>
      </c>
      <c r="B2775" s="28" t="s">
        <v>11496</v>
      </c>
      <c r="C2775" s="28">
        <v>2</v>
      </c>
      <c r="D2775" s="28" t="s"/>
      <c r="E2775" s="64" t="s"/>
      <c r="F2775" s="28" t="s">
        <v>11497</v>
      </c>
      <c r="G2775" s="28">
        <v>9999</v>
      </c>
    </row>
    <row r="2776" spans="1:7">
      <c r="A2776" s="28">
        <v>1352101</v>
      </c>
      <c r="B2776" s="28" t="s">
        <v>11450</v>
      </c>
      <c r="C2776" s="28">
        <v>2</v>
      </c>
      <c r="D2776" s="28" t="s"/>
      <c r="E2776" s="64" t="s"/>
      <c r="F2776" s="28" t="s">
        <v>11451</v>
      </c>
      <c r="G2776" s="28">
        <v>9999</v>
      </c>
    </row>
    <row r="2777" spans="1:7">
      <c r="A2777" s="28">
        <v>1352102</v>
      </c>
      <c r="B2777" s="28" t="s">
        <v>11452</v>
      </c>
      <c r="C2777" s="28">
        <v>2</v>
      </c>
      <c r="D2777" s="28" t="s"/>
      <c r="E2777" s="64" t="s"/>
      <c r="F2777" s="28" t="s">
        <v>11453</v>
      </c>
      <c r="G2777" s="28">
        <v>9999</v>
      </c>
    </row>
    <row r="2778" spans="1:7">
      <c r="A2778" s="28">
        <v>1352103</v>
      </c>
      <c r="B2778" s="28" t="s">
        <v>11454</v>
      </c>
      <c r="C2778" s="28">
        <v>2</v>
      </c>
      <c r="D2778" s="28" t="s"/>
      <c r="E2778" s="64" t="s"/>
      <c r="F2778" s="28" t="s">
        <v>11455</v>
      </c>
      <c r="G2778" s="28">
        <v>9999</v>
      </c>
    </row>
    <row r="2779" spans="1:7">
      <c r="A2779" s="28">
        <v>1352104</v>
      </c>
      <c r="B2779" s="28" t="s">
        <v>11456</v>
      </c>
      <c r="C2779" s="28">
        <v>2</v>
      </c>
      <c r="D2779" s="28" t="s"/>
      <c r="E2779" s="64" t="s"/>
      <c r="F2779" s="28" t="s">
        <v>11457</v>
      </c>
      <c r="G2779" s="28">
        <v>9999</v>
      </c>
    </row>
    <row r="2780" spans="1:7">
      <c r="A2780" s="28">
        <v>1352105</v>
      </c>
      <c r="B2780" s="54" t="s">
        <v>11458</v>
      </c>
      <c r="C2780" s="28">
        <v>2</v>
      </c>
      <c r="D2780" s="54" t="s"/>
      <c r="E2780" s="64" t="s"/>
      <c r="F2780" s="28" t="s">
        <v>11459</v>
      </c>
      <c r="G2780" s="28">
        <v>9999</v>
      </c>
    </row>
    <row r="2781" spans="1:7">
      <c r="A2781" s="28">
        <v>1352106</v>
      </c>
      <c r="B2781" s="54" t="s">
        <v>11460</v>
      </c>
      <c r="C2781" s="28">
        <v>2</v>
      </c>
      <c r="D2781" s="54" t="s"/>
      <c r="E2781" s="64" t="s"/>
      <c r="F2781" s="28" t="s">
        <v>11461</v>
      </c>
      <c r="G2781" s="28">
        <v>9999</v>
      </c>
    </row>
    <row r="2782" spans="1:7">
      <c r="A2782" s="28">
        <v>1352107</v>
      </c>
      <c r="B2782" s="54" t="s">
        <v>11462</v>
      </c>
      <c r="C2782" s="28">
        <v>2</v>
      </c>
      <c r="D2782" s="54" t="s"/>
      <c r="E2782" s="64" t="s"/>
      <c r="F2782" s="28" t="s">
        <v>11463</v>
      </c>
      <c r="G2782" s="28">
        <v>9999</v>
      </c>
    </row>
    <row r="2783" spans="1:7">
      <c r="A2783" s="28">
        <v>1352108</v>
      </c>
      <c r="B2783" s="54" t="s">
        <v>11464</v>
      </c>
      <c r="C2783" s="28">
        <v>2</v>
      </c>
      <c r="D2783" s="54" t="s"/>
      <c r="E2783" s="64" t="s"/>
      <c r="F2783" s="28" t="s">
        <v>11465</v>
      </c>
      <c r="G2783" s="28">
        <v>9999</v>
      </c>
    </row>
    <row r="2784" spans="1:7">
      <c r="A2784" s="28">
        <v>1352109</v>
      </c>
      <c r="B2784" s="54" t="s">
        <v>11466</v>
      </c>
      <c r="C2784" s="28">
        <v>2</v>
      </c>
      <c r="D2784" s="54" t="s"/>
      <c r="E2784" s="64" t="s"/>
      <c r="F2784" s="28" t="s">
        <v>11467</v>
      </c>
      <c r="G2784" s="28">
        <v>9999</v>
      </c>
    </row>
    <row r="2785" spans="1:7">
      <c r="A2785" s="28">
        <v>1352110</v>
      </c>
      <c r="B2785" s="54" t="s">
        <v>11468</v>
      </c>
      <c r="C2785" s="28">
        <v>2</v>
      </c>
      <c r="D2785" s="54" t="s"/>
      <c r="E2785" s="64" t="s"/>
      <c r="F2785" s="28" t="s">
        <v>11469</v>
      </c>
      <c r="G2785" s="28">
        <v>9999</v>
      </c>
    </row>
    <row r="2786" spans="1:7">
      <c r="A2786" s="28">
        <v>1352111</v>
      </c>
      <c r="B2786" s="54" t="s">
        <v>11470</v>
      </c>
      <c r="C2786" s="28">
        <v>2</v>
      </c>
      <c r="D2786" s="54" t="s"/>
      <c r="E2786" s="64" t="s"/>
      <c r="F2786" s="28" t="s">
        <v>11471</v>
      </c>
      <c r="G2786" s="28">
        <v>9999</v>
      </c>
    </row>
    <row r="2787" spans="1:7">
      <c r="A2787" s="28">
        <v>1352112</v>
      </c>
      <c r="B2787" s="54" t="s">
        <v>11472</v>
      </c>
      <c r="C2787" s="28">
        <v>2</v>
      </c>
      <c r="D2787" s="54" t="s"/>
      <c r="E2787" s="64" t="s"/>
      <c r="F2787" s="28" t="s">
        <v>11473</v>
      </c>
      <c r="G2787" s="28">
        <v>9999</v>
      </c>
    </row>
    <row r="2788" spans="1:7">
      <c r="A2788" s="28">
        <v>1352113</v>
      </c>
      <c r="B2788" s="54" t="s">
        <v>11474</v>
      </c>
      <c r="C2788" s="28">
        <v>2</v>
      </c>
      <c r="D2788" s="54" t="s"/>
      <c r="E2788" s="64" t="s"/>
      <c r="F2788" s="28" t="s">
        <v>11475</v>
      </c>
      <c r="G2788" s="28">
        <v>9999</v>
      </c>
    </row>
    <row r="2789" spans="1:7">
      <c r="A2789" s="28">
        <v>1352114</v>
      </c>
      <c r="B2789" s="54" t="s">
        <v>11476</v>
      </c>
      <c r="C2789" s="28">
        <v>2</v>
      </c>
      <c r="D2789" s="54" t="s"/>
      <c r="E2789" s="64" t="s"/>
      <c r="F2789" s="28" t="s">
        <v>11477</v>
      </c>
      <c r="G2789" s="28">
        <v>9999</v>
      </c>
    </row>
    <row r="2790" spans="1:7">
      <c r="A2790" s="28">
        <v>1352115</v>
      </c>
      <c r="B2790" s="54" t="s">
        <v>11478</v>
      </c>
      <c r="C2790" s="28">
        <v>2</v>
      </c>
      <c r="D2790" s="54" t="s"/>
      <c r="E2790" s="64" t="s"/>
      <c r="F2790" s="28" t="s">
        <v>11479</v>
      </c>
      <c r="G2790" s="28">
        <v>9999</v>
      </c>
    </row>
    <row r="2791" spans="1:7">
      <c r="A2791" s="28">
        <v>1352116</v>
      </c>
      <c r="B2791" s="54" t="s">
        <v>11480</v>
      </c>
      <c r="C2791" s="28">
        <v>2</v>
      </c>
      <c r="D2791" s="54" t="s"/>
      <c r="E2791" s="64" t="s"/>
      <c r="F2791" s="28" t="s">
        <v>11481</v>
      </c>
      <c r="G2791" s="28">
        <v>9999</v>
      </c>
    </row>
    <row r="2792" spans="1:7">
      <c r="A2792" s="28">
        <v>1352117</v>
      </c>
      <c r="B2792" s="54" t="s">
        <v>11482</v>
      </c>
      <c r="C2792" s="28">
        <v>2</v>
      </c>
      <c r="D2792" s="54" t="s"/>
      <c r="E2792" s="64" t="s"/>
      <c r="F2792" s="28" t="s">
        <v>11483</v>
      </c>
      <c r="G2792" s="28">
        <v>9999</v>
      </c>
    </row>
    <row r="2793" spans="1:7">
      <c r="A2793" s="28">
        <v>1352118</v>
      </c>
      <c r="B2793" s="54" t="s">
        <v>11484</v>
      </c>
      <c r="C2793" s="28">
        <v>2</v>
      </c>
      <c r="D2793" s="54" t="s"/>
      <c r="E2793" s="64" t="s"/>
      <c r="F2793" s="28" t="s">
        <v>11485</v>
      </c>
      <c r="G2793" s="28">
        <v>9999</v>
      </c>
    </row>
    <row r="2794" spans="1:7">
      <c r="A2794" s="28">
        <v>1352119</v>
      </c>
      <c r="B2794" s="54" t="s">
        <v>11486</v>
      </c>
      <c r="C2794" s="28">
        <v>2</v>
      </c>
      <c r="D2794" s="54" t="s"/>
      <c r="E2794" s="64" t="s"/>
      <c r="F2794" s="28" t="s">
        <v>11487</v>
      </c>
      <c r="G2794" s="28">
        <v>9999</v>
      </c>
    </row>
    <row r="2795" spans="1:7">
      <c r="A2795" s="28">
        <v>1352120</v>
      </c>
      <c r="B2795" s="54" t="s">
        <v>11488</v>
      </c>
      <c r="C2795" s="28">
        <v>2</v>
      </c>
      <c r="D2795" s="54" t="s"/>
      <c r="E2795" s="64" t="s"/>
      <c r="F2795" s="28" t="s">
        <v>11489</v>
      </c>
      <c r="G2795" s="28">
        <v>9999</v>
      </c>
    </row>
    <row r="2796" spans="1:7">
      <c r="A2796" s="28">
        <v>1352121</v>
      </c>
      <c r="B2796" s="54" t="s">
        <v>11490</v>
      </c>
      <c r="C2796" s="28">
        <v>2</v>
      </c>
      <c r="D2796" s="54" t="s"/>
      <c r="E2796" s="64" t="s"/>
      <c r="F2796" s="28" t="s">
        <v>11491</v>
      </c>
      <c r="G2796" s="28">
        <v>9999</v>
      </c>
    </row>
    <row r="2797" spans="1:7">
      <c r="A2797" s="28">
        <v>1352122</v>
      </c>
      <c r="B2797" s="54" t="s">
        <v>11492</v>
      </c>
      <c r="C2797" s="28">
        <v>2</v>
      </c>
      <c r="D2797" s="54" t="s"/>
      <c r="E2797" s="64" t="s"/>
      <c r="F2797" s="28" t="s">
        <v>11493</v>
      </c>
      <c r="G2797" s="28">
        <v>9999</v>
      </c>
    </row>
    <row r="2798" spans="1:7">
      <c r="A2798" s="28">
        <v>1352123</v>
      </c>
      <c r="B2798" s="54" t="s">
        <v>11494</v>
      </c>
      <c r="C2798" s="28">
        <v>2</v>
      </c>
      <c r="D2798" s="54" t="s"/>
      <c r="E2798" s="64" t="s"/>
      <c r="F2798" s="28" t="s">
        <v>11495</v>
      </c>
      <c r="G2798" s="28">
        <v>9999</v>
      </c>
    </row>
    <row r="2799" spans="1:7">
      <c r="A2799" s="28">
        <v>1352124</v>
      </c>
      <c r="B2799" s="54" t="s">
        <v>11496</v>
      </c>
      <c r="C2799" s="28">
        <v>2</v>
      </c>
      <c r="D2799" s="54" t="s"/>
      <c r="E2799" s="54" t="s"/>
      <c r="F2799" s="28" t="s">
        <v>11497</v>
      </c>
      <c r="G2799" s="28">
        <v>9999</v>
      </c>
    </row>
    <row r="2800" spans="1:7">
      <c r="A2800" s="28">
        <v>1353001</v>
      </c>
      <c r="B2800" s="28" t="s">
        <v>11498</v>
      </c>
      <c r="C2800" s="28">
        <v>3</v>
      </c>
      <c r="D2800" s="54" t="s">
        <v>11499</v>
      </c>
      <c r="E2800" s="54" t="s"/>
      <c r="F2800" s="28" t="s">
        <v>11500</v>
      </c>
      <c r="G2800" s="28">
        <v>1</v>
      </c>
    </row>
    <row r="2801" spans="1:7">
      <c r="A2801" s="28">
        <v>1353002</v>
      </c>
      <c r="B2801" s="28" t="s">
        <v>11501</v>
      </c>
      <c r="C2801" s="28">
        <v>3</v>
      </c>
      <c r="D2801" s="54" t="s">
        <v>11502</v>
      </c>
      <c r="E2801" s="54" t="s"/>
      <c r="F2801" s="28" t="s">
        <v>11503</v>
      </c>
      <c r="G2801" s="28">
        <v>1</v>
      </c>
    </row>
    <row r="2802" spans="1:7">
      <c r="A2802" s="28">
        <v>1353003</v>
      </c>
      <c r="B2802" s="28" t="s">
        <v>11504</v>
      </c>
      <c r="C2802" s="28">
        <v>3</v>
      </c>
      <c r="D2802" s="54" t="s">
        <v>11505</v>
      </c>
      <c r="E2802" s="54" t="s"/>
      <c r="F2802" s="28" t="s">
        <v>11506</v>
      </c>
      <c r="G2802" s="28">
        <v>1</v>
      </c>
    </row>
    <row r="2803" spans="1:7">
      <c r="A2803" s="28">
        <v>1353004</v>
      </c>
      <c r="B2803" s="28" t="s">
        <v>11507</v>
      </c>
      <c r="C2803" s="28">
        <v>3</v>
      </c>
      <c r="D2803" s="54" t="s">
        <v>11508</v>
      </c>
      <c r="E2803" s="54" t="s"/>
      <c r="F2803" s="28" t="s">
        <v>11509</v>
      </c>
      <c r="G2803" s="28">
        <v>1</v>
      </c>
    </row>
    <row r="2804" spans="1:7">
      <c r="A2804" s="28">
        <v>1353005</v>
      </c>
      <c r="B2804" s="28" t="s">
        <v>11510</v>
      </c>
      <c r="C2804" s="28">
        <v>3</v>
      </c>
      <c r="D2804" s="54" t="s">
        <v>11511</v>
      </c>
      <c r="E2804" s="54" t="s"/>
      <c r="F2804" s="28" t="s">
        <v>11512</v>
      </c>
      <c r="G2804" s="28">
        <v>1</v>
      </c>
    </row>
    <row r="2805" spans="1:7">
      <c r="A2805" s="28">
        <v>1353006</v>
      </c>
      <c r="B2805" s="28" t="s">
        <v>11513</v>
      </c>
      <c r="C2805" s="28">
        <v>3</v>
      </c>
      <c r="D2805" s="54" t="s">
        <v>11514</v>
      </c>
      <c r="E2805" s="54" t="s"/>
      <c r="F2805" s="28" t="s">
        <v>11515</v>
      </c>
      <c r="G2805" s="28">
        <v>1</v>
      </c>
    </row>
    <row r="2806" spans="1:7">
      <c r="A2806" s="28">
        <v>1353007</v>
      </c>
      <c r="B2806" s="28" t="s">
        <v>11516</v>
      </c>
      <c r="C2806" s="28">
        <v>3</v>
      </c>
      <c r="D2806" s="54" t="s">
        <v>11517</v>
      </c>
      <c r="E2806" s="54" t="s"/>
      <c r="F2806" s="28" t="s">
        <v>11518</v>
      </c>
      <c r="G2806" s="28">
        <v>1</v>
      </c>
    </row>
    <row r="2807" spans="1:7">
      <c r="A2807" s="28">
        <v>1353008</v>
      </c>
      <c r="B2807" s="28" t="s">
        <v>11519</v>
      </c>
      <c r="C2807" s="28">
        <v>3</v>
      </c>
      <c r="D2807" s="54" t="s">
        <v>11520</v>
      </c>
      <c r="E2807" s="54" t="s"/>
      <c r="F2807" s="28" t="s">
        <v>11521</v>
      </c>
      <c r="G2807" s="28">
        <v>1</v>
      </c>
    </row>
    <row r="2808" spans="1:7">
      <c r="A2808" s="28">
        <v>1353009</v>
      </c>
      <c r="B2808" s="28" t="s">
        <v>11522</v>
      </c>
      <c r="C2808" s="28">
        <v>3</v>
      </c>
      <c r="D2808" s="54" t="s">
        <v>11523</v>
      </c>
      <c r="E2808" s="54" t="s"/>
      <c r="F2808" s="28" t="s">
        <v>11524</v>
      </c>
      <c r="G2808" s="28">
        <v>1</v>
      </c>
    </row>
    <row r="2809" spans="1:7">
      <c r="A2809" s="28">
        <v>1353010</v>
      </c>
      <c r="B2809" s="28" t="s">
        <v>11525</v>
      </c>
      <c r="C2809" s="28">
        <v>3</v>
      </c>
      <c r="D2809" s="54" t="s">
        <v>11526</v>
      </c>
      <c r="E2809" s="54" t="s"/>
      <c r="F2809" s="28" t="s">
        <v>11527</v>
      </c>
      <c r="G2809" s="28">
        <v>1</v>
      </c>
    </row>
    <row r="2810" spans="1:7">
      <c r="A2810" s="28">
        <v>1354001</v>
      </c>
      <c r="B2810" s="28" t="s">
        <v>11528</v>
      </c>
      <c r="C2810" s="28">
        <v>4</v>
      </c>
      <c r="D2810" s="54" t="s">
        <v>11529</v>
      </c>
      <c r="E2810" s="54" t="s"/>
      <c r="F2810" s="28" t="s">
        <v>11530</v>
      </c>
      <c r="G2810" s="28">
        <v>1</v>
      </c>
    </row>
    <row r="2811" spans="1:7">
      <c r="A2811" s="28">
        <v>1354002</v>
      </c>
      <c r="B2811" s="28" t="s">
        <v>11531</v>
      </c>
      <c r="C2811" s="28">
        <v>3</v>
      </c>
      <c r="D2811" s="54" t="s">
        <v>11532</v>
      </c>
      <c r="E2811" s="54" t="s"/>
      <c r="F2811" s="28" t="s">
        <v>11530</v>
      </c>
      <c r="G2811" s="28">
        <v>1</v>
      </c>
    </row>
    <row r="2812" spans="1:7">
      <c r="A2812" s="28">
        <v>1354003</v>
      </c>
      <c r="B2812" s="28" t="s">
        <v>11533</v>
      </c>
      <c r="C2812" s="28">
        <v>2</v>
      </c>
      <c r="D2812" s="54" t="s">
        <v>11534</v>
      </c>
      <c r="E2812" s="54" t="s"/>
      <c r="F2812" s="28" t="s">
        <v>11530</v>
      </c>
      <c r="G2812" s="28">
        <v>1</v>
      </c>
    </row>
    <row r="2813" spans="1:7">
      <c r="A2813" s="28">
        <v>1354004</v>
      </c>
      <c r="B2813" s="28" t="s">
        <v>11535</v>
      </c>
      <c r="C2813" s="28">
        <v>2</v>
      </c>
      <c r="D2813" s="54" t="s">
        <v>11536</v>
      </c>
      <c r="E2813" s="54" t="s"/>
      <c r="F2813" s="28" t="s">
        <v>11530</v>
      </c>
      <c r="G2813" s="28">
        <v>1</v>
      </c>
    </row>
    <row r="2814" spans="1:7">
      <c r="A2814" s="28">
        <v>1354005</v>
      </c>
      <c r="B2814" s="28" t="s">
        <v>11537</v>
      </c>
      <c r="C2814" s="28">
        <v>2</v>
      </c>
      <c r="D2814" s="54" t="s">
        <v>11538</v>
      </c>
      <c r="E2814" s="54" t="s"/>
      <c r="F2814" s="28" t="s">
        <v>11530</v>
      </c>
      <c r="G2814" s="28">
        <v>1</v>
      </c>
    </row>
    <row r="2815" spans="1:7">
      <c r="A2815" s="28">
        <v>1354006</v>
      </c>
      <c r="B2815" s="28" t="s">
        <v>11539</v>
      </c>
      <c r="C2815" s="28">
        <v>2</v>
      </c>
      <c r="D2815" s="54" t="s">
        <v>11540</v>
      </c>
      <c r="E2815" s="54" t="s"/>
      <c r="F2815" s="28" t="s">
        <v>11530</v>
      </c>
      <c r="G2815" s="28">
        <v>1</v>
      </c>
    </row>
    <row r="2816" spans="1:7">
      <c r="A2816" s="28">
        <v>1354007</v>
      </c>
      <c r="B2816" s="28" t="s">
        <v>11541</v>
      </c>
      <c r="C2816" s="28">
        <v>2</v>
      </c>
      <c r="D2816" s="54" t="s">
        <v>11542</v>
      </c>
      <c r="E2816" s="54" t="s"/>
      <c r="F2816" s="28" t="s">
        <v>11530</v>
      </c>
      <c r="G2816" s="28">
        <v>1</v>
      </c>
    </row>
    <row r="2817" spans="1:7">
      <c r="A2817" s="28">
        <v>1354008</v>
      </c>
      <c r="B2817" s="28" t="s">
        <v>11543</v>
      </c>
      <c r="C2817" s="28">
        <v>2</v>
      </c>
      <c r="D2817" s="54" t="s">
        <v>11544</v>
      </c>
      <c r="E2817" s="54" t="s"/>
      <c r="F2817" s="28" t="s">
        <v>11530</v>
      </c>
      <c r="G2817" s="28">
        <v>1</v>
      </c>
    </row>
    <row r="2818" spans="1:7">
      <c r="A2818" s="28">
        <v>1354009</v>
      </c>
      <c r="B2818" s="28" t="s">
        <v>11545</v>
      </c>
      <c r="C2818" s="28">
        <v>2</v>
      </c>
      <c r="D2818" s="54" t="s">
        <v>11546</v>
      </c>
      <c r="E2818" s="54" t="s"/>
      <c r="F2818" s="28" t="s">
        <v>11530</v>
      </c>
      <c r="G2818" s="28">
        <v>1</v>
      </c>
    </row>
    <row r="2819" spans="1:7">
      <c r="A2819" s="28">
        <v>1354010</v>
      </c>
      <c r="B2819" s="28" t="s">
        <v>11547</v>
      </c>
      <c r="C2819" s="28">
        <v>4</v>
      </c>
      <c r="D2819" s="54" t="s">
        <v>11548</v>
      </c>
      <c r="E2819" s="54" t="s"/>
      <c r="F2819" s="28" t="s">
        <v>11530</v>
      </c>
      <c r="G2819" s="28">
        <v>1</v>
      </c>
    </row>
    <row r="2820" spans="1:7">
      <c r="A2820" s="28">
        <v>1354011</v>
      </c>
      <c r="B2820" s="28" t="s">
        <v>11549</v>
      </c>
      <c r="C2820" s="28">
        <v>3</v>
      </c>
      <c r="D2820" s="54" t="s">
        <v>11550</v>
      </c>
      <c r="E2820" s="54" t="s"/>
      <c r="F2820" s="28" t="s">
        <v>11530</v>
      </c>
      <c r="G2820" s="28">
        <v>1</v>
      </c>
    </row>
    <row r="2821" spans="1:7">
      <c r="A2821" s="28">
        <v>1354012</v>
      </c>
      <c r="B2821" s="28" t="s">
        <v>11551</v>
      </c>
      <c r="C2821" s="28">
        <v>2</v>
      </c>
      <c r="D2821" s="54" t="s">
        <v>11552</v>
      </c>
      <c r="E2821" s="54" t="s"/>
      <c r="F2821" s="28" t="s">
        <v>11530</v>
      </c>
      <c r="G2821" s="28">
        <v>1</v>
      </c>
    </row>
    <row r="2822" spans="1:7">
      <c r="A2822" s="28">
        <v>1354013</v>
      </c>
      <c r="B2822" s="28" t="s">
        <v>11553</v>
      </c>
      <c r="C2822" s="28">
        <v>2</v>
      </c>
      <c r="D2822" s="54" t="s">
        <v>11554</v>
      </c>
      <c r="E2822" s="54" t="s"/>
      <c r="F2822" s="28" t="s">
        <v>11530</v>
      </c>
      <c r="G2822" s="28">
        <v>1</v>
      </c>
    </row>
    <row r="2823" spans="1:7">
      <c r="A2823" s="28">
        <v>1354014</v>
      </c>
      <c r="B2823" s="28" t="s">
        <v>11555</v>
      </c>
      <c r="C2823" s="28">
        <v>2</v>
      </c>
      <c r="D2823" s="54" t="s">
        <v>11556</v>
      </c>
      <c r="E2823" s="54" t="s"/>
      <c r="F2823" s="28" t="s">
        <v>11530</v>
      </c>
      <c r="G2823" s="28">
        <v>1</v>
      </c>
    </row>
    <row r="2824" spans="1:7">
      <c r="A2824" s="28">
        <v>1354015</v>
      </c>
      <c r="B2824" s="28" t="s">
        <v>11557</v>
      </c>
      <c r="C2824" s="28">
        <v>2</v>
      </c>
      <c r="D2824" s="54" t="s">
        <v>11558</v>
      </c>
      <c r="E2824" s="54" t="s"/>
      <c r="F2824" s="28" t="s">
        <v>11530</v>
      </c>
      <c r="G2824" s="28">
        <v>1</v>
      </c>
    </row>
    <row r="2825" spans="1:7">
      <c r="A2825" s="28">
        <v>1354016</v>
      </c>
      <c r="B2825" s="28" t="s">
        <v>11559</v>
      </c>
      <c r="C2825" s="28">
        <v>2</v>
      </c>
      <c r="D2825" s="54" t="s">
        <v>11560</v>
      </c>
      <c r="E2825" s="54" t="s"/>
      <c r="F2825" s="28" t="s">
        <v>11530</v>
      </c>
      <c r="G2825" s="28">
        <v>1</v>
      </c>
    </row>
    <row r="2826" spans="1:7">
      <c r="A2826" s="28">
        <v>1354017</v>
      </c>
      <c r="B2826" s="28" t="s">
        <v>11561</v>
      </c>
      <c r="C2826" s="28">
        <v>2</v>
      </c>
      <c r="D2826" s="54" t="s">
        <v>11562</v>
      </c>
      <c r="E2826" s="54" t="s"/>
      <c r="F2826" s="28" t="s">
        <v>11530</v>
      </c>
      <c r="G2826" s="28">
        <v>1</v>
      </c>
    </row>
    <row r="2827" spans="1:7">
      <c r="A2827" s="28">
        <v>1354018</v>
      </c>
      <c r="B2827" s="28" t="s">
        <v>11563</v>
      </c>
      <c r="C2827" s="28">
        <v>2</v>
      </c>
      <c r="D2827" s="54" t="s">
        <v>11564</v>
      </c>
      <c r="E2827" s="54" t="s"/>
      <c r="F2827" s="28" t="s">
        <v>11530</v>
      </c>
      <c r="G2827" s="28">
        <v>1</v>
      </c>
    </row>
    <row r="2828" spans="1:7">
      <c r="A2828" s="28">
        <v>1354019</v>
      </c>
      <c r="B2828" s="28" t="s">
        <v>11565</v>
      </c>
      <c r="C2828" s="28">
        <v>4</v>
      </c>
      <c r="D2828" s="54" t="s">
        <v>11566</v>
      </c>
      <c r="E2828" s="54" t="s"/>
      <c r="F2828" s="28" t="s">
        <v>11530</v>
      </c>
      <c r="G2828" s="28">
        <v>1</v>
      </c>
    </row>
    <row r="2829" spans="1:7">
      <c r="A2829" s="28">
        <v>1354020</v>
      </c>
      <c r="B2829" s="28" t="s">
        <v>11567</v>
      </c>
      <c r="C2829" s="28">
        <v>3</v>
      </c>
      <c r="D2829" s="54" t="s">
        <v>11568</v>
      </c>
      <c r="E2829" s="54" t="s"/>
      <c r="F2829" s="28" t="s">
        <v>11530</v>
      </c>
      <c r="G2829" s="28">
        <v>1</v>
      </c>
    </row>
    <row r="2830" spans="1:7">
      <c r="A2830" s="28">
        <v>1354021</v>
      </c>
      <c r="B2830" s="28" t="s">
        <v>11569</v>
      </c>
      <c r="C2830" s="28">
        <v>3</v>
      </c>
      <c r="D2830" s="54" t="s">
        <v>11570</v>
      </c>
      <c r="E2830" s="54" t="s"/>
      <c r="F2830" s="28" t="s">
        <v>11530</v>
      </c>
      <c r="G2830" s="28">
        <v>1</v>
      </c>
    </row>
    <row r="2831" spans="1:7">
      <c r="A2831" s="28">
        <v>1354022</v>
      </c>
      <c r="B2831" s="28" t="s">
        <v>11571</v>
      </c>
      <c r="C2831" s="28">
        <v>2</v>
      </c>
      <c r="D2831" s="54" t="s">
        <v>11572</v>
      </c>
      <c r="E2831" s="54" t="s"/>
      <c r="F2831" s="28" t="s">
        <v>11530</v>
      </c>
      <c r="G2831" s="28">
        <v>1</v>
      </c>
    </row>
    <row r="2832" spans="1:7">
      <c r="A2832" s="28">
        <v>1354023</v>
      </c>
      <c r="B2832" s="28" t="s">
        <v>11573</v>
      </c>
      <c r="C2832" s="28">
        <v>2</v>
      </c>
      <c r="D2832" s="54" t="s">
        <v>11574</v>
      </c>
      <c r="E2832" s="54" t="s"/>
      <c r="F2832" s="28" t="s">
        <v>11530</v>
      </c>
      <c r="G2832" s="28">
        <v>1</v>
      </c>
    </row>
    <row r="2833" spans="1:7">
      <c r="A2833" s="28">
        <v>1354024</v>
      </c>
      <c r="B2833" s="28" t="s">
        <v>11575</v>
      </c>
      <c r="C2833" s="28">
        <v>2</v>
      </c>
      <c r="D2833" s="54" t="s">
        <v>11576</v>
      </c>
      <c r="E2833" s="54" t="s"/>
      <c r="F2833" s="28" t="s">
        <v>11530</v>
      </c>
      <c r="G2833" s="28">
        <v>1</v>
      </c>
    </row>
    <row r="2834" spans="1:7">
      <c r="A2834" s="28">
        <v>1354025</v>
      </c>
      <c r="B2834" s="28" t="s">
        <v>11577</v>
      </c>
      <c r="C2834" s="28">
        <v>2</v>
      </c>
      <c r="D2834" s="54" t="s">
        <v>11578</v>
      </c>
      <c r="E2834" s="54" t="s"/>
      <c r="F2834" s="28" t="s">
        <v>11530</v>
      </c>
      <c r="G2834" s="28">
        <v>1</v>
      </c>
    </row>
    <row r="2835" spans="1:7">
      <c r="A2835" s="28">
        <v>1354026</v>
      </c>
      <c r="B2835" s="28" t="s">
        <v>11579</v>
      </c>
      <c r="C2835" s="28">
        <v>2</v>
      </c>
      <c r="D2835" s="54" t="s">
        <v>11580</v>
      </c>
      <c r="E2835" s="64" t="s"/>
      <c r="F2835" s="28" t="s">
        <v>11530</v>
      </c>
      <c r="G2835" s="28">
        <v>1</v>
      </c>
    </row>
    <row r="2836" spans="1:7">
      <c r="A2836" s="28">
        <v>1354027</v>
      </c>
      <c r="B2836" s="28" t="s">
        <v>11581</v>
      </c>
      <c r="C2836" s="28">
        <v>2</v>
      </c>
      <c r="D2836" s="54" t="s">
        <v>11582</v>
      </c>
      <c r="E2836" s="64" t="s"/>
      <c r="F2836" s="28" t="s">
        <v>11530</v>
      </c>
      <c r="G2836" s="28">
        <v>1</v>
      </c>
    </row>
    <row r="2837" spans="1:7">
      <c r="A2837" s="28">
        <v>1355001</v>
      </c>
      <c r="B2837" s="28" t="s">
        <v>11583</v>
      </c>
      <c r="C2837" s="28">
        <v>3</v>
      </c>
      <c r="D2837" s="54" t="s"/>
      <c r="E2837" s="65" t="s"/>
      <c r="F2837" s="28" t="s">
        <v>11584</v>
      </c>
      <c r="G2837" s="28">
        <v>1</v>
      </c>
    </row>
    <row r="2838" spans="1:7">
      <c r="A2838" s="28">
        <v>1355002</v>
      </c>
      <c r="B2838" s="28" t="s">
        <v>11585</v>
      </c>
      <c r="C2838" s="28">
        <v>3</v>
      </c>
      <c r="D2838" s="54" t="s"/>
      <c r="E2838" s="65" t="s"/>
      <c r="F2838" s="28" t="s">
        <v>11584</v>
      </c>
      <c r="G2838" s="28">
        <v>1</v>
      </c>
    </row>
    <row r="2839" spans="1:7">
      <c r="A2839" s="28">
        <v>1355003</v>
      </c>
      <c r="B2839" s="28" t="s">
        <v>11586</v>
      </c>
      <c r="C2839" s="28">
        <v>3</v>
      </c>
      <c r="D2839" s="54" t="s"/>
      <c r="E2839" s="65" t="s"/>
      <c r="F2839" s="28" t="s">
        <v>11584</v>
      </c>
      <c r="G2839" s="28">
        <v>1</v>
      </c>
    </row>
    <row r="2840" spans="1:7">
      <c r="A2840" s="28">
        <v>1355004</v>
      </c>
      <c r="B2840" s="28" t="s">
        <v>11587</v>
      </c>
      <c r="C2840" s="28">
        <v>3</v>
      </c>
      <c r="D2840" s="54" t="s"/>
      <c r="E2840" s="64" t="s"/>
      <c r="F2840" s="28" t="s">
        <v>11584</v>
      </c>
      <c r="G2840" s="28">
        <v>1</v>
      </c>
    </row>
    <row r="2841" spans="1:7">
      <c r="A2841" s="28">
        <v>1355005</v>
      </c>
      <c r="B2841" s="28" t="s">
        <v>11588</v>
      </c>
      <c r="C2841" s="28">
        <v>3</v>
      </c>
      <c r="D2841" s="54" t="s"/>
      <c r="E2841" s="64" t="s"/>
      <c r="F2841" s="28" t="s">
        <v>11584</v>
      </c>
      <c r="G2841" s="28">
        <v>1</v>
      </c>
    </row>
    <row r="2842" spans="1:7">
      <c r="A2842" s="28">
        <v>1355006</v>
      </c>
      <c r="B2842" s="28" t="s">
        <v>11589</v>
      </c>
      <c r="C2842" s="28">
        <v>3</v>
      </c>
      <c r="D2842" s="54" t="s"/>
      <c r="E2842" s="64" t="s"/>
      <c r="F2842" s="28" t="s">
        <v>11584</v>
      </c>
      <c r="G2842" s="28">
        <v>1</v>
      </c>
    </row>
    <row r="2843" spans="1:7">
      <c r="A2843" s="28">
        <v>1355007</v>
      </c>
      <c r="B2843" s="28" t="s">
        <v>11590</v>
      </c>
      <c r="C2843" s="28">
        <v>3</v>
      </c>
      <c r="D2843" s="54" t="s"/>
      <c r="E2843" s="64" t="s"/>
      <c r="F2843" s="28" t="s">
        <v>11584</v>
      </c>
      <c r="G2843" s="28">
        <v>1</v>
      </c>
    </row>
    <row r="2844" spans="1:7">
      <c r="A2844" s="28">
        <v>1355008</v>
      </c>
      <c r="B2844" s="28" t="s">
        <v>11591</v>
      </c>
      <c r="C2844" s="28">
        <v>3</v>
      </c>
      <c r="D2844" s="54" t="s"/>
      <c r="E2844" s="64" t="s"/>
      <c r="F2844" s="28" t="s">
        <v>11584</v>
      </c>
      <c r="G2844" s="28">
        <v>1</v>
      </c>
    </row>
    <row r="2845" spans="1:7">
      <c r="A2845" s="28">
        <v>1355009</v>
      </c>
      <c r="B2845" s="28" t="s">
        <v>11592</v>
      </c>
      <c r="C2845" s="28">
        <v>3</v>
      </c>
      <c r="D2845" s="54" t="s"/>
      <c r="E2845" s="64" t="s"/>
      <c r="F2845" s="28" t="s">
        <v>11584</v>
      </c>
      <c r="G2845" s="28">
        <v>1</v>
      </c>
    </row>
    <row r="2846" spans="1:7">
      <c r="A2846" s="28">
        <v>1355010</v>
      </c>
      <c r="B2846" s="28" t="s">
        <v>11593</v>
      </c>
      <c r="C2846" s="28">
        <v>3</v>
      </c>
      <c r="D2846" s="54" t="s"/>
      <c r="E2846" s="64" t="s"/>
      <c r="F2846" s="28" t="s">
        <v>11584</v>
      </c>
      <c r="G2846" s="28">
        <v>1</v>
      </c>
    </row>
    <row r="2847" spans="1:7">
      <c r="A2847" s="28">
        <v>1355011</v>
      </c>
      <c r="B2847" s="28" t="s">
        <v>11594</v>
      </c>
      <c r="C2847" s="28">
        <v>3</v>
      </c>
      <c r="D2847" s="54" t="s"/>
      <c r="E2847" s="64" t="s"/>
      <c r="F2847" s="28" t="s">
        <v>11584</v>
      </c>
      <c r="G2847" s="28">
        <v>1</v>
      </c>
    </row>
    <row r="2848" spans="1:7">
      <c r="A2848" s="28">
        <v>1355012</v>
      </c>
      <c r="B2848" s="28" t="s">
        <v>11595</v>
      </c>
      <c r="C2848" s="28">
        <v>3</v>
      </c>
      <c r="D2848" s="54" t="s"/>
      <c r="E2848" s="64" t="s"/>
      <c r="F2848" s="28" t="s">
        <v>11584</v>
      </c>
      <c r="G2848" s="28">
        <v>1</v>
      </c>
    </row>
    <row r="2849" spans="1:7">
      <c r="A2849" s="28">
        <v>1355013</v>
      </c>
      <c r="B2849" s="28" t="s">
        <v>11596</v>
      </c>
      <c r="C2849" s="28">
        <v>3</v>
      </c>
      <c r="D2849" s="54" t="s"/>
      <c r="E2849" s="64" t="s"/>
      <c r="F2849" s="28" t="s">
        <v>11584</v>
      </c>
      <c r="G2849" s="28">
        <v>1</v>
      </c>
    </row>
    <row r="2850" spans="1:7">
      <c r="A2850" s="28">
        <v>1355014</v>
      </c>
      <c r="B2850" s="28" t="s">
        <v>11597</v>
      </c>
      <c r="C2850" s="28">
        <v>3</v>
      </c>
      <c r="D2850" s="54" t="s"/>
      <c r="E2850" s="64" t="s"/>
      <c r="F2850" s="28" t="s">
        <v>11584</v>
      </c>
      <c r="G2850" s="28">
        <v>1</v>
      </c>
    </row>
    <row r="2851" spans="1:7">
      <c r="A2851" s="28">
        <v>1355015</v>
      </c>
      <c r="B2851" s="28" t="s">
        <v>11598</v>
      </c>
      <c r="C2851" s="28">
        <v>3</v>
      </c>
      <c r="D2851" s="54" t="s"/>
      <c r="E2851" s="64" t="s"/>
      <c r="F2851" s="28" t="s">
        <v>11584</v>
      </c>
      <c r="G2851" s="28">
        <v>1</v>
      </c>
    </row>
    <row r="2852" spans="1:7">
      <c r="A2852" s="28">
        <v>1355016</v>
      </c>
      <c r="B2852" s="28" t="s">
        <v>11599</v>
      </c>
      <c r="C2852" s="28">
        <v>3</v>
      </c>
      <c r="D2852" s="54" t="s"/>
      <c r="E2852" s="64" t="s"/>
      <c r="F2852" s="28" t="s">
        <v>11584</v>
      </c>
      <c r="G2852" s="28">
        <v>1</v>
      </c>
    </row>
    <row r="2853" spans="1:7">
      <c r="A2853" s="28">
        <v>1355017</v>
      </c>
      <c r="B2853" s="28" t="s">
        <v>11600</v>
      </c>
      <c r="C2853" s="28">
        <v>3</v>
      </c>
      <c r="D2853" s="54" t="s"/>
      <c r="E2853" s="64" t="s"/>
      <c r="F2853" s="28" t="s">
        <v>11584</v>
      </c>
      <c r="G2853" s="28">
        <v>1</v>
      </c>
    </row>
    <row r="2854" spans="1:7">
      <c r="A2854" s="28">
        <v>1355018</v>
      </c>
      <c r="B2854" s="28" t="s">
        <v>11601</v>
      </c>
      <c r="C2854" s="28">
        <v>3</v>
      </c>
      <c r="D2854" s="54" t="s"/>
      <c r="E2854" s="64" t="s"/>
      <c r="F2854" s="28" t="s">
        <v>11584</v>
      </c>
      <c r="G2854" s="28">
        <v>1</v>
      </c>
    </row>
    <row r="2855" spans="1:7">
      <c r="A2855" s="28">
        <v>1356001</v>
      </c>
      <c r="B2855" s="28" t="s">
        <v>11602</v>
      </c>
      <c r="C2855" s="28">
        <v>3</v>
      </c>
      <c r="D2855" s="54" t="s"/>
      <c r="E2855" s="64" t="s"/>
      <c r="F2855" s="28" t="s">
        <v>11603</v>
      </c>
      <c r="G2855" s="28">
        <v>1</v>
      </c>
    </row>
    <row r="2856" spans="1:7">
      <c r="A2856" s="28">
        <v>1356002</v>
      </c>
      <c r="B2856" s="28" t="s">
        <v>11604</v>
      </c>
      <c r="C2856" s="28">
        <v>3</v>
      </c>
      <c r="D2856" s="54" t="s"/>
      <c r="E2856" s="64" t="s"/>
      <c r="F2856" s="28" t="s">
        <v>11603</v>
      </c>
      <c r="G2856" s="28">
        <v>1</v>
      </c>
    </row>
    <row r="2857" spans="1:7">
      <c r="A2857" s="28">
        <v>1356003</v>
      </c>
      <c r="B2857" s="28" t="s">
        <v>11605</v>
      </c>
      <c r="C2857" s="28">
        <v>3</v>
      </c>
      <c r="D2857" s="54" t="s"/>
      <c r="E2857" s="64" t="s"/>
      <c r="F2857" s="28" t="s">
        <v>11603</v>
      </c>
      <c r="G2857" s="28">
        <v>1</v>
      </c>
    </row>
    <row r="2858" spans="1:7">
      <c r="A2858" s="28">
        <v>1356004</v>
      </c>
      <c r="B2858" s="28" t="s">
        <v>11606</v>
      </c>
      <c r="C2858" s="28">
        <v>3</v>
      </c>
      <c r="D2858" s="54" t="s"/>
      <c r="E2858" s="64" t="s"/>
      <c r="F2858" s="28" t="s">
        <v>11603</v>
      </c>
      <c r="G2858" s="28">
        <v>1</v>
      </c>
    </row>
    <row r="2859" spans="1:7">
      <c r="A2859" s="28">
        <v>1356005</v>
      </c>
      <c r="B2859" s="28" t="s">
        <v>11597</v>
      </c>
      <c r="C2859" s="28">
        <v>3</v>
      </c>
      <c r="D2859" s="54" t="s"/>
      <c r="E2859" s="64" t="s"/>
      <c r="F2859" s="28" t="s">
        <v>11603</v>
      </c>
      <c r="G2859" s="28">
        <v>1</v>
      </c>
    </row>
    <row r="2860" spans="1:7">
      <c r="A2860" s="28">
        <v>1356006</v>
      </c>
      <c r="B2860" s="28" t="s">
        <v>11607</v>
      </c>
      <c r="C2860" s="28">
        <v>3</v>
      </c>
      <c r="D2860" s="54" t="s"/>
      <c r="E2860" s="64" t="s"/>
      <c r="F2860" s="28" t="s">
        <v>11603</v>
      </c>
      <c r="G2860" s="28">
        <v>1</v>
      </c>
    </row>
    <row r="2861" spans="1:7">
      <c r="A2861" s="28">
        <v>1356007</v>
      </c>
      <c r="B2861" s="28" t="s">
        <v>11608</v>
      </c>
      <c r="C2861" s="28">
        <v>3</v>
      </c>
      <c r="D2861" s="54" t="s"/>
      <c r="E2861" s="64" t="s"/>
      <c r="F2861" s="28" t="s">
        <v>11603</v>
      </c>
      <c r="G2861" s="28">
        <v>1</v>
      </c>
    </row>
    <row r="2862" spans="1:7">
      <c r="A2862" s="28">
        <v>1356101</v>
      </c>
      <c r="B2862" s="28" t="s">
        <v>11609</v>
      </c>
      <c r="C2862" s="28">
        <v>3</v>
      </c>
      <c r="D2862" s="54" t="s"/>
      <c r="E2862" s="64" t="s"/>
      <c r="F2862" s="28" t="s">
        <v>11610</v>
      </c>
      <c r="G2862" s="28">
        <v>1</v>
      </c>
    </row>
    <row r="2863" spans="1:7">
      <c r="A2863" s="28">
        <v>1356102</v>
      </c>
      <c r="B2863" s="28" t="s">
        <v>11611</v>
      </c>
      <c r="C2863" s="28">
        <v>3</v>
      </c>
      <c r="D2863" s="54" t="s"/>
      <c r="E2863" s="64" t="s"/>
      <c r="F2863" s="28" t="s">
        <v>11610</v>
      </c>
      <c r="G2863" s="28">
        <v>1</v>
      </c>
    </row>
    <row r="2864" spans="1:7">
      <c r="A2864" s="28">
        <v>1356103</v>
      </c>
      <c r="B2864" s="28" t="s">
        <v>11612</v>
      </c>
      <c r="C2864" s="28">
        <v>3</v>
      </c>
      <c r="D2864" s="54" t="s"/>
      <c r="E2864" s="64" t="s"/>
      <c r="F2864" s="28" t="s">
        <v>11610</v>
      </c>
      <c r="G2864" s="28">
        <v>1</v>
      </c>
    </row>
    <row r="2865" spans="1:7">
      <c r="A2865" s="28">
        <v>1356104</v>
      </c>
      <c r="B2865" s="28" t="s">
        <v>11613</v>
      </c>
      <c r="C2865" s="28">
        <v>3</v>
      </c>
      <c r="D2865" s="54" t="s"/>
      <c r="E2865" s="64" t="s"/>
      <c r="F2865" s="28" t="s">
        <v>11610</v>
      </c>
      <c r="G2865" s="28">
        <v>1</v>
      </c>
    </row>
    <row r="2866" spans="1:7">
      <c r="A2866" s="28">
        <v>1356105</v>
      </c>
      <c r="B2866" s="28" t="s">
        <v>11614</v>
      </c>
      <c r="C2866" s="28">
        <v>3</v>
      </c>
      <c r="D2866" s="54" t="s"/>
      <c r="E2866" s="64" t="s"/>
      <c r="F2866" s="28" t="s">
        <v>11610</v>
      </c>
      <c r="G2866" s="28">
        <v>1</v>
      </c>
    </row>
    <row r="2867" spans="1:7">
      <c r="A2867" s="28">
        <v>1356106</v>
      </c>
      <c r="B2867" s="28" t="s">
        <v>11615</v>
      </c>
      <c r="C2867" s="28">
        <v>3</v>
      </c>
      <c r="D2867" s="54" t="s"/>
      <c r="E2867" s="64" t="s"/>
      <c r="F2867" s="28" t="s">
        <v>11610</v>
      </c>
      <c r="G2867" s="28">
        <v>1</v>
      </c>
    </row>
    <row r="2868" spans="1:7">
      <c r="A2868" s="28">
        <v>1356107</v>
      </c>
      <c r="B2868" s="28" t="s">
        <v>11616</v>
      </c>
      <c r="C2868" s="28">
        <v>3</v>
      </c>
      <c r="D2868" s="54" t="s"/>
      <c r="E2868" s="64" t="s"/>
      <c r="F2868" s="28" t="s">
        <v>11610</v>
      </c>
      <c r="G2868" s="28">
        <v>1</v>
      </c>
    </row>
    <row r="2869" spans="1:7">
      <c r="A2869" s="28">
        <v>1356108</v>
      </c>
      <c r="B2869" s="28" t="s">
        <v>11617</v>
      </c>
      <c r="C2869" s="28">
        <v>3</v>
      </c>
      <c r="D2869" s="54" t="s"/>
      <c r="E2869" s="64" t="s"/>
      <c r="F2869" s="28" t="s">
        <v>11610</v>
      </c>
      <c r="G2869" s="28">
        <v>1</v>
      </c>
    </row>
    <row r="2870" spans="1:7">
      <c r="A2870" s="28">
        <v>1356109</v>
      </c>
      <c r="B2870" s="28" t="s">
        <v>11618</v>
      </c>
      <c r="C2870" s="28">
        <v>3</v>
      </c>
      <c r="D2870" s="54" t="s"/>
      <c r="E2870" s="64" t="s"/>
      <c r="F2870" s="28" t="s">
        <v>11610</v>
      </c>
      <c r="G2870" s="28">
        <v>1</v>
      </c>
    </row>
    <row r="2871" spans="1:7">
      <c r="A2871" s="28">
        <v>1356110</v>
      </c>
      <c r="B2871" s="28" t="s">
        <v>11619</v>
      </c>
      <c r="C2871" s="28">
        <v>3</v>
      </c>
      <c r="D2871" s="54" t="s"/>
      <c r="E2871" s="64" t="s"/>
      <c r="F2871" s="28" t="s">
        <v>11610</v>
      </c>
      <c r="G2871" s="28">
        <v>1</v>
      </c>
    </row>
    <row r="2872" spans="1:7">
      <c r="A2872" s="28">
        <v>1356111</v>
      </c>
      <c r="B2872" s="28" t="s">
        <v>11620</v>
      </c>
      <c r="C2872" s="28">
        <v>3</v>
      </c>
      <c r="D2872" s="54" t="s"/>
      <c r="E2872" s="64" t="s"/>
      <c r="F2872" s="28" t="s">
        <v>11610</v>
      </c>
      <c r="G2872" s="28">
        <v>1</v>
      </c>
    </row>
    <row r="2873" spans="1:7">
      <c r="A2873" s="28">
        <v>1357000</v>
      </c>
      <c r="B2873" s="28" t="s">
        <v>11621</v>
      </c>
      <c r="C2873" s="28">
        <v>2</v>
      </c>
      <c r="D2873" s="54" t="s">
        <v>11622</v>
      </c>
      <c r="E2873" s="64" t="s"/>
      <c r="F2873" s="28" t="s">
        <v>11623</v>
      </c>
      <c r="G2873" s="28">
        <v>1</v>
      </c>
    </row>
    <row r="2874" spans="1:7">
      <c r="A2874" s="28">
        <v>1357001</v>
      </c>
      <c r="B2874" s="28" t="s">
        <v>11624</v>
      </c>
      <c r="C2874" s="28">
        <v>2</v>
      </c>
      <c r="D2874" s="54" t="s">
        <v>11625</v>
      </c>
      <c r="E2874" s="64" t="s"/>
      <c r="F2874" s="28" t="s">
        <v>11626</v>
      </c>
      <c r="G2874" s="28">
        <v>1</v>
      </c>
    </row>
    <row r="2875" spans="1:7">
      <c r="A2875" s="28">
        <v>1357002</v>
      </c>
      <c r="B2875" s="28" t="s">
        <v>11624</v>
      </c>
      <c r="C2875" s="28">
        <v>3</v>
      </c>
      <c r="D2875" s="54" t="s">
        <v>11627</v>
      </c>
      <c r="E2875" s="64" t="s"/>
      <c r="F2875" s="28" t="s">
        <v>11626</v>
      </c>
      <c r="G2875" s="28">
        <v>1</v>
      </c>
    </row>
    <row r="2876" spans="1:7">
      <c r="A2876" s="28">
        <v>1357003</v>
      </c>
      <c r="B2876" s="28" t="s">
        <v>11628</v>
      </c>
      <c r="C2876" s="28">
        <v>2</v>
      </c>
      <c r="D2876" s="54" t="s">
        <v>11629</v>
      </c>
      <c r="E2876" s="64" t="s"/>
      <c r="F2876" s="28" t="s">
        <v>11630</v>
      </c>
      <c r="G2876" s="28">
        <v>1</v>
      </c>
    </row>
    <row r="2877" spans="1:7">
      <c r="A2877" s="28">
        <v>1357004</v>
      </c>
      <c r="B2877" s="28" t="s">
        <v>11628</v>
      </c>
      <c r="C2877" s="28">
        <v>3</v>
      </c>
      <c r="D2877" s="54" t="s">
        <v>11631</v>
      </c>
      <c r="E2877" s="64" t="s"/>
      <c r="F2877" s="28" t="s">
        <v>11630</v>
      </c>
      <c r="G2877" s="28">
        <v>1</v>
      </c>
    </row>
    <row r="2878" spans="1:7">
      <c r="A2878" s="28">
        <v>1357005</v>
      </c>
      <c r="B2878" s="28" t="s">
        <v>11632</v>
      </c>
      <c r="C2878" s="28">
        <v>2</v>
      </c>
      <c r="D2878" s="54" t="s">
        <v>11633</v>
      </c>
      <c r="E2878" s="64" t="s"/>
      <c r="F2878" s="28" t="s">
        <v>11634</v>
      </c>
      <c r="G2878" s="28">
        <v>1</v>
      </c>
    </row>
    <row r="2879" spans="1:7">
      <c r="A2879" s="28">
        <v>1357006</v>
      </c>
      <c r="B2879" s="28" t="s">
        <v>11632</v>
      </c>
      <c r="C2879" s="28">
        <v>3</v>
      </c>
      <c r="D2879" s="54" t="s">
        <v>11635</v>
      </c>
      <c r="E2879" s="64" t="s"/>
      <c r="F2879" s="28" t="s">
        <v>11634</v>
      </c>
      <c r="G2879" s="28">
        <v>1</v>
      </c>
    </row>
    <row r="2880" spans="1:7">
      <c r="A2880" s="28">
        <v>1357007</v>
      </c>
      <c r="B2880" s="28" t="s">
        <v>11636</v>
      </c>
      <c r="C2880" s="28">
        <v>2</v>
      </c>
      <c r="D2880" s="54" t="s">
        <v>11637</v>
      </c>
      <c r="E2880" s="64" t="s"/>
      <c r="F2880" s="28" t="s">
        <v>11638</v>
      </c>
      <c r="G2880" s="28">
        <v>1</v>
      </c>
    </row>
    <row r="2881" spans="1:7">
      <c r="A2881" s="28">
        <v>1357008</v>
      </c>
      <c r="B2881" s="28" t="s">
        <v>11636</v>
      </c>
      <c r="C2881" s="28">
        <v>3</v>
      </c>
      <c r="D2881" s="54" t="s">
        <v>11639</v>
      </c>
      <c r="E2881" s="64" t="s"/>
      <c r="F2881" s="28" t="s">
        <v>11638</v>
      </c>
      <c r="G2881" s="28">
        <v>1</v>
      </c>
    </row>
    <row r="2882" spans="1:7">
      <c r="A2882" s="28">
        <v>1357011</v>
      </c>
      <c r="B2882" s="28" t="s">
        <v>11640</v>
      </c>
      <c r="C2882" s="28">
        <v>2</v>
      </c>
      <c r="D2882" s="54" t="s">
        <v>11641</v>
      </c>
      <c r="E2882" s="64" t="s"/>
      <c r="F2882" s="28" t="s">
        <v>11642</v>
      </c>
      <c r="G2882" s="28">
        <v>1</v>
      </c>
    </row>
    <row r="2883" spans="1:7">
      <c r="A2883" s="28">
        <v>1357012</v>
      </c>
      <c r="B2883" s="28" t="s">
        <v>11640</v>
      </c>
      <c r="C2883" s="28">
        <v>3</v>
      </c>
      <c r="D2883" s="54" t="s">
        <v>11643</v>
      </c>
      <c r="E2883" s="64" t="s"/>
      <c r="F2883" s="28" t="s">
        <v>11642</v>
      </c>
      <c r="G2883" s="28">
        <v>1</v>
      </c>
    </row>
    <row r="2884" spans="1:7">
      <c r="A2884" s="28">
        <v>1357013</v>
      </c>
      <c r="B2884" s="28" t="s">
        <v>11644</v>
      </c>
      <c r="C2884" s="28">
        <v>2</v>
      </c>
      <c r="D2884" s="54" t="s">
        <v>11645</v>
      </c>
      <c r="E2884" s="64" t="s"/>
      <c r="F2884" s="28" t="s">
        <v>11646</v>
      </c>
      <c r="G2884" s="28">
        <v>1</v>
      </c>
    </row>
    <row r="2885" spans="1:7">
      <c r="A2885" s="28">
        <v>1357014</v>
      </c>
      <c r="B2885" s="28" t="s">
        <v>11644</v>
      </c>
      <c r="C2885" s="28">
        <v>3</v>
      </c>
      <c r="D2885" s="54" t="s">
        <v>11647</v>
      </c>
      <c r="E2885" s="64" t="s"/>
      <c r="F2885" s="28" t="s">
        <v>11646</v>
      </c>
      <c r="G2885" s="28">
        <v>1</v>
      </c>
    </row>
    <row r="2886" spans="1:7">
      <c r="A2886" s="28">
        <v>1357015</v>
      </c>
      <c r="B2886" s="28" t="s">
        <v>11648</v>
      </c>
      <c r="C2886" s="28">
        <v>2</v>
      </c>
      <c r="D2886" s="54" t="s">
        <v>11649</v>
      </c>
      <c r="E2886" s="64" t="s"/>
      <c r="F2886" s="28" t="s">
        <v>11650</v>
      </c>
      <c r="G2886" s="28">
        <v>1</v>
      </c>
    </row>
    <row r="2887" spans="1:7">
      <c r="A2887" s="28">
        <v>1357016</v>
      </c>
      <c r="B2887" s="28" t="s">
        <v>11648</v>
      </c>
      <c r="C2887" s="28">
        <v>3</v>
      </c>
      <c r="D2887" s="54" t="s">
        <v>11651</v>
      </c>
      <c r="E2887" s="64" t="s"/>
      <c r="F2887" s="28" t="s">
        <v>11650</v>
      </c>
      <c r="G2887" s="28">
        <v>1</v>
      </c>
    </row>
    <row r="2888" spans="1:7">
      <c r="A2888" s="28">
        <v>1357017</v>
      </c>
      <c r="B2888" s="28" t="s">
        <v>11341</v>
      </c>
      <c r="C2888" s="28">
        <v>4</v>
      </c>
      <c r="D2888" s="54" t="s">
        <v>11652</v>
      </c>
      <c r="E2888" s="64" t="s"/>
      <c r="F2888" s="28" t="s">
        <v>11343</v>
      </c>
      <c r="G2888" s="28">
        <v>1</v>
      </c>
    </row>
    <row r="2889" spans="1:7">
      <c r="A2889" s="28">
        <v>1357018</v>
      </c>
      <c r="B2889" s="28" t="s">
        <v>10624</v>
      </c>
      <c r="C2889" s="28">
        <v>4</v>
      </c>
      <c r="D2889" s="54" t="s">
        <v>11653</v>
      </c>
      <c r="E2889" s="64" t="s"/>
      <c r="F2889" s="28" t="s">
        <v>10626</v>
      </c>
      <c r="G2889" s="28">
        <v>1</v>
      </c>
    </row>
    <row r="2890" spans="1:7">
      <c r="A2890" s="28">
        <v>1357019</v>
      </c>
      <c r="B2890" s="28" t="s">
        <v>11272</v>
      </c>
      <c r="C2890" s="28">
        <v>4</v>
      </c>
      <c r="D2890" s="54" t="s">
        <v>11654</v>
      </c>
      <c r="E2890" s="64" t="s"/>
      <c r="F2890" s="28" t="s">
        <v>11274</v>
      </c>
      <c r="G2890" s="28">
        <v>1</v>
      </c>
    </row>
    <row r="2891" spans="1:7">
      <c r="A2891" s="28">
        <v>1357020</v>
      </c>
      <c r="B2891" s="28" t="s">
        <v>11235</v>
      </c>
      <c r="C2891" s="28">
        <v>4</v>
      </c>
      <c r="D2891" s="54" t="s">
        <v>11655</v>
      </c>
      <c r="E2891" s="64" t="s"/>
      <c r="F2891" s="28" t="s">
        <v>10644</v>
      </c>
      <c r="G2891" s="28">
        <v>1</v>
      </c>
    </row>
    <row r="2892" spans="1:7">
      <c r="A2892" s="28">
        <v>1357021</v>
      </c>
      <c r="B2892" s="28" t="s">
        <v>11656</v>
      </c>
      <c r="C2892" s="28">
        <v>4</v>
      </c>
      <c r="D2892" s="28" t="s">
        <v>11657</v>
      </c>
      <c r="E2892" s="64" t="s"/>
      <c r="F2892" s="28" t="s">
        <v>11658</v>
      </c>
      <c r="G2892" s="28">
        <v>1</v>
      </c>
    </row>
    <row r="2893" spans="1:7">
      <c r="A2893" s="28">
        <v>1357022</v>
      </c>
      <c r="B2893" s="28" t="s">
        <v>10645</v>
      </c>
      <c r="C2893" s="28">
        <v>4</v>
      </c>
      <c r="D2893" s="28" t="s">
        <v>11659</v>
      </c>
      <c r="E2893" s="64" t="s"/>
      <c r="F2893" s="28" t="s">
        <v>10647</v>
      </c>
      <c r="G2893" s="28">
        <v>1</v>
      </c>
    </row>
    <row r="2894" spans="1:7">
      <c r="A2894" s="28">
        <v>1357023</v>
      </c>
      <c r="B2894" s="28" t="s">
        <v>11660</v>
      </c>
      <c r="C2894" s="28">
        <v>4</v>
      </c>
      <c r="D2894" s="28" t="s">
        <v>11661</v>
      </c>
      <c r="E2894" s="64" t="s"/>
      <c r="F2894" s="28" t="s">
        <v>11662</v>
      </c>
      <c r="G2894" s="28">
        <v>1</v>
      </c>
    </row>
    <row r="2895" spans="1:7">
      <c r="A2895" s="28">
        <v>1357024</v>
      </c>
      <c r="B2895" s="28" t="s">
        <v>11663</v>
      </c>
      <c r="C2895" s="28">
        <v>4</v>
      </c>
      <c r="D2895" s="28" t="s">
        <v>11664</v>
      </c>
      <c r="E2895" s="64" t="s"/>
      <c r="F2895" s="28" t="s">
        <v>11665</v>
      </c>
      <c r="G2895" s="28">
        <v>1</v>
      </c>
    </row>
    <row r="2896" spans="1:7">
      <c r="A2896" s="28">
        <v>1357026</v>
      </c>
      <c r="B2896" s="28" t="s">
        <v>11308</v>
      </c>
      <c r="C2896" s="28">
        <v>4</v>
      </c>
      <c r="D2896" s="28" t="s">
        <v>11666</v>
      </c>
      <c r="E2896" s="64" t="s"/>
      <c r="F2896" s="28" t="s">
        <v>11310</v>
      </c>
      <c r="G2896" s="28">
        <v>1</v>
      </c>
    </row>
    <row r="2897" spans="1:7">
      <c r="A2897" s="28">
        <v>1357403</v>
      </c>
      <c r="B2897" s="28" t="s">
        <v>11628</v>
      </c>
      <c r="C2897" s="28">
        <v>2</v>
      </c>
      <c r="D2897" s="28" t="s">
        <v>11629</v>
      </c>
      <c r="E2897" s="64" t="s"/>
      <c r="F2897" s="28" t="s">
        <v>11630</v>
      </c>
      <c r="G2897" s="28">
        <v>1</v>
      </c>
    </row>
    <row r="2898" spans="1:7">
      <c r="A2898" s="28">
        <v>1357404</v>
      </c>
      <c r="B2898" s="28" t="s">
        <v>11628</v>
      </c>
      <c r="C2898" s="28">
        <v>3</v>
      </c>
      <c r="D2898" s="28" t="s">
        <v>11631</v>
      </c>
      <c r="E2898" s="64" t="s"/>
      <c r="F2898" s="28" t="s">
        <v>11630</v>
      </c>
      <c r="G2898" s="28">
        <v>1</v>
      </c>
    </row>
    <row r="2899" spans="1:7">
      <c r="A2899" s="28">
        <v>1357419</v>
      </c>
      <c r="B2899" s="28" t="s">
        <v>11272</v>
      </c>
      <c r="C2899" s="28">
        <v>4</v>
      </c>
      <c r="D2899" s="28" t="s">
        <v>11654</v>
      </c>
      <c r="E2899" s="64" t="s"/>
      <c r="F2899" s="28" t="s">
        <v>11274</v>
      </c>
      <c r="G2899" s="28">
        <v>1</v>
      </c>
    </row>
    <row r="2900" spans="1:7">
      <c r="A2900" s="28">
        <v>1357501</v>
      </c>
      <c r="B2900" s="28" t="s">
        <v>11667</v>
      </c>
      <c r="C2900" s="28">
        <v>4</v>
      </c>
      <c r="D2900" s="28" t="s">
        <v>11668</v>
      </c>
      <c r="E2900" s="64" t="s"/>
      <c r="F2900" s="28" t="s">
        <v>11669</v>
      </c>
      <c r="G2900" s="28">
        <v>1</v>
      </c>
    </row>
    <row r="2901" spans="1:7">
      <c r="A2901" s="28">
        <v>1357502</v>
      </c>
      <c r="B2901" s="28" t="s">
        <v>11670</v>
      </c>
      <c r="C2901" s="28">
        <v>4</v>
      </c>
      <c r="D2901" s="28" t="s">
        <v>11671</v>
      </c>
      <c r="E2901" s="64" t="s"/>
      <c r="F2901" s="28" t="s">
        <v>11672</v>
      </c>
      <c r="G2901" s="28">
        <v>1</v>
      </c>
    </row>
    <row r="2902" spans="1:7">
      <c r="A2902" s="28">
        <v>1357503</v>
      </c>
      <c r="B2902" s="28" t="s">
        <v>11673</v>
      </c>
      <c r="C2902" s="28">
        <v>2</v>
      </c>
      <c r="D2902" s="28" t="s">
        <v>11674</v>
      </c>
      <c r="E2902" s="64" t="s"/>
      <c r="F2902" s="28" t="s">
        <v>11675</v>
      </c>
      <c r="G2902" s="28">
        <v>1</v>
      </c>
    </row>
    <row r="2903" spans="1:7">
      <c r="A2903" s="28">
        <v>1357504</v>
      </c>
      <c r="B2903" s="28" t="s">
        <v>11673</v>
      </c>
      <c r="C2903" s="28">
        <v>3</v>
      </c>
      <c r="D2903" s="28" t="s">
        <v>11676</v>
      </c>
      <c r="E2903" s="64" t="s"/>
      <c r="F2903" s="28" t="s">
        <v>11675</v>
      </c>
      <c r="G2903" s="28">
        <v>1</v>
      </c>
    </row>
    <row r="2904" spans="1:7">
      <c r="A2904" s="28">
        <v>1357505</v>
      </c>
      <c r="B2904" s="28" t="s">
        <v>11677</v>
      </c>
      <c r="C2904" s="28">
        <v>2</v>
      </c>
      <c r="D2904" s="28" t="s">
        <v>11678</v>
      </c>
      <c r="E2904" s="64" t="s"/>
      <c r="F2904" s="28" t="s">
        <v>11679</v>
      </c>
      <c r="G2904" s="28">
        <v>1</v>
      </c>
    </row>
    <row r="2905" spans="1:7">
      <c r="A2905" s="28">
        <v>1357506</v>
      </c>
      <c r="B2905" s="28" t="s">
        <v>11677</v>
      </c>
      <c r="C2905" s="28">
        <v>3</v>
      </c>
      <c r="D2905" s="28" t="s">
        <v>11680</v>
      </c>
      <c r="E2905" s="64" t="s"/>
      <c r="F2905" s="28" t="s">
        <v>11679</v>
      </c>
      <c r="G2905" s="28">
        <v>1</v>
      </c>
    </row>
    <row r="2906" spans="1:7">
      <c r="A2906" s="28">
        <v>1357507</v>
      </c>
      <c r="B2906" s="28" t="s">
        <v>11681</v>
      </c>
      <c r="C2906" s="28">
        <v>2</v>
      </c>
      <c r="D2906" s="28" t="s">
        <v>11682</v>
      </c>
      <c r="E2906" s="64" t="s"/>
      <c r="F2906" s="28" t="s">
        <v>11683</v>
      </c>
      <c r="G2906" s="28">
        <v>1</v>
      </c>
    </row>
    <row r="2907" spans="1:7">
      <c r="A2907" s="28">
        <v>1357508</v>
      </c>
      <c r="B2907" s="28" t="s">
        <v>11681</v>
      </c>
      <c r="C2907" s="28">
        <v>3</v>
      </c>
      <c r="D2907" s="28" t="s">
        <v>11684</v>
      </c>
      <c r="E2907" s="64" t="s"/>
      <c r="F2907" s="28" t="s">
        <v>11683</v>
      </c>
      <c r="G2907" s="28">
        <v>1</v>
      </c>
    </row>
    <row r="2908" spans="1:7">
      <c r="A2908" s="28">
        <v>1357509</v>
      </c>
      <c r="B2908" s="28" t="s">
        <v>11685</v>
      </c>
      <c r="C2908" s="28">
        <v>2</v>
      </c>
      <c r="D2908" s="28" t="s">
        <v>11686</v>
      </c>
      <c r="E2908" s="64" t="s"/>
      <c r="F2908" s="28" t="s">
        <v>11687</v>
      </c>
      <c r="G2908" s="28">
        <v>1</v>
      </c>
    </row>
    <row r="2909" spans="1:7">
      <c r="A2909" s="28">
        <v>1357510</v>
      </c>
      <c r="B2909" s="28" t="s">
        <v>11685</v>
      </c>
      <c r="C2909" s="28">
        <v>3</v>
      </c>
      <c r="D2909" s="28" t="s">
        <v>11688</v>
      </c>
      <c r="E2909" s="64" t="s"/>
      <c r="F2909" s="28" t="s">
        <v>11687</v>
      </c>
      <c r="G2909" s="28">
        <v>1</v>
      </c>
    </row>
    <row r="2910" spans="1:7">
      <c r="A2910" s="28">
        <v>1357511</v>
      </c>
      <c r="B2910" s="28" t="s">
        <v>11689</v>
      </c>
      <c r="C2910" s="28">
        <v>2</v>
      </c>
      <c r="D2910" s="28" t="s">
        <v>11690</v>
      </c>
      <c r="E2910" s="64" t="s"/>
      <c r="F2910" s="28" t="s">
        <v>11691</v>
      </c>
      <c r="G2910" s="28">
        <v>1</v>
      </c>
    </row>
    <row r="2911" spans="1:7">
      <c r="A2911" s="28">
        <v>1357512</v>
      </c>
      <c r="B2911" s="28" t="s">
        <v>11689</v>
      </c>
      <c r="C2911" s="28">
        <v>3</v>
      </c>
      <c r="D2911" s="28" t="s">
        <v>11692</v>
      </c>
      <c r="E2911" s="64" t="s"/>
      <c r="F2911" s="28" t="s">
        <v>11691</v>
      </c>
      <c r="G2911" s="28">
        <v>1</v>
      </c>
    </row>
    <row r="2912" spans="1:7">
      <c r="A2912" s="28">
        <v>1357513</v>
      </c>
      <c r="B2912" s="28" t="s">
        <v>11693</v>
      </c>
      <c r="C2912" s="28">
        <v>2</v>
      </c>
      <c r="D2912" s="28" t="s">
        <v>11694</v>
      </c>
      <c r="E2912" s="64" t="s"/>
      <c r="F2912" s="28" t="s">
        <v>11695</v>
      </c>
      <c r="G2912" s="28">
        <v>1</v>
      </c>
    </row>
    <row r="2913" spans="1:7">
      <c r="A2913" s="28">
        <v>1357514</v>
      </c>
      <c r="B2913" s="28" t="s">
        <v>11693</v>
      </c>
      <c r="C2913" s="28">
        <v>3</v>
      </c>
      <c r="D2913" s="28" t="s">
        <v>11696</v>
      </c>
      <c r="E2913" s="64" t="s"/>
      <c r="F2913" s="28" t="s">
        <v>11695</v>
      </c>
      <c r="G2913" s="28">
        <v>1</v>
      </c>
    </row>
    <row r="2914" spans="1:7">
      <c r="A2914" s="28">
        <v>1357515</v>
      </c>
      <c r="B2914" s="28" t="s">
        <v>11697</v>
      </c>
      <c r="C2914" s="28">
        <v>2</v>
      </c>
      <c r="D2914" s="28" t="s">
        <v>11698</v>
      </c>
      <c r="E2914" s="64" t="s"/>
      <c r="F2914" s="28" t="s">
        <v>8569</v>
      </c>
      <c r="G2914" s="28">
        <v>1</v>
      </c>
    </row>
    <row r="2915" spans="1:7">
      <c r="A2915" s="28">
        <v>1357516</v>
      </c>
      <c r="B2915" s="28" t="s">
        <v>11697</v>
      </c>
      <c r="C2915" s="28">
        <v>3</v>
      </c>
      <c r="D2915" s="28" t="s">
        <v>11699</v>
      </c>
      <c r="E2915" s="64" t="s"/>
      <c r="F2915" s="28" t="s">
        <v>8569</v>
      </c>
      <c r="G2915" s="28">
        <v>1</v>
      </c>
    </row>
    <row r="2916" spans="1:7">
      <c r="A2916" s="28">
        <v>1357517</v>
      </c>
      <c r="B2916" s="28" t="s">
        <v>11700</v>
      </c>
      <c r="C2916" s="28">
        <v>2</v>
      </c>
      <c r="D2916" s="28" t="s">
        <v>11701</v>
      </c>
      <c r="E2916" s="64" t="s"/>
      <c r="F2916" s="28" t="s">
        <v>9509</v>
      </c>
      <c r="G2916" s="28">
        <v>1</v>
      </c>
    </row>
    <row r="2917" spans="1:7">
      <c r="A2917" s="28">
        <v>1357518</v>
      </c>
      <c r="B2917" s="28" t="s">
        <v>11700</v>
      </c>
      <c r="C2917" s="28">
        <v>3</v>
      </c>
      <c r="D2917" s="28" t="s">
        <v>11702</v>
      </c>
      <c r="E2917" s="64" t="s"/>
      <c r="F2917" s="28" t="s">
        <v>9509</v>
      </c>
      <c r="G2917" s="28">
        <v>1</v>
      </c>
    </row>
    <row r="2918" spans="1:7">
      <c r="A2918" s="28">
        <v>1357519</v>
      </c>
      <c r="B2918" s="28" t="s">
        <v>11703</v>
      </c>
      <c r="C2918" s="28">
        <v>2</v>
      </c>
      <c r="D2918" s="28" t="s">
        <v>11704</v>
      </c>
      <c r="E2918" s="64" t="s"/>
      <c r="F2918" s="28" t="s">
        <v>8425</v>
      </c>
      <c r="G2918" s="28">
        <v>1</v>
      </c>
    </row>
    <row r="2919" spans="1:7">
      <c r="A2919" s="28">
        <v>1357520</v>
      </c>
      <c r="B2919" s="28" t="s">
        <v>11703</v>
      </c>
      <c r="C2919" s="28">
        <v>3</v>
      </c>
      <c r="D2919" s="28" t="s">
        <v>11705</v>
      </c>
      <c r="E2919" s="64" t="s"/>
      <c r="F2919" s="28" t="s">
        <v>8425</v>
      </c>
      <c r="G2919" s="28">
        <v>1</v>
      </c>
    </row>
    <row r="2920" spans="1:7">
      <c r="A2920" s="28">
        <v>1357521</v>
      </c>
      <c r="B2920" s="28" t="s">
        <v>11706</v>
      </c>
      <c r="C2920" s="28">
        <v>2</v>
      </c>
      <c r="D2920" s="28" t="s">
        <v>11707</v>
      </c>
      <c r="E2920" s="64" t="s"/>
      <c r="F2920" s="28" t="s">
        <v>9333</v>
      </c>
      <c r="G2920" s="28">
        <v>1</v>
      </c>
    </row>
    <row r="2921" spans="1:7">
      <c r="A2921" s="28">
        <v>1357522</v>
      </c>
      <c r="B2921" s="28" t="s">
        <v>11706</v>
      </c>
      <c r="C2921" s="28">
        <v>3</v>
      </c>
      <c r="D2921" s="28" t="s">
        <v>11708</v>
      </c>
      <c r="E2921" s="64" t="s"/>
      <c r="F2921" s="28" t="s">
        <v>9333</v>
      </c>
      <c r="G2921" s="28">
        <v>1</v>
      </c>
    </row>
    <row r="2922" spans="1:7">
      <c r="A2922" s="28">
        <v>1357523</v>
      </c>
      <c r="B2922" s="28" t="s">
        <v>11709</v>
      </c>
      <c r="C2922" s="28">
        <v>2</v>
      </c>
      <c r="D2922" s="28" t="s">
        <v>11710</v>
      </c>
      <c r="E2922" s="64" t="s"/>
      <c r="F2922" s="28" t="s">
        <v>9381</v>
      </c>
      <c r="G2922" s="28">
        <v>1</v>
      </c>
    </row>
    <row r="2923" spans="1:7">
      <c r="A2923" s="28">
        <v>1357524</v>
      </c>
      <c r="B2923" s="28" t="s">
        <v>11709</v>
      </c>
      <c r="C2923" s="28">
        <v>3</v>
      </c>
      <c r="D2923" s="28" t="s">
        <v>11711</v>
      </c>
      <c r="E2923" s="64" t="s"/>
      <c r="F2923" s="28" t="s">
        <v>9381</v>
      </c>
      <c r="G2923" s="28">
        <v>1</v>
      </c>
    </row>
    <row r="2924" spans="1:7">
      <c r="A2924" s="28">
        <v>1357525</v>
      </c>
      <c r="B2924" s="28" t="s">
        <v>11712</v>
      </c>
      <c r="C2924" s="28">
        <v>2</v>
      </c>
      <c r="D2924" s="28" t="s">
        <v>11713</v>
      </c>
      <c r="E2924" s="64" t="s"/>
      <c r="F2924" s="28" t="s">
        <v>8625</v>
      </c>
      <c r="G2924" s="28">
        <v>1</v>
      </c>
    </row>
    <row r="2925" spans="1:7">
      <c r="A2925" s="28">
        <v>1357526</v>
      </c>
      <c r="B2925" s="28" t="s">
        <v>11712</v>
      </c>
      <c r="C2925" s="28">
        <v>3</v>
      </c>
      <c r="D2925" s="28" t="s">
        <v>11714</v>
      </c>
      <c r="E2925" s="64" t="s"/>
      <c r="F2925" s="28" t="s">
        <v>8625</v>
      </c>
      <c r="G2925" s="28">
        <v>1</v>
      </c>
    </row>
    <row r="2926" spans="1:7">
      <c r="A2926" s="28">
        <v>1357527</v>
      </c>
      <c r="B2926" s="54" t="s">
        <v>11715</v>
      </c>
      <c r="C2926" s="28">
        <v>4</v>
      </c>
      <c r="D2926" s="54" t="s">
        <v>10598</v>
      </c>
      <c r="E2926" s="64" t="s"/>
      <c r="F2926" s="28" t="s">
        <v>9693</v>
      </c>
      <c r="G2926" s="28">
        <v>1</v>
      </c>
    </row>
    <row r="2927" spans="1:7">
      <c r="A2927" s="28">
        <v>1357528</v>
      </c>
      <c r="B2927" s="54" t="s">
        <v>11716</v>
      </c>
      <c r="C2927" s="28">
        <v>4</v>
      </c>
      <c r="D2927" s="54" t="s">
        <v>11717</v>
      </c>
      <c r="E2927" s="64" t="s"/>
      <c r="F2927" s="28" t="s">
        <v>9725</v>
      </c>
      <c r="G2927" s="28">
        <v>1</v>
      </c>
    </row>
    <row r="2928" spans="1:7">
      <c r="A2928" s="28">
        <v>1357529</v>
      </c>
      <c r="B2928" s="54" t="s">
        <v>11718</v>
      </c>
      <c r="C2928" s="28">
        <v>2</v>
      </c>
      <c r="D2928" s="54" t="s">
        <v>11719</v>
      </c>
      <c r="E2928" s="64" t="s"/>
      <c r="F2928" s="28" t="s">
        <v>8445</v>
      </c>
      <c r="G2928" s="28">
        <v>1</v>
      </c>
    </row>
    <row r="2929" spans="1:7">
      <c r="A2929" s="28">
        <v>1357530</v>
      </c>
      <c r="B2929" s="54" t="s">
        <v>11718</v>
      </c>
      <c r="C2929" s="28">
        <v>3</v>
      </c>
      <c r="D2929" s="54" t="s">
        <v>11720</v>
      </c>
      <c r="E2929" s="64" t="s"/>
      <c r="F2929" s="28" t="s">
        <v>8445</v>
      </c>
      <c r="G2929" s="28">
        <v>1</v>
      </c>
    </row>
    <row r="2930" spans="1:7">
      <c r="A2930" s="28">
        <v>1357531</v>
      </c>
      <c r="B2930" s="54" t="s">
        <v>11721</v>
      </c>
      <c r="C2930" s="28">
        <v>2</v>
      </c>
      <c r="D2930" s="54" t="s">
        <v>11722</v>
      </c>
      <c r="E2930" s="64" t="s"/>
      <c r="F2930" s="28" t="s">
        <v>8453</v>
      </c>
      <c r="G2930" s="28">
        <v>1</v>
      </c>
    </row>
    <row r="2931" spans="1:7">
      <c r="A2931" s="28">
        <v>1357532</v>
      </c>
      <c r="B2931" s="54" t="s">
        <v>11721</v>
      </c>
      <c r="C2931" s="28">
        <v>3</v>
      </c>
      <c r="D2931" s="54" t="s">
        <v>11723</v>
      </c>
      <c r="E2931" s="64" t="s"/>
      <c r="F2931" s="28" t="s">
        <v>8453</v>
      </c>
      <c r="G2931" s="28">
        <v>1</v>
      </c>
    </row>
    <row r="2932" spans="1:7">
      <c r="A2932" s="28">
        <v>1357533</v>
      </c>
      <c r="B2932" s="54" t="s">
        <v>11724</v>
      </c>
      <c r="C2932" s="28">
        <v>2</v>
      </c>
      <c r="D2932" s="54" t="s">
        <v>8467</v>
      </c>
      <c r="E2932" s="64" t="s"/>
      <c r="F2932" s="28" t="s">
        <v>8469</v>
      </c>
      <c r="G2932" s="28">
        <v>1</v>
      </c>
    </row>
    <row r="2933" spans="1:7">
      <c r="A2933" s="28">
        <v>1357534</v>
      </c>
      <c r="B2933" s="54" t="s">
        <v>11724</v>
      </c>
      <c r="C2933" s="28">
        <v>3</v>
      </c>
      <c r="D2933" s="54" t="s">
        <v>11725</v>
      </c>
      <c r="E2933" s="64" t="s"/>
      <c r="F2933" s="28" t="s">
        <v>8469</v>
      </c>
      <c r="G2933" s="28">
        <v>1</v>
      </c>
    </row>
    <row r="2934" spans="1:7">
      <c r="A2934" s="28">
        <v>1357535</v>
      </c>
      <c r="B2934" s="54" t="s">
        <v>11726</v>
      </c>
      <c r="C2934" s="28">
        <v>2</v>
      </c>
      <c r="D2934" s="54" t="s">
        <v>11727</v>
      </c>
      <c r="E2934" s="64" t="s"/>
      <c r="F2934" s="28" t="s">
        <v>8477</v>
      </c>
      <c r="G2934" s="28">
        <v>1</v>
      </c>
    </row>
    <row r="2935" spans="1:7">
      <c r="A2935" s="28">
        <v>1357536</v>
      </c>
      <c r="B2935" s="54" t="s">
        <v>11726</v>
      </c>
      <c r="C2935" s="28">
        <v>3</v>
      </c>
      <c r="D2935" s="54" t="s">
        <v>11728</v>
      </c>
      <c r="E2935" s="64" t="s"/>
      <c r="F2935" s="28" t="s">
        <v>8477</v>
      </c>
      <c r="G2935" s="28">
        <v>1</v>
      </c>
    </row>
    <row r="2936" spans="1:7">
      <c r="A2936" s="28">
        <v>1357537</v>
      </c>
      <c r="B2936" s="54" t="s">
        <v>11729</v>
      </c>
      <c r="C2936" s="28">
        <v>2</v>
      </c>
      <c r="D2936" s="54" t="s">
        <v>11730</v>
      </c>
      <c r="E2936" s="64" t="s"/>
      <c r="F2936" s="28" t="s">
        <v>8473</v>
      </c>
      <c r="G2936" s="28">
        <v>1</v>
      </c>
    </row>
    <row r="2937" spans="1:7">
      <c r="A2937" s="28">
        <v>1357538</v>
      </c>
      <c r="B2937" s="54" t="s">
        <v>11729</v>
      </c>
      <c r="C2937" s="28">
        <v>3</v>
      </c>
      <c r="D2937" s="54" t="s">
        <v>11731</v>
      </c>
      <c r="E2937" s="64" t="s"/>
      <c r="F2937" s="28" t="s">
        <v>8473</v>
      </c>
      <c r="G2937" s="28">
        <v>1</v>
      </c>
    </row>
    <row r="2938" spans="1:7">
      <c r="A2938" s="28">
        <v>1357539</v>
      </c>
      <c r="B2938" s="54" t="s">
        <v>11732</v>
      </c>
      <c r="C2938" s="28">
        <v>2</v>
      </c>
      <c r="D2938" s="54" t="s">
        <v>11733</v>
      </c>
      <c r="E2938" s="64" t="s"/>
      <c r="F2938" s="28" t="s">
        <v>8581</v>
      </c>
      <c r="G2938" s="28">
        <v>1</v>
      </c>
    </row>
    <row r="2939" spans="1:7">
      <c r="A2939" s="28">
        <v>1357540</v>
      </c>
      <c r="B2939" s="54" t="s">
        <v>11732</v>
      </c>
      <c r="C2939" s="28">
        <v>3</v>
      </c>
      <c r="D2939" s="54" t="s">
        <v>11734</v>
      </c>
      <c r="E2939" s="64" t="s"/>
      <c r="F2939" s="28" t="s">
        <v>8581</v>
      </c>
      <c r="G2939" s="28">
        <v>1</v>
      </c>
    </row>
    <row r="2940" spans="1:7">
      <c r="A2940" s="28">
        <v>1357541</v>
      </c>
      <c r="B2940" s="54" t="s">
        <v>11735</v>
      </c>
      <c r="C2940" s="28">
        <v>2</v>
      </c>
      <c r="D2940" s="54" t="s">
        <v>11736</v>
      </c>
      <c r="E2940" s="64" t="s"/>
      <c r="F2940" s="28" t="s">
        <v>9397</v>
      </c>
      <c r="G2940" s="28">
        <v>1</v>
      </c>
    </row>
    <row r="2941" spans="1:7">
      <c r="A2941" s="28">
        <v>1357542</v>
      </c>
      <c r="B2941" s="54" t="s">
        <v>11735</v>
      </c>
      <c r="C2941" s="28">
        <v>3</v>
      </c>
      <c r="D2941" s="54" t="s">
        <v>11737</v>
      </c>
      <c r="E2941" s="64" t="s"/>
      <c r="F2941" s="28" t="s">
        <v>9397</v>
      </c>
      <c r="G2941" s="28">
        <v>1</v>
      </c>
    </row>
    <row r="2942" spans="1:7">
      <c r="A2942" s="28">
        <v>1357543</v>
      </c>
      <c r="B2942" s="54" t="s">
        <v>11738</v>
      </c>
      <c r="C2942" s="28">
        <v>2</v>
      </c>
      <c r="D2942" s="54" t="s">
        <v>11739</v>
      </c>
      <c r="E2942" s="64" t="s"/>
      <c r="F2942" s="28" t="s">
        <v>9417</v>
      </c>
      <c r="G2942" s="28">
        <v>1</v>
      </c>
    </row>
    <row r="2943" spans="1:7">
      <c r="A2943" s="28">
        <v>1357544</v>
      </c>
      <c r="B2943" s="54" t="s">
        <v>11738</v>
      </c>
      <c r="C2943" s="28">
        <v>3</v>
      </c>
      <c r="D2943" s="54" t="s">
        <v>11740</v>
      </c>
      <c r="E2943" s="64" t="s"/>
      <c r="F2943" s="28" t="s">
        <v>9417</v>
      </c>
      <c r="G2943" s="28">
        <v>1</v>
      </c>
    </row>
    <row r="2944" spans="1:7">
      <c r="A2944" s="28">
        <v>1357545</v>
      </c>
      <c r="B2944" s="54" t="s">
        <v>11741</v>
      </c>
      <c r="C2944" s="28">
        <v>2</v>
      </c>
      <c r="D2944" s="54" t="s">
        <v>11742</v>
      </c>
      <c r="E2944" s="64" t="s"/>
      <c r="F2944" s="28" t="s">
        <v>9421</v>
      </c>
      <c r="G2944" s="28">
        <v>1</v>
      </c>
    </row>
    <row r="2945" spans="1:7">
      <c r="A2945" s="28">
        <v>1357546</v>
      </c>
      <c r="B2945" s="54" t="s">
        <v>11741</v>
      </c>
      <c r="C2945" s="28">
        <v>3</v>
      </c>
      <c r="D2945" s="54" t="s">
        <v>11743</v>
      </c>
      <c r="E2945" s="64" t="s"/>
      <c r="F2945" s="28" t="s">
        <v>9421</v>
      </c>
      <c r="G2945" s="28">
        <v>1</v>
      </c>
    </row>
    <row r="2946" spans="1:7">
      <c r="A2946" s="28">
        <v>1357547</v>
      </c>
      <c r="B2946" s="54" t="s">
        <v>11744</v>
      </c>
      <c r="C2946" s="28">
        <v>2</v>
      </c>
      <c r="D2946" s="54" t="s">
        <v>11745</v>
      </c>
      <c r="E2946" s="64" t="s"/>
      <c r="F2946" s="28" t="s">
        <v>9429</v>
      </c>
      <c r="G2946" s="28">
        <v>1</v>
      </c>
    </row>
    <row r="2947" spans="1:7">
      <c r="A2947" s="28">
        <v>1357548</v>
      </c>
      <c r="B2947" s="54" t="s">
        <v>11744</v>
      </c>
      <c r="C2947" s="28">
        <v>3</v>
      </c>
      <c r="D2947" s="54" t="s">
        <v>11746</v>
      </c>
      <c r="E2947" s="64" t="s"/>
      <c r="F2947" s="28" t="s">
        <v>9429</v>
      </c>
      <c r="G2947" s="28">
        <v>1</v>
      </c>
    </row>
    <row r="2948" spans="1:7">
      <c r="A2948" s="28">
        <v>1357549</v>
      </c>
      <c r="B2948" s="54" t="s">
        <v>11747</v>
      </c>
      <c r="C2948" s="28">
        <v>2</v>
      </c>
      <c r="D2948" s="54" t="s">
        <v>11748</v>
      </c>
      <c r="E2948" s="64" t="s"/>
      <c r="F2948" s="28" t="s">
        <v>8557</v>
      </c>
      <c r="G2948" s="28">
        <v>1</v>
      </c>
    </row>
    <row r="2949" spans="1:7">
      <c r="A2949" s="28">
        <v>1357550</v>
      </c>
      <c r="B2949" s="54" t="s">
        <v>11747</v>
      </c>
      <c r="C2949" s="28">
        <v>3</v>
      </c>
      <c r="D2949" s="54" t="s">
        <v>11749</v>
      </c>
      <c r="E2949" s="64" t="s"/>
      <c r="F2949" s="28" t="s">
        <v>8557</v>
      </c>
      <c r="G2949" s="28">
        <v>1</v>
      </c>
    </row>
    <row r="2950" spans="1:7">
      <c r="A2950" s="28">
        <v>1357551</v>
      </c>
      <c r="B2950" s="54" t="s">
        <v>11750</v>
      </c>
      <c r="C2950" s="28">
        <v>4</v>
      </c>
      <c r="D2950" s="54" t="s">
        <v>11751</v>
      </c>
      <c r="E2950" s="64" t="s"/>
      <c r="F2950" s="28" t="s">
        <v>11752</v>
      </c>
      <c r="G2950" s="28">
        <v>1</v>
      </c>
    </row>
    <row r="2951" spans="1:7">
      <c r="A2951" s="28">
        <v>1357552</v>
      </c>
      <c r="B2951" s="54" t="s">
        <v>11753</v>
      </c>
      <c r="C2951" s="28">
        <v>4</v>
      </c>
      <c r="D2951" s="54" t="s">
        <v>11754</v>
      </c>
      <c r="E2951" s="64" t="s"/>
      <c r="F2951" s="28" t="s">
        <v>11755</v>
      </c>
      <c r="G2951" s="28">
        <v>1</v>
      </c>
    </row>
    <row r="2952" spans="1:7">
      <c r="A2952" s="28">
        <v>1357553</v>
      </c>
      <c r="B2952" s="28" t="s">
        <v>11756</v>
      </c>
      <c r="C2952" s="28">
        <v>2</v>
      </c>
      <c r="D2952" s="54" t="s">
        <v>11757</v>
      </c>
      <c r="E2952" s="64" t="s"/>
      <c r="F2952" s="28" t="s">
        <v>11758</v>
      </c>
      <c r="G2952" s="28">
        <v>1</v>
      </c>
    </row>
    <row r="2953" spans="1:7">
      <c r="A2953" s="28">
        <v>1357554</v>
      </c>
      <c r="B2953" s="28" t="s">
        <v>11756</v>
      </c>
      <c r="C2953" s="28">
        <v>3</v>
      </c>
      <c r="D2953" s="54" t="s">
        <v>11759</v>
      </c>
      <c r="E2953" s="64" t="s"/>
      <c r="F2953" s="28" t="s">
        <v>11758</v>
      </c>
      <c r="G2953" s="28">
        <v>1</v>
      </c>
    </row>
    <row r="2954" spans="1:7">
      <c r="A2954" s="28">
        <v>1357555</v>
      </c>
      <c r="B2954" s="28" t="s">
        <v>11760</v>
      </c>
      <c r="C2954" s="28">
        <v>2</v>
      </c>
      <c r="D2954" s="54" t="s">
        <v>11761</v>
      </c>
      <c r="E2954" s="64" t="s"/>
      <c r="F2954" s="28" t="s">
        <v>11762</v>
      </c>
      <c r="G2954" s="28">
        <v>1</v>
      </c>
    </row>
    <row r="2955" spans="1:7">
      <c r="A2955" s="28">
        <v>1357556</v>
      </c>
      <c r="B2955" s="28" t="s">
        <v>11760</v>
      </c>
      <c r="C2955" s="28">
        <v>3</v>
      </c>
      <c r="D2955" s="54" t="s">
        <v>11763</v>
      </c>
      <c r="E2955" s="64" t="s"/>
      <c r="F2955" s="28" t="s">
        <v>11762</v>
      </c>
      <c r="G2955" s="28">
        <v>1</v>
      </c>
    </row>
    <row r="2956" spans="1:7">
      <c r="A2956" s="28">
        <v>1357557</v>
      </c>
      <c r="B2956" s="28" t="s">
        <v>11764</v>
      </c>
      <c r="C2956" s="28">
        <v>2</v>
      </c>
      <c r="D2956" s="54" t="s">
        <v>11765</v>
      </c>
      <c r="E2956" s="64" t="s"/>
      <c r="F2956" s="28" t="s">
        <v>11766</v>
      </c>
      <c r="G2956" s="28">
        <v>1</v>
      </c>
    </row>
    <row r="2957" spans="1:7">
      <c r="A2957" s="28">
        <v>1357558</v>
      </c>
      <c r="B2957" s="28" t="s">
        <v>11764</v>
      </c>
      <c r="C2957" s="28">
        <v>3</v>
      </c>
      <c r="D2957" s="54" t="s">
        <v>11767</v>
      </c>
      <c r="E2957" s="64" t="s"/>
      <c r="F2957" s="28" t="s">
        <v>11766</v>
      </c>
      <c r="G2957" s="28">
        <v>1</v>
      </c>
    </row>
    <row r="2958" spans="1:7">
      <c r="A2958" s="28">
        <v>1357559</v>
      </c>
      <c r="B2958" s="28" t="s">
        <v>11768</v>
      </c>
      <c r="C2958" s="28">
        <v>2</v>
      </c>
      <c r="D2958" s="54" t="s">
        <v>11769</v>
      </c>
      <c r="E2958" s="64" t="s"/>
      <c r="F2958" s="28" t="s">
        <v>11770</v>
      </c>
      <c r="G2958" s="28">
        <v>1</v>
      </c>
    </row>
    <row r="2959" spans="1:7">
      <c r="A2959" s="28">
        <v>1357560</v>
      </c>
      <c r="B2959" s="28" t="s">
        <v>11768</v>
      </c>
      <c r="C2959" s="28">
        <v>3</v>
      </c>
      <c r="D2959" s="54" t="s">
        <v>11771</v>
      </c>
      <c r="E2959" s="64" t="s"/>
      <c r="F2959" s="28" t="s">
        <v>11770</v>
      </c>
      <c r="G2959" s="28">
        <v>1</v>
      </c>
    </row>
    <row r="2960" spans="1:7">
      <c r="A2960" s="28">
        <v>1357561</v>
      </c>
      <c r="B2960" s="28" t="s">
        <v>11772</v>
      </c>
      <c r="C2960" s="28">
        <v>2</v>
      </c>
      <c r="D2960" s="54" t="s">
        <v>11773</v>
      </c>
      <c r="E2960" s="64" t="s"/>
      <c r="F2960" s="28" t="s">
        <v>11774</v>
      </c>
      <c r="G2960" s="28">
        <v>1</v>
      </c>
    </row>
    <row r="2961" spans="1:7">
      <c r="A2961" s="28">
        <v>1357562</v>
      </c>
      <c r="B2961" s="28" t="s">
        <v>11772</v>
      </c>
      <c r="C2961" s="28">
        <v>3</v>
      </c>
      <c r="D2961" s="54" t="s">
        <v>11775</v>
      </c>
      <c r="E2961" s="64" t="s"/>
      <c r="F2961" s="28" t="s">
        <v>11774</v>
      </c>
      <c r="G2961" s="28">
        <v>1</v>
      </c>
    </row>
    <row r="2962" spans="1:7">
      <c r="A2962" s="28">
        <v>1357563</v>
      </c>
      <c r="B2962" s="28" t="s">
        <v>11776</v>
      </c>
      <c r="C2962" s="28">
        <v>2</v>
      </c>
      <c r="D2962" s="54" t="s">
        <v>11777</v>
      </c>
      <c r="E2962" s="64" t="s"/>
      <c r="F2962" s="28" t="s">
        <v>11778</v>
      </c>
      <c r="G2962" s="28">
        <v>1</v>
      </c>
    </row>
    <row r="2963" spans="1:7">
      <c r="A2963" s="28">
        <v>1357564</v>
      </c>
      <c r="B2963" s="28" t="s">
        <v>11776</v>
      </c>
      <c r="C2963" s="28">
        <v>3</v>
      </c>
      <c r="D2963" s="54" t="s">
        <v>11779</v>
      </c>
      <c r="E2963" s="64" t="s"/>
      <c r="F2963" s="28" t="s">
        <v>11778</v>
      </c>
      <c r="G2963" s="28">
        <v>1</v>
      </c>
    </row>
    <row r="2964" spans="1:7">
      <c r="A2964" s="28">
        <v>1357565</v>
      </c>
      <c r="B2964" s="28" t="s">
        <v>11780</v>
      </c>
      <c r="C2964" s="28">
        <v>2</v>
      </c>
      <c r="D2964" s="54" t="s">
        <v>11781</v>
      </c>
      <c r="E2964" s="64" t="s"/>
      <c r="F2964" s="28" t="s">
        <v>11782</v>
      </c>
      <c r="G2964" s="28">
        <v>1</v>
      </c>
    </row>
    <row r="2965" spans="1:7">
      <c r="A2965" s="28">
        <v>1357566</v>
      </c>
      <c r="B2965" s="28" t="s">
        <v>11780</v>
      </c>
      <c r="C2965" s="28">
        <v>3</v>
      </c>
      <c r="D2965" s="54" t="s">
        <v>11783</v>
      </c>
      <c r="E2965" s="64" t="s"/>
      <c r="F2965" s="28" t="s">
        <v>11782</v>
      </c>
      <c r="G2965" s="28">
        <v>1</v>
      </c>
    </row>
    <row r="2966" spans="1:7">
      <c r="A2966" s="28">
        <v>1357567</v>
      </c>
      <c r="B2966" s="28" t="s">
        <v>11784</v>
      </c>
      <c r="C2966" s="28">
        <v>2</v>
      </c>
      <c r="D2966" s="54" t="s">
        <v>11785</v>
      </c>
      <c r="E2966" s="64" t="s"/>
      <c r="F2966" s="28" t="s">
        <v>11786</v>
      </c>
      <c r="G2966" s="28">
        <v>1</v>
      </c>
    </row>
    <row r="2967" spans="1:7">
      <c r="A2967" s="28">
        <v>1357568</v>
      </c>
      <c r="B2967" s="28" t="s">
        <v>11784</v>
      </c>
      <c r="C2967" s="28">
        <v>3</v>
      </c>
      <c r="D2967" s="54" t="s">
        <v>11787</v>
      </c>
      <c r="E2967" s="64" t="s"/>
      <c r="F2967" s="28" t="s">
        <v>11786</v>
      </c>
      <c r="G2967" s="28">
        <v>1</v>
      </c>
    </row>
    <row r="2968" spans="1:7">
      <c r="A2968" s="28">
        <v>1357597</v>
      </c>
      <c r="B2968" s="28" t="s">
        <v>11788</v>
      </c>
      <c r="C2968" s="28">
        <v>2</v>
      </c>
      <c r="D2968" s="54" t="s">
        <v>11789</v>
      </c>
      <c r="E2968" s="64" t="s"/>
      <c r="F2968" s="28" t="s">
        <v>11790</v>
      </c>
      <c r="G2968" s="28">
        <v>1</v>
      </c>
    </row>
    <row r="2969" spans="1:7">
      <c r="A2969" s="28">
        <v>1357598</v>
      </c>
      <c r="B2969" s="28" t="s">
        <v>11791</v>
      </c>
      <c r="C2969" s="28">
        <v>2</v>
      </c>
      <c r="D2969" s="54" t="s">
        <v>11792</v>
      </c>
      <c r="E2969" s="64" t="s"/>
      <c r="F2969" s="28" t="s">
        <v>11793</v>
      </c>
      <c r="G2969" s="28">
        <v>1</v>
      </c>
    </row>
    <row r="2970" spans="1:7">
      <c r="A2970" s="28">
        <v>1357599</v>
      </c>
      <c r="B2970" s="28" t="s">
        <v>11794</v>
      </c>
      <c r="C2970" s="28">
        <v>2</v>
      </c>
      <c r="D2970" s="54" t="s">
        <v>11795</v>
      </c>
      <c r="E2970" s="64" t="s"/>
      <c r="F2970" s="28" t="s">
        <v>11796</v>
      </c>
      <c r="G2970" s="28">
        <v>1</v>
      </c>
    </row>
    <row r="2971" spans="1:7">
      <c r="A2971" s="28">
        <v>1357901</v>
      </c>
      <c r="B2971" s="28" t="s">
        <v>11667</v>
      </c>
      <c r="C2971" s="28">
        <v>4</v>
      </c>
      <c r="D2971" s="54" t="s">
        <v>11668</v>
      </c>
      <c r="E2971" s="64" t="s"/>
      <c r="F2971" s="28" t="s">
        <v>11669</v>
      </c>
      <c r="G2971" s="28">
        <v>1</v>
      </c>
    </row>
    <row r="2972" spans="1:7">
      <c r="A2972" s="28">
        <v>1357913</v>
      </c>
      <c r="B2972" s="28" t="s">
        <v>11693</v>
      </c>
      <c r="C2972" s="28">
        <v>2</v>
      </c>
      <c r="D2972" s="54" t="s">
        <v>11694</v>
      </c>
      <c r="E2972" s="64" t="s"/>
      <c r="F2972" s="28" t="s">
        <v>11695</v>
      </c>
      <c r="G2972" s="28">
        <v>1</v>
      </c>
    </row>
    <row r="2973" spans="1:7">
      <c r="A2973" s="28">
        <v>1357914</v>
      </c>
      <c r="B2973" s="28" t="s">
        <v>11693</v>
      </c>
      <c r="C2973" s="28">
        <v>3</v>
      </c>
      <c r="D2973" s="54" t="s">
        <v>11696</v>
      </c>
      <c r="E2973" s="64" t="s"/>
      <c r="F2973" s="28" t="s">
        <v>11695</v>
      </c>
      <c r="G2973" s="28">
        <v>1</v>
      </c>
    </row>
    <row r="2974" spans="1:7">
      <c r="A2974" s="28">
        <v>1357935</v>
      </c>
      <c r="B2974" s="28" t="s">
        <v>11726</v>
      </c>
      <c r="C2974" s="28">
        <v>2</v>
      </c>
      <c r="D2974" s="54" t="s">
        <v>11727</v>
      </c>
      <c r="E2974" s="54" t="s"/>
      <c r="F2974" s="28" t="s">
        <v>8477</v>
      </c>
      <c r="G2974" s="28">
        <v>1</v>
      </c>
    </row>
    <row r="2975" spans="1:7">
      <c r="A2975" s="28">
        <v>1357936</v>
      </c>
      <c r="B2975" s="28" t="s">
        <v>11726</v>
      </c>
      <c r="C2975" s="28">
        <v>3</v>
      </c>
      <c r="D2975" s="54" t="s">
        <v>11728</v>
      </c>
      <c r="E2975" s="54" t="s"/>
      <c r="F2975" s="28" t="s">
        <v>8477</v>
      </c>
      <c r="G2975" s="28">
        <v>1</v>
      </c>
    </row>
    <row r="2976" spans="1:7">
      <c r="A2976" s="28">
        <v>1357961</v>
      </c>
      <c r="B2976" s="28" t="s">
        <v>11772</v>
      </c>
      <c r="C2976" s="28">
        <v>2</v>
      </c>
      <c r="D2976" s="54" t="s">
        <v>11773</v>
      </c>
      <c r="E2976" s="54" t="s"/>
      <c r="F2976" s="28" t="s">
        <v>11774</v>
      </c>
      <c r="G2976" s="28">
        <v>1</v>
      </c>
    </row>
    <row r="2977" spans="1:7">
      <c r="A2977" s="28">
        <v>1357962</v>
      </c>
      <c r="B2977" s="28" t="s">
        <v>11772</v>
      </c>
      <c r="C2977" s="28">
        <v>3</v>
      </c>
      <c r="D2977" s="54" t="s">
        <v>11775</v>
      </c>
      <c r="E2977" s="64" t="s"/>
      <c r="F2977" s="28" t="s">
        <v>11774</v>
      </c>
      <c r="G2977" s="28">
        <v>1</v>
      </c>
    </row>
    <row r="2978" spans="1:7">
      <c r="A2978" s="28">
        <v>1358009</v>
      </c>
      <c r="B2978" s="28" t="s">
        <v>11797</v>
      </c>
      <c r="C2978" s="28">
        <v>3</v>
      </c>
      <c r="D2978" s="54" t="s">
        <v>11798</v>
      </c>
      <c r="E2978" s="64" t="s"/>
      <c r="F2978" s="28" t="s">
        <v>11799</v>
      </c>
      <c r="G2978" s="28">
        <v>1</v>
      </c>
    </row>
    <row r="2979" spans="1:7">
      <c r="A2979" s="28">
        <v>1358010</v>
      </c>
      <c r="B2979" s="28" t="s">
        <v>11800</v>
      </c>
      <c r="C2979" s="28">
        <v>3</v>
      </c>
      <c r="D2979" s="54" t="s">
        <v>11798</v>
      </c>
      <c r="E2979" s="64" t="s"/>
      <c r="F2979" s="28" t="s">
        <v>11801</v>
      </c>
      <c r="G2979" s="28">
        <v>1</v>
      </c>
    </row>
    <row r="2980" spans="1:7">
      <c r="A2980" s="28">
        <v>1358011</v>
      </c>
      <c r="B2980" s="28" t="s">
        <v>11802</v>
      </c>
      <c r="C2980" s="28">
        <v>3</v>
      </c>
      <c r="D2980" s="54" t="s">
        <v>11798</v>
      </c>
      <c r="E2980" s="64" t="s"/>
      <c r="F2980" s="28" t="s">
        <v>11803</v>
      </c>
      <c r="G2980" s="28">
        <v>1</v>
      </c>
    </row>
    <row r="2981" spans="1:7">
      <c r="A2981" s="28">
        <v>1358012</v>
      </c>
      <c r="B2981" s="28" t="s">
        <v>11804</v>
      </c>
      <c r="C2981" s="28">
        <v>3</v>
      </c>
      <c r="D2981" s="54" t="s">
        <v>11798</v>
      </c>
      <c r="E2981" s="64" t="s"/>
      <c r="F2981" s="28" t="s">
        <v>11805</v>
      </c>
      <c r="G2981" s="28">
        <v>1</v>
      </c>
    </row>
    <row r="2982" spans="1:7">
      <c r="A2982" s="28">
        <v>1358013</v>
      </c>
      <c r="B2982" s="28" t="s">
        <v>11806</v>
      </c>
      <c r="C2982" s="28">
        <v>3</v>
      </c>
      <c r="D2982" s="54" t="s">
        <v>11798</v>
      </c>
      <c r="E2982" s="64" t="s"/>
      <c r="F2982" s="28" t="s">
        <v>11807</v>
      </c>
      <c r="G2982" s="28">
        <v>1</v>
      </c>
    </row>
    <row r="2983" spans="1:7">
      <c r="A2983" s="28">
        <v>1358014</v>
      </c>
      <c r="B2983" s="28" t="s">
        <v>11808</v>
      </c>
      <c r="C2983" s="28">
        <v>3</v>
      </c>
      <c r="D2983" s="54" t="s">
        <v>11798</v>
      </c>
      <c r="E2983" s="64" t="s"/>
      <c r="F2983" s="28" t="s">
        <v>11809</v>
      </c>
      <c r="G2983" s="28">
        <v>1</v>
      </c>
    </row>
    <row r="2984" spans="1:7">
      <c r="A2984" s="28">
        <v>1358015</v>
      </c>
      <c r="B2984" s="28" t="s">
        <v>11810</v>
      </c>
      <c r="C2984" s="28">
        <v>3</v>
      </c>
      <c r="D2984" s="54" t="s">
        <v>11798</v>
      </c>
      <c r="E2984" s="64" t="s"/>
      <c r="F2984" s="28" t="s">
        <v>11811</v>
      </c>
      <c r="G2984" s="28">
        <v>1</v>
      </c>
    </row>
    <row r="2985" spans="1:7">
      <c r="A2985" s="28">
        <v>1358016</v>
      </c>
      <c r="B2985" s="28" t="s">
        <v>11812</v>
      </c>
      <c r="C2985" s="28">
        <v>3</v>
      </c>
      <c r="D2985" s="54" t="s">
        <v>11798</v>
      </c>
      <c r="E2985" s="64" t="s"/>
      <c r="F2985" s="28" t="s">
        <v>11813</v>
      </c>
      <c r="G2985" s="28">
        <v>1</v>
      </c>
    </row>
    <row r="2986" spans="1:7">
      <c r="A2986" s="28">
        <v>1358017</v>
      </c>
      <c r="B2986" s="28" t="s">
        <v>11814</v>
      </c>
      <c r="C2986" s="28">
        <v>3</v>
      </c>
      <c r="D2986" s="54" t="s">
        <v>11798</v>
      </c>
      <c r="E2986" s="64" t="s"/>
      <c r="F2986" s="28" t="s">
        <v>11815</v>
      </c>
      <c r="G2986" s="28">
        <v>1</v>
      </c>
    </row>
    <row r="2987" spans="1:7">
      <c r="A2987" s="28">
        <v>1358018</v>
      </c>
      <c r="B2987" s="28" t="s">
        <v>11816</v>
      </c>
      <c r="C2987" s="28">
        <v>3</v>
      </c>
      <c r="D2987" s="54" t="s">
        <v>11798</v>
      </c>
      <c r="E2987" s="54" t="s"/>
      <c r="F2987" s="28" t="s">
        <v>11817</v>
      </c>
      <c r="G2987" s="28">
        <v>1</v>
      </c>
    </row>
    <row r="2988" spans="1:7">
      <c r="A2988" s="28">
        <v>1358019</v>
      </c>
      <c r="B2988" s="28" t="s">
        <v>11818</v>
      </c>
      <c r="C2988" s="28">
        <v>3</v>
      </c>
      <c r="D2988" s="54" t="s">
        <v>11798</v>
      </c>
      <c r="E2988" s="64" t="s"/>
      <c r="F2988" s="28" t="s">
        <v>11819</v>
      </c>
      <c r="G2988" s="28">
        <v>1</v>
      </c>
    </row>
    <row r="2989" spans="1:7">
      <c r="A2989" s="28">
        <v>1358020</v>
      </c>
      <c r="B2989" s="28" t="s">
        <v>11820</v>
      </c>
      <c r="C2989" s="28">
        <v>3</v>
      </c>
      <c r="D2989" s="54" t="s">
        <v>11798</v>
      </c>
      <c r="E2989" s="64" t="s"/>
      <c r="F2989" s="28" t="s">
        <v>11821</v>
      </c>
      <c r="G2989" s="28">
        <v>1</v>
      </c>
    </row>
    <row r="2990" spans="1:7">
      <c r="A2990" s="28">
        <v>1358021</v>
      </c>
      <c r="B2990" s="28" t="s">
        <v>11822</v>
      </c>
      <c r="C2990" s="28">
        <v>3</v>
      </c>
      <c r="D2990" s="54" t="s">
        <v>11798</v>
      </c>
      <c r="E2990" s="64" t="s"/>
      <c r="F2990" s="28" t="s">
        <v>11823</v>
      </c>
      <c r="G2990" s="28">
        <v>1</v>
      </c>
    </row>
    <row r="2991" spans="1:7">
      <c r="A2991" s="28">
        <v>1358022</v>
      </c>
      <c r="B2991" s="28" t="s">
        <v>11824</v>
      </c>
      <c r="C2991" s="28">
        <v>3</v>
      </c>
      <c r="D2991" s="54" t="s">
        <v>11798</v>
      </c>
      <c r="E2991" s="64" t="s"/>
      <c r="F2991" s="28" t="s">
        <v>11825</v>
      </c>
      <c r="G2991" s="28">
        <v>1</v>
      </c>
    </row>
    <row r="2992" spans="1:7">
      <c r="A2992" s="28">
        <v>1358023</v>
      </c>
      <c r="B2992" s="28" t="s">
        <v>11826</v>
      </c>
      <c r="C2992" s="28">
        <v>3</v>
      </c>
      <c r="D2992" s="54" t="s">
        <v>11798</v>
      </c>
      <c r="E2992" s="64" t="s"/>
      <c r="F2992" s="28" t="s">
        <v>11827</v>
      </c>
      <c r="G2992" s="28">
        <v>1</v>
      </c>
    </row>
    <row r="2993" spans="1:7">
      <c r="A2993" s="28">
        <v>1358024</v>
      </c>
      <c r="B2993" s="28" t="s">
        <v>11806</v>
      </c>
      <c r="C2993" s="28">
        <v>3</v>
      </c>
      <c r="D2993" s="54" t="s">
        <v>11798</v>
      </c>
      <c r="E2993" s="64" t="s"/>
      <c r="F2993" s="28" t="s">
        <v>11828</v>
      </c>
      <c r="G2993" s="28">
        <v>1</v>
      </c>
    </row>
    <row r="2994" spans="1:7">
      <c r="A2994" s="28">
        <v>1358025</v>
      </c>
      <c r="B2994" s="28" t="s">
        <v>11829</v>
      </c>
      <c r="C2994" s="28">
        <v>3</v>
      </c>
      <c r="D2994" s="54" t="s">
        <v>11798</v>
      </c>
      <c r="E2994" s="64" t="s"/>
      <c r="F2994" s="28" t="s">
        <v>11830</v>
      </c>
      <c r="G2994" s="28">
        <v>1</v>
      </c>
    </row>
    <row r="2995" spans="1:7">
      <c r="A2995" s="28">
        <v>1358026</v>
      </c>
      <c r="B2995" s="28" t="s">
        <v>11831</v>
      </c>
      <c r="C2995" s="28">
        <v>3</v>
      </c>
      <c r="D2995" s="54" t="s">
        <v>11798</v>
      </c>
      <c r="E2995" s="64" t="s"/>
      <c r="F2995" s="28" t="s">
        <v>11832</v>
      </c>
      <c r="G2995" s="28">
        <v>1</v>
      </c>
    </row>
    <row r="2996" spans="1:7">
      <c r="A2996" s="28">
        <v>1358027</v>
      </c>
      <c r="B2996" s="28" t="s">
        <v>11833</v>
      </c>
      <c r="C2996" s="28">
        <v>3</v>
      </c>
      <c r="D2996" s="54" t="s">
        <v>11798</v>
      </c>
      <c r="E2996" s="64" t="s"/>
      <c r="F2996" s="28" t="s">
        <v>11834</v>
      </c>
      <c r="G2996" s="28">
        <v>1</v>
      </c>
    </row>
    <row r="2997" spans="1:7">
      <c r="A2997" s="28">
        <v>1358028</v>
      </c>
      <c r="B2997" s="28" t="s">
        <v>11835</v>
      </c>
      <c r="C2997" s="28">
        <v>3</v>
      </c>
      <c r="D2997" s="54" t="s">
        <v>11798</v>
      </c>
      <c r="E2997" s="64" t="s"/>
      <c r="F2997" s="28" t="s">
        <v>11836</v>
      </c>
      <c r="G2997" s="28">
        <v>1</v>
      </c>
    </row>
    <row r="2998" spans="1:7">
      <c r="A2998" s="28">
        <v>1358029</v>
      </c>
      <c r="B2998" s="28" t="s">
        <v>11837</v>
      </c>
      <c r="C2998" s="28">
        <v>3</v>
      </c>
      <c r="D2998" s="54" t="s">
        <v>11798</v>
      </c>
      <c r="E2998" s="64" t="s"/>
      <c r="F2998" s="28" t="s">
        <v>11838</v>
      </c>
      <c r="G2998" s="28">
        <v>1</v>
      </c>
    </row>
    <row r="2999" spans="1:7">
      <c r="A2999" s="28">
        <v>1358030</v>
      </c>
      <c r="B2999" s="28" t="s">
        <v>11839</v>
      </c>
      <c r="C2999" s="28">
        <v>3</v>
      </c>
      <c r="D2999" s="54" t="s">
        <v>11798</v>
      </c>
      <c r="E2999" s="64" t="s"/>
      <c r="F2999" s="28" t="s">
        <v>11840</v>
      </c>
      <c r="G2999" s="28">
        <v>1</v>
      </c>
    </row>
    <row r="3000" spans="1:7">
      <c r="A3000" s="28">
        <v>1358031</v>
      </c>
      <c r="B3000" s="28" t="s">
        <v>11841</v>
      </c>
      <c r="C3000" s="28">
        <v>3</v>
      </c>
      <c r="D3000" s="54" t="s">
        <v>11798</v>
      </c>
      <c r="E3000" s="64" t="s"/>
      <c r="F3000" s="28" t="s">
        <v>11842</v>
      </c>
      <c r="G3000" s="28">
        <v>1</v>
      </c>
    </row>
    <row r="3001" spans="1:7">
      <c r="A3001" s="28">
        <v>1358032</v>
      </c>
      <c r="B3001" s="28" t="s">
        <v>11843</v>
      </c>
      <c r="C3001" s="28">
        <v>3</v>
      </c>
      <c r="D3001" s="54" t="s">
        <v>11798</v>
      </c>
      <c r="E3001" s="64" t="s"/>
      <c r="F3001" s="28" t="s">
        <v>11844</v>
      </c>
      <c r="G3001" s="28">
        <v>1</v>
      </c>
    </row>
    <row r="3002" spans="1:7">
      <c r="A3002" s="28">
        <v>1358033</v>
      </c>
      <c r="B3002" s="28" t="s">
        <v>11845</v>
      </c>
      <c r="C3002" s="28">
        <v>4</v>
      </c>
      <c r="D3002" s="54" t="s">
        <v>11846</v>
      </c>
      <c r="E3002" s="64" t="s"/>
      <c r="F3002" s="28" t="s">
        <v>11847</v>
      </c>
      <c r="G3002" s="28">
        <v>1</v>
      </c>
    </row>
    <row r="3003" spans="1:7">
      <c r="A3003" s="28">
        <v>1358034</v>
      </c>
      <c r="B3003" s="28" t="s">
        <v>11848</v>
      </c>
      <c r="C3003" s="28">
        <v>4</v>
      </c>
      <c r="D3003" s="54" t="s">
        <v>11846</v>
      </c>
      <c r="E3003" s="64" t="s"/>
      <c r="F3003" s="28" t="s">
        <v>11849</v>
      </c>
      <c r="G3003" s="28">
        <v>1</v>
      </c>
    </row>
    <row r="3004" spans="1:7">
      <c r="A3004" s="28">
        <v>1358035</v>
      </c>
      <c r="B3004" s="28" t="s">
        <v>11850</v>
      </c>
      <c r="C3004" s="28">
        <v>4</v>
      </c>
      <c r="D3004" s="54" t="s">
        <v>11846</v>
      </c>
      <c r="E3004" s="64" t="s"/>
      <c r="F3004" s="28" t="s">
        <v>11851</v>
      </c>
      <c r="G3004" s="28">
        <v>1</v>
      </c>
    </row>
    <row r="3005" spans="1:7">
      <c r="A3005" s="28">
        <v>1358036</v>
      </c>
      <c r="B3005" s="28" t="s">
        <v>11852</v>
      </c>
      <c r="C3005" s="28">
        <v>4</v>
      </c>
      <c r="D3005" s="54" t="s">
        <v>11846</v>
      </c>
      <c r="E3005" s="64" t="s"/>
      <c r="F3005" s="28" t="s">
        <v>11853</v>
      </c>
      <c r="G3005" s="28">
        <v>1</v>
      </c>
    </row>
    <row r="3006" spans="1:7">
      <c r="A3006" s="28">
        <v>1358037</v>
      </c>
      <c r="B3006" s="28" t="s">
        <v>11854</v>
      </c>
      <c r="C3006" s="28">
        <v>4</v>
      </c>
      <c r="D3006" s="54" t="s">
        <v>11846</v>
      </c>
      <c r="E3006" s="64" t="s"/>
      <c r="F3006" s="28" t="s">
        <v>11855</v>
      </c>
      <c r="G3006" s="28">
        <v>1</v>
      </c>
    </row>
    <row r="3007" spans="1:7">
      <c r="A3007" s="28">
        <v>1358038</v>
      </c>
      <c r="B3007" s="28" t="s">
        <v>11856</v>
      </c>
      <c r="C3007" s="28">
        <v>4</v>
      </c>
      <c r="D3007" s="54" t="s">
        <v>11846</v>
      </c>
      <c r="E3007" s="64" t="s"/>
      <c r="F3007" s="28" t="s">
        <v>11857</v>
      </c>
      <c r="G3007" s="28">
        <v>1</v>
      </c>
    </row>
    <row r="3008" spans="1:7">
      <c r="A3008" s="28">
        <v>1358039</v>
      </c>
      <c r="B3008" s="28" t="s">
        <v>11858</v>
      </c>
      <c r="C3008" s="28">
        <v>4</v>
      </c>
      <c r="D3008" s="54" t="s">
        <v>11846</v>
      </c>
      <c r="E3008" s="64" t="s"/>
      <c r="F3008" s="28" t="s">
        <v>11859</v>
      </c>
      <c r="G3008" s="28">
        <v>1</v>
      </c>
    </row>
    <row r="3009" spans="1:7">
      <c r="A3009" s="28">
        <v>1358040</v>
      </c>
      <c r="B3009" s="28" t="s">
        <v>11860</v>
      </c>
      <c r="C3009" s="28">
        <v>4</v>
      </c>
      <c r="D3009" s="54" t="s">
        <v>11846</v>
      </c>
      <c r="E3009" s="64" t="s"/>
      <c r="F3009" s="28" t="s">
        <v>11861</v>
      </c>
      <c r="G3009" s="28">
        <v>1</v>
      </c>
    </row>
    <row r="3010" spans="1:7">
      <c r="A3010" s="28">
        <v>1358041</v>
      </c>
      <c r="B3010" s="28" t="s">
        <v>11862</v>
      </c>
      <c r="C3010" s="28">
        <v>4</v>
      </c>
      <c r="D3010" s="54" t="s">
        <v>11846</v>
      </c>
      <c r="E3010" s="64" t="s"/>
      <c r="F3010" s="28" t="s">
        <v>11863</v>
      </c>
      <c r="G3010" s="28">
        <v>1</v>
      </c>
    </row>
    <row r="3011" spans="1:7">
      <c r="A3011" s="28">
        <v>1358042</v>
      </c>
      <c r="B3011" s="28" t="s">
        <v>11864</v>
      </c>
      <c r="C3011" s="28">
        <v>4</v>
      </c>
      <c r="D3011" s="54" t="s">
        <v>11846</v>
      </c>
      <c r="E3011" s="64" t="s"/>
      <c r="F3011" s="28" t="s">
        <v>11865</v>
      </c>
      <c r="G3011" s="28">
        <v>1</v>
      </c>
    </row>
    <row r="3012" spans="1:7">
      <c r="A3012" s="28">
        <v>1359001</v>
      </c>
      <c r="B3012" s="28" t="s">
        <v>11866</v>
      </c>
      <c r="C3012" s="28">
        <v>3</v>
      </c>
      <c r="D3012" s="54" t="s">
        <v>11867</v>
      </c>
      <c r="E3012" s="64" t="s">
        <v>11867</v>
      </c>
      <c r="F3012" s="28" t="s"/>
      <c r="G3012" s="28">
        <v>1</v>
      </c>
    </row>
    <row r="3013" spans="1:7">
      <c r="A3013" s="28">
        <v>1359002</v>
      </c>
      <c r="B3013" s="28" t="s">
        <v>11868</v>
      </c>
      <c r="C3013" s="28">
        <v>3</v>
      </c>
      <c r="D3013" s="54" t="s">
        <v>11869</v>
      </c>
      <c r="E3013" s="64" t="s">
        <v>11869</v>
      </c>
      <c r="F3013" s="28" t="s"/>
      <c r="G3013" s="28">
        <v>1</v>
      </c>
    </row>
    <row r="3014" spans="1:7">
      <c r="A3014" s="28">
        <v>1359003</v>
      </c>
      <c r="B3014" s="28" t="s">
        <v>11870</v>
      </c>
      <c r="C3014" s="28">
        <v>3</v>
      </c>
      <c r="D3014" s="28" t="s">
        <v>11871</v>
      </c>
      <c r="E3014" s="64" t="s">
        <v>11872</v>
      </c>
      <c r="F3014" s="28" t="s">
        <v>11873</v>
      </c>
      <c r="G3014" s="28">
        <v>1</v>
      </c>
    </row>
    <row r="3015" spans="1:7">
      <c r="A3015" s="28">
        <v>1359004</v>
      </c>
      <c r="B3015" s="28" t="s">
        <v>11874</v>
      </c>
      <c r="C3015" s="28">
        <v>3</v>
      </c>
      <c r="D3015" s="54" t="s">
        <v>11871</v>
      </c>
      <c r="E3015" s="64" t="s">
        <v>11872</v>
      </c>
      <c r="F3015" s="28" t="s">
        <v>11875</v>
      </c>
      <c r="G3015" s="28">
        <v>1</v>
      </c>
    </row>
    <row r="3016" spans="1:7">
      <c r="A3016" s="28">
        <v>1359005</v>
      </c>
      <c r="B3016" s="28" t="s">
        <v>11876</v>
      </c>
      <c r="C3016" s="28">
        <v>3</v>
      </c>
      <c r="D3016" s="54" t="s">
        <v>11871</v>
      </c>
      <c r="E3016" s="64" t="s">
        <v>11877</v>
      </c>
      <c r="F3016" s="28" t="s">
        <v>11878</v>
      </c>
      <c r="G3016" s="28">
        <v>1</v>
      </c>
    </row>
    <row r="3017" spans="1:7">
      <c r="A3017" s="28">
        <v>1359006</v>
      </c>
      <c r="B3017" s="28" t="s">
        <v>11879</v>
      </c>
      <c r="C3017" s="28">
        <v>3</v>
      </c>
      <c r="D3017" s="54" t="s">
        <v>11871</v>
      </c>
      <c r="E3017" s="64" t="s">
        <v>11877</v>
      </c>
      <c r="F3017" s="28" t="s">
        <v>11880</v>
      </c>
      <c r="G3017" s="28">
        <v>1</v>
      </c>
    </row>
    <row r="3018" spans="1:7">
      <c r="A3018" s="28">
        <v>1359007</v>
      </c>
      <c r="B3018" s="28" t="s">
        <v>11881</v>
      </c>
      <c r="C3018" s="28">
        <v>4</v>
      </c>
      <c r="D3018" s="54" t="s">
        <v>11882</v>
      </c>
      <c r="E3018" s="64" t="s">
        <v>11883</v>
      </c>
      <c r="F3018" s="28" t="s">
        <v>11884</v>
      </c>
      <c r="G3018" s="28">
        <v>1</v>
      </c>
    </row>
    <row r="3019" spans="1:7">
      <c r="A3019" s="28">
        <v>1359008</v>
      </c>
      <c r="B3019" s="28" t="s">
        <v>11885</v>
      </c>
      <c r="C3019" s="28">
        <v>4</v>
      </c>
      <c r="D3019" s="54" t="s">
        <v>11886</v>
      </c>
      <c r="E3019" s="64" t="s">
        <v>11883</v>
      </c>
      <c r="F3019" s="28" t="s">
        <v>11887</v>
      </c>
      <c r="G3019" s="28">
        <v>1</v>
      </c>
    </row>
    <row r="3020" spans="1:7">
      <c r="A3020" s="28">
        <v>1359009</v>
      </c>
      <c r="B3020" s="28" t="s">
        <v>11888</v>
      </c>
      <c r="C3020" s="28">
        <v>4</v>
      </c>
      <c r="D3020" s="54" t="s">
        <v>11889</v>
      </c>
      <c r="E3020" s="64" t="s">
        <v>11890</v>
      </c>
      <c r="F3020" s="28" t="s">
        <v>11891</v>
      </c>
      <c r="G3020" s="28">
        <v>1</v>
      </c>
    </row>
    <row r="3021" spans="1:7">
      <c r="A3021" s="28">
        <v>1359010</v>
      </c>
      <c r="B3021" s="28" t="s">
        <v>11892</v>
      </c>
      <c r="C3021" s="28">
        <v>4</v>
      </c>
      <c r="D3021" s="54" t="s">
        <v>11893</v>
      </c>
      <c r="E3021" s="64" t="s">
        <v>11890</v>
      </c>
      <c r="F3021" s="28" t="s">
        <v>11894</v>
      </c>
      <c r="G3021" s="28">
        <v>1</v>
      </c>
    </row>
    <row r="3022" spans="1:7">
      <c r="A3022" s="28">
        <v>1359011</v>
      </c>
      <c r="B3022" s="28" t="s">
        <v>11895</v>
      </c>
      <c r="C3022" s="28">
        <v>4</v>
      </c>
      <c r="D3022" s="28" t="s">
        <v>11896</v>
      </c>
      <c r="E3022" s="64" t="s">
        <v>11897</v>
      </c>
      <c r="F3022" s="28" t="s">
        <v>11898</v>
      </c>
      <c r="G3022" s="28">
        <v>1</v>
      </c>
    </row>
    <row r="3023" spans="1:7">
      <c r="A3023" s="28">
        <v>1359012</v>
      </c>
      <c r="B3023" s="28" t="s">
        <v>11899</v>
      </c>
      <c r="C3023" s="28">
        <v>4</v>
      </c>
      <c r="D3023" s="28" t="s">
        <v>11900</v>
      </c>
      <c r="E3023" s="64" t="s">
        <v>11897</v>
      </c>
      <c r="F3023" s="28" t="s">
        <v>11901</v>
      </c>
      <c r="G3023" s="28">
        <v>1</v>
      </c>
    </row>
    <row r="3024" spans="1:7">
      <c r="A3024" s="28">
        <v>1359013</v>
      </c>
      <c r="B3024" s="28" t="s">
        <v>11902</v>
      </c>
      <c r="C3024" s="28">
        <v>4</v>
      </c>
      <c r="D3024" s="28" t="s">
        <v>11882</v>
      </c>
      <c r="E3024" s="54" t="s">
        <v>11903</v>
      </c>
      <c r="F3024" s="28" t="s">
        <v>11904</v>
      </c>
      <c r="G3024" s="28">
        <v>1</v>
      </c>
    </row>
    <row r="3025" spans="1:7">
      <c r="A3025" s="28">
        <v>1359014</v>
      </c>
      <c r="B3025" s="28" t="s">
        <v>11905</v>
      </c>
      <c r="C3025" s="28">
        <v>4</v>
      </c>
      <c r="D3025" s="28" t="s">
        <v>11886</v>
      </c>
      <c r="E3025" s="54" t="s">
        <v>11903</v>
      </c>
      <c r="F3025" s="28" t="s">
        <v>11906</v>
      </c>
      <c r="G3025" s="28">
        <v>1</v>
      </c>
    </row>
    <row r="3026" spans="1:7">
      <c r="A3026" s="28">
        <v>1360001</v>
      </c>
      <c r="B3026" s="28" t="s">
        <v>11907</v>
      </c>
      <c r="C3026" s="28">
        <v>3</v>
      </c>
      <c r="D3026" s="28" t="s">
        <v>11908</v>
      </c>
      <c r="E3026" s="54" t="s">
        <v>11909</v>
      </c>
      <c r="F3026" s="28" t="s">
        <v>11910</v>
      </c>
      <c r="G3026" s="28">
        <v>0</v>
      </c>
    </row>
    <row r="3027" spans="1:7">
      <c r="A3027" s="28">
        <v>1360002</v>
      </c>
      <c r="B3027" s="28" t="s">
        <v>6161</v>
      </c>
      <c r="C3027" s="28">
        <v>3</v>
      </c>
      <c r="D3027" s="28" t="s">
        <v>6162</v>
      </c>
      <c r="E3027" s="54" t="s">
        <v>6163</v>
      </c>
      <c r="F3027" s="28" t="s">
        <v>6164</v>
      </c>
      <c r="G3027" s="28">
        <v>0</v>
      </c>
    </row>
    <row r="3028" spans="1:7">
      <c r="A3028" s="28">
        <v>1360101</v>
      </c>
      <c r="B3028" s="28" t="s">
        <v>11911</v>
      </c>
      <c r="C3028" s="28">
        <v>4</v>
      </c>
      <c r="D3028" s="28" t="s">
        <v>11912</v>
      </c>
      <c r="E3028" s="54" t="s"/>
      <c r="F3028" s="28" t="s">
        <v>11913</v>
      </c>
      <c r="G3028" s="28">
        <v>1</v>
      </c>
    </row>
    <row r="3029" spans="1:7">
      <c r="A3029" s="28">
        <v>1360102</v>
      </c>
      <c r="B3029" s="28" t="s">
        <v>11914</v>
      </c>
      <c r="C3029" s="28">
        <v>4</v>
      </c>
      <c r="D3029" s="28" t="s">
        <v>11915</v>
      </c>
      <c r="E3029" s="54" t="s"/>
      <c r="F3029" s="28" t="s">
        <v>11913</v>
      </c>
      <c r="G3029" s="28">
        <v>1</v>
      </c>
    </row>
    <row r="3030" spans="1:7">
      <c r="A3030" s="28">
        <v>1360103</v>
      </c>
      <c r="B3030" s="28" t="s">
        <v>11916</v>
      </c>
      <c r="C3030" s="28">
        <v>4</v>
      </c>
      <c r="D3030" s="28" t="s">
        <v>11917</v>
      </c>
      <c r="E3030" s="54" t="s"/>
      <c r="F3030" s="28" t="s">
        <v>11918</v>
      </c>
      <c r="G3030" s="28">
        <v>1</v>
      </c>
    </row>
    <row r="3031" spans="1:7">
      <c r="A3031" s="28">
        <v>1360104</v>
      </c>
      <c r="B3031" s="28" t="s">
        <v>11919</v>
      </c>
      <c r="C3031" s="28">
        <v>4</v>
      </c>
      <c r="D3031" s="28" t="s">
        <v>11920</v>
      </c>
      <c r="E3031" s="54" t="s"/>
      <c r="F3031" s="28" t="s">
        <v>11918</v>
      </c>
      <c r="G3031" s="28">
        <v>1</v>
      </c>
    </row>
    <row r="3032" spans="1:7">
      <c r="A3032" s="28">
        <v>1360105</v>
      </c>
      <c r="B3032" s="28" t="s">
        <v>11921</v>
      </c>
      <c r="C3032" s="28">
        <v>4</v>
      </c>
      <c r="D3032" s="28" t="s">
        <v>11922</v>
      </c>
      <c r="E3032" s="64" t="s"/>
      <c r="F3032" s="28" t="s">
        <v>11923</v>
      </c>
      <c r="G3032" s="28">
        <v>1</v>
      </c>
    </row>
    <row r="3033" spans="1:7">
      <c r="A3033" s="28">
        <v>1360106</v>
      </c>
      <c r="B3033" s="28" t="s">
        <v>11924</v>
      </c>
      <c r="C3033" s="28">
        <v>4</v>
      </c>
      <c r="D3033" s="28" t="s">
        <v>11925</v>
      </c>
      <c r="E3033" s="64" t="s"/>
      <c r="F3033" s="28" t="s">
        <v>11923</v>
      </c>
      <c r="G3033" s="28">
        <v>1</v>
      </c>
    </row>
    <row r="3034" spans="1:7">
      <c r="A3034" s="28">
        <v>1360107</v>
      </c>
      <c r="B3034" s="28" t="s">
        <v>11926</v>
      </c>
      <c r="C3034" s="28">
        <v>4</v>
      </c>
      <c r="D3034" s="28" t="s">
        <v>11927</v>
      </c>
      <c r="E3034" s="64" t="s"/>
      <c r="F3034" s="28" t="s">
        <v>11928</v>
      </c>
      <c r="G3034" s="28">
        <v>1</v>
      </c>
    </row>
    <row r="3035" spans="1:7">
      <c r="A3035" s="28">
        <v>1360108</v>
      </c>
      <c r="B3035" s="28" t="s">
        <v>11929</v>
      </c>
      <c r="C3035" s="28">
        <v>4</v>
      </c>
      <c r="D3035" s="28" t="s">
        <v>11930</v>
      </c>
      <c r="E3035" s="54" t="s"/>
      <c r="F3035" s="28" t="s">
        <v>11928</v>
      </c>
      <c r="G3035" s="28">
        <v>1</v>
      </c>
    </row>
    <row r="3036" spans="1:7">
      <c r="A3036" s="28">
        <v>1360109</v>
      </c>
      <c r="B3036" s="28" t="s">
        <v>11931</v>
      </c>
      <c r="C3036" s="28">
        <v>4</v>
      </c>
      <c r="D3036" s="28" t="s">
        <v>11932</v>
      </c>
      <c r="E3036" s="54" t="s"/>
      <c r="F3036" s="28" t="s">
        <v>11933</v>
      </c>
      <c r="G3036" s="28">
        <v>1</v>
      </c>
    </row>
    <row r="3037" spans="1:7">
      <c r="A3037" s="28">
        <v>1360110</v>
      </c>
      <c r="B3037" s="28" t="s">
        <v>11934</v>
      </c>
      <c r="C3037" s="28">
        <v>4</v>
      </c>
      <c r="D3037" s="28" t="s">
        <v>11935</v>
      </c>
      <c r="E3037" s="54" t="s"/>
      <c r="F3037" s="28" t="s">
        <v>11936</v>
      </c>
      <c r="G3037" s="28">
        <v>1</v>
      </c>
    </row>
    <row r="3038" spans="1:7">
      <c r="A3038" s="28">
        <v>1360111</v>
      </c>
      <c r="B3038" s="28" t="s">
        <v>11937</v>
      </c>
      <c r="C3038" s="28">
        <v>4</v>
      </c>
      <c r="D3038" s="28" t="s"/>
      <c r="E3038" s="54" t="s"/>
      <c r="F3038" s="28" t="s">
        <v>11936</v>
      </c>
      <c r="G3038" s="28">
        <v>1</v>
      </c>
    </row>
    <row r="3039" spans="1:7">
      <c r="A3039" s="28">
        <v>1370101</v>
      </c>
      <c r="B3039" s="28" t="s">
        <v>11938</v>
      </c>
      <c r="C3039" s="28">
        <v>3</v>
      </c>
      <c r="D3039" s="28" t="s">
        <v>11939</v>
      </c>
      <c r="E3039" s="54" t="s"/>
      <c r="F3039" s="28" t="s">
        <v>11940</v>
      </c>
      <c r="G3039" s="28">
        <v>1</v>
      </c>
    </row>
    <row r="3040" spans="1:7">
      <c r="A3040" s="28">
        <v>1370102</v>
      </c>
      <c r="B3040" s="28" t="s">
        <v>11941</v>
      </c>
      <c r="C3040" s="28">
        <v>3</v>
      </c>
      <c r="D3040" s="28" t="s">
        <v>11942</v>
      </c>
      <c r="E3040" s="54" t="s"/>
      <c r="F3040" s="28" t="s">
        <v>11943</v>
      </c>
      <c r="G3040" s="28">
        <v>1</v>
      </c>
    </row>
    <row r="3041" spans="1:7">
      <c r="A3041" s="28">
        <v>1370103</v>
      </c>
      <c r="B3041" s="28" t="s">
        <v>11944</v>
      </c>
      <c r="C3041" s="28">
        <v>3</v>
      </c>
      <c r="D3041" s="28" t="s">
        <v>11945</v>
      </c>
      <c r="E3041" s="54" t="s"/>
      <c r="F3041" s="28" t="s">
        <v>11946</v>
      </c>
      <c r="G3041" s="28">
        <v>1</v>
      </c>
    </row>
    <row r="3042" spans="1:7">
      <c r="A3042" s="28">
        <v>1370104</v>
      </c>
      <c r="B3042" s="28" t="s">
        <v>11947</v>
      </c>
      <c r="C3042" s="28">
        <v>2</v>
      </c>
      <c r="D3042" s="28" t="s">
        <v>11948</v>
      </c>
      <c r="E3042" s="54" t="s"/>
      <c r="F3042" s="28" t="s">
        <v>11949</v>
      </c>
      <c r="G3042" s="28">
        <v>1</v>
      </c>
    </row>
    <row r="3043" spans="1:7">
      <c r="A3043" s="28">
        <v>1370105</v>
      </c>
      <c r="B3043" s="28" t="s">
        <v>11950</v>
      </c>
      <c r="C3043" s="28">
        <v>2</v>
      </c>
      <c r="D3043" s="28" t="s">
        <v>11951</v>
      </c>
      <c r="E3043" s="54" t="s"/>
      <c r="F3043" s="28" t="s">
        <v>11952</v>
      </c>
      <c r="G3043" s="28">
        <v>1</v>
      </c>
    </row>
    <row r="3044" spans="1:7">
      <c r="A3044" s="28">
        <v>1370106</v>
      </c>
      <c r="B3044" s="28" t="s">
        <v>11953</v>
      </c>
      <c r="C3044" s="28">
        <v>2</v>
      </c>
      <c r="D3044" s="28" t="s">
        <v>11954</v>
      </c>
      <c r="E3044" s="54" t="s"/>
      <c r="F3044" s="28" t="s">
        <v>11955</v>
      </c>
      <c r="G3044" s="28">
        <v>1</v>
      </c>
    </row>
    <row r="3045" spans="1:7">
      <c r="A3045" s="28">
        <v>1370201</v>
      </c>
      <c r="B3045" s="28" t="s">
        <v>11956</v>
      </c>
      <c r="C3045" s="28">
        <v>3</v>
      </c>
      <c r="D3045" s="28" t="s">
        <v>11957</v>
      </c>
      <c r="E3045" s="54" t="s"/>
      <c r="F3045" s="28" t="s">
        <v>11958</v>
      </c>
      <c r="G3045" s="28">
        <v>1</v>
      </c>
    </row>
    <row r="3046" spans="1:7">
      <c r="A3046" s="28">
        <v>1370202</v>
      </c>
      <c r="B3046" s="28" t="s">
        <v>11959</v>
      </c>
      <c r="C3046" s="28">
        <v>3</v>
      </c>
      <c r="D3046" s="28" t="s">
        <v>11960</v>
      </c>
      <c r="E3046" s="54" t="s"/>
      <c r="F3046" s="28" t="s">
        <v>11961</v>
      </c>
      <c r="G3046" s="28">
        <v>1</v>
      </c>
    </row>
    <row r="3047" spans="1:7">
      <c r="A3047" s="28">
        <v>1370203</v>
      </c>
      <c r="B3047" s="28" t="s">
        <v>11962</v>
      </c>
      <c r="C3047" s="28">
        <v>3</v>
      </c>
      <c r="D3047" s="28" t="s">
        <v>11963</v>
      </c>
      <c r="E3047" s="64" t="s"/>
      <c r="F3047" s="28" t="s">
        <v>11964</v>
      </c>
      <c r="G3047" s="28">
        <v>1</v>
      </c>
    </row>
    <row r="3048" spans="1:7">
      <c r="A3048" s="28">
        <v>1370204</v>
      </c>
      <c r="B3048" s="28" t="s">
        <v>11965</v>
      </c>
      <c r="C3048" s="28">
        <v>2</v>
      </c>
      <c r="D3048" s="28" t="s">
        <v>11966</v>
      </c>
      <c r="E3048" s="54" t="s"/>
      <c r="F3048" s="28" t="s">
        <v>11967</v>
      </c>
      <c r="G3048" s="28">
        <v>1</v>
      </c>
    </row>
    <row r="3049" spans="1:7">
      <c r="A3049" s="28">
        <v>1370205</v>
      </c>
      <c r="B3049" s="28" t="s">
        <v>11968</v>
      </c>
      <c r="C3049" s="28">
        <v>2</v>
      </c>
      <c r="D3049" s="28" t="s">
        <v>11969</v>
      </c>
      <c r="E3049" s="64" t="s"/>
      <c r="F3049" s="28" t="s">
        <v>11970</v>
      </c>
      <c r="G3049" s="28">
        <v>1</v>
      </c>
    </row>
    <row r="3050" spans="1:7">
      <c r="A3050" s="28">
        <v>1370206</v>
      </c>
      <c r="B3050" s="28" t="s">
        <v>11971</v>
      </c>
      <c r="C3050" s="28">
        <v>2</v>
      </c>
      <c r="D3050" s="28" t="s">
        <v>11972</v>
      </c>
      <c r="E3050" s="64" t="s"/>
      <c r="F3050" s="28" t="s">
        <v>11973</v>
      </c>
      <c r="G3050" s="28">
        <v>1</v>
      </c>
    </row>
    <row r="3051" spans="1:7">
      <c r="A3051" s="28">
        <v>1370301</v>
      </c>
      <c r="B3051" s="28" t="s">
        <v>11974</v>
      </c>
      <c r="C3051" s="28">
        <v>3</v>
      </c>
      <c r="D3051" s="28" t="s">
        <v>11975</v>
      </c>
      <c r="E3051" s="64" t="s"/>
      <c r="F3051" s="28" t="s">
        <v>11976</v>
      </c>
      <c r="G3051" s="28">
        <v>1</v>
      </c>
    </row>
    <row r="3052" spans="1:7">
      <c r="A3052" s="28">
        <v>1370302</v>
      </c>
      <c r="B3052" s="28" t="s">
        <v>11977</v>
      </c>
      <c r="C3052" s="28">
        <v>3</v>
      </c>
      <c r="D3052" s="28" t="s">
        <v>11978</v>
      </c>
      <c r="E3052" s="64" t="s"/>
      <c r="F3052" s="28" t="s">
        <v>11979</v>
      </c>
      <c r="G3052" s="28">
        <v>1</v>
      </c>
    </row>
    <row r="3053" spans="1:7">
      <c r="A3053" s="28">
        <v>1370303</v>
      </c>
      <c r="B3053" s="28" t="s">
        <v>11980</v>
      </c>
      <c r="C3053" s="28">
        <v>3</v>
      </c>
      <c r="D3053" s="28" t="s">
        <v>11981</v>
      </c>
      <c r="E3053" s="54" t="s"/>
      <c r="F3053" s="28" t="s">
        <v>11982</v>
      </c>
      <c r="G3053" s="28">
        <v>1</v>
      </c>
    </row>
    <row r="3054" spans="1:7">
      <c r="A3054" s="28">
        <v>1370304</v>
      </c>
      <c r="B3054" s="28" t="s">
        <v>11983</v>
      </c>
      <c r="C3054" s="28">
        <v>2</v>
      </c>
      <c r="D3054" s="28" t="s">
        <v>11984</v>
      </c>
      <c r="E3054" s="54" t="s"/>
      <c r="F3054" s="28" t="s">
        <v>11985</v>
      </c>
      <c r="G3054" s="28">
        <v>1</v>
      </c>
    </row>
    <row r="3055" spans="1:7">
      <c r="A3055" s="28">
        <v>1370305</v>
      </c>
      <c r="B3055" s="28" t="s">
        <v>11986</v>
      </c>
      <c r="C3055" s="28">
        <v>2</v>
      </c>
      <c r="D3055" s="28" t="s">
        <v>11987</v>
      </c>
      <c r="E3055" s="54" t="s"/>
      <c r="F3055" s="28" t="s">
        <v>11988</v>
      </c>
      <c r="G3055" s="28">
        <v>1</v>
      </c>
    </row>
    <row r="3056" spans="1:7">
      <c r="A3056" s="28">
        <v>1370306</v>
      </c>
      <c r="B3056" s="28" t="s">
        <v>11989</v>
      </c>
      <c r="C3056" s="28">
        <v>2</v>
      </c>
      <c r="D3056" s="28" t="s">
        <v>11990</v>
      </c>
      <c r="E3056" s="54" t="s"/>
      <c r="F3056" s="28" t="s">
        <v>11991</v>
      </c>
      <c r="G3056" s="28">
        <v>1</v>
      </c>
    </row>
    <row r="3057" spans="1:7">
      <c r="A3057" s="28">
        <v>1370401</v>
      </c>
      <c r="B3057" s="28" t="s">
        <v>11992</v>
      </c>
      <c r="C3057" s="28">
        <v>3</v>
      </c>
      <c r="D3057" s="28" t="s">
        <v>11993</v>
      </c>
      <c r="E3057" s="54" t="s"/>
      <c r="F3057" s="28" t="s">
        <v>11994</v>
      </c>
      <c r="G3057" s="28">
        <v>1</v>
      </c>
    </row>
    <row r="3058" spans="1:7">
      <c r="A3058" s="28">
        <v>1370402</v>
      </c>
      <c r="B3058" s="28" t="s">
        <v>11995</v>
      </c>
      <c r="C3058" s="28">
        <v>3</v>
      </c>
      <c r="D3058" s="28" t="s">
        <v>11996</v>
      </c>
      <c r="E3058" s="54" t="s"/>
      <c r="F3058" s="28" t="s">
        <v>11997</v>
      </c>
      <c r="G3058" s="28">
        <v>1</v>
      </c>
    </row>
    <row r="3059" spans="1:7">
      <c r="A3059" s="28">
        <v>1370403</v>
      </c>
      <c r="B3059" s="28" t="s">
        <v>11998</v>
      </c>
      <c r="C3059" s="28">
        <v>3</v>
      </c>
      <c r="D3059" s="28" t="s">
        <v>11999</v>
      </c>
      <c r="E3059" s="54" t="s"/>
      <c r="F3059" s="28" t="s">
        <v>12000</v>
      </c>
      <c r="G3059" s="28">
        <v>1</v>
      </c>
    </row>
    <row r="3060" spans="1:7">
      <c r="A3060" s="28">
        <v>1370404</v>
      </c>
      <c r="B3060" s="28" t="s">
        <v>12001</v>
      </c>
      <c r="C3060" s="28">
        <v>2</v>
      </c>
      <c r="D3060" s="28" t="s">
        <v>12002</v>
      </c>
      <c r="E3060" s="54" t="s"/>
      <c r="F3060" s="28" t="s">
        <v>12003</v>
      </c>
      <c r="G3060" s="28">
        <v>1</v>
      </c>
    </row>
    <row r="3061" spans="1:7">
      <c r="A3061" s="28">
        <v>1370405</v>
      </c>
      <c r="B3061" s="28" t="s">
        <v>12004</v>
      </c>
      <c r="C3061" s="28">
        <v>2</v>
      </c>
      <c r="D3061" s="28" t="s">
        <v>12005</v>
      </c>
      <c r="E3061" s="54" t="s"/>
      <c r="F3061" s="28" t="s">
        <v>12006</v>
      </c>
      <c r="G3061" s="28">
        <v>1</v>
      </c>
    </row>
    <row r="3062" spans="1:7">
      <c r="A3062" s="28">
        <v>1370406</v>
      </c>
      <c r="B3062" s="28" t="s">
        <v>12007</v>
      </c>
      <c r="C3062" s="28">
        <v>2</v>
      </c>
      <c r="D3062" s="28" t="s">
        <v>8851</v>
      </c>
      <c r="E3062" s="54" t="s"/>
      <c r="F3062" s="28" t="s">
        <v>12008</v>
      </c>
      <c r="G3062" s="28">
        <v>1</v>
      </c>
    </row>
    <row r="3063" spans="1:7">
      <c r="A3063" s="28">
        <v>1370501</v>
      </c>
      <c r="B3063" s="28" t="s">
        <v>12009</v>
      </c>
      <c r="C3063" s="28">
        <v>3</v>
      </c>
      <c r="D3063" s="28" t="s">
        <v>12010</v>
      </c>
      <c r="E3063" s="54" t="s"/>
      <c r="F3063" s="28" t="s">
        <v>12011</v>
      </c>
      <c r="G3063" s="28">
        <v>1</v>
      </c>
    </row>
    <row r="3064" spans="1:7">
      <c r="A3064" s="28">
        <v>1370502</v>
      </c>
      <c r="B3064" s="28" t="s">
        <v>12012</v>
      </c>
      <c r="C3064" s="28">
        <v>3</v>
      </c>
      <c r="D3064" s="28" t="s">
        <v>12013</v>
      </c>
      <c r="E3064" s="54" t="s"/>
      <c r="F3064" s="28" t="s">
        <v>12014</v>
      </c>
      <c r="G3064" s="28">
        <v>1</v>
      </c>
    </row>
    <row r="3065" spans="1:7">
      <c r="A3065" s="28">
        <v>1370503</v>
      </c>
      <c r="B3065" s="28" t="s">
        <v>12015</v>
      </c>
      <c r="C3065" s="28">
        <v>3</v>
      </c>
      <c r="D3065" s="28" t="s">
        <v>12016</v>
      </c>
      <c r="E3065" s="54" t="s"/>
      <c r="F3065" s="28" t="s">
        <v>12017</v>
      </c>
      <c r="G3065" s="28">
        <v>1</v>
      </c>
    </row>
    <row r="3066" spans="1:7">
      <c r="A3066" s="28">
        <v>1370504</v>
      </c>
      <c r="B3066" s="28" t="s">
        <v>12018</v>
      </c>
      <c r="C3066" s="28">
        <v>2</v>
      </c>
      <c r="D3066" s="28" t="s">
        <v>10416</v>
      </c>
      <c r="E3066" s="54" t="s"/>
      <c r="F3066" s="28" t="s">
        <v>12019</v>
      </c>
      <c r="G3066" s="28">
        <v>1</v>
      </c>
    </row>
    <row r="3067" spans="1:7">
      <c r="A3067" s="28">
        <v>1370505</v>
      </c>
      <c r="B3067" s="28" t="s">
        <v>12020</v>
      </c>
      <c r="C3067" s="28">
        <v>2</v>
      </c>
      <c r="D3067" s="28" t="s">
        <v>12021</v>
      </c>
      <c r="E3067" s="54" t="s"/>
      <c r="F3067" s="28" t="s">
        <v>12022</v>
      </c>
      <c r="G3067" s="28">
        <v>1</v>
      </c>
    </row>
    <row r="3068" spans="1:7">
      <c r="A3068" s="28">
        <v>1370506</v>
      </c>
      <c r="B3068" s="28" t="s">
        <v>12023</v>
      </c>
      <c r="C3068" s="28">
        <v>2</v>
      </c>
      <c r="D3068" s="28" t="s">
        <v>12024</v>
      </c>
      <c r="E3068" s="54" t="s"/>
      <c r="F3068" s="28" t="s">
        <v>12025</v>
      </c>
      <c r="G3068" s="28">
        <v>1</v>
      </c>
    </row>
    <row r="3069" spans="1:7">
      <c r="A3069" s="28">
        <v>1370601</v>
      </c>
      <c r="B3069" s="28" t="s">
        <v>12026</v>
      </c>
      <c r="C3069" s="28">
        <v>3</v>
      </c>
      <c r="D3069" s="28" t="s">
        <v>12027</v>
      </c>
      <c r="E3069" s="54" t="s"/>
      <c r="F3069" s="28" t="s">
        <v>12028</v>
      </c>
      <c r="G3069" s="28">
        <v>1</v>
      </c>
    </row>
    <row r="3070" spans="1:7">
      <c r="A3070" s="28">
        <v>1370602</v>
      </c>
      <c r="B3070" s="28" t="s">
        <v>12029</v>
      </c>
      <c r="C3070" s="28">
        <v>3</v>
      </c>
      <c r="D3070" s="28" t="s">
        <v>12030</v>
      </c>
      <c r="E3070" s="54" t="s"/>
      <c r="F3070" s="28" t="s">
        <v>12031</v>
      </c>
      <c r="G3070" s="28">
        <v>1</v>
      </c>
    </row>
    <row r="3071" spans="1:7">
      <c r="A3071" s="28">
        <v>1370603</v>
      </c>
      <c r="B3071" s="28" t="s">
        <v>12032</v>
      </c>
      <c r="C3071" s="28">
        <v>3</v>
      </c>
      <c r="D3071" s="28" t="s">
        <v>12033</v>
      </c>
      <c r="E3071" s="54" t="s"/>
      <c r="F3071" s="28" t="s">
        <v>12034</v>
      </c>
      <c r="G3071" s="28">
        <v>1</v>
      </c>
    </row>
    <row r="3072" spans="1:7">
      <c r="A3072" s="28">
        <v>1370604</v>
      </c>
      <c r="B3072" s="28" t="s">
        <v>12035</v>
      </c>
      <c r="C3072" s="28">
        <v>2</v>
      </c>
      <c r="D3072" s="28" t="s">
        <v>12036</v>
      </c>
      <c r="E3072" s="54" t="s"/>
      <c r="F3072" s="28" t="s">
        <v>12037</v>
      </c>
      <c r="G3072" s="28">
        <v>1</v>
      </c>
    </row>
    <row r="3073" spans="1:7">
      <c r="A3073" s="28">
        <v>1370605</v>
      </c>
      <c r="B3073" s="28" t="s">
        <v>12038</v>
      </c>
      <c r="C3073" s="28">
        <v>2</v>
      </c>
      <c r="D3073" s="28" t="s">
        <v>12039</v>
      </c>
      <c r="E3073" s="54" t="s"/>
      <c r="F3073" s="28" t="s">
        <v>12040</v>
      </c>
      <c r="G3073" s="28">
        <v>1</v>
      </c>
    </row>
    <row r="3074" spans="1:7">
      <c r="A3074" s="28">
        <v>1370606</v>
      </c>
      <c r="B3074" s="28" t="s">
        <v>12041</v>
      </c>
      <c r="C3074" s="28">
        <v>2</v>
      </c>
      <c r="D3074" s="28" t="s">
        <v>12042</v>
      </c>
      <c r="E3074" s="64" t="s"/>
      <c r="F3074" s="28" t="s">
        <v>12043</v>
      </c>
      <c r="G3074" s="28">
        <v>1</v>
      </c>
    </row>
    <row r="3075" spans="1:7">
      <c r="A3075" s="28">
        <v>1439914</v>
      </c>
      <c r="B3075" s="28" t="s">
        <v>10819</v>
      </c>
      <c r="C3075" s="28">
        <v>4</v>
      </c>
      <c r="D3075" s="28" t="s"/>
      <c r="E3075" s="64" t="s"/>
      <c r="F3075" s="28" t="s">
        <v>10821</v>
      </c>
      <c r="G3075" s="28">
        <v>1</v>
      </c>
    </row>
    <row r="3076" spans="1:7">
      <c r="A3076" s="28">
        <v>2000002</v>
      </c>
      <c r="B3076" s="28" t="s">
        <v>12044</v>
      </c>
      <c r="C3076" s="28">
        <v>4</v>
      </c>
      <c r="D3076" s="28" t="s"/>
      <c r="E3076" s="54" t="s"/>
      <c r="F3076" s="28" t="s">
        <v>12045</v>
      </c>
      <c r="G3076" s="28">
        <v>9999</v>
      </c>
    </row>
    <row r="3077" spans="1:7">
      <c r="A3077" s="28">
        <v>2000003</v>
      </c>
      <c r="B3077" s="28" t="s">
        <v>12046</v>
      </c>
      <c r="C3077" s="28">
        <v>4</v>
      </c>
      <c r="D3077" s="28" t="s"/>
      <c r="E3077" s="64" t="s"/>
      <c r="F3077" s="28" t="s">
        <v>12045</v>
      </c>
      <c r="G3077" s="28">
        <v>9999</v>
      </c>
    </row>
    <row r="3078" spans="1:7">
      <c r="A3078" s="28">
        <v>2000004</v>
      </c>
      <c r="B3078" s="28" t="s">
        <v>12047</v>
      </c>
      <c r="C3078" s="28">
        <v>4</v>
      </c>
      <c r="D3078" s="28" t="s"/>
      <c r="E3078" s="54" t="s"/>
      <c r="F3078" s="28" t="s">
        <v>12045</v>
      </c>
      <c r="G3078" s="28">
        <v>9999</v>
      </c>
    </row>
    <row r="3079" spans="1:7">
      <c r="A3079" s="28">
        <v>2000005</v>
      </c>
      <c r="B3079" s="28" t="s">
        <v>12048</v>
      </c>
      <c r="C3079" s="28">
        <v>4</v>
      </c>
      <c r="D3079" s="28" t="s"/>
      <c r="E3079" s="64" t="s"/>
      <c r="F3079" s="28" t="s">
        <v>12045</v>
      </c>
      <c r="G3079" s="28">
        <v>9999</v>
      </c>
    </row>
    <row r="3080" spans="1:7">
      <c r="A3080" s="28">
        <v>2000006</v>
      </c>
      <c r="B3080" s="28" t="s">
        <v>12049</v>
      </c>
      <c r="C3080" s="28">
        <v>4</v>
      </c>
      <c r="D3080" s="28" t="s"/>
      <c r="E3080" s="64" t="s"/>
      <c r="F3080" s="28" t="s">
        <v>12045</v>
      </c>
      <c r="G3080" s="28">
        <v>9999</v>
      </c>
    </row>
    <row r="3081" spans="1:7">
      <c r="A3081" s="28">
        <v>2000012</v>
      </c>
      <c r="B3081" s="28" t="s">
        <v>12050</v>
      </c>
      <c r="C3081" s="28">
        <v>3</v>
      </c>
      <c r="D3081" s="28" t="s"/>
      <c r="E3081" s="64" t="s"/>
      <c r="F3081" s="28" t="s">
        <v>12051</v>
      </c>
      <c r="G3081" s="28">
        <v>9999</v>
      </c>
    </row>
    <row r="3082" spans="1:7">
      <c r="A3082" s="28">
        <v>2000013</v>
      </c>
      <c r="B3082" s="28" t="s">
        <v>12052</v>
      </c>
      <c r="C3082" s="28">
        <v>2</v>
      </c>
      <c r="D3082" s="28" t="s"/>
      <c r="E3082" s="64" t="s"/>
      <c r="F3082" s="28" t="s">
        <v>12053</v>
      </c>
      <c r="G3082" s="28">
        <v>9999</v>
      </c>
    </row>
    <row r="3083" spans="1:7">
      <c r="A3083" s="28">
        <v>2000014</v>
      </c>
      <c r="B3083" s="28" t="s">
        <v>12054</v>
      </c>
      <c r="C3083" s="28">
        <v>4</v>
      </c>
      <c r="D3083" s="28" t="s">
        <v>12055</v>
      </c>
      <c r="E3083" s="64" t="s"/>
      <c r="F3083" s="28" t="s">
        <v>12056</v>
      </c>
      <c r="G3083" s="28">
        <v>9999</v>
      </c>
    </row>
    <row r="3084" spans="1:7">
      <c r="A3084" s="28">
        <v>2000015</v>
      </c>
      <c r="B3084" s="28" t="s">
        <v>12057</v>
      </c>
      <c r="C3084" s="28">
        <v>4</v>
      </c>
      <c r="D3084" s="28" t="s">
        <v>12058</v>
      </c>
      <c r="E3084" s="64" t="s"/>
      <c r="F3084" s="28" t="s">
        <v>12059</v>
      </c>
      <c r="G3084" s="28">
        <v>9999</v>
      </c>
    </row>
    <row r="3085" spans="1:7">
      <c r="A3085" s="28">
        <v>2000016</v>
      </c>
      <c r="B3085" s="28" t="s">
        <v>12060</v>
      </c>
      <c r="C3085" s="28">
        <v>2</v>
      </c>
      <c r="D3085" s="28" t="s">
        <v>12061</v>
      </c>
      <c r="E3085" s="54" t="s"/>
      <c r="F3085" s="28" t="s">
        <v>12053</v>
      </c>
      <c r="G3085" s="28">
        <v>9999</v>
      </c>
    </row>
    <row r="3086" spans="1:7">
      <c r="A3086" s="28">
        <v>2000017</v>
      </c>
      <c r="B3086" s="28" t="s">
        <v>12062</v>
      </c>
      <c r="C3086" s="28">
        <v>4</v>
      </c>
      <c r="D3086" s="28" t="s"/>
      <c r="E3086" s="54" t="s"/>
      <c r="F3086" s="28" t="s">
        <v>12045</v>
      </c>
      <c r="G3086" s="28">
        <v>9999</v>
      </c>
    </row>
    <row r="3087" spans="1:7">
      <c r="A3087" s="28">
        <v>2000018</v>
      </c>
      <c r="B3087" s="28" t="s">
        <v>12063</v>
      </c>
      <c r="C3087" s="28">
        <v>4</v>
      </c>
      <c r="D3087" s="28" t="s"/>
      <c r="E3087" s="54" t="s"/>
      <c r="F3087" s="28" t="s">
        <v>12045</v>
      </c>
      <c r="G3087" s="28">
        <v>9999</v>
      </c>
    </row>
    <row r="3088" spans="1:7">
      <c r="A3088" s="28">
        <v>2000019</v>
      </c>
      <c r="B3088" s="28" t="s">
        <v>12064</v>
      </c>
      <c r="C3088" s="28">
        <v>4</v>
      </c>
      <c r="D3088" s="28" t="s"/>
      <c r="E3088" s="64" t="s"/>
      <c r="F3088" s="28" t="s">
        <v>12045</v>
      </c>
      <c r="G3088" s="28">
        <v>9999</v>
      </c>
    </row>
    <row r="3089" spans="1:7">
      <c r="A3089" s="28">
        <v>2000020</v>
      </c>
      <c r="B3089" s="28" t="s">
        <v>12065</v>
      </c>
      <c r="C3089" s="28">
        <v>4</v>
      </c>
      <c r="D3089" s="28" t="s"/>
      <c r="E3089" s="54" t="s"/>
      <c r="F3089" s="28" t="s">
        <v>12045</v>
      </c>
      <c r="G3089" s="28">
        <v>9999</v>
      </c>
    </row>
    <row r="3090" spans="1:7">
      <c r="A3090" s="28">
        <v>2000021</v>
      </c>
      <c r="B3090" s="28" t="s">
        <v>12066</v>
      </c>
      <c r="C3090" s="28">
        <v>4</v>
      </c>
      <c r="D3090" s="28" t="s"/>
      <c r="E3090" s="64" t="s"/>
      <c r="F3090" s="28" t="s">
        <v>12045</v>
      </c>
      <c r="G3090" s="28">
        <v>9999</v>
      </c>
    </row>
    <row r="3091" spans="1:7">
      <c r="A3091" s="28">
        <v>2000022</v>
      </c>
      <c r="B3091" s="28" t="s">
        <v>12067</v>
      </c>
      <c r="C3091" s="28">
        <v>3</v>
      </c>
      <c r="D3091" s="28" t="s"/>
      <c r="E3091" s="54" t="s"/>
      <c r="F3091" s="28" t="s">
        <v>12045</v>
      </c>
      <c r="G3091" s="28">
        <v>9999</v>
      </c>
    </row>
    <row r="3092" spans="1:7">
      <c r="A3092" s="28">
        <v>2000023</v>
      </c>
      <c r="B3092" s="28" t="s">
        <v>12068</v>
      </c>
      <c r="C3092" s="28">
        <v>3</v>
      </c>
      <c r="D3092" s="28" t="s"/>
      <c r="E3092" s="54" t="s"/>
      <c r="F3092" s="28" t="s">
        <v>12045</v>
      </c>
      <c r="G3092" s="28">
        <v>9999</v>
      </c>
    </row>
    <row r="3093" spans="1:7">
      <c r="A3093" s="28">
        <v>2000024</v>
      </c>
      <c r="B3093" s="28" t="s">
        <v>12069</v>
      </c>
      <c r="C3093" s="28">
        <v>3</v>
      </c>
      <c r="D3093" s="28" t="s"/>
      <c r="E3093" s="54" t="s"/>
      <c r="F3093" s="28" t="s">
        <v>12045</v>
      </c>
      <c r="G3093" s="28">
        <v>9999</v>
      </c>
    </row>
    <row r="3094" spans="1:7">
      <c r="A3094" s="28">
        <v>2000025</v>
      </c>
      <c r="B3094" s="28" t="s">
        <v>12070</v>
      </c>
      <c r="C3094" s="28">
        <v>4</v>
      </c>
      <c r="D3094" s="28" t="s"/>
      <c r="E3094" s="54" t="s"/>
      <c r="F3094" s="28" t="s">
        <v>12045</v>
      </c>
      <c r="G3094" s="28">
        <v>9999</v>
      </c>
    </row>
    <row r="3095" spans="1:7">
      <c r="A3095" s="28">
        <v>2000026</v>
      </c>
      <c r="B3095" s="28" t="s">
        <v>12071</v>
      </c>
      <c r="C3095" s="28">
        <v>4</v>
      </c>
      <c r="D3095" s="28" t="s"/>
      <c r="E3095" s="64" t="s"/>
      <c r="F3095" s="28" t="s">
        <v>12045</v>
      </c>
      <c r="G3095" s="28">
        <v>9999</v>
      </c>
    </row>
    <row r="3096" spans="1:7">
      <c r="A3096" s="28">
        <v>2000027</v>
      </c>
      <c r="B3096" s="28" t="s">
        <v>12072</v>
      </c>
      <c r="C3096" s="28">
        <v>3</v>
      </c>
      <c r="D3096" s="28" t="s"/>
      <c r="E3096" s="64" t="s"/>
      <c r="F3096" s="28" t="s">
        <v>12045</v>
      </c>
      <c r="G3096" s="28">
        <v>9999</v>
      </c>
    </row>
    <row r="3097" spans="1:7">
      <c r="A3097" s="28">
        <v>2000028</v>
      </c>
      <c r="B3097" s="28" t="s">
        <v>12073</v>
      </c>
      <c r="C3097" s="28">
        <v>3</v>
      </c>
      <c r="D3097" s="28" t="s"/>
      <c r="E3097" s="54" t="s"/>
      <c r="F3097" s="28" t="s">
        <v>12045</v>
      </c>
      <c r="G3097" s="28">
        <v>9999</v>
      </c>
    </row>
    <row r="3098" spans="1:7">
      <c r="A3098" s="28">
        <v>2000029</v>
      </c>
      <c r="B3098" s="28" t="s">
        <v>12074</v>
      </c>
      <c r="C3098" s="28">
        <v>4</v>
      </c>
      <c r="D3098" s="28" t="s">
        <v>12075</v>
      </c>
      <c r="E3098" s="54" t="s"/>
      <c r="F3098" s="28" t="s">
        <v>12045</v>
      </c>
      <c r="G3098" s="28">
        <v>9999</v>
      </c>
    </row>
    <row r="3099" spans="1:7">
      <c r="A3099" s="28">
        <v>2000030</v>
      </c>
      <c r="B3099" s="28" t="s">
        <v>12076</v>
      </c>
      <c r="C3099" s="28">
        <v>4</v>
      </c>
      <c r="D3099" s="28" t="s"/>
      <c r="E3099" s="54" t="s"/>
      <c r="F3099" s="28" t="s">
        <v>12045</v>
      </c>
      <c r="G3099" s="28">
        <v>9999</v>
      </c>
    </row>
    <row r="3100" spans="1:7">
      <c r="A3100" s="28">
        <v>2000031</v>
      </c>
      <c r="B3100" s="28" t="s">
        <v>12077</v>
      </c>
      <c r="C3100" s="28">
        <v>4</v>
      </c>
      <c r="D3100" s="28" t="s">
        <v>12055</v>
      </c>
      <c r="E3100" s="54" t="s"/>
      <c r="F3100" s="28" t="s">
        <v>12078</v>
      </c>
      <c r="G3100" s="28">
        <v>9999</v>
      </c>
    </row>
    <row r="3101" spans="1:7">
      <c r="A3101" s="28">
        <v>2000032</v>
      </c>
      <c r="B3101" s="28" t="s">
        <v>12057</v>
      </c>
      <c r="C3101" s="28">
        <v>4</v>
      </c>
      <c r="D3101" s="28" t="s">
        <v>12058</v>
      </c>
      <c r="E3101" s="54" t="s"/>
      <c r="F3101" s="28" t="s">
        <v>12079</v>
      </c>
      <c r="G3101" s="28">
        <v>9999</v>
      </c>
    </row>
    <row r="3102" spans="1:7">
      <c r="A3102" s="28">
        <v>2000033</v>
      </c>
      <c r="B3102" s="28" t="s">
        <v>12080</v>
      </c>
      <c r="C3102" s="28">
        <v>2</v>
      </c>
      <c r="D3102" s="28" t="s">
        <v>12081</v>
      </c>
      <c r="E3102" s="54" t="s"/>
      <c r="F3102" s="28" t="s">
        <v>12079</v>
      </c>
      <c r="G3102" s="28">
        <v>9999</v>
      </c>
    </row>
    <row r="3103" spans="1:7">
      <c r="A3103" s="28">
        <v>2000034</v>
      </c>
      <c r="B3103" s="28" t="s">
        <v>12082</v>
      </c>
      <c r="C3103" s="28">
        <v>4</v>
      </c>
      <c r="D3103" s="28" t="s">
        <v>12075</v>
      </c>
      <c r="E3103" s="54" t="s"/>
      <c r="F3103" s="28" t="s">
        <v>12045</v>
      </c>
      <c r="G3103" s="28">
        <v>9999</v>
      </c>
    </row>
    <row r="3104" spans="1:7">
      <c r="A3104" s="28">
        <v>2000035</v>
      </c>
      <c r="B3104" s="28" t="s">
        <v>12083</v>
      </c>
      <c r="C3104" s="28">
        <v>4</v>
      </c>
      <c r="D3104" s="28" t="s">
        <v>12075</v>
      </c>
      <c r="E3104" s="54" t="s"/>
      <c r="F3104" s="28" t="s">
        <v>12045</v>
      </c>
      <c r="G3104" s="28">
        <v>9999</v>
      </c>
    </row>
    <row r="3105" spans="1:7">
      <c r="A3105" s="28">
        <v>2000036</v>
      </c>
      <c r="B3105" s="28" t="s">
        <v>12084</v>
      </c>
      <c r="C3105" s="28">
        <v>4</v>
      </c>
      <c r="D3105" s="28" t="s">
        <v>12085</v>
      </c>
      <c r="E3105" s="54" t="s"/>
      <c r="F3105" s="28" t="s">
        <v>12045</v>
      </c>
      <c r="G3105" s="28">
        <v>9999</v>
      </c>
    </row>
    <row r="3106" spans="1:7">
      <c r="A3106" s="28">
        <v>2000037</v>
      </c>
      <c r="B3106" s="28" t="s">
        <v>12086</v>
      </c>
      <c r="C3106" s="28">
        <v>4</v>
      </c>
      <c r="D3106" s="28" t="s">
        <v>12087</v>
      </c>
      <c r="E3106" s="54" t="s"/>
      <c r="F3106" s="28" t="s">
        <v>12045</v>
      </c>
      <c r="G3106" s="28">
        <v>9999</v>
      </c>
    </row>
    <row r="3107" spans="1:7">
      <c r="A3107" s="28">
        <v>2000038</v>
      </c>
      <c r="B3107" s="28" t="s">
        <v>12088</v>
      </c>
      <c r="C3107" s="28">
        <v>4</v>
      </c>
      <c r="D3107" s="28" t="s">
        <v>12075</v>
      </c>
      <c r="E3107" s="54" t="s"/>
      <c r="F3107" s="28" t="s">
        <v>12045</v>
      </c>
      <c r="G3107" s="28">
        <v>9999</v>
      </c>
    </row>
    <row r="3108" spans="1:7">
      <c r="A3108" s="28">
        <v>2000039</v>
      </c>
      <c r="B3108" s="28" t="s">
        <v>12089</v>
      </c>
      <c r="C3108" s="28">
        <v>4</v>
      </c>
      <c r="D3108" s="28" t="s">
        <v>12075</v>
      </c>
      <c r="E3108" s="54" t="s"/>
      <c r="F3108" s="28" t="s">
        <v>12045</v>
      </c>
      <c r="G3108" s="28">
        <v>9999</v>
      </c>
    </row>
    <row r="3109" spans="1:7">
      <c r="A3109" s="28">
        <v>2000040</v>
      </c>
      <c r="B3109" s="28" t="s">
        <v>12090</v>
      </c>
      <c r="C3109" s="28">
        <v>4</v>
      </c>
      <c r="D3109" s="28" t="s">
        <v>12075</v>
      </c>
      <c r="E3109" s="54" t="s"/>
      <c r="F3109" s="28" t="s">
        <v>12045</v>
      </c>
      <c r="G3109" s="28">
        <v>9999</v>
      </c>
    </row>
    <row r="3110" spans="1:7">
      <c r="A3110" s="28">
        <v>2000041</v>
      </c>
      <c r="B3110" s="28" t="s">
        <v>12091</v>
      </c>
      <c r="C3110" s="28">
        <v>4</v>
      </c>
      <c r="D3110" s="28" t="s">
        <v>12075</v>
      </c>
      <c r="E3110" s="54" t="s"/>
      <c r="F3110" s="28" t="s">
        <v>12045</v>
      </c>
      <c r="G3110" s="28">
        <v>9999</v>
      </c>
    </row>
    <row r="3111" spans="1:7">
      <c r="A3111" s="28">
        <v>2090000</v>
      </c>
      <c r="B3111" s="28" t="s">
        <v>12092</v>
      </c>
      <c r="C3111" s="28">
        <v>3</v>
      </c>
      <c r="D3111" s="28" t="s">
        <v>12093</v>
      </c>
      <c r="E3111" s="54" t="s">
        <v>12094</v>
      </c>
      <c r="F3111" s="28" t="s">
        <v>12095</v>
      </c>
      <c r="G3111" s="28">
        <v>1</v>
      </c>
    </row>
    <row r="3112" spans="1:7">
      <c r="A3112" s="28">
        <v>2090001</v>
      </c>
      <c r="B3112" s="28" t="s">
        <v>12092</v>
      </c>
      <c r="C3112" s="28">
        <v>3</v>
      </c>
      <c r="D3112" s="28" t="s">
        <v>12096</v>
      </c>
      <c r="E3112" s="54" t="s">
        <v>12094</v>
      </c>
      <c r="F3112" s="28" t="s">
        <v>12095</v>
      </c>
      <c r="G3112" s="28">
        <v>1</v>
      </c>
    </row>
    <row r="3113" spans="1:7">
      <c r="A3113" s="28">
        <v>2090002</v>
      </c>
      <c r="B3113" s="28" t="s">
        <v>12097</v>
      </c>
      <c r="C3113" s="28">
        <v>3</v>
      </c>
      <c r="D3113" s="28" t="s">
        <v>12098</v>
      </c>
      <c r="E3113" s="54" t="s">
        <v>12099</v>
      </c>
      <c r="F3113" s="28" t="s">
        <v>12100</v>
      </c>
      <c r="G3113" s="28">
        <v>9999</v>
      </c>
    </row>
    <row r="3114" spans="1:7">
      <c r="A3114" s="28">
        <v>2090003</v>
      </c>
      <c r="B3114" s="28" t="s">
        <v>12101</v>
      </c>
      <c r="C3114" s="28">
        <v>3</v>
      </c>
      <c r="D3114" s="28" t="s">
        <v>12102</v>
      </c>
      <c r="E3114" s="54" t="s">
        <v>12103</v>
      </c>
      <c r="F3114" s="28" t="s">
        <v>12104</v>
      </c>
      <c r="G3114" s="28">
        <v>1</v>
      </c>
    </row>
    <row r="3115" spans="1:7">
      <c r="A3115" s="28">
        <v>2090004</v>
      </c>
      <c r="B3115" s="28" t="s">
        <v>12105</v>
      </c>
      <c r="C3115" s="28">
        <v>3</v>
      </c>
      <c r="D3115" s="28" t="s">
        <v>12106</v>
      </c>
      <c r="E3115" s="54" t="s">
        <v>12107</v>
      </c>
      <c r="F3115" s="28" t="s">
        <v>12108</v>
      </c>
      <c r="G3115" s="28">
        <v>1</v>
      </c>
    </row>
    <row r="3116" spans="1:7">
      <c r="A3116" s="28">
        <v>2090005</v>
      </c>
      <c r="B3116" s="28" t="s">
        <v>12109</v>
      </c>
      <c r="C3116" s="28">
        <v>3</v>
      </c>
      <c r="D3116" s="28" t="s">
        <v>12110</v>
      </c>
      <c r="E3116" s="54" t="s">
        <v>12107</v>
      </c>
      <c r="F3116" s="28" t="s">
        <v>12108</v>
      </c>
      <c r="G3116" s="28">
        <v>1</v>
      </c>
    </row>
    <row r="3117" spans="1:7">
      <c r="A3117" s="28">
        <v>2090006</v>
      </c>
      <c r="B3117" s="28" t="s">
        <v>12111</v>
      </c>
      <c r="C3117" s="28">
        <v>3</v>
      </c>
      <c r="D3117" s="28" t="s">
        <v>12112</v>
      </c>
      <c r="E3117" s="54" t="s">
        <v>12113</v>
      </c>
      <c r="F3117" s="28" t="s">
        <v>12114</v>
      </c>
      <c r="G3117" s="28">
        <v>3</v>
      </c>
    </row>
    <row r="3118" spans="1:7">
      <c r="A3118" s="28">
        <v>2090007</v>
      </c>
      <c r="B3118" s="28" t="s">
        <v>12115</v>
      </c>
      <c r="C3118" s="28">
        <v>3</v>
      </c>
      <c r="D3118" s="28" t="s">
        <v>12116</v>
      </c>
      <c r="E3118" s="54" t="s">
        <v>12117</v>
      </c>
      <c r="F3118" s="28" t="s">
        <v>12118</v>
      </c>
      <c r="G3118" s="28">
        <v>3</v>
      </c>
    </row>
    <row r="3119" spans="1:7">
      <c r="A3119" s="28">
        <v>2090008</v>
      </c>
      <c r="B3119" s="28" t="s">
        <v>12119</v>
      </c>
      <c r="C3119" s="28">
        <v>3</v>
      </c>
      <c r="D3119" s="28" t="s">
        <v>12120</v>
      </c>
      <c r="E3119" s="54" t="s">
        <v>12121</v>
      </c>
      <c r="F3119" s="28" t="s">
        <v>12122</v>
      </c>
      <c r="G3119" s="28">
        <v>1</v>
      </c>
    </row>
    <row r="3120" spans="1:7">
      <c r="A3120" s="28">
        <v>2090009</v>
      </c>
      <c r="B3120" s="28" t="s">
        <v>12123</v>
      </c>
      <c r="C3120" s="28">
        <v>3</v>
      </c>
      <c r="D3120" s="28" t="s">
        <v>12124</v>
      </c>
      <c r="E3120" s="54" t="s">
        <v>12121</v>
      </c>
      <c r="F3120" s="28" t="s">
        <v>12122</v>
      </c>
      <c r="G3120" s="28">
        <v>1</v>
      </c>
    </row>
    <row r="3121" spans="1:7">
      <c r="A3121" s="28">
        <v>2090010</v>
      </c>
      <c r="B3121" s="28" t="s">
        <v>12125</v>
      </c>
      <c r="C3121" s="28">
        <v>3</v>
      </c>
      <c r="D3121" s="28" t="s">
        <v>12126</v>
      </c>
      <c r="E3121" s="54" t="s">
        <v>12127</v>
      </c>
      <c r="F3121" s="28" t="s">
        <v>12128</v>
      </c>
      <c r="G3121" s="28">
        <v>1</v>
      </c>
    </row>
    <row r="3122" spans="1:7">
      <c r="A3122" s="28">
        <v>2090011</v>
      </c>
      <c r="B3122" s="28" t="s">
        <v>12129</v>
      </c>
      <c r="C3122" s="28">
        <v>3</v>
      </c>
      <c r="D3122" s="28" t="s">
        <v>12130</v>
      </c>
      <c r="E3122" s="54" t="s">
        <v>12131</v>
      </c>
      <c r="F3122" s="28" t="s">
        <v>12132</v>
      </c>
      <c r="G3122" s="28">
        <v>1</v>
      </c>
    </row>
    <row r="3123" spans="1:7">
      <c r="A3123" s="28">
        <v>2090012</v>
      </c>
      <c r="B3123" s="28" t="s">
        <v>12133</v>
      </c>
      <c r="C3123" s="28">
        <v>3</v>
      </c>
      <c r="D3123" s="28" t="s">
        <v>12134</v>
      </c>
      <c r="E3123" s="54" t="s">
        <v>12135</v>
      </c>
      <c r="F3123" s="28" t="s">
        <v>12136</v>
      </c>
      <c r="G3123" s="28">
        <v>1</v>
      </c>
    </row>
    <row r="3124" spans="1:7">
      <c r="A3124" s="28">
        <v>2090013</v>
      </c>
      <c r="B3124" s="28" t="s">
        <v>12137</v>
      </c>
      <c r="C3124" s="28">
        <v>3</v>
      </c>
      <c r="D3124" s="28" t="s">
        <v>12138</v>
      </c>
      <c r="E3124" s="54" t="s">
        <v>12139</v>
      </c>
      <c r="F3124" s="28" t="s">
        <v>12140</v>
      </c>
      <c r="G3124" s="28">
        <v>1</v>
      </c>
    </row>
    <row r="3125" spans="1:7">
      <c r="A3125" s="28">
        <v>2090014</v>
      </c>
      <c r="B3125" s="28" t="s">
        <v>12141</v>
      </c>
      <c r="C3125" s="28">
        <v>3</v>
      </c>
      <c r="D3125" s="28" t="s">
        <v>12142</v>
      </c>
      <c r="E3125" s="54" t="s">
        <v>12143</v>
      </c>
      <c r="F3125" s="28" t="s">
        <v>12144</v>
      </c>
      <c r="G3125" s="28">
        <v>1</v>
      </c>
    </row>
    <row r="3126" spans="1:7">
      <c r="A3126" s="28">
        <v>2090015</v>
      </c>
      <c r="B3126" s="28" t="s">
        <v>12141</v>
      </c>
      <c r="C3126" s="28">
        <v>3</v>
      </c>
      <c r="D3126" s="28" t="s">
        <v>12145</v>
      </c>
      <c r="E3126" s="54" t="s">
        <v>12146</v>
      </c>
      <c r="F3126" s="28" t="s">
        <v>12147</v>
      </c>
      <c r="G3126" s="28">
        <v>1</v>
      </c>
    </row>
    <row r="3127" spans="1:7">
      <c r="A3127" s="28">
        <v>2090016</v>
      </c>
      <c r="B3127" s="28" t="s">
        <v>12148</v>
      </c>
      <c r="C3127" s="28">
        <v>3</v>
      </c>
      <c r="D3127" s="28" t="s">
        <v>12149</v>
      </c>
      <c r="E3127" s="54" t="s">
        <v>12150</v>
      </c>
      <c r="F3127" s="28" t="s">
        <v>12151</v>
      </c>
      <c r="G3127" s="28">
        <v>1</v>
      </c>
    </row>
    <row r="3128" spans="1:7">
      <c r="A3128" s="28">
        <v>2090017</v>
      </c>
      <c r="B3128" s="28" t="s">
        <v>12152</v>
      </c>
      <c r="C3128" s="28">
        <v>3</v>
      </c>
      <c r="D3128" s="28" t="s">
        <v>12153</v>
      </c>
      <c r="E3128" s="54" t="s">
        <v>12154</v>
      </c>
      <c r="F3128" s="28" t="s">
        <v>12155</v>
      </c>
      <c r="G3128" s="28">
        <v>1</v>
      </c>
    </row>
    <row r="3129" spans="1:7">
      <c r="A3129" s="28">
        <v>2090018</v>
      </c>
      <c r="B3129" s="28" t="s">
        <v>12156</v>
      </c>
      <c r="C3129" s="28">
        <v>3</v>
      </c>
      <c r="D3129" s="28" t="s">
        <v>12157</v>
      </c>
      <c r="E3129" s="54" t="s">
        <v>12158</v>
      </c>
      <c r="F3129" s="28" t="s">
        <v>12159</v>
      </c>
      <c r="G3129" s="28">
        <v>1</v>
      </c>
    </row>
    <row r="3130" spans="1:7">
      <c r="A3130" s="28">
        <v>2090019</v>
      </c>
      <c r="B3130" s="28" t="s">
        <v>12160</v>
      </c>
      <c r="C3130" s="28">
        <v>3</v>
      </c>
      <c r="D3130" s="28" t="s">
        <v>12161</v>
      </c>
      <c r="E3130" s="54" t="s">
        <v>12162</v>
      </c>
      <c r="F3130" s="28" t="s">
        <v>12163</v>
      </c>
      <c r="G3130" s="28">
        <v>1</v>
      </c>
    </row>
    <row r="3131" spans="1:7">
      <c r="A3131" s="28">
        <v>2090020</v>
      </c>
      <c r="B3131" s="28" t="s">
        <v>12164</v>
      </c>
      <c r="C3131" s="28">
        <v>3</v>
      </c>
      <c r="D3131" s="28" t="s">
        <v>12165</v>
      </c>
      <c r="E3131" s="54" t="s">
        <v>12166</v>
      </c>
      <c r="F3131" s="28" t="s">
        <v>12167</v>
      </c>
      <c r="G3131" s="28">
        <v>1</v>
      </c>
    </row>
    <row r="3132" spans="1:7">
      <c r="A3132" s="28">
        <v>2090021</v>
      </c>
      <c r="B3132" s="28" t="s">
        <v>12168</v>
      </c>
      <c r="C3132" s="28">
        <v>3</v>
      </c>
      <c r="D3132" s="28" t="s">
        <v>12169</v>
      </c>
      <c r="E3132" s="54" t="s">
        <v>12170</v>
      </c>
      <c r="F3132" s="28" t="s">
        <v>12171</v>
      </c>
      <c r="G3132" s="28">
        <v>1</v>
      </c>
    </row>
    <row r="3133" spans="1:7">
      <c r="A3133" s="28">
        <v>2090022</v>
      </c>
      <c r="B3133" s="28" t="s">
        <v>12172</v>
      </c>
      <c r="C3133" s="28">
        <v>3</v>
      </c>
      <c r="D3133" s="28" t="s">
        <v>12173</v>
      </c>
      <c r="E3133" s="54" t="s">
        <v>12174</v>
      </c>
      <c r="F3133" s="28" t="s">
        <v>12175</v>
      </c>
      <c r="G3133" s="28">
        <v>1</v>
      </c>
    </row>
    <row r="3134" spans="1:7">
      <c r="A3134" s="28">
        <v>2090023</v>
      </c>
      <c r="B3134" s="28" t="s">
        <v>12176</v>
      </c>
      <c r="C3134" s="28">
        <v>3</v>
      </c>
      <c r="D3134" s="28" t="s">
        <v>12177</v>
      </c>
      <c r="E3134" s="54" t="s">
        <v>12174</v>
      </c>
      <c r="F3134" s="28" t="s">
        <v>12178</v>
      </c>
      <c r="G3134" s="28">
        <v>1</v>
      </c>
    </row>
    <row r="3135" spans="1:7">
      <c r="A3135" s="28">
        <v>2090024</v>
      </c>
      <c r="B3135" s="28" t="s">
        <v>12179</v>
      </c>
      <c r="C3135" s="28">
        <v>3</v>
      </c>
      <c r="D3135" s="28" t="s">
        <v>12180</v>
      </c>
      <c r="E3135" s="54" t="s">
        <v>12181</v>
      </c>
      <c r="F3135" s="28" t="s">
        <v>12182</v>
      </c>
      <c r="G3135" s="28">
        <v>1</v>
      </c>
    </row>
    <row r="3136" spans="1:7">
      <c r="A3136" s="28">
        <v>2090025</v>
      </c>
      <c r="B3136" s="28" t="s">
        <v>12183</v>
      </c>
      <c r="C3136" s="28">
        <v>3</v>
      </c>
      <c r="D3136" s="28" t="s">
        <v>12184</v>
      </c>
      <c r="E3136" s="54" t="s">
        <v>12181</v>
      </c>
      <c r="F3136" s="28" t="s">
        <v>12185</v>
      </c>
      <c r="G3136" s="28">
        <v>1</v>
      </c>
    </row>
    <row r="3137" spans="1:7">
      <c r="A3137" s="28">
        <v>2100001</v>
      </c>
      <c r="B3137" s="28" t="s">
        <v>12186</v>
      </c>
      <c r="C3137" s="28">
        <v>4</v>
      </c>
      <c r="D3137" s="28" t="s">
        <v>12187</v>
      </c>
      <c r="E3137" s="54" t="s">
        <v>12188</v>
      </c>
      <c r="F3137" s="28" t="s">
        <v>12189</v>
      </c>
      <c r="G3137" s="28">
        <v>9</v>
      </c>
    </row>
    <row r="3138" spans="1:7">
      <c r="A3138" s="28">
        <v>2100002</v>
      </c>
      <c r="B3138" s="28" t="s">
        <v>12190</v>
      </c>
      <c r="C3138" s="28">
        <v>4</v>
      </c>
      <c r="D3138" s="28" t="s">
        <v>12191</v>
      </c>
      <c r="E3138" s="54" t="s">
        <v>12192</v>
      </c>
      <c r="F3138" s="28" t="s">
        <v>12193</v>
      </c>
      <c r="G3138" s="28">
        <v>9</v>
      </c>
    </row>
    <row r="3139" spans="1:7">
      <c r="A3139" s="28">
        <v>2100020</v>
      </c>
      <c r="B3139" s="28" t="s">
        <v>12194</v>
      </c>
      <c r="C3139" s="28">
        <v>3</v>
      </c>
      <c r="D3139" s="28" t="s">
        <v>12195</v>
      </c>
      <c r="E3139" s="54" t="s">
        <v>12196</v>
      </c>
      <c r="F3139" s="28" t="s">
        <v>12197</v>
      </c>
      <c r="G3139" s="28">
        <v>1</v>
      </c>
    </row>
    <row r="3140" spans="1:7">
      <c r="A3140" s="28">
        <v>2100021</v>
      </c>
      <c r="B3140" s="28" t="s">
        <v>12198</v>
      </c>
      <c r="C3140" s="28">
        <v>3</v>
      </c>
      <c r="D3140" s="28" t="s">
        <v>12199</v>
      </c>
      <c r="E3140" s="54" t="s"/>
      <c r="F3140" s="28" t="s">
        <v>12200</v>
      </c>
      <c r="G3140" s="28">
        <v>1</v>
      </c>
    </row>
    <row r="3141" spans="1:7">
      <c r="A3141" s="28">
        <v>2100022</v>
      </c>
      <c r="B3141" s="28" t="s">
        <v>12201</v>
      </c>
      <c r="C3141" s="28">
        <v>3</v>
      </c>
      <c r="D3141" s="28" t="s">
        <v>12202</v>
      </c>
      <c r="E3141" s="54" t="s"/>
      <c r="F3141" s="28" t="s">
        <v>12203</v>
      </c>
      <c r="G3141" s="28">
        <v>1</v>
      </c>
    </row>
    <row r="3142" spans="1:7">
      <c r="A3142" s="28">
        <v>2100023</v>
      </c>
      <c r="B3142" s="28" t="s">
        <v>12204</v>
      </c>
      <c r="C3142" s="28">
        <v>3</v>
      </c>
      <c r="D3142" s="28" t="s">
        <v>12205</v>
      </c>
      <c r="E3142" s="54" t="s">
        <v>12206</v>
      </c>
      <c r="F3142" s="28" t="s">
        <v>12207</v>
      </c>
      <c r="G3142" s="28">
        <v>1</v>
      </c>
    </row>
    <row r="3143" spans="1:7">
      <c r="A3143" s="28">
        <v>2100024</v>
      </c>
      <c r="B3143" s="28" t="s">
        <v>12208</v>
      </c>
      <c r="C3143" s="28">
        <v>3</v>
      </c>
      <c r="D3143" s="28" t="s">
        <v>12209</v>
      </c>
      <c r="E3143" s="54" t="s"/>
      <c r="F3143" s="28" t="s">
        <v>12051</v>
      </c>
      <c r="G3143" s="28">
        <v>1</v>
      </c>
    </row>
    <row r="3144" spans="1:7">
      <c r="A3144" s="28">
        <v>2100025</v>
      </c>
      <c r="B3144" s="28" t="s">
        <v>12204</v>
      </c>
      <c r="C3144" s="28">
        <v>3</v>
      </c>
      <c r="D3144" s="28" t="s">
        <v>12210</v>
      </c>
      <c r="E3144" s="54" t="s">
        <v>12206</v>
      </c>
      <c r="F3144" s="28" t="s">
        <v>12211</v>
      </c>
      <c r="G3144" s="28">
        <v>1</v>
      </c>
    </row>
    <row r="3145" spans="1:7">
      <c r="A3145" s="28">
        <v>2100031</v>
      </c>
      <c r="B3145" s="28" t="s">
        <v>12212</v>
      </c>
      <c r="C3145" s="28">
        <v>3</v>
      </c>
      <c r="D3145" s="28" t="s">
        <v>12213</v>
      </c>
      <c r="E3145" s="54" t="s"/>
      <c r="F3145" s="28" t="s">
        <v>12214</v>
      </c>
      <c r="G3145" s="28">
        <v>1</v>
      </c>
    </row>
    <row r="3146" spans="1:7">
      <c r="A3146" s="28">
        <v>2100032</v>
      </c>
      <c r="B3146" s="28" t="s">
        <v>12215</v>
      </c>
      <c r="C3146" s="28">
        <v>3</v>
      </c>
      <c r="D3146" s="28" t="s">
        <v>12216</v>
      </c>
      <c r="E3146" s="54" t="s"/>
      <c r="F3146" s="28" t="s">
        <v>12217</v>
      </c>
      <c r="G3146" s="28">
        <v>1</v>
      </c>
    </row>
    <row r="3147" spans="1:7">
      <c r="A3147" s="28">
        <v>2100033</v>
      </c>
      <c r="B3147" s="28" t="s">
        <v>12218</v>
      </c>
      <c r="C3147" s="28">
        <v>4</v>
      </c>
      <c r="D3147" s="28" t="s">
        <v>12219</v>
      </c>
      <c r="E3147" s="54" t="s"/>
      <c r="F3147" s="28" t="s">
        <v>12220</v>
      </c>
      <c r="G3147" s="28">
        <v>9999</v>
      </c>
    </row>
    <row r="3148" spans="1:7">
      <c r="A3148" s="28">
        <v>2100034</v>
      </c>
      <c r="B3148" s="28" t="s">
        <v>12221</v>
      </c>
      <c r="C3148" s="28">
        <v>3</v>
      </c>
      <c r="D3148" s="28" t="s">
        <v>12222</v>
      </c>
      <c r="E3148" s="54" t="s"/>
      <c r="F3148" s="28" t="s">
        <v>12220</v>
      </c>
      <c r="G3148" s="28">
        <v>9999</v>
      </c>
    </row>
    <row r="3149" spans="1:7">
      <c r="A3149" s="28">
        <v>2100035</v>
      </c>
      <c r="B3149" s="28" t="s">
        <v>12221</v>
      </c>
      <c r="C3149" s="28">
        <v>3</v>
      </c>
      <c r="D3149" s="28" t="s">
        <v>12222</v>
      </c>
      <c r="E3149" s="54" t="s"/>
      <c r="F3149" s="28" t="s">
        <v>12220</v>
      </c>
      <c r="G3149" s="28">
        <v>9999</v>
      </c>
    </row>
    <row r="3150" spans="1:7">
      <c r="A3150" s="28">
        <v>2100036</v>
      </c>
      <c r="B3150" s="28" t="s">
        <v>12221</v>
      </c>
      <c r="C3150" s="28">
        <v>3</v>
      </c>
      <c r="D3150" s="28" t="s">
        <v>12222</v>
      </c>
      <c r="E3150" s="54" t="s"/>
      <c r="F3150" s="28" t="s">
        <v>12220</v>
      </c>
      <c r="G3150" s="28">
        <v>9999</v>
      </c>
    </row>
    <row r="3151" spans="1:7">
      <c r="A3151" s="28">
        <v>3000000</v>
      </c>
      <c r="B3151" s="28" t="s">
        <v>12223</v>
      </c>
      <c r="C3151" s="28">
        <v>4</v>
      </c>
      <c r="D3151" s="28" t="s">
        <v>12224</v>
      </c>
      <c r="E3151" s="54" t="s">
        <v>12225</v>
      </c>
      <c r="F3151" s="28" t="s">
        <v>12226</v>
      </c>
      <c r="G3151" s="28">
        <v>9999</v>
      </c>
    </row>
    <row r="3152" spans="1:7">
      <c r="A3152" s="28">
        <v>3000001</v>
      </c>
      <c r="B3152" s="28" t="s">
        <v>12223</v>
      </c>
      <c r="C3152" s="28">
        <v>4</v>
      </c>
      <c r="D3152" s="28" t="s">
        <v>12224</v>
      </c>
      <c r="E3152" s="54" t="s">
        <v>12225</v>
      </c>
      <c r="F3152" s="28" t="s">
        <v>12226</v>
      </c>
      <c r="G3152" s="28">
        <v>9999</v>
      </c>
    </row>
    <row r="3153" spans="1:7">
      <c r="A3153" s="28">
        <v>3000002</v>
      </c>
      <c r="B3153" s="28" t="s">
        <v>12227</v>
      </c>
      <c r="C3153" s="28">
        <v>4</v>
      </c>
      <c r="D3153" s="28" t="s">
        <v>12228</v>
      </c>
      <c r="E3153" s="54" t="s">
        <v>12229</v>
      </c>
      <c r="F3153" s="28" t="s">
        <v>12230</v>
      </c>
      <c r="G3153" s="28">
        <v>1</v>
      </c>
    </row>
    <row r="3154" spans="1:7">
      <c r="A3154" s="28">
        <v>3000003</v>
      </c>
      <c r="B3154" s="28" t="s">
        <v>12227</v>
      </c>
      <c r="C3154" s="28">
        <v>4</v>
      </c>
      <c r="D3154" s="28" t="s">
        <v>12228</v>
      </c>
      <c r="E3154" s="54" t="s">
        <v>12229</v>
      </c>
      <c r="F3154" s="28" t="s">
        <v>12230</v>
      </c>
      <c r="G3154" s="28">
        <v>1</v>
      </c>
    </row>
    <row r="3155" spans="1:7">
      <c r="A3155" s="28">
        <v>3000050</v>
      </c>
      <c r="B3155" s="28" t="s">
        <v>12231</v>
      </c>
      <c r="C3155" s="28">
        <v>4</v>
      </c>
      <c r="D3155" s="28" t="s"/>
      <c r="E3155" s="54" t="s"/>
      <c r="F3155" s="28" t="s">
        <v>12045</v>
      </c>
      <c r="G3155" s="28">
        <v>9999</v>
      </c>
    </row>
    <row r="3156" spans="1:7">
      <c r="A3156" s="28">
        <v>3000051</v>
      </c>
      <c r="B3156" s="28" t="s">
        <v>12232</v>
      </c>
      <c r="C3156" s="28">
        <v>4</v>
      </c>
      <c r="D3156" s="28" t="s">
        <v>12233</v>
      </c>
      <c r="E3156" s="54" t="s"/>
      <c r="F3156" s="28" t="s">
        <v>12045</v>
      </c>
      <c r="G3156" s="28">
        <v>9999</v>
      </c>
    </row>
    <row r="3157" spans="1:7">
      <c r="A3157" s="28">
        <v>3000052</v>
      </c>
      <c r="B3157" s="28" t="s">
        <v>12231</v>
      </c>
      <c r="C3157" s="28">
        <v>4</v>
      </c>
      <c r="D3157" s="28" t="s"/>
      <c r="E3157" s="54" t="s"/>
      <c r="F3157" s="28" t="s">
        <v>12045</v>
      </c>
      <c r="G3157" s="28">
        <v>9999</v>
      </c>
    </row>
    <row r="3158" spans="1:7">
      <c r="A3158" s="28">
        <v>3000053</v>
      </c>
      <c r="B3158" s="28" t="s">
        <v>12234</v>
      </c>
      <c r="C3158" s="28">
        <v>4</v>
      </c>
      <c r="D3158" s="28" t="s">
        <v>12233</v>
      </c>
      <c r="E3158" s="54" t="s"/>
      <c r="F3158" s="28" t="s">
        <v>12045</v>
      </c>
      <c r="G3158" s="28">
        <v>9999</v>
      </c>
    </row>
    <row r="3159" spans="1:7">
      <c r="A3159" s="28">
        <v>3000100</v>
      </c>
      <c r="B3159" s="28" t="s">
        <v>12235</v>
      </c>
      <c r="C3159" s="28">
        <v>4</v>
      </c>
      <c r="D3159" s="28" t="s">
        <v>12236</v>
      </c>
      <c r="E3159" s="54" t="s">
        <v>12237</v>
      </c>
      <c r="F3159" s="28" t="s">
        <v>12238</v>
      </c>
      <c r="G3159" s="28">
        <v>9999</v>
      </c>
    </row>
    <row r="3160" spans="1:7">
      <c r="A3160" s="28">
        <v>3000101</v>
      </c>
      <c r="B3160" s="28" t="s">
        <v>12239</v>
      </c>
      <c r="C3160" s="28">
        <v>4</v>
      </c>
      <c r="D3160" s="28" t="s">
        <v>12240</v>
      </c>
      <c r="E3160" s="54" t="s">
        <v>12241</v>
      </c>
      <c r="F3160" s="28" t="s">
        <v>12242</v>
      </c>
      <c r="G3160" s="28">
        <v>9999</v>
      </c>
    </row>
    <row r="3161" spans="1:7">
      <c r="A3161" s="28">
        <v>3000102</v>
      </c>
      <c r="B3161" s="28" t="s">
        <v>12243</v>
      </c>
      <c r="C3161" s="28">
        <v>4</v>
      </c>
      <c r="D3161" s="28" t="s">
        <v>12244</v>
      </c>
      <c r="E3161" s="54" t="s">
        <v>12245</v>
      </c>
      <c r="F3161" s="28" t="s">
        <v>6176</v>
      </c>
      <c r="G3161" s="28">
        <v>9999</v>
      </c>
    </row>
    <row r="3162" spans="1:7">
      <c r="A3162" s="28">
        <v>3000103</v>
      </c>
      <c r="B3162" s="28" t="s">
        <v>12246</v>
      </c>
      <c r="C3162" s="28">
        <v>3</v>
      </c>
      <c r="D3162" s="28" t="s">
        <v>12247</v>
      </c>
      <c r="E3162" s="54" t="s">
        <v>12248</v>
      </c>
      <c r="F3162" s="28" t="s">
        <v>12249</v>
      </c>
      <c r="G3162" s="28">
        <v>0</v>
      </c>
    </row>
    <row r="3163" spans="1:7">
      <c r="A3163" s="28">
        <v>3000104</v>
      </c>
      <c r="B3163" s="28" t="s">
        <v>12250</v>
      </c>
      <c r="C3163" s="28">
        <v>3</v>
      </c>
      <c r="D3163" s="28" t="s">
        <v>12251</v>
      </c>
      <c r="E3163" s="54" t="s">
        <v>12252</v>
      </c>
      <c r="F3163" s="28" t="s">
        <v>12253</v>
      </c>
      <c r="G3163" s="28">
        <v>1</v>
      </c>
    </row>
    <row r="3164" spans="1:7">
      <c r="A3164" s="28">
        <v>3000105</v>
      </c>
      <c r="B3164" s="28" t="s">
        <v>12250</v>
      </c>
      <c r="C3164" s="28">
        <v>3</v>
      </c>
      <c r="D3164" s="28" t="s">
        <v>12251</v>
      </c>
      <c r="E3164" s="54" t="s">
        <v>12252</v>
      </c>
      <c r="F3164" s="28" t="s">
        <v>12254</v>
      </c>
      <c r="G3164" s="28">
        <v>1</v>
      </c>
    </row>
    <row r="3165" spans="1:7">
      <c r="A3165" s="28">
        <v>3110310</v>
      </c>
      <c r="B3165" s="28" t="s">
        <v>12255</v>
      </c>
      <c r="C3165" s="28">
        <v>3</v>
      </c>
      <c r="D3165" s="28" t="s">
        <v>12256</v>
      </c>
      <c r="E3165" s="54" t="s">
        <v>12257</v>
      </c>
      <c r="F3165" s="28" t="s"/>
      <c r="G3165" s="28">
        <v>1</v>
      </c>
    </row>
    <row r="3166" spans="1:7">
      <c r="A3166" s="28">
        <v>3110311</v>
      </c>
      <c r="B3166" s="28" t="s">
        <v>12258</v>
      </c>
      <c r="C3166" s="28">
        <v>3</v>
      </c>
      <c r="D3166" s="28" t="s">
        <v>12256</v>
      </c>
      <c r="E3166" s="54" t="s">
        <v>12259</v>
      </c>
      <c r="F3166" s="28" t="s">
        <v>12260</v>
      </c>
      <c r="G3166" s="28">
        <v>1</v>
      </c>
    </row>
    <row r="3167" spans="1:7">
      <c r="A3167" s="28">
        <v>3111910</v>
      </c>
      <c r="B3167" s="28" t="s">
        <v>12261</v>
      </c>
      <c r="C3167" s="28">
        <v>4</v>
      </c>
      <c r="D3167" s="28" t="s">
        <v>12262</v>
      </c>
      <c r="E3167" s="54" t="s">
        <v>12263</v>
      </c>
      <c r="F3167" s="28" t="s"/>
      <c r="G3167" s="28">
        <v>1</v>
      </c>
    </row>
    <row r="3168" spans="1:7">
      <c r="A3168" s="28">
        <v>3111911</v>
      </c>
      <c r="B3168" s="28" t="s">
        <v>12264</v>
      </c>
      <c r="C3168" s="28">
        <v>4</v>
      </c>
      <c r="D3168" s="28" t="s">
        <v>12262</v>
      </c>
      <c r="E3168" s="54" t="s">
        <v>12265</v>
      </c>
      <c r="F3168" s="28" t="s">
        <v>12266</v>
      </c>
      <c r="G3168" s="28">
        <v>1</v>
      </c>
    </row>
    <row r="3169" spans="1:7">
      <c r="A3169" s="28">
        <v>3112610</v>
      </c>
      <c r="B3169" s="28" t="s">
        <v>12267</v>
      </c>
      <c r="C3169" s="28">
        <v>4</v>
      </c>
      <c r="D3169" s="28" t="s">
        <v>12268</v>
      </c>
      <c r="E3169" s="54" t="s">
        <v>12269</v>
      </c>
      <c r="F3169" s="28" t="s"/>
      <c r="G3169" s="28">
        <v>1</v>
      </c>
    </row>
    <row r="3170" spans="1:7">
      <c r="A3170" s="28">
        <v>3112611</v>
      </c>
      <c r="B3170" s="28" t="s">
        <v>12270</v>
      </c>
      <c r="C3170" s="28">
        <v>4</v>
      </c>
      <c r="D3170" s="28" t="s">
        <v>12268</v>
      </c>
      <c r="E3170" s="54" t="s">
        <v>12271</v>
      </c>
      <c r="F3170" s="28" t="s">
        <v>12272</v>
      </c>
      <c r="G3170" s="28">
        <v>1</v>
      </c>
    </row>
    <row r="3171" spans="1:7">
      <c r="A3171" s="28">
        <v>3113110</v>
      </c>
      <c r="B3171" s="28" t="s">
        <v>12273</v>
      </c>
      <c r="C3171" s="28">
        <v>4</v>
      </c>
      <c r="D3171" s="28" t="s">
        <v>12274</v>
      </c>
      <c r="E3171" s="54" t="s">
        <v>12275</v>
      </c>
      <c r="F3171" s="28" t="s"/>
      <c r="G3171" s="28">
        <v>1</v>
      </c>
    </row>
    <row r="3172" spans="1:7">
      <c r="A3172" s="28">
        <v>3113111</v>
      </c>
      <c r="B3172" s="28" t="s">
        <v>12276</v>
      </c>
      <c r="C3172" s="28">
        <v>4</v>
      </c>
      <c r="D3172" s="28" t="s">
        <v>12274</v>
      </c>
      <c r="E3172" s="54" t="s">
        <v>12277</v>
      </c>
      <c r="F3172" s="28" t="s">
        <v>12278</v>
      </c>
      <c r="G3172" s="28">
        <v>1</v>
      </c>
    </row>
    <row r="3173" spans="1:7">
      <c r="A3173" s="28">
        <v>3113310</v>
      </c>
      <c r="B3173" s="28" t="s">
        <v>12279</v>
      </c>
      <c r="C3173" s="28">
        <v>4</v>
      </c>
      <c r="D3173" s="28" t="s">
        <v>12280</v>
      </c>
      <c r="E3173" s="54" t="s">
        <v>12281</v>
      </c>
      <c r="F3173" s="28" t="s"/>
      <c r="G3173" s="28">
        <v>1</v>
      </c>
    </row>
    <row r="3174" spans="1:7">
      <c r="A3174" s="28">
        <v>3113311</v>
      </c>
      <c r="B3174" s="28" t="s">
        <v>12282</v>
      </c>
      <c r="C3174" s="28">
        <v>4</v>
      </c>
      <c r="D3174" s="28" t="s">
        <v>12280</v>
      </c>
      <c r="E3174" s="54" t="s">
        <v>12283</v>
      </c>
      <c r="F3174" s="28" t="s">
        <v>12284</v>
      </c>
      <c r="G3174" s="28">
        <v>1</v>
      </c>
    </row>
    <row r="3175" spans="1:7">
      <c r="A3175" s="28">
        <v>3113710</v>
      </c>
      <c r="B3175" s="28" t="s">
        <v>12285</v>
      </c>
      <c r="C3175" s="28">
        <v>4</v>
      </c>
      <c r="D3175" s="28" t="s">
        <v>12286</v>
      </c>
      <c r="E3175" s="54" t="s">
        <v>12287</v>
      </c>
      <c r="F3175" s="28" t="s"/>
      <c r="G3175" s="28">
        <v>1</v>
      </c>
    </row>
    <row r="3176" spans="1:7">
      <c r="A3176" s="28">
        <v>3113711</v>
      </c>
      <c r="B3176" s="28" t="s">
        <v>12288</v>
      </c>
      <c r="C3176" s="28">
        <v>4</v>
      </c>
      <c r="D3176" s="28" t="s">
        <v>12286</v>
      </c>
      <c r="E3176" s="54" t="s">
        <v>12289</v>
      </c>
      <c r="F3176" s="28" t="s">
        <v>12290</v>
      </c>
      <c r="G3176" s="28">
        <v>1</v>
      </c>
    </row>
    <row r="3177" spans="1:7">
      <c r="A3177" s="28">
        <v>3114010</v>
      </c>
      <c r="B3177" s="28" t="s">
        <v>12291</v>
      </c>
      <c r="C3177" s="28">
        <v>4</v>
      </c>
      <c r="D3177" s="28" t="s">
        <v>12292</v>
      </c>
      <c r="E3177" s="54" t="s">
        <v>12293</v>
      </c>
      <c r="F3177" s="28" t="s"/>
      <c r="G3177" s="28">
        <v>1</v>
      </c>
    </row>
    <row r="3178" spans="1:7">
      <c r="A3178" s="28">
        <v>3114011</v>
      </c>
      <c r="B3178" s="28" t="s">
        <v>12294</v>
      </c>
      <c r="C3178" s="28">
        <v>4</v>
      </c>
      <c r="D3178" s="28" t="s">
        <v>12292</v>
      </c>
      <c r="E3178" s="54" t="s">
        <v>12295</v>
      </c>
      <c r="F3178" s="28" t="s">
        <v>12296</v>
      </c>
      <c r="G3178" s="28">
        <v>1</v>
      </c>
    </row>
    <row r="3179" spans="1:7">
      <c r="A3179" s="28">
        <v>3114110</v>
      </c>
      <c r="B3179" s="28" t="s">
        <v>12297</v>
      </c>
      <c r="C3179" s="28">
        <v>4</v>
      </c>
      <c r="D3179" s="28" t="s">
        <v>12298</v>
      </c>
      <c r="E3179" s="54" t="s">
        <v>12299</v>
      </c>
      <c r="F3179" s="28" t="s"/>
      <c r="G3179" s="28">
        <v>1</v>
      </c>
    </row>
    <row r="3180" spans="1:7">
      <c r="A3180" s="28">
        <v>3114111</v>
      </c>
      <c r="B3180" s="28" t="s">
        <v>12300</v>
      </c>
      <c r="C3180" s="28">
        <v>4</v>
      </c>
      <c r="D3180" s="28" t="s">
        <v>12298</v>
      </c>
      <c r="E3180" s="54" t="s">
        <v>12301</v>
      </c>
      <c r="F3180" s="28" t="s">
        <v>12302</v>
      </c>
      <c r="G3180" s="28">
        <v>1</v>
      </c>
    </row>
    <row r="3181" spans="1:7">
      <c r="A3181" s="28">
        <v>3114210</v>
      </c>
      <c r="B3181" s="28" t="s">
        <v>12303</v>
      </c>
      <c r="C3181" s="28">
        <v>4</v>
      </c>
      <c r="D3181" s="28" t="s">
        <v>12304</v>
      </c>
      <c r="E3181" s="54" t="s">
        <v>12305</v>
      </c>
      <c r="F3181" s="28" t="s"/>
      <c r="G3181" s="28">
        <v>1</v>
      </c>
    </row>
    <row r="3182" spans="1:7">
      <c r="A3182" s="28">
        <v>3114211</v>
      </c>
      <c r="B3182" s="28" t="s">
        <v>12306</v>
      </c>
      <c r="C3182" s="28">
        <v>3</v>
      </c>
      <c r="D3182" s="28" t="s">
        <v>12304</v>
      </c>
      <c r="E3182" s="54" t="s">
        <v>12307</v>
      </c>
      <c r="F3182" s="28" t="s">
        <v>12308</v>
      </c>
      <c r="G3182" s="28">
        <v>1</v>
      </c>
    </row>
    <row r="3183" spans="1:7">
      <c r="A3183" s="28">
        <v>3114310</v>
      </c>
      <c r="B3183" s="28" t="s">
        <v>12309</v>
      </c>
      <c r="C3183" s="28">
        <v>4</v>
      </c>
      <c r="D3183" s="28" t="s">
        <v>12310</v>
      </c>
      <c r="E3183" s="54" t="s">
        <v>12311</v>
      </c>
      <c r="F3183" s="28" t="s"/>
      <c r="G3183" s="28">
        <v>1</v>
      </c>
    </row>
    <row r="3184" spans="1:7">
      <c r="A3184" s="28">
        <v>3114311</v>
      </c>
      <c r="B3184" s="28" t="s">
        <v>12312</v>
      </c>
      <c r="C3184" s="28">
        <v>4</v>
      </c>
      <c r="D3184" s="28" t="s">
        <v>12310</v>
      </c>
      <c r="E3184" s="54" t="s">
        <v>12313</v>
      </c>
      <c r="F3184" s="28" t="s">
        <v>12314</v>
      </c>
      <c r="G3184" s="28">
        <v>1</v>
      </c>
    </row>
    <row r="3185" spans="1:7">
      <c r="A3185" s="28">
        <v>3114410</v>
      </c>
      <c r="B3185" s="28" t="s">
        <v>12315</v>
      </c>
      <c r="C3185" s="28">
        <v>3</v>
      </c>
      <c r="D3185" s="28" t="s">
        <v>12316</v>
      </c>
      <c r="E3185" s="54" t="s">
        <v>12317</v>
      </c>
      <c r="F3185" s="28" t="s"/>
      <c r="G3185" s="28">
        <v>1</v>
      </c>
    </row>
    <row r="3186" spans="1:7">
      <c r="A3186" s="28">
        <v>3114411</v>
      </c>
      <c r="B3186" s="28" t="s">
        <v>12318</v>
      </c>
      <c r="C3186" s="28">
        <v>3</v>
      </c>
      <c r="D3186" s="28" t="s">
        <v>12316</v>
      </c>
      <c r="E3186" s="54" t="s">
        <v>12319</v>
      </c>
      <c r="F3186" s="28" t="s">
        <v>12320</v>
      </c>
      <c r="G3186" s="28">
        <v>1</v>
      </c>
    </row>
    <row r="3187" spans="1:7">
      <c r="A3187" s="28">
        <v>3114910</v>
      </c>
      <c r="B3187" s="28" t="s">
        <v>12321</v>
      </c>
      <c r="C3187" s="28">
        <v>4</v>
      </c>
      <c r="D3187" s="28" t="s">
        <v>12322</v>
      </c>
      <c r="E3187" s="54" t="s">
        <v>12323</v>
      </c>
      <c r="F3187" s="28" t="s"/>
      <c r="G3187" s="28">
        <v>1</v>
      </c>
    </row>
    <row r="3188" spans="1:7">
      <c r="A3188" s="28">
        <v>3114911</v>
      </c>
      <c r="B3188" s="28" t="s">
        <v>12324</v>
      </c>
      <c r="C3188" s="28">
        <v>4</v>
      </c>
      <c r="D3188" s="28" t="s">
        <v>12322</v>
      </c>
      <c r="E3188" s="54" t="s">
        <v>12325</v>
      </c>
      <c r="F3188" s="28" t="s">
        <v>12326</v>
      </c>
      <c r="G3188" s="28">
        <v>1</v>
      </c>
    </row>
    <row r="3189" spans="1:7">
      <c r="A3189" s="28">
        <v>3115091</v>
      </c>
      <c r="B3189" s="28" t="s">
        <v>12327</v>
      </c>
      <c r="C3189" s="28">
        <v>4</v>
      </c>
      <c r="D3189" s="28" t="s">
        <v>12328</v>
      </c>
      <c r="E3189" s="28" t="s">
        <v>12329</v>
      </c>
      <c r="F3189" s="28" t="s">
        <v>12330</v>
      </c>
      <c r="G3189" s="28">
        <v>1</v>
      </c>
    </row>
    <row r="3190" spans="1:7">
      <c r="A3190" s="28">
        <v>3200000</v>
      </c>
      <c r="B3190" s="28" t="s">
        <v>12331</v>
      </c>
      <c r="C3190" s="28">
        <v>3</v>
      </c>
      <c r="D3190" s="28" t="s">
        <v>12332</v>
      </c>
      <c r="E3190" s="54" t="s">
        <v>12332</v>
      </c>
      <c r="F3190" s="28" t="s">
        <v>6176</v>
      </c>
      <c r="G3190" s="28">
        <v>1</v>
      </c>
    </row>
    <row r="3191" spans="1:7">
      <c r="A3191" s="28">
        <v>3200001</v>
      </c>
      <c r="B3191" s="28" t="s">
        <v>12333</v>
      </c>
      <c r="C3191" s="28">
        <v>3</v>
      </c>
      <c r="D3191" s="28" t="s">
        <v>12332</v>
      </c>
      <c r="E3191" s="28" t="s">
        <v>12332</v>
      </c>
      <c r="F3191" s="28" t="s">
        <v>6176</v>
      </c>
      <c r="G3191" s="28">
        <v>1</v>
      </c>
    </row>
    <row r="3192" spans="1:7">
      <c r="A3192" s="28">
        <v>3200002</v>
      </c>
      <c r="B3192" s="28" t="s">
        <v>12334</v>
      </c>
      <c r="C3192" s="28">
        <v>3</v>
      </c>
      <c r="D3192" s="28" t="s">
        <v>12332</v>
      </c>
      <c r="E3192" s="54" t="s">
        <v>12332</v>
      </c>
      <c r="F3192" s="28" t="s">
        <v>6176</v>
      </c>
      <c r="G3192" s="28">
        <v>1</v>
      </c>
    </row>
    <row r="3193" spans="1:7">
      <c r="A3193" s="28">
        <v>3200003</v>
      </c>
      <c r="B3193" s="28" t="s">
        <v>12335</v>
      </c>
      <c r="C3193" s="28">
        <v>3</v>
      </c>
      <c r="D3193" s="28" t="s">
        <v>12332</v>
      </c>
      <c r="E3193" s="54" t="s">
        <v>12332</v>
      </c>
      <c r="F3193" s="28" t="s">
        <v>6176</v>
      </c>
      <c r="G3193" s="28">
        <v>1</v>
      </c>
    </row>
    <row r="3194" spans="1:7">
      <c r="A3194" s="28">
        <v>3200004</v>
      </c>
      <c r="B3194" s="28" t="s">
        <v>12336</v>
      </c>
      <c r="C3194" s="28">
        <v>3</v>
      </c>
      <c r="D3194" s="28" t="s">
        <v>12332</v>
      </c>
      <c r="E3194" s="28" t="s">
        <v>12332</v>
      </c>
      <c r="F3194" s="28" t="s">
        <v>6176</v>
      </c>
      <c r="G3194" s="28">
        <v>1</v>
      </c>
    </row>
    <row r="3195" spans="1:7">
      <c r="A3195" s="28">
        <v>3200005</v>
      </c>
      <c r="B3195" s="28" t="s">
        <v>12337</v>
      </c>
      <c r="C3195" s="28">
        <v>3</v>
      </c>
      <c r="D3195" s="28" t="s">
        <v>12332</v>
      </c>
      <c r="E3195" s="54" t="s">
        <v>12332</v>
      </c>
      <c r="F3195" s="28" t="s">
        <v>6176</v>
      </c>
      <c r="G3195" s="28">
        <v>1</v>
      </c>
    </row>
    <row r="3196" spans="1:7">
      <c r="A3196" s="28">
        <v>3200006</v>
      </c>
      <c r="B3196" s="28" t="s">
        <v>12338</v>
      </c>
      <c r="C3196" s="28">
        <v>3</v>
      </c>
      <c r="D3196" s="28" t="s">
        <v>12332</v>
      </c>
      <c r="E3196" s="54" t="s">
        <v>12332</v>
      </c>
      <c r="F3196" s="28" t="s">
        <v>6176</v>
      </c>
      <c r="G3196" s="28">
        <v>1</v>
      </c>
    </row>
    <row r="3197" spans="1:7">
      <c r="A3197" s="28">
        <v>3200007</v>
      </c>
      <c r="B3197" s="28" t="s">
        <v>12339</v>
      </c>
      <c r="C3197" s="28">
        <v>3</v>
      </c>
      <c r="D3197" s="28" t="s">
        <v>12332</v>
      </c>
      <c r="E3197" s="28" t="s">
        <v>12332</v>
      </c>
      <c r="F3197" s="28" t="s">
        <v>6176</v>
      </c>
      <c r="G3197" s="28">
        <v>1</v>
      </c>
    </row>
    <row r="3198" spans="1:7">
      <c r="A3198" s="28">
        <v>3200008</v>
      </c>
      <c r="B3198" s="28" t="s">
        <v>12340</v>
      </c>
      <c r="C3198" s="28">
        <v>3</v>
      </c>
      <c r="D3198" s="28" t="s">
        <v>12332</v>
      </c>
      <c r="E3198" s="28" t="s">
        <v>12332</v>
      </c>
      <c r="F3198" s="28" t="s">
        <v>6176</v>
      </c>
      <c r="G3198" s="28">
        <v>1</v>
      </c>
    </row>
    <row r="3199" spans="1:7">
      <c r="A3199" s="28">
        <v>3200009</v>
      </c>
      <c r="B3199" s="28" t="s">
        <v>12341</v>
      </c>
      <c r="C3199" s="28">
        <v>3</v>
      </c>
      <c r="D3199" s="28" t="s">
        <v>12332</v>
      </c>
      <c r="E3199" s="28" t="s">
        <v>12332</v>
      </c>
      <c r="F3199" s="28" t="s">
        <v>6176</v>
      </c>
      <c r="G3199" s="28">
        <v>1</v>
      </c>
    </row>
    <row r="3200" spans="1:7">
      <c r="A3200" s="28">
        <v>3200010</v>
      </c>
      <c r="B3200" s="28" t="s">
        <v>12342</v>
      </c>
      <c r="C3200" s="28">
        <v>3</v>
      </c>
      <c r="D3200" s="28" t="s">
        <v>12332</v>
      </c>
      <c r="E3200" s="28" t="s">
        <v>12332</v>
      </c>
      <c r="F3200" s="28" t="s">
        <v>6176</v>
      </c>
      <c r="G3200" s="28">
        <v>1</v>
      </c>
    </row>
    <row r="3201" spans="1:7">
      <c r="A3201" s="28">
        <v>3201001</v>
      </c>
      <c r="B3201" s="28" t="s">
        <v>12343</v>
      </c>
      <c r="C3201" s="28">
        <v>4</v>
      </c>
      <c r="D3201" s="28" t="s">
        <v>12344</v>
      </c>
      <c r="E3201" s="28" t="s">
        <v>12345</v>
      </c>
      <c r="F3201" s="28" t="s">
        <v>12346</v>
      </c>
      <c r="G3201" s="28">
        <v>1</v>
      </c>
    </row>
    <row r="3202" spans="1:7">
      <c r="A3202" s="28">
        <v>3201002</v>
      </c>
      <c r="B3202" s="28" t="s">
        <v>12347</v>
      </c>
      <c r="C3202" s="28">
        <v>4</v>
      </c>
      <c r="D3202" s="28" t="s">
        <v>12344</v>
      </c>
      <c r="E3202" s="28" t="s">
        <v>12348</v>
      </c>
      <c r="F3202" s="28" t="s">
        <v>12349</v>
      </c>
      <c r="G3202" s="28">
        <v>1</v>
      </c>
    </row>
    <row r="3203" spans="1:7">
      <c r="A3203" s="28">
        <v>3201003</v>
      </c>
      <c r="B3203" s="28" t="s">
        <v>12350</v>
      </c>
      <c r="C3203" s="28">
        <v>4</v>
      </c>
      <c r="D3203" s="28" t="s">
        <v>12344</v>
      </c>
      <c r="E3203" s="28" t="s">
        <v>12351</v>
      </c>
      <c r="F3203" s="28" t="s">
        <v>12352</v>
      </c>
      <c r="G3203" s="28">
        <v>1</v>
      </c>
    </row>
    <row r="3204" spans="1:7">
      <c r="A3204" s="28">
        <v>3201004</v>
      </c>
      <c r="B3204" s="28" t="s">
        <v>12353</v>
      </c>
      <c r="C3204" s="28">
        <v>4</v>
      </c>
      <c r="D3204" s="28" t="s">
        <v>12344</v>
      </c>
      <c r="E3204" s="28" t="s">
        <v>12354</v>
      </c>
      <c r="F3204" s="28" t="s">
        <v>12355</v>
      </c>
      <c r="G3204" s="28">
        <v>1</v>
      </c>
    </row>
    <row r="3205" spans="1:7">
      <c r="A3205" s="28">
        <v>3201005</v>
      </c>
      <c r="B3205" s="28" t="s">
        <v>12356</v>
      </c>
      <c r="C3205" s="28">
        <v>4</v>
      </c>
      <c r="D3205" s="28" t="s">
        <v>12344</v>
      </c>
      <c r="E3205" s="28" t="s">
        <v>12357</v>
      </c>
      <c r="F3205" s="28" t="s">
        <v>12358</v>
      </c>
      <c r="G3205" s="28">
        <v>1</v>
      </c>
    </row>
    <row r="3206" spans="1:7">
      <c r="A3206" s="28">
        <v>3201006</v>
      </c>
      <c r="B3206" s="28" t="s">
        <v>12359</v>
      </c>
      <c r="C3206" s="28">
        <v>4</v>
      </c>
      <c r="D3206" s="28" t="s">
        <v>12344</v>
      </c>
      <c r="E3206" s="28" t="s">
        <v>12360</v>
      </c>
      <c r="F3206" s="28" t="s">
        <v>12361</v>
      </c>
      <c r="G3206" s="28">
        <v>1</v>
      </c>
    </row>
    <row r="3207" spans="1:7">
      <c r="A3207" s="28">
        <v>3201007</v>
      </c>
      <c r="B3207" s="28" t="s">
        <v>12362</v>
      </c>
      <c r="C3207" s="28">
        <v>4</v>
      </c>
      <c r="D3207" s="28" t="s">
        <v>12344</v>
      </c>
      <c r="E3207" s="28" t="s">
        <v>12363</v>
      </c>
      <c r="F3207" s="28" t="s">
        <v>12364</v>
      </c>
      <c r="G3207" s="28">
        <v>1</v>
      </c>
    </row>
    <row r="3208" spans="1:7">
      <c r="A3208" s="28">
        <v>3201008</v>
      </c>
      <c r="B3208" s="54" t="s">
        <v>12365</v>
      </c>
      <c r="C3208" s="28">
        <v>4</v>
      </c>
      <c r="D3208" s="54" t="s">
        <v>12344</v>
      </c>
      <c r="E3208" s="28" t="s">
        <v>12366</v>
      </c>
      <c r="F3208" s="28" t="s">
        <v>12367</v>
      </c>
      <c r="G3208" s="28">
        <v>1</v>
      </c>
    </row>
    <row r="3209" spans="1:7">
      <c r="A3209" s="28">
        <v>3201009</v>
      </c>
      <c r="B3209" s="54" t="s">
        <v>12368</v>
      </c>
      <c r="C3209" s="28">
        <v>4</v>
      </c>
      <c r="D3209" s="54" t="s">
        <v>12344</v>
      </c>
      <c r="E3209" s="28" t="s">
        <v>12369</v>
      </c>
      <c r="F3209" s="28" t="s">
        <v>12370</v>
      </c>
      <c r="G3209" s="28">
        <v>1</v>
      </c>
    </row>
    <row r="3210" spans="1:7">
      <c r="A3210" s="28">
        <v>3201010</v>
      </c>
      <c r="B3210" s="54" t="s">
        <v>12371</v>
      </c>
      <c r="C3210" s="28">
        <v>4</v>
      </c>
      <c r="D3210" s="54" t="s">
        <v>12344</v>
      </c>
      <c r="E3210" s="28" t="s">
        <v>12372</v>
      </c>
      <c r="F3210" s="28" t="s">
        <v>12373</v>
      </c>
      <c r="G3210" s="28">
        <v>1</v>
      </c>
    </row>
    <row r="3211" spans="1:7">
      <c r="A3211" s="28">
        <v>3201011</v>
      </c>
      <c r="B3211" s="54" t="s">
        <v>12374</v>
      </c>
      <c r="C3211" s="28">
        <v>4</v>
      </c>
      <c r="D3211" s="54" t="s">
        <v>12344</v>
      </c>
      <c r="E3211" s="28" t="s">
        <v>12375</v>
      </c>
      <c r="F3211" s="28" t="s">
        <v>12376</v>
      </c>
      <c r="G3211" s="28">
        <v>1</v>
      </c>
    </row>
    <row r="3212" spans="1:7">
      <c r="A3212" s="28">
        <v>3201012</v>
      </c>
      <c r="B3212" s="54" t="s">
        <v>12377</v>
      </c>
      <c r="C3212" s="28">
        <v>4</v>
      </c>
      <c r="D3212" s="54" t="s">
        <v>12344</v>
      </c>
      <c r="E3212" s="28" t="s">
        <v>12378</v>
      </c>
      <c r="F3212" s="28" t="s">
        <v>12379</v>
      </c>
      <c r="G3212" s="28">
        <v>1</v>
      </c>
    </row>
    <row r="3213" spans="1:7">
      <c r="A3213" s="28">
        <v>3201013</v>
      </c>
      <c r="B3213" s="28" t="s">
        <v>12380</v>
      </c>
      <c r="C3213" s="28">
        <v>4</v>
      </c>
      <c r="D3213" s="28" t="s">
        <v>12344</v>
      </c>
      <c r="E3213" s="28" t="s">
        <v>12381</v>
      </c>
      <c r="F3213" s="28" t="s">
        <v>12382</v>
      </c>
      <c r="G3213" s="28">
        <v>1</v>
      </c>
    </row>
    <row r="3214" spans="1:7">
      <c r="A3214" s="28">
        <v>3201014</v>
      </c>
      <c r="B3214" s="54" t="s">
        <v>12383</v>
      </c>
      <c r="C3214" s="28">
        <v>4</v>
      </c>
      <c r="D3214" s="54" t="s">
        <v>12384</v>
      </c>
      <c r="E3214" s="28" t="s">
        <v>12385</v>
      </c>
      <c r="F3214" s="28" t="s">
        <v>12386</v>
      </c>
      <c r="G3214" s="28">
        <v>1</v>
      </c>
    </row>
    <row r="3215" spans="1:7">
      <c r="A3215" s="28">
        <v>3201015</v>
      </c>
      <c r="B3215" s="54" t="s">
        <v>12387</v>
      </c>
      <c r="C3215" s="28">
        <v>4</v>
      </c>
      <c r="D3215" s="54" t="s">
        <v>12384</v>
      </c>
      <c r="E3215" s="28" t="s">
        <v>12388</v>
      </c>
      <c r="F3215" s="28" t="s">
        <v>12389</v>
      </c>
      <c r="G3215" s="28">
        <v>1</v>
      </c>
    </row>
    <row r="3216" spans="1:7">
      <c r="A3216" s="28">
        <v>3202001</v>
      </c>
      <c r="B3216" s="54" t="s">
        <v>12390</v>
      </c>
      <c r="C3216" s="28">
        <v>3</v>
      </c>
      <c r="D3216" s="54" t="s">
        <v>12391</v>
      </c>
      <c r="E3216" s="28" t="s">
        <v>12392</v>
      </c>
      <c r="F3216" s="28" t="s">
        <v>12393</v>
      </c>
      <c r="G3216" s="28">
        <v>1</v>
      </c>
    </row>
    <row r="3217" spans="1:7">
      <c r="A3217" s="28">
        <v>3202003</v>
      </c>
      <c r="B3217" s="54" t="s">
        <v>12394</v>
      </c>
      <c r="C3217" s="28">
        <v>3</v>
      </c>
      <c r="D3217" s="54" t="s">
        <v>12395</v>
      </c>
      <c r="E3217" s="28" t="s">
        <v>12396</v>
      </c>
      <c r="F3217" s="28" t="s">
        <v>12397</v>
      </c>
      <c r="G3217" s="28">
        <v>1</v>
      </c>
    </row>
    <row r="3218" spans="1:7">
      <c r="A3218" s="28">
        <v>3202004</v>
      </c>
      <c r="B3218" s="54" t="s">
        <v>12398</v>
      </c>
      <c r="C3218" s="28">
        <v>3</v>
      </c>
      <c r="D3218" s="54" t="s">
        <v>12399</v>
      </c>
      <c r="E3218" s="28" t="s">
        <v>12400</v>
      </c>
      <c r="F3218" s="28" t="s">
        <v>12401</v>
      </c>
      <c r="G3218" s="28">
        <v>1</v>
      </c>
    </row>
    <row r="3219" spans="1:7">
      <c r="A3219" s="28">
        <v>3202005</v>
      </c>
      <c r="B3219" s="54" t="s">
        <v>12402</v>
      </c>
      <c r="C3219" s="28">
        <v>3</v>
      </c>
      <c r="D3219" s="54" t="s">
        <v>12403</v>
      </c>
      <c r="E3219" s="28" t="s">
        <v>12404</v>
      </c>
      <c r="F3219" s="28" t="s">
        <v>12405</v>
      </c>
      <c r="G3219" s="28">
        <v>1</v>
      </c>
    </row>
    <row r="3220" spans="1:7">
      <c r="A3220" s="28">
        <v>3202006</v>
      </c>
      <c r="B3220" s="54" t="s">
        <v>12406</v>
      </c>
      <c r="C3220" s="28">
        <v>3</v>
      </c>
      <c r="D3220" s="54" t="s">
        <v>12407</v>
      </c>
      <c r="E3220" s="28" t="s">
        <v>12408</v>
      </c>
      <c r="F3220" s="28" t="s">
        <v>12409</v>
      </c>
      <c r="G3220" s="28">
        <v>1</v>
      </c>
    </row>
    <row r="3221" spans="1:7">
      <c r="A3221" s="28">
        <v>3202007</v>
      </c>
      <c r="B3221" s="54" t="s">
        <v>12410</v>
      </c>
      <c r="C3221" s="28">
        <v>3</v>
      </c>
      <c r="D3221" s="54" t="s">
        <v>12411</v>
      </c>
      <c r="E3221" s="28" t="s">
        <v>12412</v>
      </c>
      <c r="F3221" s="28" t="s">
        <v>12413</v>
      </c>
      <c r="G3221" s="28">
        <v>1</v>
      </c>
    </row>
    <row r="3222" spans="1:7">
      <c r="A3222" s="28">
        <v>3202008</v>
      </c>
      <c r="B3222" s="54" t="s">
        <v>12414</v>
      </c>
      <c r="C3222" s="28">
        <v>3</v>
      </c>
      <c r="D3222" s="54" t="s">
        <v>12407</v>
      </c>
      <c r="E3222" s="28" t="s">
        <v>12415</v>
      </c>
      <c r="F3222" s="28" t="s">
        <v>12416</v>
      </c>
      <c r="G3222" s="28">
        <v>1</v>
      </c>
    </row>
    <row r="3223" spans="1:7">
      <c r="A3223" s="28">
        <v>3202009</v>
      </c>
      <c r="B3223" s="54" t="s">
        <v>12417</v>
      </c>
      <c r="C3223" s="28">
        <v>3</v>
      </c>
      <c r="D3223" s="54" t="s">
        <v>12418</v>
      </c>
      <c r="E3223" s="28" t="s">
        <v>12419</v>
      </c>
      <c r="F3223" s="28" t="s">
        <v>12420</v>
      </c>
      <c r="G3223" s="28">
        <v>1</v>
      </c>
    </row>
    <row r="3224" spans="1:7">
      <c r="A3224" s="28">
        <v>3202010</v>
      </c>
      <c r="B3224" s="54" t="s">
        <v>12421</v>
      </c>
      <c r="C3224" s="28">
        <v>3</v>
      </c>
      <c r="D3224" s="54" t="s">
        <v>12422</v>
      </c>
      <c r="E3224" s="28" t="s">
        <v>12423</v>
      </c>
      <c r="F3224" s="28" t="s">
        <v>12424</v>
      </c>
      <c r="G3224" s="28">
        <v>1</v>
      </c>
    </row>
    <row r="3225" spans="1:7">
      <c r="A3225" s="28">
        <v>3202011</v>
      </c>
      <c r="B3225" s="54" t="s">
        <v>12425</v>
      </c>
      <c r="C3225" s="28">
        <v>3</v>
      </c>
      <c r="D3225" s="54" t="s">
        <v>12426</v>
      </c>
      <c r="E3225" s="28" t="s">
        <v>12427</v>
      </c>
      <c r="F3225" s="28" t="s">
        <v>12428</v>
      </c>
      <c r="G3225" s="28">
        <v>1</v>
      </c>
    </row>
    <row r="3226" spans="1:7">
      <c r="A3226" s="28">
        <v>3202012</v>
      </c>
      <c r="B3226" s="54" t="s">
        <v>12429</v>
      </c>
      <c r="C3226" s="28">
        <v>4</v>
      </c>
      <c r="D3226" s="54" t="s">
        <v>12430</v>
      </c>
      <c r="E3226" s="28" t="s">
        <v>12431</v>
      </c>
      <c r="F3226" s="28" t="s">
        <v>12432</v>
      </c>
      <c r="G3226" s="28">
        <v>1</v>
      </c>
    </row>
    <row r="3227" spans="1:7">
      <c r="A3227" s="28">
        <v>3202013</v>
      </c>
      <c r="B3227" s="54" t="s">
        <v>12433</v>
      </c>
      <c r="C3227" s="28">
        <v>3</v>
      </c>
      <c r="D3227" s="54" t="s">
        <v>12434</v>
      </c>
      <c r="E3227" s="28" t="s">
        <v>12435</v>
      </c>
      <c r="F3227" s="28" t="s">
        <v>12436</v>
      </c>
      <c r="G3227" s="28">
        <v>1</v>
      </c>
    </row>
    <row r="3228" spans="1:7">
      <c r="A3228" s="28">
        <v>3202014</v>
      </c>
      <c r="B3228" s="54" t="s">
        <v>12437</v>
      </c>
      <c r="C3228" s="28">
        <v>3</v>
      </c>
      <c r="D3228" s="54" t="s">
        <v>12434</v>
      </c>
      <c r="E3228" s="28" t="s">
        <v>12438</v>
      </c>
      <c r="F3228" s="28" t="s">
        <v>12439</v>
      </c>
      <c r="G3228" s="28">
        <v>1</v>
      </c>
    </row>
    <row r="3229" spans="1:7">
      <c r="A3229" s="28">
        <v>3203001</v>
      </c>
      <c r="B3229" s="54" t="s">
        <v>12440</v>
      </c>
      <c r="C3229" s="28">
        <v>4</v>
      </c>
      <c r="D3229" s="54" t="s">
        <v>12441</v>
      </c>
      <c r="E3229" s="28" t="s">
        <v>12442</v>
      </c>
      <c r="F3229" s="28" t="s">
        <v>12443</v>
      </c>
      <c r="G3229" s="28">
        <v>1</v>
      </c>
    </row>
    <row r="3230" spans="1:7">
      <c r="A3230" s="28">
        <v>3204001</v>
      </c>
      <c r="B3230" s="54" t="s">
        <v>12444</v>
      </c>
      <c r="C3230" s="28">
        <v>3</v>
      </c>
      <c r="D3230" s="54" t="s">
        <v>12445</v>
      </c>
      <c r="E3230" s="28" t="s">
        <v>12446</v>
      </c>
      <c r="F3230" s="28" t="s">
        <v>12447</v>
      </c>
      <c r="G3230" s="28">
        <v>1</v>
      </c>
    </row>
    <row r="3231" spans="1:7">
      <c r="A3231" s="28">
        <v>3205001</v>
      </c>
      <c r="B3231" s="54" t="s">
        <v>12448</v>
      </c>
      <c r="C3231" s="28">
        <v>3</v>
      </c>
      <c r="D3231" s="54" t="s">
        <v>12449</v>
      </c>
      <c r="E3231" s="28" t="s">
        <v>12450</v>
      </c>
      <c r="F3231" s="28" t="s">
        <v>12451</v>
      </c>
      <c r="G3231" s="28">
        <v>1</v>
      </c>
    </row>
    <row r="3232" spans="1:7">
      <c r="A3232" s="28">
        <v>3206001</v>
      </c>
      <c r="B3232" s="54" t="s">
        <v>12452</v>
      </c>
      <c r="C3232" s="28">
        <v>4</v>
      </c>
      <c r="D3232" s="54" t="s">
        <v>12453</v>
      </c>
      <c r="E3232" s="28" t="s">
        <v>12454</v>
      </c>
      <c r="F3232" s="28" t="s">
        <v>12455</v>
      </c>
      <c r="G3232" s="28">
        <v>1</v>
      </c>
    </row>
    <row r="3233" spans="1:7">
      <c r="A3233" s="28">
        <v>3207001</v>
      </c>
      <c r="B3233" s="28" t="s">
        <v>12456</v>
      </c>
      <c r="C3233" s="28">
        <v>4</v>
      </c>
      <c r="D3233" s="28" t="s">
        <v>12457</v>
      </c>
      <c r="E3233" s="28" t="s">
        <v>12458</v>
      </c>
      <c r="F3233" s="28" t="s">
        <v>12459</v>
      </c>
      <c r="G3233" s="28">
        <v>1</v>
      </c>
    </row>
    <row r="3234" spans="1:7">
      <c r="A3234" s="28">
        <v>3211011</v>
      </c>
      <c r="B3234" s="54" t="s">
        <v>12460</v>
      </c>
      <c r="C3234" s="28">
        <v>3</v>
      </c>
      <c r="D3234" s="54" t="s"/>
      <c r="E3234" s="28" t="s"/>
      <c r="F3234" s="28" t="s">
        <v>12461</v>
      </c>
      <c r="G3234" s="28">
        <v>1</v>
      </c>
    </row>
    <row r="3235" spans="1:7">
      <c r="A3235" s="28">
        <v>3211031</v>
      </c>
      <c r="B3235" s="28" t="s">
        <v>12462</v>
      </c>
      <c r="C3235" s="28">
        <v>3</v>
      </c>
      <c r="D3235" s="28" t="s"/>
      <c r="E3235" s="28" t="s"/>
      <c r="F3235" s="28" t="s">
        <v>12461</v>
      </c>
      <c r="G3235" s="28">
        <v>1</v>
      </c>
    </row>
    <row r="3236" spans="1:7">
      <c r="A3236" s="28">
        <v>3211061</v>
      </c>
      <c r="B3236" s="28" t="s">
        <v>12463</v>
      </c>
      <c r="C3236" s="28">
        <v>3</v>
      </c>
      <c r="D3236" s="28" t="s"/>
      <c r="E3236" s="28" t="s"/>
      <c r="F3236" s="28" t="s">
        <v>12461</v>
      </c>
      <c r="G3236" s="28">
        <v>1</v>
      </c>
    </row>
    <row r="3237" spans="1:7">
      <c r="A3237" s="28">
        <v>3211081</v>
      </c>
      <c r="B3237" s="28" t="s">
        <v>12464</v>
      </c>
      <c r="C3237" s="28">
        <v>3</v>
      </c>
      <c r="D3237" s="54" t="s"/>
      <c r="E3237" s="28" t="s"/>
      <c r="F3237" s="28" t="s">
        <v>12461</v>
      </c>
      <c r="G3237" s="28">
        <v>1</v>
      </c>
    </row>
    <row r="3238" spans="1:7">
      <c r="A3238" s="28">
        <v>3211111</v>
      </c>
      <c r="B3238" s="28" t="s">
        <v>12465</v>
      </c>
      <c r="C3238" s="28">
        <v>3</v>
      </c>
      <c r="D3238" s="28" t="s"/>
      <c r="E3238" s="28" t="s"/>
      <c r="F3238" s="28" t="s">
        <v>12461</v>
      </c>
      <c r="G3238" s="28">
        <v>1</v>
      </c>
    </row>
    <row r="3239" spans="1:7">
      <c r="A3239" s="28">
        <v>3211121</v>
      </c>
      <c r="B3239" s="28" t="s">
        <v>12466</v>
      </c>
      <c r="C3239" s="28">
        <v>3</v>
      </c>
      <c r="D3239" s="28" t="s"/>
      <c r="E3239" s="28" t="s"/>
      <c r="F3239" s="28" t="s">
        <v>12461</v>
      </c>
      <c r="G3239" s="28">
        <v>1</v>
      </c>
    </row>
    <row r="3240" spans="1:7">
      <c r="A3240" s="28">
        <v>3211131</v>
      </c>
      <c r="B3240" s="28" t="s">
        <v>12467</v>
      </c>
      <c r="C3240" s="28">
        <v>4</v>
      </c>
      <c r="D3240" s="28" t="s"/>
      <c r="E3240" s="28" t="s"/>
      <c r="F3240" s="28" t="s">
        <v>12461</v>
      </c>
      <c r="G3240" s="28">
        <v>1</v>
      </c>
    </row>
    <row r="3241" spans="1:7">
      <c r="A3241" s="28">
        <v>3211151</v>
      </c>
      <c r="B3241" s="28" t="s">
        <v>12468</v>
      </c>
      <c r="C3241" s="28">
        <v>4</v>
      </c>
      <c r="D3241" s="54" t="s"/>
      <c r="E3241" s="28" t="s"/>
      <c r="F3241" s="28" t="s">
        <v>12461</v>
      </c>
      <c r="G3241" s="28">
        <v>1</v>
      </c>
    </row>
    <row r="3242" spans="1:7">
      <c r="A3242" s="28">
        <v>3211271</v>
      </c>
      <c r="B3242" s="28" t="s">
        <v>12469</v>
      </c>
      <c r="C3242" s="28">
        <v>3</v>
      </c>
      <c r="D3242" s="28" t="s"/>
      <c r="E3242" s="28" t="s"/>
      <c r="F3242" s="28" t="s">
        <v>12461</v>
      </c>
      <c r="G3242" s="28">
        <v>1</v>
      </c>
    </row>
    <row r="3243" spans="1:7">
      <c r="A3243" s="28">
        <v>3211281</v>
      </c>
      <c r="B3243" s="28" t="s">
        <v>12470</v>
      </c>
      <c r="C3243" s="28">
        <v>4</v>
      </c>
      <c r="D3243" s="28" t="s"/>
      <c r="E3243" s="28" t="s"/>
      <c r="F3243" s="28" t="s">
        <v>12461</v>
      </c>
      <c r="G3243" s="28">
        <v>1</v>
      </c>
    </row>
    <row r="3244" spans="1:7">
      <c r="A3244" s="28">
        <v>3221021</v>
      </c>
      <c r="B3244" s="28" t="s">
        <v>12471</v>
      </c>
      <c r="C3244" s="28">
        <v>4</v>
      </c>
      <c r="D3244" s="28" t="s"/>
      <c r="E3244" s="28" t="s"/>
      <c r="F3244" s="28" t="s">
        <v>12461</v>
      </c>
      <c r="G3244" s="28">
        <v>1</v>
      </c>
    </row>
    <row r="3245" spans="1:7">
      <c r="A3245" s="28">
        <v>3221041</v>
      </c>
      <c r="B3245" s="28" t="s">
        <v>12472</v>
      </c>
      <c r="C3245" s="28">
        <v>4</v>
      </c>
      <c r="D3245" s="28" t="s"/>
      <c r="E3245" s="28" t="s"/>
      <c r="F3245" s="28" t="s">
        <v>12461</v>
      </c>
      <c r="G3245" s="28">
        <v>1</v>
      </c>
    </row>
    <row r="3246" spans="1:7">
      <c r="A3246" s="28">
        <v>3221101</v>
      </c>
      <c r="B3246" s="28" t="s">
        <v>12473</v>
      </c>
      <c r="C3246" s="28">
        <v>4</v>
      </c>
      <c r="D3246" s="28" t="s"/>
      <c r="E3246" s="28" t="s"/>
      <c r="F3246" s="28" t="s">
        <v>12461</v>
      </c>
      <c r="G3246" s="28">
        <v>1</v>
      </c>
    </row>
    <row r="3247" spans="1:7">
      <c r="A3247" s="28">
        <v>3221141</v>
      </c>
      <c r="B3247" s="28" t="s">
        <v>12474</v>
      </c>
      <c r="C3247" s="28">
        <v>4</v>
      </c>
      <c r="D3247" s="28" t="s"/>
      <c r="E3247" s="28" t="s"/>
      <c r="F3247" s="28" t="s">
        <v>12461</v>
      </c>
      <c r="G3247" s="28">
        <v>1</v>
      </c>
    </row>
    <row r="3248" spans="1:7">
      <c r="A3248" s="28">
        <v>3221181</v>
      </c>
      <c r="B3248" s="28" t="s">
        <v>12475</v>
      </c>
      <c r="C3248" s="28">
        <v>4</v>
      </c>
      <c r="D3248" s="28" t="s"/>
      <c r="E3248" s="28" t="s"/>
      <c r="F3248" s="28" t="s">
        <v>12461</v>
      </c>
      <c r="G3248" s="28">
        <v>1</v>
      </c>
    </row>
    <row r="3249" spans="1:7">
      <c r="A3249" s="28">
        <v>3221211</v>
      </c>
      <c r="B3249" s="28" t="s">
        <v>12476</v>
      </c>
      <c r="C3249" s="28">
        <v>4</v>
      </c>
      <c r="D3249" s="28" t="s"/>
      <c r="E3249" s="28" t="s"/>
      <c r="F3249" s="28" t="s">
        <v>12461</v>
      </c>
      <c r="G3249" s="28">
        <v>1</v>
      </c>
    </row>
    <row r="3250" spans="1:7">
      <c r="A3250" s="28">
        <v>3231051</v>
      </c>
      <c r="B3250" s="28" t="s">
        <v>12477</v>
      </c>
      <c r="C3250" s="28">
        <v>4</v>
      </c>
      <c r="D3250" s="28" t="s"/>
      <c r="E3250" s="28" t="s"/>
      <c r="F3250" s="28" t="s">
        <v>12461</v>
      </c>
      <c r="G3250" s="28">
        <v>1</v>
      </c>
    </row>
    <row r="3251" spans="1:7">
      <c r="A3251" s="28">
        <v>3231071</v>
      </c>
      <c r="B3251" s="28" t="s">
        <v>12478</v>
      </c>
      <c r="C3251" s="28">
        <v>4</v>
      </c>
      <c r="D3251" s="54" t="s"/>
      <c r="E3251" s="28" t="s"/>
      <c r="F3251" s="28" t="s">
        <v>12461</v>
      </c>
      <c r="G3251" s="28">
        <v>1</v>
      </c>
    </row>
    <row r="3252" spans="1:7">
      <c r="A3252" s="28">
        <v>3231091</v>
      </c>
      <c r="B3252" s="54" t="s">
        <v>12479</v>
      </c>
      <c r="C3252" s="28">
        <v>4</v>
      </c>
      <c r="D3252" s="54" t="s"/>
      <c r="E3252" s="28" t="s"/>
      <c r="F3252" s="28" t="s">
        <v>12461</v>
      </c>
      <c r="G3252" s="28">
        <v>1</v>
      </c>
    </row>
    <row r="3253" spans="1:7">
      <c r="A3253" s="28">
        <v>3231161</v>
      </c>
      <c r="B3253" s="54" t="s">
        <v>12480</v>
      </c>
      <c r="C3253" s="28">
        <v>4</v>
      </c>
      <c r="D3253" s="54" t="s"/>
      <c r="E3253" s="28" t="s"/>
      <c r="F3253" s="28" t="s">
        <v>12461</v>
      </c>
      <c r="G3253" s="28">
        <v>1</v>
      </c>
    </row>
    <row r="3254" spans="1:7">
      <c r="A3254" s="28">
        <v>3231171</v>
      </c>
      <c r="B3254" s="54" t="s">
        <v>12481</v>
      </c>
      <c r="C3254" s="28">
        <v>4</v>
      </c>
      <c r="D3254" s="54" t="s"/>
      <c r="E3254" s="28" t="s"/>
      <c r="F3254" s="28" t="s">
        <v>12461</v>
      </c>
      <c r="G3254" s="28">
        <v>1</v>
      </c>
    </row>
    <row r="3255" spans="1:7">
      <c r="A3255" s="28">
        <v>3231191</v>
      </c>
      <c r="B3255" s="54" t="s">
        <v>12482</v>
      </c>
      <c r="C3255" s="28">
        <v>4</v>
      </c>
      <c r="D3255" s="54" t="s"/>
      <c r="E3255" s="28" t="s"/>
      <c r="F3255" s="28" t="s">
        <v>12461</v>
      </c>
      <c r="G3255" s="28">
        <v>1</v>
      </c>
    </row>
    <row r="3256" spans="1:7">
      <c r="A3256" s="28">
        <v>3231201</v>
      </c>
      <c r="B3256" s="28" t="s">
        <v>12483</v>
      </c>
      <c r="C3256" s="28">
        <v>4</v>
      </c>
      <c r="D3256" s="54" t="s"/>
      <c r="E3256" s="28" t="s"/>
      <c r="F3256" s="28" t="s">
        <v>12461</v>
      </c>
      <c r="G3256" s="28">
        <v>1</v>
      </c>
    </row>
    <row r="3257" spans="1:7">
      <c r="A3257" s="28">
        <v>3231221</v>
      </c>
      <c r="B3257" s="54" t="s">
        <v>12484</v>
      </c>
      <c r="C3257" s="28">
        <v>4</v>
      </c>
      <c r="D3257" s="54" t="s"/>
      <c r="E3257" s="28" t="s"/>
      <c r="F3257" s="28" t="s">
        <v>12461</v>
      </c>
      <c r="G3257" s="28">
        <v>1</v>
      </c>
    </row>
    <row r="3258" spans="1:7">
      <c r="A3258" s="28">
        <v>3231241</v>
      </c>
      <c r="B3258" s="54" t="s">
        <v>12485</v>
      </c>
      <c r="C3258" s="28">
        <v>4</v>
      </c>
      <c r="D3258" s="54" t="s"/>
      <c r="E3258" s="28" t="s"/>
      <c r="F3258" s="28" t="s">
        <v>12461</v>
      </c>
      <c r="G3258" s="28">
        <v>1</v>
      </c>
    </row>
    <row r="3259" spans="1:7">
      <c r="A3259" s="28">
        <v>3231251</v>
      </c>
      <c r="B3259" s="54" t="s">
        <v>12486</v>
      </c>
      <c r="C3259" s="28">
        <v>4</v>
      </c>
      <c r="D3259" s="54" t="s"/>
      <c r="E3259" s="28" t="s"/>
      <c r="F3259" s="28" t="s">
        <v>12461</v>
      </c>
      <c r="G3259" s="28">
        <v>1</v>
      </c>
    </row>
    <row r="3260" spans="1:7">
      <c r="A3260" s="28">
        <v>3231261</v>
      </c>
      <c r="B3260" s="54" t="s">
        <v>12487</v>
      </c>
      <c r="C3260" s="28">
        <v>4</v>
      </c>
      <c r="D3260" s="54" t="s"/>
      <c r="E3260" s="28" t="s"/>
      <c r="F3260" s="28" t="s">
        <v>12461</v>
      </c>
      <c r="G3260" s="28">
        <v>1</v>
      </c>
    </row>
    <row r="3261" spans="1:7">
      <c r="A3261" s="28">
        <v>3231301</v>
      </c>
      <c r="B3261" s="54" t="s">
        <v>12488</v>
      </c>
      <c r="C3261" s="28">
        <v>4</v>
      </c>
      <c r="D3261" s="54" t="s"/>
      <c r="E3261" s="28" t="s"/>
      <c r="F3261" s="28" t="s">
        <v>12461</v>
      </c>
      <c r="G3261" s="28">
        <v>1</v>
      </c>
    </row>
    <row r="3262" spans="1:7">
      <c r="A3262" s="28">
        <v>3231311</v>
      </c>
      <c r="B3262" s="54" t="s">
        <v>12489</v>
      </c>
      <c r="C3262" s="28">
        <v>4</v>
      </c>
      <c r="D3262" s="54" t="s"/>
      <c r="E3262" s="28" t="s"/>
      <c r="F3262" s="28" t="s">
        <v>12461</v>
      </c>
      <c r="G3262" s="28">
        <v>1</v>
      </c>
    </row>
    <row r="3263" spans="1:7">
      <c r="A3263" s="28">
        <v>3231321</v>
      </c>
      <c r="B3263" s="54" t="s">
        <v>12490</v>
      </c>
      <c r="C3263" s="28">
        <v>4</v>
      </c>
      <c r="D3263" s="54" t="s"/>
      <c r="E3263" s="28" t="s"/>
      <c r="F3263" s="28" t="s">
        <v>12461</v>
      </c>
      <c r="G3263" s="28">
        <v>1</v>
      </c>
    </row>
    <row r="3264" spans="1:7">
      <c r="A3264" s="28">
        <v>3231341</v>
      </c>
      <c r="B3264" s="54" t="s">
        <v>12491</v>
      </c>
      <c r="C3264" s="28">
        <v>4</v>
      </c>
      <c r="D3264" s="54" t="s"/>
      <c r="E3264" s="28" t="s"/>
      <c r="F3264" s="28" t="s">
        <v>12461</v>
      </c>
      <c r="G3264" s="28">
        <v>1</v>
      </c>
    </row>
    <row r="3265" spans="1:7">
      <c r="A3265" s="28">
        <v>3231401</v>
      </c>
      <c r="B3265" s="54" t="s">
        <v>12492</v>
      </c>
      <c r="C3265" s="28">
        <v>4</v>
      </c>
      <c r="D3265" s="54" t="s"/>
      <c r="E3265" s="28" t="s"/>
      <c r="F3265" s="28" t="s">
        <v>12461</v>
      </c>
      <c r="G3265" s="28">
        <v>1</v>
      </c>
    </row>
    <row r="3266" spans="1:7">
      <c r="A3266" s="28">
        <v>3231411</v>
      </c>
      <c r="B3266" s="54" t="s">
        <v>12493</v>
      </c>
      <c r="C3266" s="28">
        <v>4</v>
      </c>
      <c r="D3266" s="54" t="s"/>
      <c r="E3266" s="28" t="s"/>
      <c r="F3266" s="28" t="s">
        <v>12461</v>
      </c>
      <c r="G3266" s="28">
        <v>1</v>
      </c>
    </row>
    <row r="3267" spans="1:7">
      <c r="A3267" s="28">
        <v>3231431</v>
      </c>
      <c r="B3267" s="54" t="s">
        <v>12494</v>
      </c>
      <c r="C3267" s="28">
        <v>4</v>
      </c>
      <c r="D3267" s="54" t="s"/>
      <c r="E3267" s="28" t="s"/>
      <c r="F3267" s="28" t="s">
        <v>12461</v>
      </c>
      <c r="G3267" s="28">
        <v>1</v>
      </c>
    </row>
    <row r="3268" spans="1:7">
      <c r="A3268" s="28">
        <v>3231441</v>
      </c>
      <c r="B3268" s="54" t="s">
        <v>12495</v>
      </c>
      <c r="C3268" s="28">
        <v>3</v>
      </c>
      <c r="D3268" s="54" t="s"/>
      <c r="E3268" s="28" t="s"/>
      <c r="F3268" s="28" t="s">
        <v>12461</v>
      </c>
      <c r="G3268" s="28">
        <v>1</v>
      </c>
    </row>
    <row r="3269" spans="1:7">
      <c r="A3269" s="28">
        <v>3231451</v>
      </c>
      <c r="B3269" s="54" t="s">
        <v>12496</v>
      </c>
      <c r="C3269" s="28">
        <v>4</v>
      </c>
      <c r="D3269" s="54" t="s"/>
      <c r="E3269" s="28" t="s"/>
      <c r="F3269" s="28" t="s">
        <v>12461</v>
      </c>
      <c r="G3269" s="28">
        <v>1</v>
      </c>
    </row>
    <row r="3270" spans="1:7">
      <c r="A3270" s="28">
        <v>3231461</v>
      </c>
      <c r="B3270" s="54" t="s">
        <v>12497</v>
      </c>
      <c r="C3270" s="28">
        <v>4</v>
      </c>
      <c r="D3270" s="54" t="s"/>
      <c r="E3270" s="28" t="s"/>
      <c r="F3270" s="28" t="s">
        <v>12461</v>
      </c>
      <c r="G3270" s="28">
        <v>1</v>
      </c>
    </row>
    <row r="3271" spans="1:7">
      <c r="A3271" s="28">
        <v>3231471</v>
      </c>
      <c r="B3271" s="54" t="s">
        <v>12498</v>
      </c>
      <c r="C3271" s="28">
        <v>4</v>
      </c>
      <c r="D3271" s="54" t="s"/>
      <c r="E3271" s="28" t="s"/>
      <c r="F3271" s="28" t="s">
        <v>12461</v>
      </c>
      <c r="G3271" s="28">
        <v>1</v>
      </c>
    </row>
    <row r="3272" spans="1:7">
      <c r="A3272" s="28">
        <v>3231481</v>
      </c>
      <c r="B3272" s="54" t="s">
        <v>12499</v>
      </c>
      <c r="C3272" s="28">
        <v>4</v>
      </c>
      <c r="D3272" s="54" t="s"/>
      <c r="E3272" s="28" t="s"/>
      <c r="F3272" s="28" t="s">
        <v>12461</v>
      </c>
      <c r="G3272" s="28">
        <v>1</v>
      </c>
    </row>
    <row r="3273" spans="1:7">
      <c r="A3273" s="28">
        <v>3231491</v>
      </c>
      <c r="B3273" s="54" t="s">
        <v>12500</v>
      </c>
      <c r="C3273" s="28">
        <v>4</v>
      </c>
      <c r="D3273" s="54" t="s"/>
      <c r="E3273" s="28" t="s"/>
      <c r="F3273" s="28" t="s">
        <v>12461</v>
      </c>
      <c r="G3273" s="28">
        <v>1</v>
      </c>
    </row>
    <row r="3274" spans="1:7">
      <c r="A3274" s="28">
        <v>3231501</v>
      </c>
      <c r="B3274" s="54" t="s">
        <v>12501</v>
      </c>
      <c r="C3274" s="28">
        <v>4</v>
      </c>
      <c r="D3274" s="54" t="s"/>
      <c r="E3274" s="28" t="s"/>
      <c r="F3274" s="28" t="s">
        <v>12461</v>
      </c>
      <c r="G3274" s="28">
        <v>1</v>
      </c>
    </row>
    <row r="3275" spans="1:7">
      <c r="A3275" s="28">
        <v>3300001</v>
      </c>
      <c r="B3275" s="54" t="s">
        <v>12502</v>
      </c>
      <c r="C3275" s="28">
        <v>3</v>
      </c>
      <c r="D3275" s="54" t="s">
        <v>12503</v>
      </c>
      <c r="E3275" s="28" t="s">
        <v>12504</v>
      </c>
      <c r="F3275" s="28" t="s"/>
      <c r="G3275" s="28">
        <v>1</v>
      </c>
    </row>
    <row r="3276" spans="1:7">
      <c r="A3276" s="28">
        <v>3300002</v>
      </c>
      <c r="B3276" s="54" t="s">
        <v>12505</v>
      </c>
      <c r="C3276" s="28">
        <v>4</v>
      </c>
      <c r="D3276" s="54" t="s">
        <v>12506</v>
      </c>
      <c r="E3276" s="28" t="s">
        <v>12507</v>
      </c>
      <c r="F3276" s="28" t="s">
        <v>12508</v>
      </c>
      <c r="G3276" s="28">
        <v>1</v>
      </c>
    </row>
    <row r="3277" spans="1:7">
      <c r="A3277" s="28">
        <v>3300003</v>
      </c>
      <c r="B3277" s="54" t="s">
        <v>12509</v>
      </c>
      <c r="C3277" s="28">
        <v>4</v>
      </c>
      <c r="D3277" s="54" t="s">
        <v>12506</v>
      </c>
      <c r="E3277" s="28" t="s">
        <v>12510</v>
      </c>
      <c r="F3277" s="28" t="s">
        <v>12511</v>
      </c>
      <c r="G3277" s="28">
        <v>1</v>
      </c>
    </row>
    <row r="3278" spans="1:7">
      <c r="A3278" s="28">
        <v>3300004</v>
      </c>
      <c r="B3278" s="54" t="s">
        <v>12512</v>
      </c>
      <c r="C3278" s="28">
        <v>4</v>
      </c>
      <c r="D3278" s="54" t="s">
        <v>12506</v>
      </c>
      <c r="E3278" s="28" t="s">
        <v>12513</v>
      </c>
      <c r="F3278" s="28" t="s">
        <v>12514</v>
      </c>
      <c r="G3278" s="28">
        <v>1</v>
      </c>
    </row>
    <row r="3279" spans="1:7">
      <c r="A3279" s="28">
        <v>3300005</v>
      </c>
      <c r="B3279" s="54" t="s">
        <v>12515</v>
      </c>
      <c r="C3279" s="28">
        <v>4</v>
      </c>
      <c r="D3279" s="54" t="s">
        <v>12506</v>
      </c>
      <c r="E3279" s="28" t="s">
        <v>12516</v>
      </c>
      <c r="F3279" s="28" t="s">
        <v>12517</v>
      </c>
      <c r="G3279" s="28">
        <v>1</v>
      </c>
    </row>
    <row r="3280" spans="1:7">
      <c r="A3280" s="28">
        <v>3300006</v>
      </c>
      <c r="B3280" s="54" t="s">
        <v>12518</v>
      </c>
      <c r="C3280" s="28">
        <v>4</v>
      </c>
      <c r="D3280" s="54" t="s">
        <v>12506</v>
      </c>
      <c r="E3280" s="28" t="s">
        <v>12519</v>
      </c>
      <c r="F3280" s="28" t="s">
        <v>12520</v>
      </c>
      <c r="G3280" s="28">
        <v>1</v>
      </c>
    </row>
    <row r="3281" spans="1:7">
      <c r="A3281" s="28">
        <v>3300007</v>
      </c>
      <c r="B3281" s="54" t="s">
        <v>12521</v>
      </c>
      <c r="C3281" s="28">
        <v>4</v>
      </c>
      <c r="D3281" s="54" t="s">
        <v>12506</v>
      </c>
      <c r="E3281" s="28" t="s">
        <v>12522</v>
      </c>
      <c r="F3281" s="28" t="s">
        <v>12523</v>
      </c>
      <c r="G3281" s="28">
        <v>1</v>
      </c>
    </row>
    <row r="3282" spans="1:7">
      <c r="A3282" s="28">
        <v>3300008</v>
      </c>
      <c r="B3282" s="28" t="s">
        <v>12524</v>
      </c>
      <c r="C3282" s="28">
        <v>4</v>
      </c>
      <c r="D3282" s="54" t="s">
        <v>12506</v>
      </c>
      <c r="E3282" s="28" t="s">
        <v>12525</v>
      </c>
      <c r="F3282" s="28" t="s">
        <v>12526</v>
      </c>
      <c r="G3282" s="28">
        <v>1</v>
      </c>
    </row>
    <row r="3283" spans="1:7">
      <c r="A3283" s="28">
        <v>3300009</v>
      </c>
      <c r="B3283" s="28" t="s">
        <v>12527</v>
      </c>
      <c r="C3283" s="28">
        <v>4</v>
      </c>
      <c r="D3283" s="54" t="s">
        <v>12506</v>
      </c>
      <c r="E3283" s="28" t="s">
        <v>12528</v>
      </c>
      <c r="F3283" s="28" t="s">
        <v>12529</v>
      </c>
      <c r="G3283" s="28">
        <v>1</v>
      </c>
    </row>
    <row r="3284" spans="1:7">
      <c r="A3284" s="28">
        <v>3300010</v>
      </c>
      <c r="B3284" s="28" t="s">
        <v>12530</v>
      </c>
      <c r="C3284" s="28">
        <v>4</v>
      </c>
      <c r="D3284" s="54" t="s">
        <v>12506</v>
      </c>
      <c r="E3284" s="28" t="s">
        <v>12531</v>
      </c>
      <c r="F3284" s="28" t="s">
        <v>12532</v>
      </c>
      <c r="G3284" s="28">
        <v>1</v>
      </c>
    </row>
    <row r="3285" spans="1:7">
      <c r="A3285" s="28">
        <v>3300011</v>
      </c>
      <c r="B3285" s="28" t="s">
        <v>12533</v>
      </c>
      <c r="C3285" s="28">
        <v>4</v>
      </c>
      <c r="D3285" s="54" t="s">
        <v>12506</v>
      </c>
      <c r="E3285" s="28" t="s">
        <v>12534</v>
      </c>
      <c r="F3285" s="28" t="s">
        <v>12535</v>
      </c>
      <c r="G3285" s="28">
        <v>1</v>
      </c>
    </row>
    <row r="3286" spans="1:7">
      <c r="A3286" s="28">
        <v>3300012</v>
      </c>
      <c r="B3286" s="28" t="s">
        <v>12536</v>
      </c>
      <c r="C3286" s="28">
        <v>4</v>
      </c>
      <c r="D3286" s="54" t="s">
        <v>12506</v>
      </c>
      <c r="E3286" s="28" t="s">
        <v>12537</v>
      </c>
      <c r="F3286" s="28" t="s">
        <v>12538</v>
      </c>
      <c r="G3286" s="28">
        <v>1</v>
      </c>
    </row>
    <row r="3287" spans="1:7">
      <c r="A3287" s="28">
        <v>3300013</v>
      </c>
      <c r="B3287" s="28" t="s">
        <v>12539</v>
      </c>
      <c r="C3287" s="28">
        <v>4</v>
      </c>
      <c r="D3287" s="54" t="s">
        <v>12506</v>
      </c>
      <c r="E3287" s="28" t="s">
        <v>12540</v>
      </c>
      <c r="F3287" s="28" t="s">
        <v>12541</v>
      </c>
      <c r="G3287" s="28">
        <v>1</v>
      </c>
    </row>
    <row r="3288" spans="1:7">
      <c r="A3288" s="28">
        <v>3300014</v>
      </c>
      <c r="B3288" s="28" t="s">
        <v>12542</v>
      </c>
      <c r="C3288" s="28">
        <v>4</v>
      </c>
      <c r="D3288" s="54" t="s">
        <v>12506</v>
      </c>
      <c r="E3288" s="28" t="s">
        <v>12543</v>
      </c>
      <c r="F3288" s="28" t="s">
        <v>12544</v>
      </c>
      <c r="G3288" s="28">
        <v>1</v>
      </c>
    </row>
    <row r="3289" spans="1:7">
      <c r="A3289" s="28">
        <v>3300015</v>
      </c>
      <c r="B3289" s="28" t="s">
        <v>12545</v>
      </c>
      <c r="C3289" s="28">
        <v>4</v>
      </c>
      <c r="D3289" s="54" t="s">
        <v>12546</v>
      </c>
      <c r="E3289" s="28" t="s">
        <v>12547</v>
      </c>
      <c r="F3289" s="28" t="s">
        <v>12548</v>
      </c>
      <c r="G3289" s="28">
        <v>1</v>
      </c>
    </row>
    <row r="3290" spans="1:7">
      <c r="A3290" s="28">
        <v>3300016</v>
      </c>
      <c r="B3290" s="28" t="s">
        <v>12549</v>
      </c>
      <c r="C3290" s="28">
        <v>4</v>
      </c>
      <c r="D3290" s="54" t="s">
        <v>12546</v>
      </c>
      <c r="E3290" s="28" t="s">
        <v>12550</v>
      </c>
      <c r="F3290" s="28" t="s">
        <v>12551</v>
      </c>
      <c r="G3290" s="28">
        <v>1</v>
      </c>
    </row>
    <row r="3291" spans="1:7">
      <c r="A3291" s="28">
        <v>3301001</v>
      </c>
      <c r="B3291" s="28" t="s">
        <v>12552</v>
      </c>
      <c r="C3291" s="28">
        <v>3</v>
      </c>
      <c r="D3291" s="54" t="s">
        <v>12553</v>
      </c>
      <c r="E3291" s="28" t="s">
        <v>12554</v>
      </c>
      <c r="F3291" s="28" t="s">
        <v>12555</v>
      </c>
      <c r="G3291" s="28">
        <v>1</v>
      </c>
    </row>
    <row r="3292" spans="1:7">
      <c r="A3292" s="28">
        <v>3301003</v>
      </c>
      <c r="B3292" s="28" t="s">
        <v>12556</v>
      </c>
      <c r="C3292" s="28">
        <v>3</v>
      </c>
      <c r="D3292" s="54" t="s">
        <v>12557</v>
      </c>
      <c r="E3292" s="28" t="s">
        <v>12558</v>
      </c>
      <c r="F3292" s="28" t="s">
        <v>12559</v>
      </c>
      <c r="G3292" s="28">
        <v>1</v>
      </c>
    </row>
    <row r="3293" spans="1:7">
      <c r="A3293" s="28">
        <v>3301004</v>
      </c>
      <c r="B3293" s="28" t="s">
        <v>12560</v>
      </c>
      <c r="C3293" s="28">
        <v>3</v>
      </c>
      <c r="D3293" s="54" t="s">
        <v>12557</v>
      </c>
      <c r="E3293" s="28" t="s">
        <v>12561</v>
      </c>
      <c r="F3293" s="28" t="s">
        <v>12562</v>
      </c>
      <c r="G3293" s="28">
        <v>1</v>
      </c>
    </row>
    <row r="3294" spans="1:7">
      <c r="A3294" s="28">
        <v>3301005</v>
      </c>
      <c r="B3294" s="28" t="s">
        <v>12563</v>
      </c>
      <c r="C3294" s="28">
        <v>4</v>
      </c>
      <c r="D3294" s="67" t="s">
        <v>12564</v>
      </c>
      <c r="E3294" s="28" t="s">
        <v>12565</v>
      </c>
      <c r="F3294" s="28" t="s">
        <v>12566</v>
      </c>
      <c r="G3294" s="28">
        <v>1</v>
      </c>
    </row>
    <row r="3295" spans="1:7">
      <c r="A3295" s="28">
        <v>3301006</v>
      </c>
      <c r="B3295" s="28" t="s">
        <v>12567</v>
      </c>
      <c r="C3295" s="28">
        <v>3</v>
      </c>
      <c r="D3295" s="67" t="s">
        <v>12568</v>
      </c>
      <c r="E3295" s="28" t="s">
        <v>12569</v>
      </c>
      <c r="F3295" s="28" t="s">
        <v>12570</v>
      </c>
      <c r="G3295" s="28">
        <v>1</v>
      </c>
    </row>
    <row r="3296" spans="1:7">
      <c r="A3296" s="28">
        <v>3301007</v>
      </c>
      <c r="B3296" s="28" t="s">
        <v>12571</v>
      </c>
      <c r="C3296" s="28">
        <v>3</v>
      </c>
      <c r="D3296" s="67" t="s">
        <v>12572</v>
      </c>
      <c r="E3296" s="28" t="s">
        <v>12573</v>
      </c>
      <c r="F3296" s="28" t="s">
        <v>12574</v>
      </c>
      <c r="G3296" s="28">
        <v>1</v>
      </c>
    </row>
    <row r="3297" spans="1:7">
      <c r="A3297" s="28">
        <v>3301008</v>
      </c>
      <c r="B3297" s="28" t="s">
        <v>12575</v>
      </c>
      <c r="C3297" s="28">
        <v>3</v>
      </c>
      <c r="D3297" s="67" t="s">
        <v>12576</v>
      </c>
      <c r="E3297" s="54" t="s">
        <v>12577</v>
      </c>
      <c r="F3297" s="28" t="s">
        <v>12578</v>
      </c>
      <c r="G3297" s="28">
        <v>1</v>
      </c>
    </row>
    <row r="3298" spans="1:7">
      <c r="A3298" s="28">
        <v>3301009</v>
      </c>
      <c r="B3298" s="28" t="s">
        <v>12579</v>
      </c>
      <c r="C3298" s="28">
        <v>3</v>
      </c>
      <c r="D3298" s="67" t="s">
        <v>12580</v>
      </c>
      <c r="E3298" s="54" t="s">
        <v>12581</v>
      </c>
      <c r="F3298" s="28" t="s">
        <v>12582</v>
      </c>
      <c r="G3298" s="28">
        <v>1</v>
      </c>
    </row>
    <row r="3299" spans="1:7">
      <c r="A3299" s="28">
        <v>3301010</v>
      </c>
      <c r="B3299" s="28" t="s">
        <v>12583</v>
      </c>
      <c r="C3299" s="28">
        <v>3</v>
      </c>
      <c r="D3299" s="67" t="s">
        <v>12553</v>
      </c>
      <c r="E3299" s="54" t="s">
        <v>12584</v>
      </c>
      <c r="F3299" s="28" t="s">
        <v>12585</v>
      </c>
      <c r="G3299" s="28">
        <v>1</v>
      </c>
    </row>
    <row r="3300" spans="1:7">
      <c r="A3300" s="28">
        <v>3301011</v>
      </c>
      <c r="B3300" s="28" t="s">
        <v>12586</v>
      </c>
      <c r="C3300" s="28">
        <v>4</v>
      </c>
      <c r="D3300" s="67" t="s">
        <v>12587</v>
      </c>
      <c r="E3300" s="54" t="s">
        <v>12588</v>
      </c>
      <c r="F3300" s="28" t="s">
        <v>12589</v>
      </c>
      <c r="G3300" s="28">
        <v>1</v>
      </c>
    </row>
    <row r="3301" spans="1:7">
      <c r="A3301" s="28">
        <v>3301012</v>
      </c>
      <c r="B3301" s="28" t="s">
        <v>12590</v>
      </c>
      <c r="C3301" s="28">
        <v>3</v>
      </c>
      <c r="D3301" s="67" t="s">
        <v>12591</v>
      </c>
      <c r="E3301" s="54" t="s">
        <v>12592</v>
      </c>
      <c r="F3301" s="28" t="s">
        <v>12593</v>
      </c>
      <c r="G3301" s="28">
        <v>1</v>
      </c>
    </row>
    <row r="3302" spans="1:7">
      <c r="A3302" s="28">
        <v>3301013</v>
      </c>
      <c r="B3302" s="28" t="s">
        <v>12594</v>
      </c>
      <c r="C3302" s="28">
        <v>3</v>
      </c>
      <c r="D3302" s="67" t="s">
        <v>12595</v>
      </c>
      <c r="E3302" s="54" t="s">
        <v>12596</v>
      </c>
      <c r="F3302" s="28" t="s">
        <v>12597</v>
      </c>
      <c r="G3302" s="28">
        <v>1</v>
      </c>
    </row>
    <row r="3303" spans="1:7">
      <c r="A3303" s="28">
        <v>3301014</v>
      </c>
      <c r="B3303" s="28" t="s">
        <v>12598</v>
      </c>
      <c r="C3303" s="28">
        <v>3</v>
      </c>
      <c r="D3303" s="67" t="s">
        <v>12599</v>
      </c>
      <c r="E3303" s="54" t="s">
        <v>12600</v>
      </c>
      <c r="F3303" s="28" t="s">
        <v>12601</v>
      </c>
      <c r="G3303" s="28">
        <v>1</v>
      </c>
    </row>
    <row r="3304" spans="1:7">
      <c r="A3304" s="28">
        <v>3301015</v>
      </c>
      <c r="B3304" s="28" t="s">
        <v>12602</v>
      </c>
      <c r="C3304" s="28">
        <v>3</v>
      </c>
      <c r="D3304" s="67" t="s">
        <v>12603</v>
      </c>
      <c r="E3304" s="54" t="s">
        <v>12604</v>
      </c>
      <c r="F3304" s="28" t="s">
        <v>12605</v>
      </c>
      <c r="G3304" s="28">
        <v>1</v>
      </c>
    </row>
    <row r="3305" spans="1:7">
      <c r="A3305" s="28">
        <v>3301016</v>
      </c>
      <c r="B3305" s="28" t="s">
        <v>12606</v>
      </c>
      <c r="C3305" s="28">
        <v>4</v>
      </c>
      <c r="D3305" s="67" t="s">
        <v>12607</v>
      </c>
      <c r="E3305" s="54" t="s">
        <v>12608</v>
      </c>
      <c r="F3305" s="28" t="s">
        <v>12609</v>
      </c>
      <c r="G3305" s="28">
        <v>1</v>
      </c>
    </row>
    <row r="3306" spans="1:7">
      <c r="A3306" s="28">
        <v>3301017</v>
      </c>
      <c r="B3306" s="28" t="s">
        <v>12610</v>
      </c>
      <c r="C3306" s="28">
        <v>4</v>
      </c>
      <c r="D3306" s="67" t="s">
        <v>12611</v>
      </c>
      <c r="E3306" s="54" t="s">
        <v>12612</v>
      </c>
      <c r="F3306" s="28" t="s"/>
      <c r="G3306" s="28">
        <v>1</v>
      </c>
    </row>
    <row r="3307" spans="1:7">
      <c r="A3307" s="28">
        <v>3301018</v>
      </c>
      <c r="B3307" s="28" t="s">
        <v>12613</v>
      </c>
      <c r="C3307" s="28">
        <v>3</v>
      </c>
      <c r="D3307" s="67" t="s">
        <v>12614</v>
      </c>
      <c r="E3307" s="54" t="s">
        <v>12615</v>
      </c>
      <c r="F3307" s="28" t="s">
        <v>12616</v>
      </c>
      <c r="G3307" s="28">
        <v>1</v>
      </c>
    </row>
    <row r="3308" spans="1:7">
      <c r="A3308" s="28">
        <v>3301019</v>
      </c>
      <c r="B3308" s="28" t="s">
        <v>12617</v>
      </c>
      <c r="C3308" s="28">
        <v>3</v>
      </c>
      <c r="D3308" s="67" t="s">
        <v>12618</v>
      </c>
      <c r="E3308" s="54" t="s">
        <v>12619</v>
      </c>
      <c r="F3308" s="28" t="s">
        <v>12620</v>
      </c>
      <c r="G3308" s="28">
        <v>1</v>
      </c>
    </row>
    <row r="3309" spans="1:7">
      <c r="A3309" s="28">
        <v>3301020</v>
      </c>
      <c r="B3309" s="28" t="s">
        <v>12621</v>
      </c>
      <c r="C3309" s="28">
        <v>3</v>
      </c>
      <c r="D3309" s="67" t="s">
        <v>12622</v>
      </c>
      <c r="E3309" s="54" t="s">
        <v>12623</v>
      </c>
      <c r="F3309" s="28" t="s">
        <v>12624</v>
      </c>
      <c r="G3309" s="28">
        <v>1</v>
      </c>
    </row>
    <row r="3310" spans="1:7">
      <c r="A3310" s="28">
        <v>3301021</v>
      </c>
      <c r="B3310" s="28" t="s">
        <v>12625</v>
      </c>
      <c r="C3310" s="28">
        <v>3</v>
      </c>
      <c r="D3310" s="67" t="s">
        <v>12626</v>
      </c>
      <c r="E3310" s="54" t="s">
        <v>12627</v>
      </c>
      <c r="F3310" s="28" t="s">
        <v>12628</v>
      </c>
      <c r="G3310" s="28">
        <v>1</v>
      </c>
    </row>
    <row r="3311" spans="1:7">
      <c r="A3311" s="28">
        <v>3302001</v>
      </c>
      <c r="B3311" s="28" t="s">
        <v>12629</v>
      </c>
      <c r="C3311" s="28">
        <v>3</v>
      </c>
      <c r="D3311" s="67" t="s">
        <v>12630</v>
      </c>
      <c r="E3311" s="54" t="s">
        <v>12631</v>
      </c>
      <c r="F3311" s="28" t="s">
        <v>12632</v>
      </c>
      <c r="G3311" s="28">
        <v>1</v>
      </c>
    </row>
    <row r="3312" spans="1:7">
      <c r="A3312" s="28">
        <v>3302002</v>
      </c>
      <c r="B3312" s="28" t="s">
        <v>12633</v>
      </c>
      <c r="C3312" s="28">
        <v>3</v>
      </c>
      <c r="D3312" s="67" t="s">
        <v>12634</v>
      </c>
      <c r="E3312" s="54" t="s">
        <v>12635</v>
      </c>
      <c r="F3312" s="28" t="s">
        <v>12636</v>
      </c>
      <c r="G3312" s="28">
        <v>1</v>
      </c>
    </row>
    <row r="3313" spans="1:7">
      <c r="A3313" s="28">
        <v>3302003</v>
      </c>
      <c r="B3313" s="28" t="s">
        <v>12637</v>
      </c>
      <c r="C3313" s="28">
        <v>3</v>
      </c>
      <c r="D3313" s="28" t="s">
        <v>12634</v>
      </c>
      <c r="E3313" s="54" t="s">
        <v>12638</v>
      </c>
      <c r="F3313" s="28" t="s">
        <v>12639</v>
      </c>
      <c r="G3313" s="28">
        <v>1</v>
      </c>
    </row>
    <row r="3314" spans="1:7">
      <c r="A3314" s="28">
        <v>3302004</v>
      </c>
      <c r="B3314" s="28" t="s">
        <v>12640</v>
      </c>
      <c r="C3314" s="28">
        <v>3</v>
      </c>
      <c r="D3314" s="28" t="s">
        <v>12641</v>
      </c>
      <c r="E3314" s="54" t="s">
        <v>12642</v>
      </c>
      <c r="F3314" s="28" t="s">
        <v>12643</v>
      </c>
      <c r="G3314" s="28">
        <v>1</v>
      </c>
    </row>
    <row r="3315" spans="1:7">
      <c r="A3315" s="28">
        <v>3302005</v>
      </c>
      <c r="B3315" s="28" t="s">
        <v>12644</v>
      </c>
      <c r="C3315" s="28">
        <v>3</v>
      </c>
      <c r="D3315" s="28" t="s">
        <v>12645</v>
      </c>
      <c r="E3315" s="54" t="s">
        <v>12646</v>
      </c>
      <c r="F3315" s="28" t="s">
        <v>12647</v>
      </c>
      <c r="G3315" s="28">
        <v>1</v>
      </c>
    </row>
    <row r="3316" spans="1:7">
      <c r="A3316" s="28">
        <v>3302006</v>
      </c>
      <c r="B3316" s="28" t="s">
        <v>12648</v>
      </c>
      <c r="C3316" s="28">
        <v>3</v>
      </c>
      <c r="D3316" s="28" t="s">
        <v>12649</v>
      </c>
      <c r="E3316" s="54" t="s">
        <v>12650</v>
      </c>
      <c r="F3316" s="28" t="s">
        <v>12651</v>
      </c>
      <c r="G3316" s="28">
        <v>1</v>
      </c>
    </row>
    <row r="3317" spans="1:7">
      <c r="A3317" s="28">
        <v>3311011</v>
      </c>
      <c r="B3317" s="28" t="s">
        <v>12652</v>
      </c>
      <c r="C3317" s="28">
        <v>3</v>
      </c>
      <c r="D3317" s="28" t="s">
        <v>12653</v>
      </c>
      <c r="E3317" s="54" t="s">
        <v>12654</v>
      </c>
      <c r="F3317" s="28" t="s"/>
      <c r="G3317" s="28">
        <v>1</v>
      </c>
    </row>
    <row r="3318" spans="1:7">
      <c r="A3318" s="28">
        <v>3311021</v>
      </c>
      <c r="B3318" s="28" t="s">
        <v>12655</v>
      </c>
      <c r="C3318" s="28">
        <v>3</v>
      </c>
      <c r="D3318" s="28" t="s">
        <v>12656</v>
      </c>
      <c r="E3318" s="54" t="s">
        <v>12657</v>
      </c>
      <c r="F3318" s="28" t="s"/>
      <c r="G3318" s="28">
        <v>1</v>
      </c>
    </row>
    <row r="3319" spans="1:7">
      <c r="A3319" s="28">
        <v>3311031</v>
      </c>
      <c r="B3319" s="28" t="s">
        <v>12658</v>
      </c>
      <c r="C3319" s="28">
        <v>3</v>
      </c>
      <c r="D3319" s="28" t="s">
        <v>12659</v>
      </c>
      <c r="E3319" s="54" t="s">
        <v>12660</v>
      </c>
      <c r="F3319" s="28" t="s"/>
      <c r="G3319" s="28">
        <v>1</v>
      </c>
    </row>
    <row r="3320" spans="1:7">
      <c r="A3320" s="28">
        <v>3311041</v>
      </c>
      <c r="B3320" s="28" t="s">
        <v>12661</v>
      </c>
      <c r="C3320" s="28">
        <v>3</v>
      </c>
      <c r="D3320" s="28" t="s">
        <v>12662</v>
      </c>
      <c r="E3320" s="54" t="s">
        <v>12663</v>
      </c>
      <c r="F3320" s="28" t="s"/>
      <c r="G3320" s="28">
        <v>1</v>
      </c>
    </row>
    <row r="3321" spans="1:7">
      <c r="A3321" s="28">
        <v>3311051</v>
      </c>
      <c r="B3321" s="28" t="s">
        <v>12664</v>
      </c>
      <c r="C3321" s="28">
        <v>3</v>
      </c>
      <c r="D3321" s="28" t="s">
        <v>12665</v>
      </c>
      <c r="E3321" s="54" t="s">
        <v>12666</v>
      </c>
      <c r="F3321" s="28" t="s"/>
      <c r="G3321" s="28">
        <v>1</v>
      </c>
    </row>
    <row r="3322" spans="1:7">
      <c r="A3322" s="28">
        <v>3311061</v>
      </c>
      <c r="B3322" s="28" t="s">
        <v>12667</v>
      </c>
      <c r="C3322" s="28">
        <v>3</v>
      </c>
      <c r="D3322" s="28" t="s">
        <v>12668</v>
      </c>
      <c r="E3322" s="54" t="s">
        <v>12669</v>
      </c>
      <c r="F3322" s="28" t="s"/>
      <c r="G3322" s="28">
        <v>1</v>
      </c>
    </row>
    <row r="3323" spans="1:7">
      <c r="A3323" s="28">
        <v>3311071</v>
      </c>
      <c r="B3323" s="28" t="s">
        <v>12670</v>
      </c>
      <c r="C3323" s="28">
        <v>3</v>
      </c>
      <c r="D3323" s="28" t="s">
        <v>12671</v>
      </c>
      <c r="E3323" s="54" t="s">
        <v>12672</v>
      </c>
      <c r="F3323" s="28" t="s"/>
      <c r="G3323" s="28">
        <v>1</v>
      </c>
    </row>
    <row r="3324" spans="1:7">
      <c r="A3324" s="28">
        <v>3311081</v>
      </c>
      <c r="B3324" s="28" t="s">
        <v>12673</v>
      </c>
      <c r="C3324" s="28">
        <v>3</v>
      </c>
      <c r="D3324" s="28" t="s">
        <v>12674</v>
      </c>
      <c r="E3324" s="54" t="s">
        <v>12675</v>
      </c>
      <c r="F3324" s="28" t="s"/>
      <c r="G3324" s="28">
        <v>1</v>
      </c>
    </row>
    <row r="3325" spans="1:7">
      <c r="A3325" s="28">
        <v>3311091</v>
      </c>
      <c r="B3325" s="28" t="s">
        <v>12676</v>
      </c>
      <c r="C3325" s="28">
        <v>3</v>
      </c>
      <c r="D3325" s="28" t="s">
        <v>12677</v>
      </c>
      <c r="E3325" s="54" t="s">
        <v>12678</v>
      </c>
      <c r="F3325" s="28" t="s"/>
      <c r="G3325" s="28">
        <v>1</v>
      </c>
    </row>
    <row r="3326" spans="1:7">
      <c r="A3326" s="28">
        <v>3311101</v>
      </c>
      <c r="B3326" s="28" t="s">
        <v>12679</v>
      </c>
      <c r="C3326" s="28">
        <v>3</v>
      </c>
      <c r="D3326" s="28" t="s">
        <v>12680</v>
      </c>
      <c r="E3326" s="54" t="s">
        <v>12681</v>
      </c>
      <c r="F3326" s="28" t="s"/>
      <c r="G3326" s="28">
        <v>1</v>
      </c>
    </row>
    <row r="3327" spans="1:7">
      <c r="A3327" s="28">
        <v>3311111</v>
      </c>
      <c r="B3327" s="28" t="s">
        <v>12682</v>
      </c>
      <c r="C3327" s="28">
        <v>3</v>
      </c>
      <c r="D3327" s="28" t="s">
        <v>12683</v>
      </c>
      <c r="E3327" s="54" t="s">
        <v>12684</v>
      </c>
      <c r="F3327" s="28" t="s"/>
      <c r="G3327" s="28">
        <v>1</v>
      </c>
    </row>
    <row r="3328" spans="1:7">
      <c r="A3328" s="28">
        <v>3311121</v>
      </c>
      <c r="B3328" s="28" t="s">
        <v>12685</v>
      </c>
      <c r="C3328" s="28">
        <v>3</v>
      </c>
      <c r="D3328" s="28" t="s">
        <v>12686</v>
      </c>
      <c r="E3328" s="54" t="s">
        <v>12687</v>
      </c>
      <c r="F3328" s="28" t="s"/>
      <c r="G3328" s="28">
        <v>1</v>
      </c>
    </row>
    <row r="3329" spans="1:7">
      <c r="A3329" s="28">
        <v>3311131</v>
      </c>
      <c r="B3329" s="28" t="s">
        <v>12688</v>
      </c>
      <c r="C3329" s="28">
        <v>3</v>
      </c>
      <c r="D3329" s="28" t="s">
        <v>12689</v>
      </c>
      <c r="E3329" s="54" t="s">
        <v>12690</v>
      </c>
      <c r="F3329" s="28" t="s"/>
      <c r="G3329" s="28">
        <v>1</v>
      </c>
    </row>
    <row r="3330" spans="1:7">
      <c r="A3330" s="28">
        <v>3311141</v>
      </c>
      <c r="B3330" s="28" t="s">
        <v>12691</v>
      </c>
      <c r="C3330" s="28">
        <v>3</v>
      </c>
      <c r="D3330" s="28" t="s">
        <v>12692</v>
      </c>
      <c r="E3330" s="54" t="s">
        <v>12693</v>
      </c>
      <c r="F3330" s="28" t="s"/>
      <c r="G3330" s="28">
        <v>1</v>
      </c>
    </row>
    <row r="3331" spans="1:7">
      <c r="A3331" s="28">
        <v>3311151</v>
      </c>
      <c r="B3331" s="28" t="s">
        <v>12694</v>
      </c>
      <c r="C3331" s="28">
        <v>3</v>
      </c>
      <c r="D3331" s="28" t="s">
        <v>12695</v>
      </c>
      <c r="E3331" s="54" t="s">
        <v>12696</v>
      </c>
      <c r="F3331" s="28" t="s"/>
      <c r="G3331" s="28">
        <v>1</v>
      </c>
    </row>
    <row r="3332" spans="1:7">
      <c r="A3332" s="28">
        <v>3311161</v>
      </c>
      <c r="B3332" s="28" t="s">
        <v>12697</v>
      </c>
      <c r="C3332" s="28">
        <v>3</v>
      </c>
      <c r="D3332" s="28" t="s">
        <v>12698</v>
      </c>
      <c r="E3332" s="54" t="s">
        <v>12699</v>
      </c>
      <c r="F3332" s="28" t="s"/>
      <c r="G3332" s="28">
        <v>1</v>
      </c>
    </row>
    <row r="3333" spans="1:7">
      <c r="A3333" s="28">
        <v>3311171</v>
      </c>
      <c r="B3333" s="28" t="s">
        <v>12700</v>
      </c>
      <c r="C3333" s="28">
        <v>3</v>
      </c>
      <c r="D3333" s="28" t="s">
        <v>12701</v>
      </c>
      <c r="E3333" s="54" t="s">
        <v>12702</v>
      </c>
      <c r="F3333" s="28" t="s"/>
      <c r="G3333" s="28">
        <v>1</v>
      </c>
    </row>
    <row r="3334" spans="1:7">
      <c r="A3334" s="28">
        <v>3311181</v>
      </c>
      <c r="B3334" s="28" t="s">
        <v>12703</v>
      </c>
      <c r="C3334" s="28">
        <v>3</v>
      </c>
      <c r="D3334" s="28" t="s">
        <v>12704</v>
      </c>
      <c r="E3334" s="54" t="s">
        <v>12705</v>
      </c>
      <c r="F3334" s="28" t="s"/>
      <c r="G3334" s="28">
        <v>1</v>
      </c>
    </row>
    <row r="3335" spans="1:7">
      <c r="A3335" s="28">
        <v>3311191</v>
      </c>
      <c r="B3335" s="28" t="s">
        <v>12706</v>
      </c>
      <c r="C3335" s="28">
        <v>3</v>
      </c>
      <c r="D3335" s="28" t="s">
        <v>12707</v>
      </c>
      <c r="E3335" s="54" t="s">
        <v>12708</v>
      </c>
      <c r="F3335" s="28" t="s"/>
      <c r="G3335" s="28">
        <v>1</v>
      </c>
    </row>
    <row r="3336" spans="1:7">
      <c r="A3336" s="28">
        <v>3311201</v>
      </c>
      <c r="B3336" s="28" t="s">
        <v>12709</v>
      </c>
      <c r="C3336" s="28">
        <v>3</v>
      </c>
      <c r="D3336" s="28" t="s">
        <v>12710</v>
      </c>
      <c r="E3336" s="54" t="s">
        <v>12711</v>
      </c>
      <c r="F3336" s="28" t="s"/>
      <c r="G3336" s="28">
        <v>1</v>
      </c>
    </row>
    <row r="3337" spans="1:7">
      <c r="A3337" s="28">
        <v>3311211</v>
      </c>
      <c r="B3337" s="28" t="s">
        <v>12712</v>
      </c>
      <c r="C3337" s="28">
        <v>3</v>
      </c>
      <c r="D3337" s="28" t="s">
        <v>12713</v>
      </c>
      <c r="E3337" s="54" t="s">
        <v>12714</v>
      </c>
      <c r="F3337" s="28" t="s"/>
      <c r="G3337" s="28">
        <v>1</v>
      </c>
    </row>
    <row r="3338" spans="1:7">
      <c r="A3338" s="28">
        <v>3311221</v>
      </c>
      <c r="B3338" s="28" t="s">
        <v>12715</v>
      </c>
      <c r="C3338" s="28">
        <v>3</v>
      </c>
      <c r="D3338" s="28" t="s">
        <v>12716</v>
      </c>
      <c r="E3338" s="54" t="s">
        <v>12717</v>
      </c>
      <c r="F3338" s="28" t="s"/>
      <c r="G3338" s="28">
        <v>1</v>
      </c>
    </row>
    <row r="3339" spans="1:7">
      <c r="A3339" s="28">
        <v>3311241</v>
      </c>
      <c r="B3339" s="28" t="s">
        <v>12718</v>
      </c>
      <c r="C3339" s="28">
        <v>3</v>
      </c>
      <c r="D3339" s="28" t="s">
        <v>12719</v>
      </c>
      <c r="E3339" s="54" t="s">
        <v>12720</v>
      </c>
      <c r="F3339" s="28" t="s"/>
      <c r="G3339" s="28">
        <v>1</v>
      </c>
    </row>
    <row r="3340" spans="1:7">
      <c r="A3340" s="28">
        <v>3311251</v>
      </c>
      <c r="B3340" s="28" t="s">
        <v>12721</v>
      </c>
      <c r="C3340" s="28">
        <v>3</v>
      </c>
      <c r="D3340" s="28" t="s">
        <v>12722</v>
      </c>
      <c r="E3340" s="54" t="s">
        <v>12723</v>
      </c>
      <c r="F3340" s="28" t="s"/>
      <c r="G3340" s="28">
        <v>1</v>
      </c>
    </row>
    <row r="3341" spans="1:7">
      <c r="A3341" s="28">
        <v>3311261</v>
      </c>
      <c r="B3341" s="28" t="s">
        <v>12724</v>
      </c>
      <c r="C3341" s="28">
        <v>3</v>
      </c>
      <c r="D3341" s="28" t="s">
        <v>12725</v>
      </c>
      <c r="E3341" s="54" t="s">
        <v>12726</v>
      </c>
      <c r="F3341" s="28" t="s"/>
      <c r="G3341" s="28">
        <v>1</v>
      </c>
    </row>
    <row r="3342" spans="1:7">
      <c r="A3342" s="28">
        <v>3311271</v>
      </c>
      <c r="B3342" s="28" t="s">
        <v>12727</v>
      </c>
      <c r="C3342" s="28">
        <v>3</v>
      </c>
      <c r="D3342" s="28" t="s">
        <v>12728</v>
      </c>
      <c r="E3342" s="54" t="s">
        <v>12729</v>
      </c>
      <c r="F3342" s="28" t="s"/>
      <c r="G3342" s="28">
        <v>1</v>
      </c>
    </row>
    <row r="3343" spans="1:7">
      <c r="A3343" s="28">
        <v>3311281</v>
      </c>
      <c r="B3343" s="28" t="s">
        <v>12730</v>
      </c>
      <c r="C3343" s="28">
        <v>3</v>
      </c>
      <c r="D3343" s="28" t="s">
        <v>12731</v>
      </c>
      <c r="E3343" s="54" t="s">
        <v>12732</v>
      </c>
      <c r="F3343" s="28" t="s"/>
      <c r="G3343" s="28">
        <v>1</v>
      </c>
    </row>
    <row r="3344" spans="1:7">
      <c r="A3344" s="28">
        <v>3311291</v>
      </c>
      <c r="B3344" s="28" t="s">
        <v>12733</v>
      </c>
      <c r="C3344" s="28">
        <v>3</v>
      </c>
      <c r="D3344" s="28" t="s">
        <v>12734</v>
      </c>
      <c r="E3344" s="54" t="s">
        <v>12735</v>
      </c>
      <c r="F3344" s="28" t="s"/>
      <c r="G3344" s="28">
        <v>1</v>
      </c>
    </row>
    <row r="3345" spans="1:7">
      <c r="A3345" s="28">
        <v>3311301</v>
      </c>
      <c r="B3345" s="28" t="s">
        <v>12736</v>
      </c>
      <c r="C3345" s="28">
        <v>3</v>
      </c>
      <c r="D3345" s="28" t="s">
        <v>12737</v>
      </c>
      <c r="E3345" s="54" t="s">
        <v>12738</v>
      </c>
      <c r="F3345" s="28" t="s"/>
      <c r="G3345" s="28">
        <v>1</v>
      </c>
    </row>
    <row r="3346" spans="1:7">
      <c r="A3346" s="28">
        <v>3311311</v>
      </c>
      <c r="B3346" s="28" t="s">
        <v>12739</v>
      </c>
      <c r="C3346" s="28">
        <v>3</v>
      </c>
      <c r="D3346" s="28" t="s">
        <v>12740</v>
      </c>
      <c r="E3346" s="54" t="s">
        <v>12741</v>
      </c>
      <c r="F3346" s="28" t="s"/>
      <c r="G3346" s="28">
        <v>1</v>
      </c>
    </row>
    <row r="3347" spans="1:7">
      <c r="A3347" s="28">
        <v>3311321</v>
      </c>
      <c r="B3347" s="28" t="s">
        <v>12742</v>
      </c>
      <c r="C3347" s="28">
        <v>3</v>
      </c>
      <c r="D3347" s="28" t="s">
        <v>12743</v>
      </c>
      <c r="E3347" s="54" t="s">
        <v>12744</v>
      </c>
      <c r="F3347" s="28" t="s"/>
      <c r="G3347" s="28">
        <v>1</v>
      </c>
    </row>
    <row r="3348" spans="1:7">
      <c r="A3348" s="28">
        <v>3311331</v>
      </c>
      <c r="B3348" s="28" t="s">
        <v>12745</v>
      </c>
      <c r="C3348" s="28">
        <v>3</v>
      </c>
      <c r="D3348" s="28" t="s">
        <v>12746</v>
      </c>
      <c r="E3348" s="54" t="s">
        <v>12747</v>
      </c>
      <c r="F3348" s="28" t="s"/>
      <c r="G3348" s="28">
        <v>1</v>
      </c>
    </row>
    <row r="3349" spans="1:7">
      <c r="A3349" s="28">
        <v>3311341</v>
      </c>
      <c r="B3349" s="28" t="s">
        <v>12748</v>
      </c>
      <c r="C3349" s="28">
        <v>3</v>
      </c>
      <c r="D3349" s="28" t="s">
        <v>12749</v>
      </c>
      <c r="E3349" s="54" t="s">
        <v>12750</v>
      </c>
      <c r="F3349" s="28" t="s"/>
      <c r="G3349" s="28">
        <v>1</v>
      </c>
    </row>
    <row r="3350" spans="1:7">
      <c r="A3350" s="28">
        <v>3311351</v>
      </c>
      <c r="B3350" s="28" t="s">
        <v>12751</v>
      </c>
      <c r="C3350" s="28">
        <v>3</v>
      </c>
      <c r="D3350" s="28" t="s">
        <v>12752</v>
      </c>
      <c r="E3350" s="54" t="s">
        <v>12753</v>
      </c>
      <c r="F3350" s="28" t="s"/>
      <c r="G3350" s="28">
        <v>1</v>
      </c>
    </row>
    <row r="3351" spans="1:7">
      <c r="A3351" s="28">
        <v>3311361</v>
      </c>
      <c r="B3351" s="28" t="s">
        <v>12754</v>
      </c>
      <c r="C3351" s="28">
        <v>3</v>
      </c>
      <c r="D3351" s="28" t="s">
        <v>12755</v>
      </c>
      <c r="E3351" s="54" t="s">
        <v>12756</v>
      </c>
      <c r="F3351" s="28" t="s"/>
      <c r="G3351" s="28">
        <v>1</v>
      </c>
    </row>
    <row r="3352" spans="1:7">
      <c r="A3352" s="28">
        <v>3311371</v>
      </c>
      <c r="B3352" s="28" t="s">
        <v>12757</v>
      </c>
      <c r="C3352" s="28">
        <v>3</v>
      </c>
      <c r="D3352" s="28" t="s">
        <v>12758</v>
      </c>
      <c r="E3352" s="66" t="s">
        <v>12759</v>
      </c>
      <c r="F3352" s="28" t="s"/>
      <c r="G3352" s="28">
        <v>1</v>
      </c>
    </row>
    <row r="3353" spans="1:7">
      <c r="A3353" s="28">
        <v>3311381</v>
      </c>
      <c r="B3353" s="28" t="s">
        <v>12760</v>
      </c>
      <c r="C3353" s="28">
        <v>3</v>
      </c>
      <c r="D3353" s="28" t="s">
        <v>12761</v>
      </c>
      <c r="E3353" s="66" t="s">
        <v>12762</v>
      </c>
      <c r="F3353" s="28" t="s"/>
      <c r="G3353" s="28">
        <v>1</v>
      </c>
    </row>
    <row r="3354" spans="1:7">
      <c r="A3354" s="28">
        <v>3311391</v>
      </c>
      <c r="B3354" s="28" t="s">
        <v>12763</v>
      </c>
      <c r="C3354" s="28">
        <v>3</v>
      </c>
      <c r="D3354" s="28" t="s">
        <v>12764</v>
      </c>
      <c r="E3354" s="66" t="s">
        <v>12765</v>
      </c>
      <c r="F3354" s="28" t="s"/>
      <c r="G3354" s="28">
        <v>1</v>
      </c>
    </row>
    <row r="3355" spans="1:7">
      <c r="A3355" s="28">
        <v>3311401</v>
      </c>
      <c r="B3355" s="28" t="s">
        <v>12766</v>
      </c>
      <c r="C3355" s="28">
        <v>3</v>
      </c>
      <c r="D3355" s="28" t="s">
        <v>12767</v>
      </c>
      <c r="E3355" s="66" t="s">
        <v>12768</v>
      </c>
      <c r="F3355" s="28" t="s"/>
      <c r="G3355" s="28">
        <v>1</v>
      </c>
    </row>
    <row r="3356" spans="1:7">
      <c r="A3356" s="28">
        <v>3311411</v>
      </c>
      <c r="B3356" s="28" t="s">
        <v>12769</v>
      </c>
      <c r="C3356" s="28">
        <v>3</v>
      </c>
      <c r="D3356" s="28" t="s">
        <v>12770</v>
      </c>
      <c r="E3356" s="66" t="s">
        <v>12771</v>
      </c>
      <c r="F3356" s="28" t="s"/>
      <c r="G3356" s="28">
        <v>1</v>
      </c>
    </row>
    <row r="3357" spans="1:7">
      <c r="A3357" s="28">
        <v>3311421</v>
      </c>
      <c r="B3357" s="28" t="s">
        <v>12772</v>
      </c>
      <c r="C3357" s="28">
        <v>3</v>
      </c>
      <c r="D3357" s="28" t="s">
        <v>12773</v>
      </c>
      <c r="E3357" s="66" t="s">
        <v>12774</v>
      </c>
      <c r="F3357" s="28" t="s"/>
      <c r="G3357" s="28">
        <v>1</v>
      </c>
    </row>
    <row r="3358" spans="1:7">
      <c r="A3358" s="28">
        <v>3311431</v>
      </c>
      <c r="B3358" s="28" t="s">
        <v>12775</v>
      </c>
      <c r="C3358" s="28">
        <v>3</v>
      </c>
      <c r="D3358" s="28" t="s">
        <v>12776</v>
      </c>
      <c r="E3358" s="66" t="s">
        <v>12777</v>
      </c>
      <c r="F3358" s="28" t="s"/>
      <c r="G3358" s="28">
        <v>1</v>
      </c>
    </row>
    <row r="3359" spans="1:7">
      <c r="A3359" s="28">
        <v>3311441</v>
      </c>
      <c r="B3359" s="28" t="s">
        <v>12778</v>
      </c>
      <c r="C3359" s="28">
        <v>3</v>
      </c>
      <c r="D3359" s="28" t="s">
        <v>12779</v>
      </c>
      <c r="E3359" s="66" t="s">
        <v>12780</v>
      </c>
      <c r="F3359" s="28" t="s"/>
      <c r="G3359" s="28">
        <v>1</v>
      </c>
    </row>
    <row r="3360" spans="1:7">
      <c r="A3360" s="28">
        <v>3311451</v>
      </c>
      <c r="B3360" s="28" t="s">
        <v>12781</v>
      </c>
      <c r="C3360" s="28">
        <v>3</v>
      </c>
      <c r="D3360" s="28" t="s">
        <v>12782</v>
      </c>
      <c r="E3360" s="66" t="s">
        <v>12783</v>
      </c>
      <c r="F3360" s="28" t="s"/>
      <c r="G3360" s="28">
        <v>1</v>
      </c>
    </row>
    <row r="3361" spans="1:7">
      <c r="A3361" s="28">
        <v>3311461</v>
      </c>
      <c r="B3361" s="28" t="s">
        <v>12784</v>
      </c>
      <c r="C3361" s="28">
        <v>3</v>
      </c>
      <c r="D3361" s="28" t="s">
        <v>12785</v>
      </c>
      <c r="E3361" s="66" t="s">
        <v>12786</v>
      </c>
      <c r="F3361" s="28" t="s"/>
      <c r="G3361" s="28">
        <v>1</v>
      </c>
    </row>
    <row r="3362" spans="1:7">
      <c r="A3362" s="28">
        <v>3311471</v>
      </c>
      <c r="B3362" s="28" t="s">
        <v>12787</v>
      </c>
      <c r="C3362" s="28">
        <v>3</v>
      </c>
      <c r="D3362" s="28" t="s">
        <v>12788</v>
      </c>
      <c r="E3362" s="66" t="s">
        <v>12789</v>
      </c>
      <c r="F3362" s="28" t="s"/>
      <c r="G3362" s="28">
        <v>1</v>
      </c>
    </row>
    <row r="3363" spans="1:7">
      <c r="A3363" s="28">
        <v>3311481</v>
      </c>
      <c r="B3363" s="28" t="s">
        <v>12790</v>
      </c>
      <c r="C3363" s="28">
        <v>3</v>
      </c>
      <c r="D3363" s="28" t="s">
        <v>12791</v>
      </c>
      <c r="E3363" s="66" t="s">
        <v>12792</v>
      </c>
      <c r="F3363" s="28" t="s"/>
      <c r="G3363" s="28">
        <v>1</v>
      </c>
    </row>
    <row r="3364" spans="1:7">
      <c r="A3364" s="28">
        <v>3311491</v>
      </c>
      <c r="B3364" s="28" t="s">
        <v>12793</v>
      </c>
      <c r="C3364" s="28">
        <v>3</v>
      </c>
      <c r="D3364" s="28" t="s">
        <v>12794</v>
      </c>
      <c r="E3364" s="66" t="s">
        <v>12795</v>
      </c>
      <c r="F3364" s="28" t="s"/>
      <c r="G3364" s="28">
        <v>1</v>
      </c>
    </row>
    <row r="3365" spans="1:7">
      <c r="A3365" s="28">
        <v>3311501</v>
      </c>
      <c r="B3365" s="28" t="s">
        <v>12796</v>
      </c>
      <c r="C3365" s="28">
        <v>3</v>
      </c>
      <c r="D3365" s="28" t="s">
        <v>12797</v>
      </c>
      <c r="E3365" s="66" t="s">
        <v>12798</v>
      </c>
      <c r="F3365" s="28" t="s"/>
      <c r="G3365" s="28">
        <v>1</v>
      </c>
    </row>
    <row r="3366" spans="1:7">
      <c r="A3366" s="28">
        <v>3321011</v>
      </c>
      <c r="B3366" s="28" t="s">
        <v>12799</v>
      </c>
      <c r="C3366" s="28">
        <v>3</v>
      </c>
      <c r="D3366" s="28" t="s">
        <v>12800</v>
      </c>
      <c r="E3366" s="66" t="s">
        <v>12801</v>
      </c>
      <c r="F3366" s="28" t="s"/>
      <c r="G3366" s="28">
        <v>1</v>
      </c>
    </row>
    <row r="3367" spans="1:7">
      <c r="A3367" s="28">
        <v>3321021</v>
      </c>
      <c r="B3367" s="28" t="s">
        <v>12802</v>
      </c>
      <c r="C3367" s="28">
        <v>3</v>
      </c>
      <c r="D3367" s="28" t="s">
        <v>12803</v>
      </c>
      <c r="E3367" s="66" t="s">
        <v>12804</v>
      </c>
      <c r="F3367" s="28" t="s"/>
      <c r="G3367" s="28">
        <v>1</v>
      </c>
    </row>
    <row r="3368" spans="1:7">
      <c r="A3368" s="28">
        <v>3321031</v>
      </c>
      <c r="B3368" s="28" t="s">
        <v>12805</v>
      </c>
      <c r="C3368" s="28">
        <v>3</v>
      </c>
      <c r="D3368" s="28" t="s">
        <v>12806</v>
      </c>
      <c r="E3368" s="66" t="s">
        <v>12807</v>
      </c>
      <c r="F3368" s="28" t="s"/>
      <c r="G3368" s="28">
        <v>1</v>
      </c>
    </row>
    <row r="3369" spans="1:7">
      <c r="A3369" s="28">
        <v>3321041</v>
      </c>
      <c r="B3369" s="28" t="s">
        <v>12808</v>
      </c>
      <c r="C3369" s="28">
        <v>3</v>
      </c>
      <c r="D3369" s="28" t="s">
        <v>12809</v>
      </c>
      <c r="E3369" s="66" t="s">
        <v>12810</v>
      </c>
      <c r="F3369" s="28" t="s"/>
      <c r="G3369" s="28">
        <v>1</v>
      </c>
    </row>
    <row r="3370" spans="1:7">
      <c r="A3370" s="28">
        <v>3321051</v>
      </c>
      <c r="B3370" s="28" t="s">
        <v>12811</v>
      </c>
      <c r="C3370" s="28">
        <v>3</v>
      </c>
      <c r="D3370" s="28" t="s">
        <v>12812</v>
      </c>
      <c r="E3370" s="66" t="s">
        <v>12813</v>
      </c>
      <c r="F3370" s="28" t="s"/>
      <c r="G3370" s="28">
        <v>1</v>
      </c>
    </row>
    <row r="3371" spans="1:7">
      <c r="A3371" s="28">
        <v>3321061</v>
      </c>
      <c r="B3371" s="28" t="s">
        <v>12814</v>
      </c>
      <c r="C3371" s="28">
        <v>3</v>
      </c>
      <c r="D3371" s="28" t="s">
        <v>12815</v>
      </c>
      <c r="E3371" s="66" t="s">
        <v>12816</v>
      </c>
      <c r="F3371" s="28" t="s"/>
      <c r="G3371" s="28">
        <v>1</v>
      </c>
    </row>
    <row r="3372" spans="1:7">
      <c r="A3372" s="28">
        <v>3321071</v>
      </c>
      <c r="B3372" s="28" t="s">
        <v>12817</v>
      </c>
      <c r="C3372" s="28">
        <v>3</v>
      </c>
      <c r="D3372" s="28" t="s">
        <v>12818</v>
      </c>
      <c r="E3372" s="66" t="s">
        <v>12819</v>
      </c>
      <c r="F3372" s="28" t="s"/>
      <c r="G3372" s="28">
        <v>1</v>
      </c>
    </row>
    <row r="3373" spans="1:7">
      <c r="A3373" s="28">
        <v>3321081</v>
      </c>
      <c r="B3373" s="28" t="s">
        <v>12820</v>
      </c>
      <c r="C3373" s="28">
        <v>3</v>
      </c>
      <c r="D3373" s="28" t="s">
        <v>12821</v>
      </c>
      <c r="E3373" s="66" t="s">
        <v>12822</v>
      </c>
      <c r="F3373" s="28" t="s"/>
      <c r="G3373" s="28">
        <v>1</v>
      </c>
    </row>
    <row r="3374" spans="1:7">
      <c r="A3374" s="28">
        <v>3321091</v>
      </c>
      <c r="B3374" s="28" t="s">
        <v>12823</v>
      </c>
      <c r="C3374" s="28">
        <v>3</v>
      </c>
      <c r="D3374" s="28" t="s">
        <v>12824</v>
      </c>
      <c r="E3374" s="66" t="s">
        <v>12825</v>
      </c>
      <c r="F3374" s="28" t="s"/>
      <c r="G3374" s="28">
        <v>1</v>
      </c>
    </row>
    <row r="3375" spans="1:7">
      <c r="A3375" s="28">
        <v>3321101</v>
      </c>
      <c r="B3375" s="28" t="s">
        <v>12826</v>
      </c>
      <c r="C3375" s="28">
        <v>3</v>
      </c>
      <c r="D3375" s="28" t="s">
        <v>12827</v>
      </c>
      <c r="E3375" s="66" t="s">
        <v>12828</v>
      </c>
      <c r="F3375" s="28" t="s"/>
      <c r="G3375" s="28">
        <v>1</v>
      </c>
    </row>
    <row r="3376" spans="1:7">
      <c r="A3376" s="28">
        <v>3321111</v>
      </c>
      <c r="B3376" s="28" t="s">
        <v>12829</v>
      </c>
      <c r="C3376" s="28">
        <v>3</v>
      </c>
      <c r="D3376" s="28" t="s">
        <v>12830</v>
      </c>
      <c r="E3376" s="66" t="s">
        <v>12831</v>
      </c>
      <c r="F3376" s="28" t="s"/>
      <c r="G3376" s="28">
        <v>1</v>
      </c>
    </row>
    <row r="3377" spans="1:7">
      <c r="A3377" s="28">
        <v>3321121</v>
      </c>
      <c r="B3377" s="28" t="s">
        <v>12832</v>
      </c>
      <c r="C3377" s="28">
        <v>3</v>
      </c>
      <c r="D3377" s="28" t="s">
        <v>12833</v>
      </c>
      <c r="E3377" s="66" t="s">
        <v>12834</v>
      </c>
      <c r="F3377" s="28" t="s"/>
      <c r="G3377" s="28">
        <v>1</v>
      </c>
    </row>
    <row r="3378" spans="1:7">
      <c r="A3378" s="28">
        <v>3321131</v>
      </c>
      <c r="B3378" s="28" t="s">
        <v>12835</v>
      </c>
      <c r="C3378" s="28">
        <v>3</v>
      </c>
      <c r="D3378" s="28" t="s">
        <v>12836</v>
      </c>
      <c r="E3378" s="66" t="s">
        <v>12837</v>
      </c>
      <c r="F3378" s="28" t="s"/>
      <c r="G3378" s="28">
        <v>1</v>
      </c>
    </row>
    <row r="3379" spans="1:7">
      <c r="A3379" s="28">
        <v>3321141</v>
      </c>
      <c r="B3379" s="28" t="s">
        <v>12838</v>
      </c>
      <c r="C3379" s="28">
        <v>3</v>
      </c>
      <c r="D3379" s="28" t="s">
        <v>12839</v>
      </c>
      <c r="E3379" s="66" t="s">
        <v>12840</v>
      </c>
      <c r="F3379" s="28" t="s"/>
      <c r="G3379" s="28">
        <v>1</v>
      </c>
    </row>
    <row r="3380" spans="1:7">
      <c r="A3380" s="28">
        <v>3321151</v>
      </c>
      <c r="B3380" s="28" t="s">
        <v>12841</v>
      </c>
      <c r="C3380" s="28">
        <v>3</v>
      </c>
      <c r="D3380" s="28" t="s">
        <v>12842</v>
      </c>
      <c r="E3380" s="66" t="s">
        <v>12843</v>
      </c>
      <c r="F3380" s="28" t="s"/>
      <c r="G3380" s="28">
        <v>1</v>
      </c>
    </row>
    <row r="3381" spans="1:7">
      <c r="A3381" s="28">
        <v>3321161</v>
      </c>
      <c r="B3381" s="28" t="s">
        <v>12844</v>
      </c>
      <c r="C3381" s="28">
        <v>3</v>
      </c>
      <c r="D3381" s="28" t="s">
        <v>12845</v>
      </c>
      <c r="E3381" s="66" t="s">
        <v>12846</v>
      </c>
      <c r="F3381" s="28" t="s"/>
      <c r="G3381" s="28">
        <v>1</v>
      </c>
    </row>
    <row r="3382" spans="1:7">
      <c r="A3382" s="28">
        <v>3321171</v>
      </c>
      <c r="B3382" s="28" t="s">
        <v>12847</v>
      </c>
      <c r="C3382" s="28">
        <v>3</v>
      </c>
      <c r="D3382" s="28" t="s">
        <v>12848</v>
      </c>
      <c r="E3382" s="66" t="s">
        <v>12849</v>
      </c>
      <c r="F3382" s="28" t="s"/>
      <c r="G3382" s="28">
        <v>1</v>
      </c>
    </row>
    <row r="3383" spans="1:7">
      <c r="A3383" s="28">
        <v>3321181</v>
      </c>
      <c r="B3383" s="28" t="s">
        <v>12850</v>
      </c>
      <c r="C3383" s="28">
        <v>3</v>
      </c>
      <c r="D3383" s="28" t="s">
        <v>12851</v>
      </c>
      <c r="E3383" s="66" t="s">
        <v>12852</v>
      </c>
      <c r="F3383" s="28" t="s"/>
      <c r="G3383" s="28">
        <v>1</v>
      </c>
    </row>
    <row r="3384" spans="1:7">
      <c r="A3384" s="28">
        <v>3321191</v>
      </c>
      <c r="B3384" s="28" t="s">
        <v>12853</v>
      </c>
      <c r="C3384" s="28">
        <v>3</v>
      </c>
      <c r="D3384" s="28" t="s">
        <v>12854</v>
      </c>
      <c r="E3384" s="66" t="s">
        <v>12855</v>
      </c>
      <c r="F3384" s="28" t="s"/>
      <c r="G3384" s="28">
        <v>1</v>
      </c>
    </row>
    <row r="3385" spans="1:7">
      <c r="A3385" s="28">
        <v>3321201</v>
      </c>
      <c r="B3385" s="28" t="s">
        <v>12856</v>
      </c>
      <c r="C3385" s="28">
        <v>3</v>
      </c>
      <c r="D3385" s="28" t="s">
        <v>12857</v>
      </c>
      <c r="E3385" s="66" t="s">
        <v>12858</v>
      </c>
      <c r="F3385" s="28" t="s"/>
      <c r="G3385" s="28">
        <v>1</v>
      </c>
    </row>
    <row r="3386" spans="1:7">
      <c r="A3386" s="28">
        <v>3321211</v>
      </c>
      <c r="B3386" s="28" t="s">
        <v>12859</v>
      </c>
      <c r="C3386" s="28">
        <v>3</v>
      </c>
      <c r="D3386" s="28" t="s">
        <v>12860</v>
      </c>
      <c r="E3386" s="66" t="s">
        <v>12861</v>
      </c>
      <c r="F3386" s="28" t="s"/>
      <c r="G3386" s="28">
        <v>1</v>
      </c>
    </row>
    <row r="3387" spans="1:7">
      <c r="A3387" s="28">
        <v>3321221</v>
      </c>
      <c r="B3387" s="28" t="s">
        <v>12862</v>
      </c>
      <c r="C3387" s="28">
        <v>3</v>
      </c>
      <c r="D3387" s="28" t="s">
        <v>12863</v>
      </c>
      <c r="E3387" s="66" t="s">
        <v>12864</v>
      </c>
      <c r="F3387" s="28" t="s"/>
      <c r="G3387" s="28">
        <v>1</v>
      </c>
    </row>
    <row r="3388" spans="1:7">
      <c r="A3388" s="28">
        <v>3321241</v>
      </c>
      <c r="B3388" s="28" t="s">
        <v>12865</v>
      </c>
      <c r="C3388" s="28">
        <v>3</v>
      </c>
      <c r="D3388" s="28" t="s">
        <v>12866</v>
      </c>
      <c r="E3388" s="66" t="s">
        <v>12867</v>
      </c>
      <c r="F3388" s="28" t="s"/>
      <c r="G3388" s="28">
        <v>1</v>
      </c>
    </row>
    <row r="3389" spans="1:7">
      <c r="A3389" s="28">
        <v>3321251</v>
      </c>
      <c r="B3389" s="28" t="s">
        <v>12868</v>
      </c>
      <c r="C3389" s="28">
        <v>3</v>
      </c>
      <c r="D3389" s="28" t="s">
        <v>12869</v>
      </c>
      <c r="E3389" s="66" t="s">
        <v>12870</v>
      </c>
      <c r="F3389" s="28" t="s"/>
      <c r="G3389" s="28">
        <v>1</v>
      </c>
    </row>
    <row r="3390" spans="1:7">
      <c r="A3390" s="28">
        <v>3321261</v>
      </c>
      <c r="B3390" s="28" t="s">
        <v>12871</v>
      </c>
      <c r="C3390" s="28">
        <v>3</v>
      </c>
      <c r="D3390" s="28" t="s">
        <v>12872</v>
      </c>
      <c r="E3390" s="66" t="s">
        <v>12873</v>
      </c>
      <c r="F3390" s="28" t="s"/>
      <c r="G3390" s="28">
        <v>1</v>
      </c>
    </row>
    <row r="3391" spans="1:7">
      <c r="A3391" s="28">
        <v>3321271</v>
      </c>
      <c r="B3391" s="28" t="s">
        <v>12874</v>
      </c>
      <c r="C3391" s="28">
        <v>3</v>
      </c>
      <c r="D3391" s="28" t="s">
        <v>12875</v>
      </c>
      <c r="E3391" s="66" t="s">
        <v>12876</v>
      </c>
      <c r="F3391" s="28" t="s"/>
      <c r="G3391" s="28">
        <v>1</v>
      </c>
    </row>
    <row r="3392" spans="1:7">
      <c r="A3392" s="28">
        <v>3321281</v>
      </c>
      <c r="B3392" s="28" t="s">
        <v>12877</v>
      </c>
      <c r="C3392" s="28">
        <v>3</v>
      </c>
      <c r="D3392" s="28" t="s">
        <v>12878</v>
      </c>
      <c r="E3392" s="66" t="s">
        <v>12879</v>
      </c>
      <c r="F3392" s="28" t="s"/>
      <c r="G3392" s="28">
        <v>1</v>
      </c>
    </row>
    <row r="3393" spans="1:7">
      <c r="A3393" s="28">
        <v>3321291</v>
      </c>
      <c r="B3393" s="28" t="s">
        <v>12880</v>
      </c>
      <c r="C3393" s="28">
        <v>3</v>
      </c>
      <c r="D3393" s="28" t="s">
        <v>12881</v>
      </c>
      <c r="E3393" s="66" t="s">
        <v>12882</v>
      </c>
      <c r="F3393" s="28" t="s"/>
      <c r="G3393" s="28">
        <v>1</v>
      </c>
    </row>
    <row r="3394" spans="1:7">
      <c r="A3394" s="28">
        <v>3321301</v>
      </c>
      <c r="B3394" s="28" t="s">
        <v>12883</v>
      </c>
      <c r="C3394" s="28">
        <v>3</v>
      </c>
      <c r="D3394" s="28" t="s">
        <v>12884</v>
      </c>
      <c r="E3394" s="68" t="s">
        <v>12885</v>
      </c>
      <c r="F3394" s="28" t="s"/>
      <c r="G3394" s="28">
        <v>1</v>
      </c>
    </row>
    <row r="3395" spans="1:7">
      <c r="A3395" s="28">
        <v>3321311</v>
      </c>
      <c r="B3395" s="28" t="s">
        <v>12886</v>
      </c>
      <c r="C3395" s="28">
        <v>3</v>
      </c>
      <c r="D3395" s="28" t="s">
        <v>12887</v>
      </c>
      <c r="E3395" s="68" t="s">
        <v>12888</v>
      </c>
      <c r="F3395" s="28" t="s"/>
      <c r="G3395" s="28">
        <v>1</v>
      </c>
    </row>
    <row r="3396" spans="1:7">
      <c r="A3396" s="28">
        <v>3321321</v>
      </c>
      <c r="B3396" s="28" t="s">
        <v>12889</v>
      </c>
      <c r="C3396" s="28">
        <v>3</v>
      </c>
      <c r="D3396" s="28" t="s">
        <v>12890</v>
      </c>
      <c r="E3396" s="68" t="s">
        <v>12891</v>
      </c>
      <c r="F3396" s="28" t="s"/>
      <c r="G3396" s="28">
        <v>1</v>
      </c>
    </row>
    <row r="3397" spans="1:7">
      <c r="A3397" s="28">
        <v>3321331</v>
      </c>
      <c r="B3397" s="28" t="s">
        <v>12892</v>
      </c>
      <c r="C3397" s="28">
        <v>3</v>
      </c>
      <c r="D3397" s="28" t="s">
        <v>12893</v>
      </c>
      <c r="E3397" s="68" t="s">
        <v>12894</v>
      </c>
      <c r="F3397" s="28" t="s"/>
      <c r="G3397" s="28">
        <v>1</v>
      </c>
    </row>
    <row r="3398" spans="1:7">
      <c r="A3398" s="28">
        <v>3321341</v>
      </c>
      <c r="B3398" s="28" t="s">
        <v>12895</v>
      </c>
      <c r="C3398" s="28">
        <v>3</v>
      </c>
      <c r="D3398" s="28" t="s">
        <v>12896</v>
      </c>
      <c r="E3398" s="68" t="s">
        <v>12897</v>
      </c>
      <c r="F3398" s="28" t="s"/>
      <c r="G3398" s="28">
        <v>1</v>
      </c>
    </row>
    <row r="3399" spans="1:7">
      <c r="A3399" s="28">
        <v>3321351</v>
      </c>
      <c r="B3399" s="28" t="s">
        <v>12898</v>
      </c>
      <c r="C3399" s="28">
        <v>3</v>
      </c>
      <c r="D3399" s="28" t="s">
        <v>12899</v>
      </c>
      <c r="E3399" s="67" t="s">
        <v>12900</v>
      </c>
      <c r="F3399" s="28" t="s"/>
      <c r="G3399" s="28">
        <v>1</v>
      </c>
    </row>
    <row r="3400" spans="1:7">
      <c r="A3400" s="28">
        <v>3321361</v>
      </c>
      <c r="B3400" s="28" t="s">
        <v>12901</v>
      </c>
      <c r="C3400" s="28">
        <v>3</v>
      </c>
      <c r="D3400" s="28" t="s">
        <v>12902</v>
      </c>
      <c r="E3400" s="67" t="s">
        <v>12903</v>
      </c>
      <c r="F3400" s="28" t="s"/>
      <c r="G3400" s="28">
        <v>1</v>
      </c>
    </row>
    <row r="3401" spans="1:7">
      <c r="A3401" s="28">
        <v>3321371</v>
      </c>
      <c r="B3401" s="28" t="s">
        <v>12904</v>
      </c>
      <c r="C3401" s="28">
        <v>3</v>
      </c>
      <c r="D3401" s="28" t="s">
        <v>12905</v>
      </c>
      <c r="E3401" s="67" t="s">
        <v>12906</v>
      </c>
      <c r="F3401" s="28" t="s"/>
      <c r="G3401" s="28">
        <v>1</v>
      </c>
    </row>
    <row r="3402" spans="1:7">
      <c r="A3402" s="28">
        <v>3321381</v>
      </c>
      <c r="B3402" s="28" t="s">
        <v>12907</v>
      </c>
      <c r="C3402" s="28">
        <v>3</v>
      </c>
      <c r="D3402" s="28" t="s">
        <v>12908</v>
      </c>
      <c r="E3402" s="67" t="s">
        <v>12909</v>
      </c>
      <c r="F3402" s="28" t="s"/>
      <c r="G3402" s="28">
        <v>1</v>
      </c>
    </row>
    <row r="3403" spans="1:7">
      <c r="A3403" s="28">
        <v>3321391</v>
      </c>
      <c r="B3403" s="28" t="s">
        <v>12910</v>
      </c>
      <c r="C3403" s="28">
        <v>3</v>
      </c>
      <c r="D3403" s="28" t="s">
        <v>12911</v>
      </c>
      <c r="E3403" s="69" t="s">
        <v>12912</v>
      </c>
      <c r="F3403" s="28" t="s"/>
      <c r="G3403" s="28">
        <v>1</v>
      </c>
    </row>
    <row r="3404" spans="1:7">
      <c r="A3404" s="28">
        <v>3321401</v>
      </c>
      <c r="B3404" s="28" t="s">
        <v>12913</v>
      </c>
      <c r="C3404" s="28">
        <v>3</v>
      </c>
      <c r="D3404" s="28" t="s">
        <v>12914</v>
      </c>
      <c r="E3404" s="69" t="s">
        <v>12915</v>
      </c>
      <c r="F3404" s="28" t="s"/>
      <c r="G3404" s="28">
        <v>1</v>
      </c>
    </row>
    <row r="3405" spans="1:7">
      <c r="A3405" s="28">
        <v>3321411</v>
      </c>
      <c r="B3405" s="28" t="s">
        <v>12916</v>
      </c>
      <c r="C3405" s="28">
        <v>3</v>
      </c>
      <c r="D3405" s="28" t="s">
        <v>12917</v>
      </c>
      <c r="E3405" s="69" t="s">
        <v>12918</v>
      </c>
      <c r="F3405" s="28" t="s"/>
      <c r="G3405" s="28">
        <v>1</v>
      </c>
    </row>
    <row r="3406" spans="1:7">
      <c r="A3406" s="28">
        <v>3321421</v>
      </c>
      <c r="B3406" s="28" t="s">
        <v>12919</v>
      </c>
      <c r="C3406" s="28">
        <v>3</v>
      </c>
      <c r="D3406" s="28" t="s">
        <v>12920</v>
      </c>
      <c r="E3406" s="69" t="s">
        <v>12921</v>
      </c>
      <c r="F3406" s="28" t="s"/>
      <c r="G3406" s="28">
        <v>1</v>
      </c>
    </row>
    <row r="3407" spans="1:7">
      <c r="A3407" s="28">
        <v>3321431</v>
      </c>
      <c r="B3407" s="28" t="s">
        <v>12922</v>
      </c>
      <c r="C3407" s="28">
        <v>3</v>
      </c>
      <c r="D3407" s="28" t="s">
        <v>12923</v>
      </c>
      <c r="E3407" s="69" t="s">
        <v>12924</v>
      </c>
      <c r="F3407" s="28" t="s"/>
      <c r="G3407" s="28">
        <v>1</v>
      </c>
    </row>
    <row r="3408" spans="1:7">
      <c r="A3408" s="28">
        <v>3321441</v>
      </c>
      <c r="B3408" s="28" t="s">
        <v>12925</v>
      </c>
      <c r="C3408" s="28">
        <v>3</v>
      </c>
      <c r="D3408" s="28" t="s">
        <v>12926</v>
      </c>
      <c r="E3408" s="69" t="s">
        <v>12927</v>
      </c>
      <c r="F3408" s="28" t="s"/>
      <c r="G3408" s="28">
        <v>1</v>
      </c>
    </row>
    <row r="3409" spans="1:7">
      <c r="A3409" s="28">
        <v>3321451</v>
      </c>
      <c r="B3409" s="28" t="s">
        <v>12928</v>
      </c>
      <c r="C3409" s="28">
        <v>3</v>
      </c>
      <c r="D3409" s="28" t="s">
        <v>12929</v>
      </c>
      <c r="E3409" s="69" t="s">
        <v>12930</v>
      </c>
      <c r="F3409" s="28" t="s"/>
      <c r="G3409" s="28">
        <v>1</v>
      </c>
    </row>
    <row r="3410" spans="1:7">
      <c r="A3410" s="28">
        <v>3321461</v>
      </c>
      <c r="B3410" s="28" t="s">
        <v>12931</v>
      </c>
      <c r="C3410" s="28">
        <v>3</v>
      </c>
      <c r="D3410" s="28" t="s">
        <v>12932</v>
      </c>
      <c r="E3410" s="69" t="s">
        <v>12933</v>
      </c>
      <c r="F3410" s="28" t="s"/>
      <c r="G3410" s="28">
        <v>1</v>
      </c>
    </row>
    <row r="3411" spans="1:7">
      <c r="A3411" s="28">
        <v>3321471</v>
      </c>
      <c r="B3411" s="28" t="s">
        <v>12934</v>
      </c>
      <c r="C3411" s="28">
        <v>3</v>
      </c>
      <c r="D3411" s="28" t="s">
        <v>12935</v>
      </c>
      <c r="E3411" s="69" t="s">
        <v>12936</v>
      </c>
      <c r="F3411" s="28" t="s"/>
      <c r="G3411" s="28">
        <v>1</v>
      </c>
    </row>
    <row r="3412" spans="1:7">
      <c r="A3412" s="28">
        <v>3321481</v>
      </c>
      <c r="B3412" s="28" t="s">
        <v>12937</v>
      </c>
      <c r="C3412" s="28">
        <v>3</v>
      </c>
      <c r="D3412" s="28" t="s">
        <v>12938</v>
      </c>
      <c r="E3412" s="65" t="s">
        <v>12939</v>
      </c>
      <c r="F3412" s="28" t="s"/>
      <c r="G3412" s="28">
        <v>1</v>
      </c>
    </row>
    <row r="3413" spans="1:7">
      <c r="A3413" s="28">
        <v>3321491</v>
      </c>
      <c r="B3413" s="28" t="s">
        <v>12940</v>
      </c>
      <c r="C3413" s="28">
        <v>3</v>
      </c>
      <c r="D3413" s="28" t="s">
        <v>12941</v>
      </c>
      <c r="E3413" s="65" t="s">
        <v>12942</v>
      </c>
      <c r="F3413" s="28" t="s"/>
      <c r="G3413" s="28">
        <v>1</v>
      </c>
    </row>
    <row r="3414" spans="1:7">
      <c r="A3414" s="28">
        <v>3321501</v>
      </c>
      <c r="B3414" s="28" t="s">
        <v>12943</v>
      </c>
      <c r="C3414" s="28">
        <v>3</v>
      </c>
      <c r="D3414" s="28" t="s">
        <v>12944</v>
      </c>
      <c r="E3414" s="65" t="s">
        <v>12945</v>
      </c>
      <c r="F3414" s="28" t="s"/>
      <c r="G3414" s="28">
        <v>1</v>
      </c>
    </row>
    <row r="3415" spans="1:7">
      <c r="A3415" s="28">
        <v>3500000</v>
      </c>
      <c r="B3415" s="28" t="s">
        <v>12946</v>
      </c>
      <c r="C3415" s="28">
        <v>4</v>
      </c>
      <c r="D3415" s="28" t="s">
        <v>12947</v>
      </c>
      <c r="E3415" s="65" t="s">
        <v>12948</v>
      </c>
      <c r="F3415" s="28" t="s">
        <v>12949</v>
      </c>
      <c r="G3415" s="28">
        <v>1</v>
      </c>
    </row>
    <row r="3416" spans="1:7">
      <c r="A3416" s="28">
        <v>3500001</v>
      </c>
      <c r="B3416" s="28" t="s">
        <v>12946</v>
      </c>
      <c r="C3416" s="28">
        <v>4</v>
      </c>
      <c r="D3416" s="28" t="s">
        <v>12947</v>
      </c>
      <c r="E3416" s="65" t="s">
        <v>12948</v>
      </c>
      <c r="F3416" s="28" t="s">
        <v>12950</v>
      </c>
      <c r="G3416" s="28">
        <v>1</v>
      </c>
    </row>
    <row r="3417" spans="1:7">
      <c r="A3417" s="28">
        <v>3510000</v>
      </c>
      <c r="B3417" s="28" t="s">
        <v>12946</v>
      </c>
      <c r="C3417" s="28">
        <v>4</v>
      </c>
      <c r="D3417" s="28" t="s">
        <v>12947</v>
      </c>
      <c r="E3417" s="65" t="s">
        <v>12948</v>
      </c>
      <c r="F3417" s="28" t="s">
        <v>12951</v>
      </c>
      <c r="G3417" s="28">
        <v>1</v>
      </c>
    </row>
    <row r="3418" spans="1:7">
      <c r="A3418" s="28">
        <v>3510001</v>
      </c>
      <c r="B3418" s="28" t="s">
        <v>12946</v>
      </c>
      <c r="C3418" s="28">
        <v>4</v>
      </c>
      <c r="D3418" s="28" t="s">
        <v>12947</v>
      </c>
      <c r="E3418" s="65" t="s">
        <v>12948</v>
      </c>
      <c r="F3418" s="28" t="s">
        <v>12952</v>
      </c>
      <c r="G3418" s="28">
        <v>1</v>
      </c>
    </row>
    <row r="3419" spans="1:7">
      <c r="A3419" s="28">
        <v>3510002</v>
      </c>
      <c r="B3419" s="28" t="s">
        <v>12946</v>
      </c>
      <c r="C3419" s="28">
        <v>4</v>
      </c>
      <c r="D3419" s="28" t="s">
        <v>12947</v>
      </c>
      <c r="E3419" s="65" t="s">
        <v>12948</v>
      </c>
      <c r="F3419" s="28" t="s">
        <v>12953</v>
      </c>
      <c r="G3419" s="28">
        <v>1</v>
      </c>
    </row>
    <row r="3420" spans="1:7">
      <c r="A3420" s="28">
        <v>3510003</v>
      </c>
      <c r="B3420" s="28" t="s">
        <v>12946</v>
      </c>
      <c r="C3420" s="28">
        <v>4</v>
      </c>
      <c r="D3420" s="28" t="s">
        <v>12947</v>
      </c>
      <c r="E3420" s="65" t="s">
        <v>12948</v>
      </c>
      <c r="F3420" s="28" t="s">
        <v>12954</v>
      </c>
      <c r="G3420" s="28">
        <v>1</v>
      </c>
    </row>
    <row r="3421" spans="1:7">
      <c r="A3421" s="28">
        <v>3510004</v>
      </c>
      <c r="B3421" s="28" t="s">
        <v>12946</v>
      </c>
      <c r="C3421" s="28">
        <v>4</v>
      </c>
      <c r="D3421" s="28" t="s">
        <v>12947</v>
      </c>
      <c r="E3421" s="65" t="s">
        <v>12948</v>
      </c>
      <c r="F3421" s="28" t="s">
        <v>12955</v>
      </c>
      <c r="G3421" s="28">
        <v>1</v>
      </c>
    </row>
    <row r="3422" spans="1:7">
      <c r="A3422" s="28">
        <v>3510005</v>
      </c>
      <c r="B3422" s="28" t="s">
        <v>12946</v>
      </c>
      <c r="C3422" s="28">
        <v>4</v>
      </c>
      <c r="D3422" s="28" t="s">
        <v>12947</v>
      </c>
      <c r="E3422" s="65" t="s">
        <v>12948</v>
      </c>
      <c r="F3422" s="28" t="s">
        <v>12956</v>
      </c>
      <c r="G3422" s="28">
        <v>1</v>
      </c>
    </row>
    <row r="3423" spans="1:7">
      <c r="A3423" s="28">
        <v>3510006</v>
      </c>
      <c r="B3423" s="28" t="s">
        <v>12946</v>
      </c>
      <c r="C3423" s="28">
        <v>4</v>
      </c>
      <c r="D3423" s="28" t="s">
        <v>12947</v>
      </c>
      <c r="E3423" s="65" t="s">
        <v>12948</v>
      </c>
      <c r="F3423" s="28" t="s">
        <v>12957</v>
      </c>
      <c r="G3423" s="28">
        <v>1</v>
      </c>
    </row>
    <row r="3424" spans="1:7">
      <c r="A3424" s="28">
        <v>3510007</v>
      </c>
      <c r="B3424" s="28" t="s">
        <v>12946</v>
      </c>
      <c r="C3424" s="28">
        <v>4</v>
      </c>
      <c r="D3424" s="28" t="s">
        <v>12947</v>
      </c>
      <c r="E3424" s="65" t="s">
        <v>12948</v>
      </c>
      <c r="F3424" s="28" t="s">
        <v>12958</v>
      </c>
      <c r="G3424" s="28">
        <v>1</v>
      </c>
    </row>
    <row r="3425" spans="1:7">
      <c r="A3425" s="28">
        <v>3510008</v>
      </c>
      <c r="B3425" s="28" t="s">
        <v>12946</v>
      </c>
      <c r="C3425" s="28">
        <v>4</v>
      </c>
      <c r="D3425" s="28" t="s">
        <v>12947</v>
      </c>
      <c r="E3425" s="65" t="s">
        <v>12948</v>
      </c>
      <c r="F3425" s="28" t="s">
        <v>12959</v>
      </c>
      <c r="G3425" s="28">
        <v>1</v>
      </c>
    </row>
    <row r="3426" spans="1:7">
      <c r="A3426" s="28">
        <v>3510009</v>
      </c>
      <c r="B3426" s="28" t="s">
        <v>12946</v>
      </c>
      <c r="C3426" s="28">
        <v>4</v>
      </c>
      <c r="D3426" s="28" t="s">
        <v>12947</v>
      </c>
      <c r="E3426" s="65" t="s">
        <v>12948</v>
      </c>
      <c r="F3426" s="28" t="s">
        <v>12960</v>
      </c>
      <c r="G3426" s="28">
        <v>1</v>
      </c>
    </row>
    <row r="3427" spans="1:7">
      <c r="A3427" s="28">
        <v>3510010</v>
      </c>
      <c r="B3427" s="28" t="s">
        <v>12946</v>
      </c>
      <c r="C3427" s="28">
        <v>4</v>
      </c>
      <c r="D3427" s="28" t="s">
        <v>12947</v>
      </c>
      <c r="E3427" s="65" t="s">
        <v>12948</v>
      </c>
      <c r="F3427" s="28" t="s">
        <v>12961</v>
      </c>
      <c r="G3427" s="28">
        <v>1</v>
      </c>
    </row>
    <row r="3428" spans="1:7">
      <c r="A3428" s="28">
        <v>3510011</v>
      </c>
      <c r="B3428" s="28" t="s">
        <v>12946</v>
      </c>
      <c r="C3428" s="28">
        <v>4</v>
      </c>
      <c r="D3428" s="28" t="s">
        <v>12947</v>
      </c>
      <c r="E3428" s="65" t="s">
        <v>12948</v>
      </c>
      <c r="F3428" s="28" t="s">
        <v>12962</v>
      </c>
      <c r="G3428" s="28">
        <v>1</v>
      </c>
    </row>
    <row r="3429" spans="1:7">
      <c r="A3429" s="28">
        <v>3510012</v>
      </c>
      <c r="B3429" s="28" t="s">
        <v>12946</v>
      </c>
      <c r="C3429" s="28">
        <v>4</v>
      </c>
      <c r="D3429" s="28" t="s">
        <v>12947</v>
      </c>
      <c r="E3429" s="65" t="s">
        <v>12948</v>
      </c>
      <c r="F3429" s="28" t="s">
        <v>12963</v>
      </c>
      <c r="G3429" s="28">
        <v>1</v>
      </c>
    </row>
    <row r="3430" spans="1:7">
      <c r="A3430" s="28">
        <v>3510013</v>
      </c>
      <c r="B3430" s="28" t="s">
        <v>12946</v>
      </c>
      <c r="C3430" s="28">
        <v>4</v>
      </c>
      <c r="D3430" s="28" t="s">
        <v>12947</v>
      </c>
      <c r="E3430" s="64" t="s">
        <v>12948</v>
      </c>
      <c r="F3430" s="28" t="s">
        <v>12964</v>
      </c>
      <c r="G3430" s="28">
        <v>1</v>
      </c>
    </row>
    <row r="3431" spans="1:7">
      <c r="A3431" s="28">
        <v>3510014</v>
      </c>
      <c r="B3431" s="28" t="s">
        <v>12946</v>
      </c>
      <c r="C3431" s="28">
        <v>4</v>
      </c>
      <c r="D3431" s="28" t="s">
        <v>12947</v>
      </c>
      <c r="E3431" s="64" t="s">
        <v>12948</v>
      </c>
      <c r="F3431" s="28" t="s">
        <v>12965</v>
      </c>
      <c r="G3431" s="28">
        <v>1</v>
      </c>
    </row>
    <row r="3432" spans="1:7">
      <c r="A3432" s="28">
        <v>3510015</v>
      </c>
      <c r="B3432" s="28" t="s">
        <v>12946</v>
      </c>
      <c r="C3432" s="28">
        <v>4</v>
      </c>
      <c r="D3432" s="28" t="s">
        <v>12947</v>
      </c>
      <c r="E3432" s="64" t="s">
        <v>12948</v>
      </c>
      <c r="F3432" s="28" t="s">
        <v>12966</v>
      </c>
      <c r="G3432" s="28">
        <v>1</v>
      </c>
    </row>
    <row r="3433" spans="1:7">
      <c r="A3433" s="28">
        <v>3510016</v>
      </c>
      <c r="B3433" s="28" t="s">
        <v>12946</v>
      </c>
      <c r="C3433" s="28">
        <v>4</v>
      </c>
      <c r="D3433" s="28" t="s">
        <v>12947</v>
      </c>
      <c r="E3433" s="64" t="s">
        <v>12948</v>
      </c>
      <c r="F3433" s="28" t="s">
        <v>12967</v>
      </c>
      <c r="G3433" s="28">
        <v>1</v>
      </c>
    </row>
    <row r="3434" spans="1:7">
      <c r="A3434" s="28">
        <v>3510017</v>
      </c>
      <c r="B3434" s="28" t="s">
        <v>12946</v>
      </c>
      <c r="C3434" s="28">
        <v>4</v>
      </c>
      <c r="D3434" s="28" t="s">
        <v>12947</v>
      </c>
      <c r="E3434" s="64" t="s">
        <v>12948</v>
      </c>
      <c r="F3434" s="28" t="s">
        <v>12968</v>
      </c>
      <c r="G3434" s="28">
        <v>1</v>
      </c>
    </row>
    <row r="3435" spans="1:7">
      <c r="A3435" s="28">
        <v>3510018</v>
      </c>
      <c r="B3435" s="28" t="s">
        <v>12946</v>
      </c>
      <c r="C3435" s="28">
        <v>4</v>
      </c>
      <c r="D3435" s="28" t="s">
        <v>12947</v>
      </c>
      <c r="E3435" s="64" t="s">
        <v>12948</v>
      </c>
      <c r="F3435" s="28" t="s">
        <v>12969</v>
      </c>
      <c r="G3435" s="28">
        <v>1</v>
      </c>
    </row>
    <row r="3436" spans="1:7">
      <c r="A3436" s="28">
        <v>3510019</v>
      </c>
      <c r="B3436" s="28" t="s">
        <v>12946</v>
      </c>
      <c r="C3436" s="28">
        <v>4</v>
      </c>
      <c r="D3436" s="28" t="s">
        <v>12947</v>
      </c>
      <c r="E3436" s="64" t="s">
        <v>12948</v>
      </c>
      <c r="F3436" s="28" t="s">
        <v>12970</v>
      </c>
      <c r="G3436" s="28">
        <v>1</v>
      </c>
    </row>
    <row r="3437" spans="1:7">
      <c r="A3437" s="28">
        <v>3510020</v>
      </c>
      <c r="B3437" s="28" t="s">
        <v>12946</v>
      </c>
      <c r="C3437" s="28">
        <v>4</v>
      </c>
      <c r="D3437" s="28" t="s">
        <v>12947</v>
      </c>
      <c r="E3437" s="70" t="s">
        <v>12948</v>
      </c>
      <c r="F3437" s="28" t="s">
        <v>12971</v>
      </c>
      <c r="G3437" s="28">
        <v>1</v>
      </c>
    </row>
    <row r="3438" spans="1:7">
      <c r="A3438" s="28">
        <v>3510021</v>
      </c>
      <c r="B3438" s="28" t="s">
        <v>12946</v>
      </c>
      <c r="C3438" s="28">
        <v>4</v>
      </c>
      <c r="D3438" s="28" t="s">
        <v>12947</v>
      </c>
      <c r="E3438" s="70" t="s">
        <v>12948</v>
      </c>
      <c r="F3438" s="28" t="s">
        <v>12972</v>
      </c>
      <c r="G3438" s="28">
        <v>1</v>
      </c>
    </row>
    <row r="3439" spans="1:7">
      <c r="A3439" s="28">
        <v>3510022</v>
      </c>
      <c r="B3439" s="28" t="s">
        <v>12946</v>
      </c>
      <c r="C3439" s="28">
        <v>4</v>
      </c>
      <c r="D3439" s="28" t="s">
        <v>12947</v>
      </c>
      <c r="E3439" s="70" t="s">
        <v>12948</v>
      </c>
      <c r="F3439" s="28" t="s">
        <v>12973</v>
      </c>
      <c r="G3439" s="28">
        <v>1</v>
      </c>
    </row>
    <row r="3440" spans="1:7">
      <c r="A3440" s="28">
        <v>3510023</v>
      </c>
      <c r="B3440" s="28" t="s">
        <v>12946</v>
      </c>
      <c r="C3440" s="28">
        <v>4</v>
      </c>
      <c r="D3440" s="28" t="s">
        <v>12947</v>
      </c>
      <c r="E3440" s="70" t="s">
        <v>12948</v>
      </c>
      <c r="F3440" s="28" t="s">
        <v>12974</v>
      </c>
      <c r="G3440" s="28">
        <v>1</v>
      </c>
    </row>
    <row r="3441" spans="1:7">
      <c r="A3441" s="28">
        <v>3510024</v>
      </c>
      <c r="B3441" s="28" t="s">
        <v>12946</v>
      </c>
      <c r="C3441" s="28">
        <v>4</v>
      </c>
      <c r="D3441" s="28" t="s">
        <v>12947</v>
      </c>
      <c r="E3441" s="70" t="s">
        <v>12948</v>
      </c>
      <c r="F3441" s="28" t="s">
        <v>12975</v>
      </c>
      <c r="G3441" s="28">
        <v>1</v>
      </c>
    </row>
    <row r="3442" spans="1:7">
      <c r="A3442" s="28">
        <v>3510025</v>
      </c>
      <c r="B3442" s="28" t="s">
        <v>12946</v>
      </c>
      <c r="C3442" s="28">
        <v>4</v>
      </c>
      <c r="D3442" s="28" t="s">
        <v>12947</v>
      </c>
      <c r="E3442" s="70" t="s">
        <v>12948</v>
      </c>
      <c r="F3442" s="28" t="s">
        <v>12976</v>
      </c>
      <c r="G3442" s="28">
        <v>1</v>
      </c>
    </row>
    <row r="3443" spans="1:7">
      <c r="A3443" s="28">
        <v>3510026</v>
      </c>
      <c r="B3443" s="28" t="s">
        <v>12946</v>
      </c>
      <c r="C3443" s="28">
        <v>4</v>
      </c>
      <c r="D3443" s="28" t="s">
        <v>12947</v>
      </c>
      <c r="E3443" s="70" t="s">
        <v>12948</v>
      </c>
      <c r="F3443" s="28" t="s">
        <v>12977</v>
      </c>
      <c r="G3443" s="28">
        <v>1</v>
      </c>
    </row>
    <row r="3444" spans="1:7">
      <c r="A3444" s="28">
        <v>3510027</v>
      </c>
      <c r="B3444" s="28" t="s">
        <v>12946</v>
      </c>
      <c r="C3444" s="28">
        <v>4</v>
      </c>
      <c r="D3444" s="28" t="s">
        <v>12947</v>
      </c>
      <c r="E3444" s="70" t="s">
        <v>12948</v>
      </c>
      <c r="F3444" s="28" t="s">
        <v>12978</v>
      </c>
      <c r="G3444" s="28">
        <v>1</v>
      </c>
    </row>
    <row r="3445" spans="1:7">
      <c r="A3445" s="28">
        <v>3510028</v>
      </c>
      <c r="B3445" s="28" t="s">
        <v>12946</v>
      </c>
      <c r="C3445" s="28">
        <v>4</v>
      </c>
      <c r="D3445" s="28" t="s">
        <v>12947</v>
      </c>
      <c r="E3445" s="70" t="s">
        <v>12948</v>
      </c>
      <c r="F3445" s="28" t="s">
        <v>12979</v>
      </c>
      <c r="G3445" s="28">
        <v>1</v>
      </c>
    </row>
    <row r="3446" spans="1:7">
      <c r="A3446" s="28">
        <v>3510029</v>
      </c>
      <c r="B3446" s="28" t="s">
        <v>12946</v>
      </c>
      <c r="C3446" s="28">
        <v>4</v>
      </c>
      <c r="D3446" s="28" t="s">
        <v>12947</v>
      </c>
      <c r="E3446" s="70" t="s">
        <v>12948</v>
      </c>
      <c r="F3446" s="28" t="s">
        <v>12980</v>
      </c>
      <c r="G3446" s="28">
        <v>1</v>
      </c>
    </row>
    <row r="3447" spans="1:7">
      <c r="A3447" s="28">
        <v>3510030</v>
      </c>
      <c r="B3447" s="28" t="s">
        <v>12946</v>
      </c>
      <c r="C3447" s="28">
        <v>4</v>
      </c>
      <c r="D3447" s="28" t="s">
        <v>12947</v>
      </c>
      <c r="E3447" s="70" t="s">
        <v>12948</v>
      </c>
      <c r="F3447" s="28" t="s">
        <v>12981</v>
      </c>
      <c r="G3447" s="28">
        <v>1</v>
      </c>
    </row>
    <row r="3448" spans="1:7">
      <c r="A3448" s="28">
        <v>3510031</v>
      </c>
      <c r="B3448" s="28" t="s">
        <v>12946</v>
      </c>
      <c r="C3448" s="28">
        <v>4</v>
      </c>
      <c r="D3448" s="28" t="s">
        <v>12947</v>
      </c>
      <c r="E3448" s="64" t="s">
        <v>12948</v>
      </c>
      <c r="F3448" s="28" t="s">
        <v>12982</v>
      </c>
      <c r="G3448" s="28">
        <v>1</v>
      </c>
    </row>
    <row r="3449" spans="1:7">
      <c r="A3449" s="28">
        <v>3510032</v>
      </c>
      <c r="B3449" s="28" t="s">
        <v>12946</v>
      </c>
      <c r="C3449" s="28">
        <v>4</v>
      </c>
      <c r="D3449" s="28" t="s">
        <v>12947</v>
      </c>
      <c r="E3449" s="64" t="s">
        <v>12948</v>
      </c>
      <c r="F3449" s="28" t="s">
        <v>12983</v>
      </c>
      <c r="G3449" s="28">
        <v>1</v>
      </c>
    </row>
    <row r="3450" spans="1:7">
      <c r="A3450" s="28">
        <v>3510033</v>
      </c>
      <c r="B3450" s="28" t="s">
        <v>12946</v>
      </c>
      <c r="C3450" s="28">
        <v>4</v>
      </c>
      <c r="D3450" s="28" t="s">
        <v>12947</v>
      </c>
      <c r="E3450" s="64" t="s">
        <v>12948</v>
      </c>
      <c r="F3450" s="28" t="s">
        <v>12984</v>
      </c>
      <c r="G3450" s="28">
        <v>1</v>
      </c>
    </row>
    <row r="3451" spans="1:7">
      <c r="A3451" s="28">
        <v>3510034</v>
      </c>
      <c r="B3451" s="28" t="s">
        <v>12946</v>
      </c>
      <c r="C3451" s="28">
        <v>4</v>
      </c>
      <c r="D3451" s="28" t="s">
        <v>12947</v>
      </c>
      <c r="E3451" s="64" t="s">
        <v>12948</v>
      </c>
      <c r="F3451" s="28" t="s">
        <v>12985</v>
      </c>
      <c r="G3451" s="28">
        <v>1</v>
      </c>
    </row>
    <row r="3452" spans="1:7">
      <c r="A3452" s="28">
        <v>3510035</v>
      </c>
      <c r="B3452" s="28" t="s">
        <v>12946</v>
      </c>
      <c r="C3452" s="28">
        <v>4</v>
      </c>
      <c r="D3452" s="28" t="s">
        <v>12947</v>
      </c>
      <c r="E3452" s="64" t="s">
        <v>12948</v>
      </c>
      <c r="F3452" s="28" t="s">
        <v>12986</v>
      </c>
      <c r="G3452" s="28">
        <v>1</v>
      </c>
    </row>
    <row r="3453" spans="1:7">
      <c r="A3453" s="28">
        <v>3510036</v>
      </c>
      <c r="B3453" s="28" t="s">
        <v>12946</v>
      </c>
      <c r="C3453" s="28">
        <v>4</v>
      </c>
      <c r="D3453" s="28" t="s">
        <v>12947</v>
      </c>
      <c r="E3453" s="64" t="s">
        <v>12948</v>
      </c>
      <c r="F3453" s="28" t="s">
        <v>12987</v>
      </c>
      <c r="G3453" s="28">
        <v>1</v>
      </c>
    </row>
    <row r="3454" spans="1:7">
      <c r="A3454" s="28">
        <v>3510037</v>
      </c>
      <c r="B3454" s="28" t="s">
        <v>12946</v>
      </c>
      <c r="C3454" s="28">
        <v>4</v>
      </c>
      <c r="D3454" s="28" t="s">
        <v>12947</v>
      </c>
      <c r="E3454" s="64" t="s">
        <v>12948</v>
      </c>
      <c r="F3454" s="28" t="s">
        <v>12988</v>
      </c>
      <c r="G3454" s="28">
        <v>1</v>
      </c>
    </row>
    <row r="3455" spans="1:7">
      <c r="A3455" s="28">
        <v>3510038</v>
      </c>
      <c r="B3455" s="28" t="s">
        <v>12946</v>
      </c>
      <c r="C3455" s="28">
        <v>4</v>
      </c>
      <c r="D3455" s="28" t="s">
        <v>12947</v>
      </c>
      <c r="E3455" s="64" t="s">
        <v>12948</v>
      </c>
      <c r="F3455" s="28" t="s">
        <v>12989</v>
      </c>
      <c r="G3455" s="28">
        <v>1</v>
      </c>
    </row>
    <row r="3456" spans="1:7">
      <c r="A3456" s="28">
        <v>3510039</v>
      </c>
      <c r="B3456" s="28" t="s">
        <v>12946</v>
      </c>
      <c r="C3456" s="28">
        <v>4</v>
      </c>
      <c r="D3456" s="28" t="s">
        <v>12947</v>
      </c>
      <c r="E3456" s="64" t="s">
        <v>12948</v>
      </c>
      <c r="F3456" s="28" t="s">
        <v>12990</v>
      </c>
      <c r="G3456" s="28">
        <v>1</v>
      </c>
    </row>
    <row r="3457" spans="1:7">
      <c r="A3457" s="28">
        <v>3510040</v>
      </c>
      <c r="B3457" s="28" t="s">
        <v>12946</v>
      </c>
      <c r="C3457" s="28">
        <v>4</v>
      </c>
      <c r="D3457" s="28" t="s">
        <v>12947</v>
      </c>
      <c r="E3457" s="64" t="s">
        <v>12948</v>
      </c>
      <c r="F3457" s="28" t="s">
        <v>12991</v>
      </c>
      <c r="G3457" s="28">
        <v>1</v>
      </c>
    </row>
    <row r="3458" spans="1:7">
      <c r="A3458" s="28">
        <v>3510041</v>
      </c>
      <c r="B3458" s="28" t="s">
        <v>12946</v>
      </c>
      <c r="C3458" s="28">
        <v>4</v>
      </c>
      <c r="D3458" s="28" t="s">
        <v>12947</v>
      </c>
      <c r="E3458" s="64" t="s">
        <v>12948</v>
      </c>
      <c r="F3458" s="28" t="s">
        <v>12992</v>
      </c>
      <c r="G3458" s="28">
        <v>1</v>
      </c>
    </row>
    <row r="3459" spans="1:7">
      <c r="A3459" s="28">
        <v>3510042</v>
      </c>
      <c r="B3459" s="28" t="s">
        <v>12946</v>
      </c>
      <c r="C3459" s="28">
        <v>4</v>
      </c>
      <c r="D3459" s="28" t="s">
        <v>12947</v>
      </c>
      <c r="E3459" s="64" t="s">
        <v>12948</v>
      </c>
      <c r="F3459" s="28" t="s">
        <v>12993</v>
      </c>
      <c r="G3459" s="28">
        <v>1</v>
      </c>
    </row>
    <row r="3460" spans="1:7">
      <c r="A3460" s="28">
        <v>3510043</v>
      </c>
      <c r="B3460" s="28" t="s">
        <v>12946</v>
      </c>
      <c r="C3460" s="28">
        <v>4</v>
      </c>
      <c r="D3460" s="28" t="s">
        <v>12947</v>
      </c>
      <c r="E3460" s="64" t="s">
        <v>12948</v>
      </c>
      <c r="F3460" s="28" t="s">
        <v>12994</v>
      </c>
      <c r="G3460" s="28">
        <v>1</v>
      </c>
    </row>
    <row r="3461" spans="1:7">
      <c r="A3461" s="28">
        <v>3510044</v>
      </c>
      <c r="B3461" s="28" t="s">
        <v>12946</v>
      </c>
      <c r="C3461" s="28">
        <v>4</v>
      </c>
      <c r="D3461" s="28" t="s">
        <v>12947</v>
      </c>
      <c r="E3461" s="64" t="s">
        <v>12948</v>
      </c>
      <c r="F3461" s="28" t="s">
        <v>12995</v>
      </c>
      <c r="G3461" s="28">
        <v>1</v>
      </c>
    </row>
    <row r="3462" spans="1:7">
      <c r="A3462" s="28">
        <v>3510045</v>
      </c>
      <c r="B3462" s="28" t="s">
        <v>12946</v>
      </c>
      <c r="C3462" s="28">
        <v>4</v>
      </c>
      <c r="D3462" s="28" t="s">
        <v>12947</v>
      </c>
      <c r="E3462" s="64" t="s">
        <v>12948</v>
      </c>
      <c r="F3462" s="28" t="s">
        <v>12996</v>
      </c>
      <c r="G3462" s="28">
        <v>1</v>
      </c>
    </row>
    <row r="3463" spans="1:7">
      <c r="A3463" s="28">
        <v>3510046</v>
      </c>
      <c r="B3463" s="28" t="s">
        <v>12946</v>
      </c>
      <c r="C3463" s="28">
        <v>4</v>
      </c>
      <c r="D3463" s="28" t="s">
        <v>12947</v>
      </c>
      <c r="E3463" s="64" t="s">
        <v>12948</v>
      </c>
      <c r="F3463" s="28" t="s">
        <v>12997</v>
      </c>
      <c r="G3463" s="28">
        <v>1</v>
      </c>
    </row>
    <row r="3464" spans="1:7">
      <c r="A3464" s="28">
        <v>3510047</v>
      </c>
      <c r="B3464" s="28" t="s">
        <v>12946</v>
      </c>
      <c r="C3464" s="28">
        <v>4</v>
      </c>
      <c r="D3464" s="28" t="s">
        <v>12947</v>
      </c>
      <c r="E3464" s="64" t="s">
        <v>12948</v>
      </c>
      <c r="F3464" s="28" t="s">
        <v>12998</v>
      </c>
      <c r="G3464" s="28">
        <v>1</v>
      </c>
    </row>
    <row r="3465" spans="1:7">
      <c r="A3465" s="28">
        <v>3510048</v>
      </c>
      <c r="B3465" s="28" t="s">
        <v>12946</v>
      </c>
      <c r="C3465" s="28">
        <v>4</v>
      </c>
      <c r="D3465" s="28" t="s">
        <v>12947</v>
      </c>
      <c r="E3465" s="64" t="s">
        <v>12948</v>
      </c>
      <c r="F3465" s="28" t="s">
        <v>12999</v>
      </c>
      <c r="G3465" s="28">
        <v>1</v>
      </c>
    </row>
    <row r="3466" spans="1:7">
      <c r="A3466" s="28">
        <v>3550000</v>
      </c>
      <c r="B3466" s="28" t="s">
        <v>13000</v>
      </c>
      <c r="C3466" s="28">
        <v>4</v>
      </c>
      <c r="D3466" s="28" t="s">
        <v>12947</v>
      </c>
      <c r="E3466" s="64" t="s">
        <v>13001</v>
      </c>
      <c r="F3466" s="28" t="s">
        <v>13002</v>
      </c>
      <c r="G3466" s="28">
        <v>1</v>
      </c>
    </row>
    <row r="3467" spans="1:7">
      <c r="A3467" s="28">
        <v>3550001</v>
      </c>
      <c r="B3467" s="28" t="s">
        <v>13003</v>
      </c>
      <c r="C3467" s="28">
        <v>4</v>
      </c>
      <c r="D3467" s="28" t="s">
        <v>12947</v>
      </c>
      <c r="E3467" s="64" t="s">
        <v>13004</v>
      </c>
      <c r="F3467" s="28" t="s">
        <v>13005</v>
      </c>
      <c r="G3467" s="28">
        <v>1</v>
      </c>
    </row>
    <row r="3468" spans="1:7">
      <c r="A3468" s="28">
        <v>3590001</v>
      </c>
      <c r="B3468" s="28" t="s">
        <v>13006</v>
      </c>
      <c r="C3468" s="28">
        <v>4</v>
      </c>
      <c r="D3468" s="28" t="s">
        <v>12947</v>
      </c>
      <c r="E3468" s="64" t="s">
        <v>13007</v>
      </c>
      <c r="F3468" s="28" t="s">
        <v>13008</v>
      </c>
      <c r="G3468" s="28">
        <v>1</v>
      </c>
    </row>
    <row r="3469" spans="1:7">
      <c r="A3469" s="28">
        <v>3600001</v>
      </c>
      <c r="B3469" s="28" t="s">
        <v>13009</v>
      </c>
      <c r="C3469" s="28">
        <v>4</v>
      </c>
      <c r="D3469" s="28" t="s">
        <v>13010</v>
      </c>
      <c r="E3469" s="64" t="s">
        <v>13011</v>
      </c>
      <c r="F3469" s="28" t="s">
        <v>13012</v>
      </c>
      <c r="G3469" s="28">
        <v>1</v>
      </c>
    </row>
    <row r="3470" spans="1:7">
      <c r="A3470" s="28">
        <v>3600002</v>
      </c>
      <c r="B3470" s="28" t="s">
        <v>13013</v>
      </c>
      <c r="C3470" s="28">
        <v>4</v>
      </c>
      <c r="D3470" s="28" t="s">
        <v>13010</v>
      </c>
      <c r="E3470" s="64" t="s">
        <v>13014</v>
      </c>
      <c r="F3470" s="28" t="s">
        <v>13012</v>
      </c>
      <c r="G3470" s="28">
        <v>1</v>
      </c>
    </row>
    <row r="3471" spans="1:7">
      <c r="A3471" s="28">
        <v>3600003</v>
      </c>
      <c r="B3471" s="28" t="s">
        <v>13015</v>
      </c>
      <c r="C3471" s="28">
        <v>4</v>
      </c>
      <c r="D3471" s="28" t="s">
        <v>13010</v>
      </c>
      <c r="E3471" s="64" t="s">
        <v>13016</v>
      </c>
      <c r="F3471" s="28" t="s">
        <v>13012</v>
      </c>
      <c r="G3471" s="28">
        <v>1</v>
      </c>
    </row>
    <row r="3472" spans="1:7">
      <c r="A3472" s="28">
        <v>3600004</v>
      </c>
      <c r="B3472" s="28" t="s">
        <v>13017</v>
      </c>
      <c r="C3472" s="28">
        <v>4</v>
      </c>
      <c r="D3472" s="28" t="s">
        <v>13010</v>
      </c>
      <c r="E3472" s="64" t="s">
        <v>13018</v>
      </c>
      <c r="F3472" s="28" t="s">
        <v>13012</v>
      </c>
      <c r="G3472" s="28">
        <v>1</v>
      </c>
    </row>
    <row r="3473" spans="1:7">
      <c r="A3473" s="28">
        <v>3600006</v>
      </c>
      <c r="B3473" s="28" t="s">
        <v>13019</v>
      </c>
      <c r="C3473" s="28">
        <v>4</v>
      </c>
      <c r="D3473" s="28" t="s">
        <v>13010</v>
      </c>
      <c r="E3473" s="64" t="s">
        <v>13020</v>
      </c>
      <c r="F3473" s="28" t="s">
        <v>13012</v>
      </c>
      <c r="G3473" s="28">
        <v>1</v>
      </c>
    </row>
    <row r="3474" spans="1:7">
      <c r="A3474" s="28">
        <v>3600007</v>
      </c>
      <c r="B3474" s="28" t="s">
        <v>13021</v>
      </c>
      <c r="C3474" s="28">
        <v>4</v>
      </c>
      <c r="D3474" s="28" t="s">
        <v>13010</v>
      </c>
      <c r="E3474" s="64" t="s">
        <v>13022</v>
      </c>
      <c r="F3474" s="28" t="s">
        <v>13012</v>
      </c>
      <c r="G3474" s="28">
        <v>1</v>
      </c>
    </row>
    <row r="3475" spans="1:7">
      <c r="A3475" s="28">
        <v>3600008</v>
      </c>
      <c r="B3475" s="28" t="s">
        <v>13023</v>
      </c>
      <c r="C3475" s="28">
        <v>4</v>
      </c>
      <c r="D3475" s="28" t="s">
        <v>13010</v>
      </c>
      <c r="E3475" s="64" t="s">
        <v>13022</v>
      </c>
      <c r="F3475" s="28" t="s">
        <v>13012</v>
      </c>
      <c r="G3475" s="28">
        <v>1</v>
      </c>
    </row>
    <row r="3476" spans="1:7">
      <c r="A3476" s="28">
        <v>3600009</v>
      </c>
      <c r="B3476" s="28" t="s">
        <v>13024</v>
      </c>
      <c r="C3476" s="28">
        <v>4</v>
      </c>
      <c r="D3476" s="28" t="s">
        <v>13010</v>
      </c>
      <c r="E3476" s="64" t="s">
        <v>13022</v>
      </c>
      <c r="F3476" s="28" t="s">
        <v>13012</v>
      </c>
      <c r="G3476" s="28">
        <v>1</v>
      </c>
    </row>
    <row r="3477" spans="1:7">
      <c r="A3477" s="28">
        <v>3600010</v>
      </c>
      <c r="B3477" s="28" t="s">
        <v>13025</v>
      </c>
      <c r="C3477" s="28">
        <v>4</v>
      </c>
      <c r="D3477" s="28" t="s">
        <v>13010</v>
      </c>
      <c r="E3477" s="64" t="s">
        <v>13022</v>
      </c>
      <c r="F3477" s="28" t="s">
        <v>13012</v>
      </c>
      <c r="G3477" s="28">
        <v>1</v>
      </c>
    </row>
    <row r="3478" spans="1:7">
      <c r="A3478" s="28">
        <v>3600011</v>
      </c>
      <c r="B3478" s="28" t="s">
        <v>13026</v>
      </c>
      <c r="C3478" s="28">
        <v>4</v>
      </c>
      <c r="D3478" s="28" t="s">
        <v>13010</v>
      </c>
      <c r="E3478" s="64" t="s">
        <v>13022</v>
      </c>
      <c r="F3478" s="28" t="s">
        <v>13012</v>
      </c>
      <c r="G3478" s="28">
        <v>1</v>
      </c>
    </row>
    <row r="3479" spans="1:7">
      <c r="A3479" s="28">
        <v>3600015</v>
      </c>
      <c r="B3479" s="28" t="s">
        <v>13027</v>
      </c>
      <c r="C3479" s="28">
        <v>4</v>
      </c>
      <c r="D3479" s="28" t="s">
        <v>13010</v>
      </c>
      <c r="E3479" s="64" t="s">
        <v>13028</v>
      </c>
      <c r="F3479" s="28" t="s">
        <v>13012</v>
      </c>
      <c r="G3479" s="28">
        <v>1</v>
      </c>
    </row>
    <row r="3480" spans="1:7">
      <c r="A3480" s="28">
        <v>3600017</v>
      </c>
      <c r="B3480" s="28" t="s">
        <v>13029</v>
      </c>
      <c r="C3480" s="28">
        <v>4</v>
      </c>
      <c r="D3480" s="28" t="s">
        <v>13010</v>
      </c>
      <c r="E3480" s="64" t="s">
        <v>13030</v>
      </c>
      <c r="F3480" s="28" t="s">
        <v>13012</v>
      </c>
      <c r="G3480" s="28">
        <v>1</v>
      </c>
    </row>
    <row r="3481" spans="1:7">
      <c r="A3481" s="28">
        <v>3600018</v>
      </c>
      <c r="B3481" s="28" t="s">
        <v>13031</v>
      </c>
      <c r="C3481" s="28">
        <v>4</v>
      </c>
      <c r="D3481" s="28" t="s">
        <v>13010</v>
      </c>
      <c r="E3481" s="64" t="s">
        <v>13032</v>
      </c>
      <c r="F3481" s="28" t="s">
        <v>13012</v>
      </c>
      <c r="G3481" s="28">
        <v>1</v>
      </c>
    </row>
    <row r="3482" spans="1:7">
      <c r="A3482" s="28">
        <v>3600019</v>
      </c>
      <c r="B3482" s="28" t="s">
        <v>13033</v>
      </c>
      <c r="C3482" s="28">
        <v>4</v>
      </c>
      <c r="D3482" s="28" t="s">
        <v>13010</v>
      </c>
      <c r="E3482" s="64" t="s">
        <v>13034</v>
      </c>
      <c r="F3482" s="28" t="s">
        <v>13012</v>
      </c>
      <c r="G3482" s="28">
        <v>1</v>
      </c>
    </row>
    <row r="3483" spans="1:7">
      <c r="A3483" s="28">
        <v>3600023</v>
      </c>
      <c r="B3483" s="28" t="s">
        <v>13035</v>
      </c>
      <c r="C3483" s="28">
        <v>4</v>
      </c>
      <c r="D3483" s="28" t="s">
        <v>13010</v>
      </c>
      <c r="E3483" s="64" t="s">
        <v>13036</v>
      </c>
      <c r="F3483" s="28" t="s">
        <v>13012</v>
      </c>
      <c r="G3483" s="28">
        <v>1</v>
      </c>
    </row>
    <row r="3484" spans="1:7">
      <c r="A3484" s="28">
        <v>3600024</v>
      </c>
      <c r="B3484" s="28" t="s">
        <v>13037</v>
      </c>
      <c r="C3484" s="28">
        <v>4</v>
      </c>
      <c r="D3484" s="28" t="s">
        <v>13038</v>
      </c>
      <c r="E3484" s="64" t="s">
        <v>13039</v>
      </c>
      <c r="F3484" s="28" t="s">
        <v>13012</v>
      </c>
      <c r="G3484" s="28">
        <v>1</v>
      </c>
    </row>
    <row r="3485" spans="1:7">
      <c r="A3485" s="28">
        <v>3600027</v>
      </c>
      <c r="B3485" s="28" t="s">
        <v>13040</v>
      </c>
      <c r="C3485" s="28">
        <v>4</v>
      </c>
      <c r="D3485" s="28" t="s">
        <v>13010</v>
      </c>
      <c r="E3485" s="64" t="s">
        <v>13041</v>
      </c>
      <c r="F3485" s="28" t="s">
        <v>13012</v>
      </c>
      <c r="G3485" s="28">
        <v>1</v>
      </c>
    </row>
    <row r="3486" spans="1:7">
      <c r="A3486" s="28">
        <v>3600028</v>
      </c>
      <c r="B3486" s="28" t="s">
        <v>13042</v>
      </c>
      <c r="C3486" s="28">
        <v>4</v>
      </c>
      <c r="D3486" s="28" t="s">
        <v>13010</v>
      </c>
      <c r="E3486" s="64" t="s">
        <v>13043</v>
      </c>
      <c r="F3486" s="28" t="s">
        <v>13012</v>
      </c>
      <c r="G3486" s="28">
        <v>1</v>
      </c>
    </row>
    <row r="3487" spans="1:7">
      <c r="A3487" s="28">
        <v>3600029</v>
      </c>
      <c r="B3487" s="28" t="s">
        <v>13044</v>
      </c>
      <c r="C3487" s="28">
        <v>4</v>
      </c>
      <c r="D3487" s="28" t="s">
        <v>13010</v>
      </c>
      <c r="E3487" s="70" t="s">
        <v>13045</v>
      </c>
      <c r="F3487" s="28" t="s">
        <v>13012</v>
      </c>
      <c r="G3487" s="28">
        <v>1</v>
      </c>
    </row>
    <row r="3488" spans="1:7">
      <c r="A3488" s="28">
        <v>3600030</v>
      </c>
      <c r="B3488" s="28" t="s">
        <v>13046</v>
      </c>
      <c r="C3488" s="28">
        <v>4</v>
      </c>
      <c r="D3488" s="28" t="s">
        <v>13010</v>
      </c>
      <c r="E3488" s="70" t="s">
        <v>13047</v>
      </c>
      <c r="F3488" s="28" t="s">
        <v>13048</v>
      </c>
      <c r="G3488" s="28">
        <v>1</v>
      </c>
    </row>
    <row r="3489" spans="1:7">
      <c r="A3489" s="28">
        <v>3650008</v>
      </c>
      <c r="B3489" s="28" t="s">
        <v>13049</v>
      </c>
      <c r="C3489" s="28">
        <v>4</v>
      </c>
      <c r="D3489" s="28" t="s">
        <v>13010</v>
      </c>
      <c r="E3489" s="70" t="s">
        <v>13050</v>
      </c>
      <c r="F3489" s="28" t="s">
        <v>13051</v>
      </c>
      <c r="G3489" s="28">
        <v>1</v>
      </c>
    </row>
    <row r="3490" spans="1:7">
      <c r="A3490" s="28">
        <v>3650009</v>
      </c>
      <c r="B3490" s="28" t="s">
        <v>13052</v>
      </c>
      <c r="C3490" s="28">
        <v>4</v>
      </c>
      <c r="D3490" s="28" t="s">
        <v>13010</v>
      </c>
      <c r="E3490" s="70" t="s">
        <v>13053</v>
      </c>
      <c r="F3490" s="28" t="s">
        <v>13054</v>
      </c>
      <c r="G3490" s="28">
        <v>1</v>
      </c>
    </row>
    <row r="3491" spans="1:7">
      <c r="A3491" s="28">
        <v>3650011</v>
      </c>
      <c r="B3491" s="28" t="s">
        <v>13055</v>
      </c>
      <c r="C3491" s="28">
        <v>4</v>
      </c>
      <c r="D3491" s="28" t="s">
        <v>13056</v>
      </c>
      <c r="E3491" s="70" t="s">
        <v>13057</v>
      </c>
      <c r="F3491" s="28" t="s">
        <v>13058</v>
      </c>
      <c r="G3491" s="28">
        <v>1</v>
      </c>
    </row>
    <row r="3492" spans="1:7">
      <c r="A3492" s="28">
        <v>3650013</v>
      </c>
      <c r="B3492" s="28" t="s">
        <v>13059</v>
      </c>
      <c r="C3492" s="28">
        <v>4</v>
      </c>
      <c r="D3492" s="28" t="s">
        <v>13038</v>
      </c>
      <c r="E3492" s="70" t="s">
        <v>13060</v>
      </c>
      <c r="F3492" s="28" t="s">
        <v>13012</v>
      </c>
      <c r="G3492" s="28">
        <v>1</v>
      </c>
    </row>
    <row r="3493" spans="1:7">
      <c r="A3493" s="28">
        <v>3650014</v>
      </c>
      <c r="B3493" s="28" t="s">
        <v>13061</v>
      </c>
      <c r="C3493" s="28">
        <v>4</v>
      </c>
      <c r="D3493" s="28" t="s">
        <v>13038</v>
      </c>
      <c r="E3493" s="64" t="s">
        <v>13062</v>
      </c>
      <c r="F3493" s="28" t="s">
        <v>13012</v>
      </c>
      <c r="G3493" s="28">
        <v>1</v>
      </c>
    </row>
    <row r="3494" spans="1:7">
      <c r="A3494" s="28">
        <v>3651011</v>
      </c>
      <c r="B3494" s="28" t="s">
        <v>13063</v>
      </c>
      <c r="C3494" s="28">
        <v>4</v>
      </c>
      <c r="D3494" s="28" t="s">
        <v>13056</v>
      </c>
      <c r="E3494" s="64" t="s">
        <v>13064</v>
      </c>
      <c r="F3494" s="28" t="s">
        <v>13012</v>
      </c>
      <c r="G3494" s="28">
        <v>1</v>
      </c>
    </row>
    <row r="3495" spans="1:7">
      <c r="A3495" s="28">
        <v>3651012</v>
      </c>
      <c r="B3495" s="28" t="s">
        <v>13065</v>
      </c>
      <c r="C3495" s="28">
        <v>4</v>
      </c>
      <c r="D3495" s="28" t="s">
        <v>13056</v>
      </c>
      <c r="E3495" s="64" t="s">
        <v>13066</v>
      </c>
      <c r="F3495" s="28" t="s">
        <v>13067</v>
      </c>
      <c r="G3495" s="28">
        <v>1</v>
      </c>
    </row>
    <row r="3496" spans="1:7">
      <c r="A3496" s="28">
        <v>3700106</v>
      </c>
      <c r="B3496" s="28" t="s">
        <v>13068</v>
      </c>
      <c r="C3496" s="28">
        <v>4</v>
      </c>
      <c r="D3496" s="28" t="s">
        <v>13069</v>
      </c>
      <c r="E3496" s="64" t="s">
        <v>13070</v>
      </c>
      <c r="F3496" s="28" t="s">
        <v>13071</v>
      </c>
      <c r="G3496" s="28">
        <v>1</v>
      </c>
    </row>
    <row r="3497" spans="1:7">
      <c r="A3497" s="28">
        <v>3700107</v>
      </c>
      <c r="B3497" s="28" t="s">
        <v>13072</v>
      </c>
      <c r="C3497" s="28">
        <v>3</v>
      </c>
      <c r="D3497" s="28" t="s">
        <v>13069</v>
      </c>
      <c r="E3497" s="64" t="s">
        <v>13073</v>
      </c>
      <c r="F3497" s="28" t="s">
        <v>13071</v>
      </c>
      <c r="G3497" s="28">
        <v>1</v>
      </c>
    </row>
    <row r="3498" spans="1:7">
      <c r="A3498" s="28">
        <v>3700108</v>
      </c>
      <c r="B3498" s="28" t="s">
        <v>13074</v>
      </c>
      <c r="C3498" s="28">
        <v>3</v>
      </c>
      <c r="D3498" s="28" t="s">
        <v>13069</v>
      </c>
      <c r="E3498" s="64" t="s">
        <v>13075</v>
      </c>
      <c r="F3498" s="28" t="s">
        <v>13071</v>
      </c>
      <c r="G3498" s="28">
        <v>1</v>
      </c>
    </row>
    <row r="3499" spans="1:7">
      <c r="A3499" s="28">
        <v>3700109</v>
      </c>
      <c r="B3499" s="28" t="s">
        <v>13076</v>
      </c>
      <c r="C3499" s="28">
        <v>3</v>
      </c>
      <c r="D3499" s="28" t="s">
        <v>13069</v>
      </c>
      <c r="E3499" s="64" t="s">
        <v>13077</v>
      </c>
      <c r="F3499" s="28" t="s">
        <v>13071</v>
      </c>
      <c r="G3499" s="28">
        <v>1</v>
      </c>
    </row>
    <row r="3500" spans="1:7">
      <c r="A3500" s="28">
        <v>3700111</v>
      </c>
      <c r="B3500" s="28" t="s">
        <v>13078</v>
      </c>
      <c r="C3500" s="28">
        <v>3</v>
      </c>
      <c r="D3500" s="28" t="s">
        <v>13069</v>
      </c>
      <c r="E3500" s="64" t="s">
        <v>13079</v>
      </c>
      <c r="F3500" s="28" t="s">
        <v>13071</v>
      </c>
      <c r="G3500" s="28">
        <v>1</v>
      </c>
    </row>
    <row r="3501" spans="1:7">
      <c r="A3501" s="28">
        <v>3700112</v>
      </c>
      <c r="B3501" s="28" t="s">
        <v>13080</v>
      </c>
      <c r="C3501" s="28">
        <v>3</v>
      </c>
      <c r="D3501" s="28" t="s">
        <v>13069</v>
      </c>
      <c r="E3501" s="64" t="s">
        <v>13081</v>
      </c>
      <c r="F3501" s="28" t="s">
        <v>13071</v>
      </c>
      <c r="G3501" s="28">
        <v>1</v>
      </c>
    </row>
    <row r="3502" spans="1:7">
      <c r="A3502" s="28">
        <v>3700113</v>
      </c>
      <c r="B3502" s="28" t="s">
        <v>13082</v>
      </c>
      <c r="C3502" s="28">
        <v>3</v>
      </c>
      <c r="D3502" s="28" t="s">
        <v>13069</v>
      </c>
      <c r="E3502" s="64" t="s">
        <v>13083</v>
      </c>
      <c r="F3502" s="28" t="s">
        <v>13071</v>
      </c>
      <c r="G3502" s="28">
        <v>1</v>
      </c>
    </row>
    <row r="3503" spans="1:7">
      <c r="A3503" s="28">
        <v>3700172</v>
      </c>
      <c r="B3503" s="28" t="s">
        <v>13084</v>
      </c>
      <c r="C3503" s="28">
        <v>3</v>
      </c>
      <c r="D3503" s="28" t="s">
        <v>13069</v>
      </c>
      <c r="E3503" s="64" t="s">
        <v>13085</v>
      </c>
      <c r="F3503" s="28" t="s">
        <v>13071</v>
      </c>
      <c r="G3503" s="28">
        <v>1</v>
      </c>
    </row>
    <row r="3504" spans="1:7">
      <c r="A3504" s="28">
        <v>3700177</v>
      </c>
      <c r="B3504" s="28" t="s">
        <v>13086</v>
      </c>
      <c r="C3504" s="28">
        <v>3</v>
      </c>
      <c r="D3504" s="28" t="s">
        <v>13069</v>
      </c>
      <c r="E3504" s="64" t="s">
        <v>13087</v>
      </c>
      <c r="F3504" s="28" t="s">
        <v>13071</v>
      </c>
      <c r="G3504" s="28">
        <v>1</v>
      </c>
    </row>
    <row r="3505" spans="1:7">
      <c r="A3505" s="28">
        <v>3700178</v>
      </c>
      <c r="B3505" s="28" t="s">
        <v>13088</v>
      </c>
      <c r="C3505" s="28">
        <v>3</v>
      </c>
      <c r="D3505" s="28" t="s">
        <v>13069</v>
      </c>
      <c r="E3505" s="64" t="s">
        <v>13089</v>
      </c>
      <c r="F3505" s="28" t="s">
        <v>13071</v>
      </c>
      <c r="G3505" s="28">
        <v>1</v>
      </c>
    </row>
    <row r="3506" spans="1:7">
      <c r="A3506" s="28">
        <v>3700179</v>
      </c>
      <c r="B3506" s="28" t="s">
        <v>13090</v>
      </c>
      <c r="C3506" s="28">
        <v>3</v>
      </c>
      <c r="D3506" s="28" t="s">
        <v>13069</v>
      </c>
      <c r="E3506" s="64" t="s">
        <v>13091</v>
      </c>
      <c r="F3506" s="28" t="s">
        <v>13071</v>
      </c>
      <c r="G3506" s="28">
        <v>1</v>
      </c>
    </row>
    <row r="3507" spans="1:7">
      <c r="A3507" s="28">
        <v>3700180</v>
      </c>
      <c r="B3507" s="28" t="s">
        <v>13092</v>
      </c>
      <c r="C3507" s="28">
        <v>3</v>
      </c>
      <c r="D3507" s="28" t="s">
        <v>13069</v>
      </c>
      <c r="E3507" s="64" t="s">
        <v>13093</v>
      </c>
      <c r="F3507" s="28" t="s">
        <v>13071</v>
      </c>
      <c r="G3507" s="28">
        <v>1</v>
      </c>
    </row>
    <row r="3508" spans="1:7">
      <c r="A3508" s="28">
        <v>3700181</v>
      </c>
      <c r="B3508" s="28" t="s">
        <v>13094</v>
      </c>
      <c r="C3508" s="28">
        <v>3</v>
      </c>
      <c r="D3508" s="28" t="s">
        <v>13069</v>
      </c>
      <c r="E3508" s="64" t="s">
        <v>13095</v>
      </c>
      <c r="F3508" s="28" t="s">
        <v>13071</v>
      </c>
      <c r="G3508" s="28">
        <v>1</v>
      </c>
    </row>
    <row r="3509" spans="1:7">
      <c r="A3509" s="28">
        <v>3700183</v>
      </c>
      <c r="B3509" s="28" t="s">
        <v>13096</v>
      </c>
      <c r="C3509" s="28">
        <v>3</v>
      </c>
      <c r="D3509" s="28" t="s">
        <v>13069</v>
      </c>
      <c r="E3509" s="64" t="s">
        <v>13097</v>
      </c>
      <c r="F3509" s="28" t="s">
        <v>13071</v>
      </c>
      <c r="G3509" s="28">
        <v>1</v>
      </c>
    </row>
    <row r="3510" spans="1:7">
      <c r="A3510" s="28">
        <v>3700192</v>
      </c>
      <c r="B3510" s="28" t="s">
        <v>13098</v>
      </c>
      <c r="C3510" s="28">
        <v>3</v>
      </c>
      <c r="D3510" s="28" t="s">
        <v>13069</v>
      </c>
      <c r="E3510" s="64" t="s">
        <v>13099</v>
      </c>
      <c r="F3510" s="28" t="s">
        <v>13071</v>
      </c>
      <c r="G3510" s="28">
        <v>1</v>
      </c>
    </row>
    <row r="3511" spans="1:7">
      <c r="A3511" s="28">
        <v>3700193</v>
      </c>
      <c r="B3511" s="28" t="s">
        <v>13100</v>
      </c>
      <c r="C3511" s="28">
        <v>3</v>
      </c>
      <c r="D3511" s="28" t="s">
        <v>13069</v>
      </c>
      <c r="E3511" s="64" t="s">
        <v>13101</v>
      </c>
      <c r="F3511" s="28" t="s">
        <v>13071</v>
      </c>
      <c r="G3511" s="28">
        <v>1</v>
      </c>
    </row>
    <row r="3512" spans="1:7">
      <c r="A3512" s="28">
        <v>3700194</v>
      </c>
      <c r="B3512" s="28" t="s">
        <v>13102</v>
      </c>
      <c r="C3512" s="28">
        <v>3</v>
      </c>
      <c r="D3512" s="28" t="s">
        <v>13069</v>
      </c>
      <c r="E3512" s="64" t="s">
        <v>13103</v>
      </c>
      <c r="F3512" s="28" t="s">
        <v>13071</v>
      </c>
      <c r="G3512" s="28">
        <v>1</v>
      </c>
    </row>
    <row r="3513" spans="1:7">
      <c r="A3513" s="28">
        <v>3700195</v>
      </c>
      <c r="B3513" s="28" t="s">
        <v>13104</v>
      </c>
      <c r="C3513" s="28">
        <v>3</v>
      </c>
      <c r="D3513" s="28" t="s">
        <v>13069</v>
      </c>
      <c r="E3513" s="64" t="s">
        <v>13105</v>
      </c>
      <c r="F3513" s="28" t="s">
        <v>13071</v>
      </c>
      <c r="G3513" s="28">
        <v>1</v>
      </c>
    </row>
    <row r="3514" spans="1:7">
      <c r="A3514" s="28">
        <v>3700205</v>
      </c>
      <c r="B3514" s="28" t="s">
        <v>13106</v>
      </c>
      <c r="C3514" s="28">
        <v>3</v>
      </c>
      <c r="D3514" s="28" t="s">
        <v>13069</v>
      </c>
      <c r="E3514" s="64" t="s">
        <v>13107</v>
      </c>
      <c r="F3514" s="28" t="s">
        <v>13071</v>
      </c>
      <c r="G3514" s="28">
        <v>1</v>
      </c>
    </row>
    <row r="3515" spans="1:7">
      <c r="A3515" s="28">
        <v>3700206</v>
      </c>
      <c r="B3515" s="28" t="s">
        <v>13108</v>
      </c>
      <c r="C3515" s="28">
        <v>3</v>
      </c>
      <c r="D3515" s="28" t="s">
        <v>13069</v>
      </c>
      <c r="E3515" s="64" t="s">
        <v>13109</v>
      </c>
      <c r="F3515" s="28" t="s">
        <v>13071</v>
      </c>
      <c r="G3515" s="28">
        <v>1</v>
      </c>
    </row>
    <row r="3516" spans="1:7">
      <c r="A3516" s="28">
        <v>3700207</v>
      </c>
      <c r="B3516" s="28" t="s">
        <v>13110</v>
      </c>
      <c r="C3516" s="28">
        <v>3</v>
      </c>
      <c r="D3516" s="28" t="s">
        <v>13069</v>
      </c>
      <c r="E3516" s="64" t="s">
        <v>13111</v>
      </c>
      <c r="F3516" s="28" t="s">
        <v>13071</v>
      </c>
      <c r="G3516" s="28">
        <v>1</v>
      </c>
    </row>
    <row r="3517" spans="1:7">
      <c r="A3517" s="28">
        <v>3700208</v>
      </c>
      <c r="B3517" s="28" t="s">
        <v>13112</v>
      </c>
      <c r="C3517" s="28">
        <v>3</v>
      </c>
      <c r="D3517" s="28" t="s">
        <v>13069</v>
      </c>
      <c r="E3517" s="64" t="s">
        <v>13113</v>
      </c>
      <c r="F3517" s="28" t="s">
        <v>13071</v>
      </c>
      <c r="G3517" s="28">
        <v>1</v>
      </c>
    </row>
    <row r="3518" spans="1:7">
      <c r="A3518" s="28">
        <v>3700222</v>
      </c>
      <c r="B3518" s="28" t="s">
        <v>13114</v>
      </c>
      <c r="C3518" s="28">
        <v>3</v>
      </c>
      <c r="D3518" s="28" t="s">
        <v>13069</v>
      </c>
      <c r="E3518" s="64" t="s">
        <v>13115</v>
      </c>
      <c r="F3518" s="28" t="s">
        <v>13071</v>
      </c>
      <c r="G3518" s="28">
        <v>1</v>
      </c>
    </row>
    <row r="3519" spans="1:7">
      <c r="A3519" s="28">
        <v>3700223</v>
      </c>
      <c r="B3519" s="28" t="s">
        <v>13116</v>
      </c>
      <c r="C3519" s="28">
        <v>3</v>
      </c>
      <c r="D3519" s="28" t="s">
        <v>13069</v>
      </c>
      <c r="E3519" s="64" t="s">
        <v>13117</v>
      </c>
      <c r="F3519" s="28" t="s">
        <v>13071</v>
      </c>
      <c r="G3519" s="28">
        <v>1</v>
      </c>
    </row>
    <row r="3520" spans="1:7">
      <c r="A3520" s="28">
        <v>3700226</v>
      </c>
      <c r="B3520" s="28" t="s">
        <v>13118</v>
      </c>
      <c r="C3520" s="28">
        <v>3</v>
      </c>
      <c r="D3520" s="28" t="s">
        <v>13069</v>
      </c>
      <c r="E3520" s="64" t="s">
        <v>13115</v>
      </c>
      <c r="F3520" s="28" t="s">
        <v>13071</v>
      </c>
      <c r="G3520" s="28">
        <v>1</v>
      </c>
    </row>
    <row r="3521" spans="1:7">
      <c r="A3521" s="28">
        <v>3700227</v>
      </c>
      <c r="B3521" s="28" t="s">
        <v>13119</v>
      </c>
      <c r="C3521" s="28">
        <v>3</v>
      </c>
      <c r="D3521" s="28" t="s">
        <v>13069</v>
      </c>
      <c r="E3521" s="64" t="s">
        <v>13117</v>
      </c>
      <c r="F3521" s="28" t="s">
        <v>13071</v>
      </c>
      <c r="G3521" s="28">
        <v>1</v>
      </c>
    </row>
    <row r="3522" spans="1:7">
      <c r="A3522" s="28">
        <v>3800001</v>
      </c>
      <c r="B3522" s="28" t="s">
        <v>6100</v>
      </c>
      <c r="C3522" s="28">
        <v>2</v>
      </c>
      <c r="D3522" s="28" t="s">
        <v>6100</v>
      </c>
      <c r="E3522" s="64" t="s"/>
      <c r="F3522" s="28" t="s"/>
      <c r="G3522" s="28">
        <v>9999</v>
      </c>
    </row>
    <row r="3523" spans="1:7">
      <c r="A3523" s="28">
        <v>3800100</v>
      </c>
      <c r="B3523" s="28" t="s">
        <v>13120</v>
      </c>
      <c r="C3523" s="28">
        <v>4</v>
      </c>
      <c r="D3523" s="28" t="s">
        <v>13121</v>
      </c>
      <c r="E3523" s="64" t="s"/>
      <c r="F3523" s="28" t="s">
        <v>13122</v>
      </c>
      <c r="G3523" s="28">
        <v>1</v>
      </c>
    </row>
    <row r="3524" spans="1:7">
      <c r="A3524" s="28">
        <v>3800101</v>
      </c>
      <c r="B3524" s="28" t="s">
        <v>13120</v>
      </c>
      <c r="C3524" s="28">
        <v>4</v>
      </c>
      <c r="D3524" s="28" t="s">
        <v>13121</v>
      </c>
      <c r="E3524" s="64" t="s"/>
      <c r="F3524" s="28" t="s">
        <v>13122</v>
      </c>
      <c r="G3524" s="28">
        <v>1</v>
      </c>
    </row>
    <row r="3525" spans="1:7">
      <c r="A3525" s="28">
        <v>3800102</v>
      </c>
      <c r="B3525" s="28" t="s">
        <v>13120</v>
      </c>
      <c r="C3525" s="28">
        <v>4</v>
      </c>
      <c r="D3525" s="28" t="s">
        <v>13121</v>
      </c>
      <c r="E3525" s="64" t="s"/>
      <c r="F3525" s="28" t="s">
        <v>13122</v>
      </c>
      <c r="G3525" s="28">
        <v>1</v>
      </c>
    </row>
    <row r="3526" spans="1:7">
      <c r="A3526" s="28">
        <v>3800103</v>
      </c>
      <c r="B3526" s="28" t="s">
        <v>13120</v>
      </c>
      <c r="C3526" s="28">
        <v>4</v>
      </c>
      <c r="D3526" s="28" t="s">
        <v>13121</v>
      </c>
      <c r="E3526" s="64" t="s"/>
      <c r="F3526" s="28" t="s">
        <v>13122</v>
      </c>
      <c r="G3526" s="28">
        <v>1</v>
      </c>
    </row>
    <row r="3527" spans="1:7">
      <c r="A3527" s="28">
        <v>3800104</v>
      </c>
      <c r="B3527" s="28" t="s">
        <v>13120</v>
      </c>
      <c r="C3527" s="28">
        <v>4</v>
      </c>
      <c r="D3527" s="28" t="s">
        <v>13121</v>
      </c>
      <c r="E3527" s="64" t="s"/>
      <c r="F3527" s="28" t="s">
        <v>13122</v>
      </c>
      <c r="G3527" s="28">
        <v>1</v>
      </c>
    </row>
    <row r="3528" spans="1:7">
      <c r="A3528" s="28">
        <v>3800105</v>
      </c>
      <c r="B3528" s="28" t="s">
        <v>13120</v>
      </c>
      <c r="C3528" s="28">
        <v>4</v>
      </c>
      <c r="D3528" s="28" t="s">
        <v>13121</v>
      </c>
      <c r="E3528" s="64" t="s"/>
      <c r="F3528" s="28" t="s">
        <v>13122</v>
      </c>
      <c r="G3528" s="28">
        <v>1</v>
      </c>
    </row>
    <row r="3529" spans="1:7">
      <c r="A3529" s="28">
        <v>3800106</v>
      </c>
      <c r="B3529" s="28" t="s">
        <v>13120</v>
      </c>
      <c r="C3529" s="28">
        <v>4</v>
      </c>
      <c r="D3529" s="28" t="s">
        <v>13121</v>
      </c>
      <c r="E3529" s="64" t="s"/>
      <c r="F3529" s="28" t="s">
        <v>13122</v>
      </c>
      <c r="G3529" s="28">
        <v>1</v>
      </c>
    </row>
    <row r="3530" spans="1:7">
      <c r="A3530" s="28">
        <v>3800107</v>
      </c>
      <c r="B3530" s="28" t="s">
        <v>13120</v>
      </c>
      <c r="C3530" s="28">
        <v>4</v>
      </c>
      <c r="D3530" s="28" t="s">
        <v>13121</v>
      </c>
      <c r="E3530" s="64" t="s"/>
      <c r="F3530" s="28" t="s">
        <v>13122</v>
      </c>
      <c r="G3530" s="28">
        <v>1</v>
      </c>
    </row>
    <row r="3531" spans="1:7">
      <c r="A3531" s="28">
        <v>3800108</v>
      </c>
      <c r="B3531" s="28" t="s">
        <v>13120</v>
      </c>
      <c r="C3531" s="28">
        <v>4</v>
      </c>
      <c r="D3531" s="28" t="s">
        <v>13121</v>
      </c>
      <c r="E3531" s="64" t="s"/>
      <c r="F3531" s="28" t="s">
        <v>13122</v>
      </c>
      <c r="G3531" s="28">
        <v>1</v>
      </c>
    </row>
    <row r="3532" spans="1:7">
      <c r="A3532" s="28">
        <v>3800109</v>
      </c>
      <c r="B3532" s="28" t="s">
        <v>13120</v>
      </c>
      <c r="C3532" s="28">
        <v>4</v>
      </c>
      <c r="D3532" s="28" t="s">
        <v>13121</v>
      </c>
      <c r="E3532" s="64" t="s"/>
      <c r="F3532" s="28" t="s">
        <v>13122</v>
      </c>
      <c r="G3532" s="28">
        <v>1</v>
      </c>
    </row>
    <row r="3533" spans="1:7">
      <c r="A3533" s="28">
        <v>3800110</v>
      </c>
      <c r="B3533" s="28" t="s">
        <v>13120</v>
      </c>
      <c r="C3533" s="28">
        <v>4</v>
      </c>
      <c r="D3533" s="28" t="s">
        <v>13121</v>
      </c>
      <c r="E3533" s="64" t="s"/>
      <c r="F3533" s="28" t="s">
        <v>13122</v>
      </c>
      <c r="G3533" s="28">
        <v>1</v>
      </c>
    </row>
    <row r="3534" spans="1:7">
      <c r="A3534" s="28">
        <v>3800111</v>
      </c>
      <c r="B3534" s="28" t="s">
        <v>13120</v>
      </c>
      <c r="C3534" s="28">
        <v>4</v>
      </c>
      <c r="D3534" s="28" t="s">
        <v>13121</v>
      </c>
      <c r="E3534" s="64" t="s"/>
      <c r="F3534" s="28" t="s">
        <v>13122</v>
      </c>
      <c r="G3534" s="28">
        <v>1</v>
      </c>
    </row>
    <row r="3535" spans="1:7">
      <c r="A3535" s="28">
        <v>3800112</v>
      </c>
      <c r="B3535" s="28" t="s">
        <v>13120</v>
      </c>
      <c r="C3535" s="28">
        <v>4</v>
      </c>
      <c r="D3535" s="28" t="s">
        <v>13121</v>
      </c>
      <c r="E3535" s="64" t="s"/>
      <c r="F3535" s="28" t="s">
        <v>13122</v>
      </c>
      <c r="G3535" s="28">
        <v>1</v>
      </c>
    </row>
    <row r="3536" spans="1:7">
      <c r="A3536" s="28">
        <v>3800113</v>
      </c>
      <c r="B3536" s="28" t="s">
        <v>13120</v>
      </c>
      <c r="C3536" s="28">
        <v>4</v>
      </c>
      <c r="D3536" s="28" t="s">
        <v>13121</v>
      </c>
      <c r="E3536" s="64" t="s"/>
      <c r="F3536" s="28" t="s">
        <v>13122</v>
      </c>
      <c r="G3536" s="28">
        <v>1</v>
      </c>
    </row>
    <row r="3537" spans="1:7">
      <c r="A3537" s="28">
        <v>3800114</v>
      </c>
      <c r="B3537" s="28" t="s">
        <v>13120</v>
      </c>
      <c r="C3537" s="28">
        <v>4</v>
      </c>
      <c r="D3537" s="28" t="s">
        <v>13121</v>
      </c>
      <c r="E3537" s="64" t="s"/>
      <c r="F3537" s="28" t="s">
        <v>13122</v>
      </c>
      <c r="G3537" s="28">
        <v>1</v>
      </c>
    </row>
    <row r="3538" spans="1:7">
      <c r="A3538" s="28">
        <v>3800115</v>
      </c>
      <c r="B3538" s="28" t="s">
        <v>13120</v>
      </c>
      <c r="C3538" s="28">
        <v>4</v>
      </c>
      <c r="D3538" s="28" t="s">
        <v>13121</v>
      </c>
      <c r="E3538" s="64" t="s"/>
      <c r="F3538" s="28" t="s">
        <v>13122</v>
      </c>
      <c r="G3538" s="28">
        <v>1</v>
      </c>
    </row>
    <row r="3539" spans="1:7">
      <c r="A3539" s="28">
        <v>3800116</v>
      </c>
      <c r="B3539" s="28" t="s">
        <v>13120</v>
      </c>
      <c r="C3539" s="28">
        <v>4</v>
      </c>
      <c r="D3539" s="28" t="s">
        <v>13121</v>
      </c>
      <c r="E3539" s="64" t="s"/>
      <c r="F3539" s="28" t="s">
        <v>13122</v>
      </c>
      <c r="G3539" s="28">
        <v>1</v>
      </c>
    </row>
    <row r="3540" spans="1:7">
      <c r="A3540" s="28">
        <v>3800117</v>
      </c>
      <c r="B3540" s="28" t="s">
        <v>13120</v>
      </c>
      <c r="C3540" s="28">
        <v>4</v>
      </c>
      <c r="D3540" s="28" t="s">
        <v>13121</v>
      </c>
      <c r="E3540" s="64" t="s"/>
      <c r="F3540" s="28" t="s">
        <v>13122</v>
      </c>
      <c r="G3540" s="28">
        <v>1</v>
      </c>
    </row>
    <row r="3541" spans="1:7">
      <c r="A3541" s="28">
        <v>3800118</v>
      </c>
      <c r="B3541" s="28" t="s">
        <v>13120</v>
      </c>
      <c r="C3541" s="28">
        <v>4</v>
      </c>
      <c r="D3541" s="28" t="s">
        <v>13121</v>
      </c>
      <c r="E3541" s="64" t="s"/>
      <c r="F3541" s="28" t="s">
        <v>13122</v>
      </c>
      <c r="G3541" s="28">
        <v>1</v>
      </c>
    </row>
    <row r="3542" spans="1:7">
      <c r="A3542" s="28">
        <v>3800119</v>
      </c>
      <c r="B3542" s="28" t="s">
        <v>13120</v>
      </c>
      <c r="C3542" s="28">
        <v>4</v>
      </c>
      <c r="D3542" s="28" t="s">
        <v>13121</v>
      </c>
      <c r="E3542" s="64" t="s"/>
      <c r="F3542" s="28" t="s">
        <v>13122</v>
      </c>
      <c r="G3542" s="28">
        <v>1</v>
      </c>
    </row>
    <row r="3543" spans="1:7">
      <c r="A3543" s="28">
        <v>3800120</v>
      </c>
      <c r="B3543" s="28" t="s">
        <v>13120</v>
      </c>
      <c r="C3543" s="28">
        <v>4</v>
      </c>
      <c r="D3543" s="28" t="s">
        <v>13121</v>
      </c>
      <c r="E3543" s="64" t="s"/>
      <c r="F3543" s="28" t="s">
        <v>13122</v>
      </c>
      <c r="G3543" s="28">
        <v>1</v>
      </c>
    </row>
    <row r="3544" spans="1:7">
      <c r="A3544" s="28">
        <v>3800121</v>
      </c>
      <c r="B3544" s="28" t="s">
        <v>13120</v>
      </c>
      <c r="C3544" s="28">
        <v>4</v>
      </c>
      <c r="D3544" s="28" t="s">
        <v>13121</v>
      </c>
      <c r="E3544" s="64" t="s"/>
      <c r="F3544" s="28" t="s">
        <v>13122</v>
      </c>
      <c r="G3544" s="28">
        <v>1</v>
      </c>
    </row>
    <row r="3545" spans="1:7">
      <c r="A3545" s="28">
        <v>3800122</v>
      </c>
      <c r="B3545" s="28" t="s">
        <v>13120</v>
      </c>
      <c r="C3545" s="28">
        <v>4</v>
      </c>
      <c r="D3545" s="28" t="s">
        <v>13121</v>
      </c>
      <c r="E3545" s="64" t="s"/>
      <c r="F3545" s="28" t="s">
        <v>13122</v>
      </c>
      <c r="G3545" s="28">
        <v>1</v>
      </c>
    </row>
    <row r="3546" spans="1:7">
      <c r="A3546" s="28">
        <v>3800123</v>
      </c>
      <c r="B3546" s="28" t="s">
        <v>13120</v>
      </c>
      <c r="C3546" s="28">
        <v>4</v>
      </c>
      <c r="D3546" s="28" t="s">
        <v>13121</v>
      </c>
      <c r="E3546" s="64" t="s"/>
      <c r="F3546" s="28" t="s">
        <v>13122</v>
      </c>
      <c r="G3546" s="28">
        <v>1</v>
      </c>
    </row>
    <row r="3547" spans="1:7">
      <c r="A3547" s="28">
        <v>3800124</v>
      </c>
      <c r="B3547" s="28" t="s">
        <v>13120</v>
      </c>
      <c r="C3547" s="28">
        <v>4</v>
      </c>
      <c r="D3547" s="28" t="s">
        <v>13121</v>
      </c>
      <c r="E3547" s="64" t="s"/>
      <c r="F3547" s="28" t="s">
        <v>13122</v>
      </c>
      <c r="G3547" s="28">
        <v>1</v>
      </c>
    </row>
    <row r="3548" spans="1:7">
      <c r="A3548" s="28">
        <v>3800125</v>
      </c>
      <c r="B3548" s="28" t="s">
        <v>13120</v>
      </c>
      <c r="C3548" s="28">
        <v>4</v>
      </c>
      <c r="D3548" s="28" t="s">
        <v>13121</v>
      </c>
      <c r="E3548" s="64" t="s"/>
      <c r="F3548" s="28" t="s">
        <v>13122</v>
      </c>
      <c r="G3548" s="28">
        <v>1</v>
      </c>
    </row>
    <row r="3549" spans="1:7">
      <c r="A3549" s="28">
        <v>3800126</v>
      </c>
      <c r="B3549" s="28" t="s">
        <v>13120</v>
      </c>
      <c r="C3549" s="28">
        <v>4</v>
      </c>
      <c r="D3549" s="28" t="s">
        <v>13121</v>
      </c>
      <c r="E3549" s="64" t="s"/>
      <c r="F3549" s="28" t="s">
        <v>13122</v>
      </c>
      <c r="G3549" s="28">
        <v>1</v>
      </c>
    </row>
    <row r="3550" spans="1:7">
      <c r="A3550" s="28">
        <v>3800127</v>
      </c>
      <c r="B3550" s="28" t="s">
        <v>13120</v>
      </c>
      <c r="C3550" s="28">
        <v>4</v>
      </c>
      <c r="D3550" s="28" t="s">
        <v>13121</v>
      </c>
      <c r="E3550" s="64" t="s"/>
      <c r="F3550" s="28" t="s">
        <v>13122</v>
      </c>
      <c r="G3550" s="28">
        <v>1</v>
      </c>
    </row>
    <row r="3551" spans="1:7">
      <c r="A3551" s="28">
        <v>3800128</v>
      </c>
      <c r="B3551" s="28" t="s">
        <v>13120</v>
      </c>
      <c r="C3551" s="28">
        <v>4</v>
      </c>
      <c r="D3551" s="28" t="s">
        <v>13121</v>
      </c>
      <c r="E3551" s="64" t="s"/>
      <c r="F3551" s="28" t="s">
        <v>13122</v>
      </c>
      <c r="G3551" s="28">
        <v>1</v>
      </c>
    </row>
    <row r="3552" spans="1:7">
      <c r="A3552" s="28">
        <v>3800129</v>
      </c>
      <c r="B3552" s="28" t="s">
        <v>13120</v>
      </c>
      <c r="C3552" s="28">
        <v>4</v>
      </c>
      <c r="D3552" s="28" t="s">
        <v>13121</v>
      </c>
      <c r="E3552" s="64" t="s"/>
      <c r="F3552" s="28" t="s">
        <v>13122</v>
      </c>
      <c r="G3552" s="28">
        <v>1</v>
      </c>
    </row>
    <row r="3553" spans="1:7">
      <c r="A3553" s="28">
        <v>3800130</v>
      </c>
      <c r="B3553" s="28" t="s">
        <v>13120</v>
      </c>
      <c r="C3553" s="28">
        <v>4</v>
      </c>
      <c r="D3553" s="28" t="s">
        <v>13121</v>
      </c>
      <c r="E3553" s="64" t="s"/>
      <c r="F3553" s="28" t="s">
        <v>13122</v>
      </c>
      <c r="G3553" s="28">
        <v>1</v>
      </c>
    </row>
    <row r="3554" spans="1:7">
      <c r="A3554" s="28">
        <v>3800131</v>
      </c>
      <c r="B3554" s="28" t="s">
        <v>13120</v>
      </c>
      <c r="C3554" s="28">
        <v>4</v>
      </c>
      <c r="D3554" s="28" t="s">
        <v>13121</v>
      </c>
      <c r="E3554" s="54" t="s"/>
      <c r="F3554" s="28" t="s">
        <v>13122</v>
      </c>
      <c r="G3554" s="28">
        <v>1</v>
      </c>
    </row>
    <row r="3555" spans="1:7">
      <c r="A3555" s="28">
        <v>3800132</v>
      </c>
      <c r="B3555" s="28" t="s">
        <v>13120</v>
      </c>
      <c r="C3555" s="28">
        <v>4</v>
      </c>
      <c r="D3555" s="28" t="s">
        <v>13121</v>
      </c>
      <c r="E3555" s="54" t="s"/>
      <c r="F3555" s="28" t="s">
        <v>13122</v>
      </c>
      <c r="G3555" s="28">
        <v>1</v>
      </c>
    </row>
    <row r="3556" spans="1:7">
      <c r="A3556" s="28">
        <v>3800133</v>
      </c>
      <c r="B3556" s="28" t="s">
        <v>13120</v>
      </c>
      <c r="C3556" s="28">
        <v>4</v>
      </c>
      <c r="D3556" s="28" t="s">
        <v>13121</v>
      </c>
      <c r="E3556" s="54" t="s"/>
      <c r="F3556" s="28" t="s">
        <v>13122</v>
      </c>
      <c r="G3556" s="28">
        <v>1</v>
      </c>
    </row>
    <row r="3557" spans="1:7">
      <c r="A3557" s="28">
        <v>3800134</v>
      </c>
      <c r="B3557" s="28" t="s">
        <v>13120</v>
      </c>
      <c r="C3557" s="28">
        <v>4</v>
      </c>
      <c r="D3557" s="28" t="s">
        <v>13121</v>
      </c>
      <c r="E3557" s="54" t="s"/>
      <c r="F3557" s="28" t="s">
        <v>13122</v>
      </c>
      <c r="G3557" s="28">
        <v>1</v>
      </c>
    </row>
    <row r="3558" spans="1:7">
      <c r="A3558" s="28">
        <v>3800135</v>
      </c>
      <c r="B3558" s="28" t="s">
        <v>13120</v>
      </c>
      <c r="C3558" s="28">
        <v>4</v>
      </c>
      <c r="D3558" s="28" t="s">
        <v>13121</v>
      </c>
      <c r="E3558" s="54" t="s"/>
      <c r="F3558" s="28" t="s">
        <v>13122</v>
      </c>
      <c r="G3558" s="28">
        <v>1</v>
      </c>
    </row>
    <row r="3559" spans="1:7">
      <c r="A3559" s="28">
        <v>3800136</v>
      </c>
      <c r="B3559" s="28" t="s">
        <v>13120</v>
      </c>
      <c r="C3559" s="28">
        <v>4</v>
      </c>
      <c r="D3559" s="28" t="s">
        <v>13121</v>
      </c>
      <c r="E3559" s="54" t="s"/>
      <c r="F3559" s="28" t="s">
        <v>13122</v>
      </c>
      <c r="G3559" s="28">
        <v>1</v>
      </c>
    </row>
    <row r="3560" spans="1:7">
      <c r="A3560" s="28">
        <v>3800137</v>
      </c>
      <c r="B3560" s="28" t="s">
        <v>13120</v>
      </c>
      <c r="C3560" s="28">
        <v>4</v>
      </c>
      <c r="D3560" s="28" t="s">
        <v>13121</v>
      </c>
      <c r="E3560" s="54" t="s"/>
      <c r="F3560" s="28" t="s">
        <v>13122</v>
      </c>
      <c r="G3560" s="28">
        <v>1</v>
      </c>
    </row>
    <row r="3561" spans="1:7">
      <c r="A3561" s="28">
        <v>3800138</v>
      </c>
      <c r="B3561" s="28" t="s">
        <v>13120</v>
      </c>
      <c r="C3561" s="28">
        <v>4</v>
      </c>
      <c r="D3561" s="28" t="s">
        <v>13121</v>
      </c>
      <c r="E3561" s="54" t="s"/>
      <c r="F3561" s="28" t="s">
        <v>13122</v>
      </c>
      <c r="G3561" s="28">
        <v>1</v>
      </c>
    </row>
    <row r="3562" spans="1:7">
      <c r="A3562" s="28">
        <v>3800139</v>
      </c>
      <c r="B3562" s="28" t="s">
        <v>13120</v>
      </c>
      <c r="C3562" s="28">
        <v>4</v>
      </c>
      <c r="D3562" s="28" t="s">
        <v>13121</v>
      </c>
      <c r="E3562" s="54" t="s"/>
      <c r="F3562" s="28" t="s">
        <v>13122</v>
      </c>
      <c r="G3562" s="28">
        <v>1</v>
      </c>
    </row>
    <row r="3563" spans="1:7">
      <c r="A3563" s="28">
        <v>3800140</v>
      </c>
      <c r="B3563" s="28" t="s">
        <v>13120</v>
      </c>
      <c r="C3563" s="28">
        <v>4</v>
      </c>
      <c r="D3563" s="28" t="s">
        <v>13121</v>
      </c>
      <c r="E3563" s="54" t="s"/>
      <c r="F3563" s="28" t="s">
        <v>13122</v>
      </c>
      <c r="G3563" s="28">
        <v>1</v>
      </c>
    </row>
    <row r="3564" spans="1:7">
      <c r="A3564" s="28">
        <v>3800141</v>
      </c>
      <c r="B3564" s="28" t="s">
        <v>13120</v>
      </c>
      <c r="C3564" s="28">
        <v>4</v>
      </c>
      <c r="D3564" s="28" t="s">
        <v>13121</v>
      </c>
      <c r="E3564" s="54" t="s"/>
      <c r="F3564" s="28" t="s">
        <v>13122</v>
      </c>
      <c r="G3564" s="28">
        <v>1</v>
      </c>
    </row>
    <row r="3565" spans="1:7">
      <c r="A3565" s="28">
        <v>3800142</v>
      </c>
      <c r="B3565" s="28" t="s">
        <v>13120</v>
      </c>
      <c r="C3565" s="28">
        <v>4</v>
      </c>
      <c r="D3565" s="28" t="s">
        <v>13121</v>
      </c>
      <c r="E3565" s="54" t="s"/>
      <c r="F3565" s="28" t="s">
        <v>13122</v>
      </c>
      <c r="G3565" s="28">
        <v>1</v>
      </c>
    </row>
    <row r="3566" spans="1:7">
      <c r="A3566" s="28">
        <v>3800143</v>
      </c>
      <c r="B3566" s="28" t="s">
        <v>13120</v>
      </c>
      <c r="C3566" s="28">
        <v>4</v>
      </c>
      <c r="D3566" s="28" t="s">
        <v>13121</v>
      </c>
      <c r="E3566" s="54" t="s"/>
      <c r="F3566" s="28" t="s">
        <v>13122</v>
      </c>
      <c r="G3566" s="28">
        <v>1</v>
      </c>
    </row>
    <row r="3567" spans="1:7">
      <c r="A3567" s="28">
        <v>3800144</v>
      </c>
      <c r="B3567" s="28" t="s">
        <v>13120</v>
      </c>
      <c r="C3567" s="28">
        <v>4</v>
      </c>
      <c r="D3567" s="28" t="s">
        <v>13121</v>
      </c>
      <c r="E3567" s="54" t="s"/>
      <c r="F3567" s="28" t="s">
        <v>13122</v>
      </c>
      <c r="G3567" s="28">
        <v>1</v>
      </c>
    </row>
    <row r="3568" spans="1:7">
      <c r="A3568" s="28">
        <v>3800145</v>
      </c>
      <c r="B3568" s="28" t="s">
        <v>13120</v>
      </c>
      <c r="C3568" s="28">
        <v>4</v>
      </c>
      <c r="D3568" s="28" t="s">
        <v>13121</v>
      </c>
      <c r="E3568" s="54" t="s"/>
      <c r="F3568" s="28" t="s">
        <v>13122</v>
      </c>
      <c r="G3568" s="28">
        <v>1</v>
      </c>
    </row>
    <row r="3569" spans="1:7">
      <c r="A3569" s="28">
        <v>3800146</v>
      </c>
      <c r="B3569" s="28" t="s">
        <v>13120</v>
      </c>
      <c r="C3569" s="28">
        <v>4</v>
      </c>
      <c r="D3569" s="28" t="s">
        <v>13121</v>
      </c>
      <c r="E3569" s="54" t="s"/>
      <c r="F3569" s="28" t="s">
        <v>13122</v>
      </c>
      <c r="G3569" s="28">
        <v>1</v>
      </c>
    </row>
    <row r="3570" spans="1:7">
      <c r="A3570" s="28">
        <v>3800147</v>
      </c>
      <c r="B3570" s="28" t="s">
        <v>13120</v>
      </c>
      <c r="C3570" s="28">
        <v>4</v>
      </c>
      <c r="D3570" s="28" t="s">
        <v>13121</v>
      </c>
      <c r="E3570" s="54" t="s"/>
      <c r="F3570" s="28" t="s">
        <v>13122</v>
      </c>
      <c r="G3570" s="28">
        <v>1</v>
      </c>
    </row>
    <row r="3571" spans="1:7">
      <c r="A3571" s="28">
        <v>3800148</v>
      </c>
      <c r="B3571" s="28" t="s">
        <v>13120</v>
      </c>
      <c r="C3571" s="28">
        <v>4</v>
      </c>
      <c r="D3571" s="28" t="s">
        <v>13121</v>
      </c>
      <c r="E3571" s="54" t="s"/>
      <c r="F3571" s="28" t="s">
        <v>13122</v>
      </c>
      <c r="G3571" s="28">
        <v>1</v>
      </c>
    </row>
    <row r="3572" spans="1:7">
      <c r="A3572" s="28">
        <v>3800149</v>
      </c>
      <c r="B3572" s="28" t="s">
        <v>13120</v>
      </c>
      <c r="C3572" s="28">
        <v>4</v>
      </c>
      <c r="D3572" s="28" t="s">
        <v>13121</v>
      </c>
      <c r="E3572" s="54" t="s"/>
      <c r="F3572" s="28" t="s">
        <v>13122</v>
      </c>
      <c r="G3572" s="28">
        <v>1</v>
      </c>
    </row>
    <row r="3573" spans="1:7">
      <c r="A3573" s="28">
        <v>3800150</v>
      </c>
      <c r="B3573" s="28" t="s">
        <v>13120</v>
      </c>
      <c r="C3573" s="28">
        <v>4</v>
      </c>
      <c r="D3573" s="28" t="s">
        <v>13121</v>
      </c>
      <c r="E3573" s="54" t="s"/>
      <c r="F3573" s="28" t="s">
        <v>13122</v>
      </c>
      <c r="G3573" s="28">
        <v>1</v>
      </c>
    </row>
    <row r="3574" spans="1:7">
      <c r="A3574" s="28">
        <v>3800151</v>
      </c>
      <c r="B3574" s="28" t="s">
        <v>13120</v>
      </c>
      <c r="C3574" s="28">
        <v>4</v>
      </c>
      <c r="D3574" s="28" t="s">
        <v>13121</v>
      </c>
      <c r="E3574" s="54" t="s"/>
      <c r="F3574" s="28" t="s">
        <v>13122</v>
      </c>
      <c r="G3574" s="28">
        <v>1</v>
      </c>
    </row>
    <row r="3575" spans="1:7">
      <c r="A3575" s="28">
        <v>3800152</v>
      </c>
      <c r="B3575" s="28" t="s">
        <v>13120</v>
      </c>
      <c r="C3575" s="28">
        <v>4</v>
      </c>
      <c r="D3575" s="28" t="s">
        <v>13121</v>
      </c>
      <c r="E3575" s="54" t="s"/>
      <c r="F3575" s="28" t="s">
        <v>13122</v>
      </c>
      <c r="G3575" s="28">
        <v>1</v>
      </c>
    </row>
    <row r="3576" spans="1:7">
      <c r="A3576" s="28">
        <v>3800153</v>
      </c>
      <c r="B3576" s="28" t="s">
        <v>13120</v>
      </c>
      <c r="C3576" s="28">
        <v>4</v>
      </c>
      <c r="D3576" s="28" t="s">
        <v>13121</v>
      </c>
      <c r="E3576" s="54" t="s"/>
      <c r="F3576" s="28" t="s">
        <v>13122</v>
      </c>
      <c r="G3576" s="28">
        <v>1</v>
      </c>
    </row>
    <row r="3577" spans="1:7">
      <c r="A3577" s="28">
        <v>3800154</v>
      </c>
      <c r="B3577" s="28" t="s">
        <v>13120</v>
      </c>
      <c r="C3577" s="28">
        <v>4</v>
      </c>
      <c r="D3577" s="28" t="s">
        <v>13121</v>
      </c>
      <c r="E3577" s="54" t="s"/>
      <c r="F3577" s="28" t="s">
        <v>13122</v>
      </c>
      <c r="G3577" s="28">
        <v>1</v>
      </c>
    </row>
    <row r="3578" spans="1:7">
      <c r="A3578" s="28">
        <v>3800155</v>
      </c>
      <c r="B3578" s="28" t="s">
        <v>13120</v>
      </c>
      <c r="C3578" s="28">
        <v>4</v>
      </c>
      <c r="D3578" s="28" t="s">
        <v>13121</v>
      </c>
      <c r="E3578" s="54" t="s"/>
      <c r="F3578" s="28" t="s">
        <v>13122</v>
      </c>
      <c r="G3578" s="28">
        <v>1</v>
      </c>
    </row>
    <row r="3579" spans="1:7">
      <c r="A3579" s="28">
        <v>3800156</v>
      </c>
      <c r="B3579" s="28" t="s">
        <v>13120</v>
      </c>
      <c r="C3579" s="28">
        <v>4</v>
      </c>
      <c r="D3579" s="28" t="s">
        <v>13121</v>
      </c>
      <c r="E3579" s="54" t="s"/>
      <c r="F3579" s="28" t="s">
        <v>13122</v>
      </c>
      <c r="G3579" s="28">
        <v>1</v>
      </c>
    </row>
    <row r="3580" spans="1:7">
      <c r="A3580" s="28">
        <v>3800157</v>
      </c>
      <c r="B3580" s="28" t="s">
        <v>13120</v>
      </c>
      <c r="C3580" s="28">
        <v>4</v>
      </c>
      <c r="D3580" s="28" t="s">
        <v>13121</v>
      </c>
      <c r="E3580" s="54" t="s"/>
      <c r="F3580" s="28" t="s">
        <v>13122</v>
      </c>
      <c r="G3580" s="28">
        <v>1</v>
      </c>
    </row>
    <row r="3581" spans="1:7">
      <c r="A3581" s="28">
        <v>3800158</v>
      </c>
      <c r="B3581" s="28" t="s">
        <v>13120</v>
      </c>
      <c r="C3581" s="28">
        <v>4</v>
      </c>
      <c r="D3581" s="28" t="s">
        <v>13121</v>
      </c>
      <c r="E3581" s="54" t="s"/>
      <c r="F3581" s="28" t="s">
        <v>13122</v>
      </c>
      <c r="G3581" s="28">
        <v>1</v>
      </c>
    </row>
    <row r="3582" spans="1:7">
      <c r="A3582" s="28">
        <v>3800159</v>
      </c>
      <c r="B3582" s="28" t="s">
        <v>13120</v>
      </c>
      <c r="C3582" s="28">
        <v>4</v>
      </c>
      <c r="D3582" s="28" t="s">
        <v>13121</v>
      </c>
      <c r="E3582" s="54" t="s"/>
      <c r="F3582" s="28" t="s">
        <v>13122</v>
      </c>
      <c r="G3582" s="28">
        <v>1</v>
      </c>
    </row>
    <row r="3583" spans="1:7">
      <c r="A3583" s="28">
        <v>3800160</v>
      </c>
      <c r="B3583" s="28" t="s">
        <v>13120</v>
      </c>
      <c r="C3583" s="28">
        <v>4</v>
      </c>
      <c r="D3583" s="28" t="s">
        <v>13121</v>
      </c>
      <c r="E3583" s="54" t="s"/>
      <c r="F3583" s="28" t="s">
        <v>13122</v>
      </c>
      <c r="G3583" s="28">
        <v>1</v>
      </c>
    </row>
    <row r="3584" spans="1:7">
      <c r="A3584" s="28">
        <v>3800161</v>
      </c>
      <c r="B3584" s="28" t="s">
        <v>13120</v>
      </c>
      <c r="C3584" s="28">
        <v>4</v>
      </c>
      <c r="D3584" s="28" t="s">
        <v>13121</v>
      </c>
      <c r="E3584" s="54" t="s"/>
      <c r="F3584" s="28" t="s">
        <v>13122</v>
      </c>
      <c r="G3584" s="28">
        <v>1</v>
      </c>
    </row>
    <row r="3585" spans="1:7">
      <c r="A3585" s="28">
        <v>3800162</v>
      </c>
      <c r="B3585" s="28" t="s">
        <v>13120</v>
      </c>
      <c r="C3585" s="28">
        <v>4</v>
      </c>
      <c r="D3585" s="28" t="s">
        <v>13121</v>
      </c>
      <c r="E3585" s="54" t="s"/>
      <c r="F3585" s="28" t="s">
        <v>13122</v>
      </c>
      <c r="G3585" s="28">
        <v>1</v>
      </c>
    </row>
    <row r="3586" spans="1:7">
      <c r="A3586" s="28">
        <v>3800163</v>
      </c>
      <c r="B3586" s="28" t="s">
        <v>13120</v>
      </c>
      <c r="C3586" s="28">
        <v>4</v>
      </c>
      <c r="D3586" s="28" t="s">
        <v>13121</v>
      </c>
      <c r="E3586" s="54" t="s"/>
      <c r="F3586" s="28" t="s">
        <v>13122</v>
      </c>
      <c r="G3586" s="28">
        <v>1</v>
      </c>
    </row>
    <row r="3587" spans="1:7">
      <c r="A3587" s="28">
        <v>3800164</v>
      </c>
      <c r="B3587" s="28" t="s">
        <v>13120</v>
      </c>
      <c r="C3587" s="28">
        <v>4</v>
      </c>
      <c r="D3587" s="28" t="s">
        <v>13121</v>
      </c>
      <c r="E3587" s="54" t="s"/>
      <c r="F3587" s="28" t="s">
        <v>13122</v>
      </c>
      <c r="G3587" s="28">
        <v>1</v>
      </c>
    </row>
    <row r="3588" spans="1:7">
      <c r="A3588" s="28">
        <v>3800165</v>
      </c>
      <c r="B3588" s="28" t="s">
        <v>13120</v>
      </c>
      <c r="C3588" s="28">
        <v>4</v>
      </c>
      <c r="D3588" s="28" t="s">
        <v>13121</v>
      </c>
      <c r="E3588" s="54" t="s"/>
      <c r="F3588" s="28" t="s">
        <v>13122</v>
      </c>
      <c r="G3588" s="28">
        <v>1</v>
      </c>
    </row>
    <row r="3589" spans="1:7">
      <c r="A3589" s="28">
        <v>3800166</v>
      </c>
      <c r="B3589" s="28" t="s">
        <v>13120</v>
      </c>
      <c r="C3589" s="28">
        <v>4</v>
      </c>
      <c r="D3589" s="28" t="s">
        <v>13121</v>
      </c>
      <c r="E3589" s="54" t="s"/>
      <c r="F3589" s="28" t="s">
        <v>13122</v>
      </c>
      <c r="G3589" s="28">
        <v>1</v>
      </c>
    </row>
    <row r="3590" spans="1:7">
      <c r="A3590" s="28">
        <v>3800167</v>
      </c>
      <c r="B3590" s="28" t="s">
        <v>13120</v>
      </c>
      <c r="C3590" s="28">
        <v>4</v>
      </c>
      <c r="D3590" s="28" t="s">
        <v>13121</v>
      </c>
      <c r="E3590" s="54" t="s"/>
      <c r="F3590" s="28" t="s">
        <v>13122</v>
      </c>
      <c r="G3590" s="28">
        <v>1</v>
      </c>
    </row>
    <row r="3591" spans="1:7">
      <c r="A3591" s="28">
        <v>3800168</v>
      </c>
      <c r="B3591" s="28" t="s">
        <v>13120</v>
      </c>
      <c r="C3591" s="28">
        <v>4</v>
      </c>
      <c r="D3591" s="28" t="s">
        <v>13121</v>
      </c>
      <c r="E3591" s="54" t="s"/>
      <c r="F3591" s="28" t="s">
        <v>13122</v>
      </c>
      <c r="G3591" s="28">
        <v>1</v>
      </c>
    </row>
    <row r="3592" spans="1:7">
      <c r="A3592" s="28">
        <v>3800169</v>
      </c>
      <c r="B3592" s="28" t="s">
        <v>13120</v>
      </c>
      <c r="C3592" s="28">
        <v>4</v>
      </c>
      <c r="D3592" s="28" t="s">
        <v>13121</v>
      </c>
      <c r="E3592" s="54" t="s"/>
      <c r="F3592" s="28" t="s">
        <v>13122</v>
      </c>
      <c r="G3592" s="28">
        <v>1</v>
      </c>
    </row>
    <row r="3593" spans="1:7">
      <c r="A3593" s="28">
        <v>3800170</v>
      </c>
      <c r="B3593" s="28" t="s">
        <v>13120</v>
      </c>
      <c r="C3593" s="28">
        <v>4</v>
      </c>
      <c r="D3593" s="28" t="s">
        <v>13121</v>
      </c>
      <c r="E3593" s="54" t="s"/>
      <c r="F3593" s="28" t="s">
        <v>13122</v>
      </c>
      <c r="G3593" s="28">
        <v>1</v>
      </c>
    </row>
    <row r="3594" spans="1:7">
      <c r="A3594" s="28">
        <v>3800171</v>
      </c>
      <c r="B3594" s="28" t="s">
        <v>13120</v>
      </c>
      <c r="C3594" s="28">
        <v>4</v>
      </c>
      <c r="D3594" s="28" t="s">
        <v>13121</v>
      </c>
      <c r="E3594" s="54" t="s"/>
      <c r="F3594" s="28" t="s">
        <v>13122</v>
      </c>
      <c r="G3594" s="28">
        <v>1</v>
      </c>
    </row>
    <row r="3595" spans="1:7">
      <c r="A3595" s="28">
        <v>3800172</v>
      </c>
      <c r="B3595" s="28" t="s">
        <v>13120</v>
      </c>
      <c r="C3595" s="28">
        <v>4</v>
      </c>
      <c r="D3595" s="28" t="s">
        <v>13121</v>
      </c>
      <c r="E3595" s="54" t="s"/>
      <c r="F3595" s="28" t="s">
        <v>13122</v>
      </c>
      <c r="G3595" s="28">
        <v>1</v>
      </c>
    </row>
    <row r="3596" spans="1:7">
      <c r="A3596" s="28">
        <v>3800173</v>
      </c>
      <c r="B3596" s="28" t="s">
        <v>13120</v>
      </c>
      <c r="C3596" s="28">
        <v>4</v>
      </c>
      <c r="D3596" s="28" t="s">
        <v>13121</v>
      </c>
      <c r="E3596" s="54" t="s"/>
      <c r="F3596" s="28" t="s">
        <v>13122</v>
      </c>
      <c r="G3596" s="28">
        <v>1</v>
      </c>
    </row>
    <row r="3597" spans="1:7">
      <c r="A3597" s="28">
        <v>3800174</v>
      </c>
      <c r="B3597" s="28" t="s">
        <v>13120</v>
      </c>
      <c r="C3597" s="28">
        <v>4</v>
      </c>
      <c r="D3597" s="28" t="s">
        <v>13121</v>
      </c>
      <c r="E3597" s="54" t="s"/>
      <c r="F3597" s="28" t="s">
        <v>13122</v>
      </c>
      <c r="G3597" s="28">
        <v>1</v>
      </c>
    </row>
    <row r="3598" spans="1:7">
      <c r="A3598" s="28">
        <v>3800175</v>
      </c>
      <c r="B3598" s="28" t="s">
        <v>13120</v>
      </c>
      <c r="C3598" s="28">
        <v>4</v>
      </c>
      <c r="D3598" s="28" t="s">
        <v>13121</v>
      </c>
      <c r="E3598" s="54" t="s"/>
      <c r="F3598" s="28" t="s">
        <v>13122</v>
      </c>
      <c r="G3598" s="28">
        <v>1</v>
      </c>
    </row>
    <row r="3599" spans="1:7">
      <c r="A3599" s="28">
        <v>3800176</v>
      </c>
      <c r="B3599" s="28" t="s">
        <v>13120</v>
      </c>
      <c r="C3599" s="28">
        <v>4</v>
      </c>
      <c r="D3599" s="28" t="s">
        <v>13121</v>
      </c>
      <c r="E3599" s="54" t="s"/>
      <c r="F3599" s="28" t="s">
        <v>13122</v>
      </c>
      <c r="G3599" s="28">
        <v>1</v>
      </c>
    </row>
    <row r="3600" spans="1:7">
      <c r="A3600" s="28">
        <v>3800177</v>
      </c>
      <c r="B3600" s="28" t="s">
        <v>13120</v>
      </c>
      <c r="C3600" s="28">
        <v>4</v>
      </c>
      <c r="D3600" s="28" t="s">
        <v>13121</v>
      </c>
      <c r="E3600" s="54" t="s"/>
      <c r="F3600" s="28" t="s">
        <v>13122</v>
      </c>
      <c r="G3600" s="28">
        <v>1</v>
      </c>
    </row>
    <row r="3601" spans="1:7">
      <c r="A3601" s="28">
        <v>3800179</v>
      </c>
      <c r="B3601" s="28" t="s">
        <v>13120</v>
      </c>
      <c r="C3601" s="28">
        <v>4</v>
      </c>
      <c r="D3601" s="28" t="s">
        <v>13121</v>
      </c>
      <c r="E3601" s="54" t="s"/>
      <c r="F3601" s="28" t="s">
        <v>13122</v>
      </c>
      <c r="G3601" s="28">
        <v>1</v>
      </c>
    </row>
    <row r="3602" spans="1:7">
      <c r="A3602" s="28">
        <v>3800180</v>
      </c>
      <c r="B3602" s="28" t="s">
        <v>13120</v>
      </c>
      <c r="C3602" s="28">
        <v>4</v>
      </c>
      <c r="D3602" s="28" t="s">
        <v>13121</v>
      </c>
      <c r="E3602" s="54" t="s"/>
      <c r="F3602" s="28" t="s">
        <v>13122</v>
      </c>
      <c r="G3602" s="28">
        <v>1</v>
      </c>
    </row>
    <row r="3603" spans="1:7">
      <c r="A3603" s="28">
        <v>3800181</v>
      </c>
      <c r="B3603" s="28" t="s">
        <v>13120</v>
      </c>
      <c r="C3603" s="28">
        <v>4</v>
      </c>
      <c r="D3603" s="28" t="s">
        <v>13121</v>
      </c>
      <c r="E3603" s="54" t="s"/>
      <c r="F3603" s="28" t="s">
        <v>13122</v>
      </c>
      <c r="G3603" s="28">
        <v>1</v>
      </c>
    </row>
    <row r="3604" spans="1:7">
      <c r="A3604" s="28">
        <v>3800182</v>
      </c>
      <c r="B3604" s="28" t="s">
        <v>13120</v>
      </c>
      <c r="C3604" s="28">
        <v>4</v>
      </c>
      <c r="D3604" s="28" t="s">
        <v>13121</v>
      </c>
      <c r="E3604" s="64" t="s"/>
      <c r="F3604" s="28" t="s">
        <v>13122</v>
      </c>
      <c r="G3604" s="28">
        <v>1</v>
      </c>
    </row>
    <row r="3605" spans="1:7">
      <c r="A3605" s="28">
        <v>3800183</v>
      </c>
      <c r="B3605" s="28" t="s">
        <v>13120</v>
      </c>
      <c r="C3605" s="28">
        <v>4</v>
      </c>
      <c r="D3605" s="28" t="s">
        <v>13121</v>
      </c>
      <c r="E3605" s="64" t="s"/>
      <c r="F3605" s="28" t="s">
        <v>13122</v>
      </c>
      <c r="G3605" s="28">
        <v>1</v>
      </c>
    </row>
    <row r="3606" spans="1:7">
      <c r="A3606" s="28">
        <v>3800184</v>
      </c>
      <c r="B3606" s="28" t="s">
        <v>13120</v>
      </c>
      <c r="C3606" s="28">
        <v>4</v>
      </c>
      <c r="D3606" s="28" t="s">
        <v>13121</v>
      </c>
      <c r="E3606" s="64" t="s"/>
      <c r="F3606" s="28" t="s">
        <v>13122</v>
      </c>
      <c r="G3606" s="28">
        <v>1</v>
      </c>
    </row>
    <row r="3607" spans="1:7">
      <c r="A3607" s="28">
        <v>3800185</v>
      </c>
      <c r="B3607" s="28" t="s">
        <v>13120</v>
      </c>
      <c r="C3607" s="28">
        <v>4</v>
      </c>
      <c r="D3607" s="28" t="s">
        <v>13121</v>
      </c>
      <c r="E3607" s="64" t="s"/>
      <c r="F3607" s="28" t="s">
        <v>13122</v>
      </c>
      <c r="G3607" s="28">
        <v>1</v>
      </c>
    </row>
    <row r="3608" spans="1:7">
      <c r="A3608" s="28">
        <v>3800186</v>
      </c>
      <c r="B3608" s="28" t="s">
        <v>13120</v>
      </c>
      <c r="C3608" s="28">
        <v>4</v>
      </c>
      <c r="D3608" s="28" t="s">
        <v>13121</v>
      </c>
      <c r="E3608" s="64" t="s"/>
      <c r="F3608" s="28" t="s">
        <v>13122</v>
      </c>
      <c r="G3608" s="28">
        <v>1</v>
      </c>
    </row>
    <row r="3609" spans="1:7">
      <c r="A3609" s="28">
        <v>3800187</v>
      </c>
      <c r="B3609" s="28" t="s">
        <v>13120</v>
      </c>
      <c r="C3609" s="28">
        <v>4</v>
      </c>
      <c r="D3609" s="28" t="s">
        <v>13121</v>
      </c>
      <c r="E3609" s="64" t="s"/>
      <c r="F3609" s="28" t="s">
        <v>13122</v>
      </c>
      <c r="G3609" s="28">
        <v>1</v>
      </c>
    </row>
    <row r="3610" spans="1:7">
      <c r="A3610" s="28">
        <v>3800188</v>
      </c>
      <c r="B3610" s="28" t="s">
        <v>13120</v>
      </c>
      <c r="C3610" s="28">
        <v>4</v>
      </c>
      <c r="D3610" s="28" t="s">
        <v>13121</v>
      </c>
      <c r="E3610" s="64" t="s"/>
      <c r="F3610" s="28" t="s">
        <v>13122</v>
      </c>
      <c r="G3610" s="28">
        <v>1</v>
      </c>
    </row>
    <row r="3611" spans="1:7">
      <c r="A3611" s="28">
        <v>3800189</v>
      </c>
      <c r="B3611" s="28" t="s">
        <v>13120</v>
      </c>
      <c r="C3611" s="28">
        <v>4</v>
      </c>
      <c r="D3611" s="28" t="s">
        <v>13121</v>
      </c>
      <c r="E3611" s="64" t="s"/>
      <c r="F3611" s="28" t="s">
        <v>13122</v>
      </c>
      <c r="G3611" s="28">
        <v>1</v>
      </c>
    </row>
    <row r="3612" spans="1:7">
      <c r="A3612" s="28">
        <v>3800190</v>
      </c>
      <c r="B3612" s="28" t="s">
        <v>13120</v>
      </c>
      <c r="C3612" s="28">
        <v>4</v>
      </c>
      <c r="D3612" s="28" t="s">
        <v>13121</v>
      </c>
      <c r="E3612" s="64" t="s"/>
      <c r="F3612" s="28" t="s">
        <v>13122</v>
      </c>
      <c r="G3612" s="28">
        <v>1</v>
      </c>
    </row>
    <row r="3613" spans="1:7">
      <c r="A3613" s="28">
        <v>3800191</v>
      </c>
      <c r="B3613" s="28" t="s">
        <v>13120</v>
      </c>
      <c r="C3613" s="28">
        <v>4</v>
      </c>
      <c r="D3613" s="28" t="s">
        <v>13121</v>
      </c>
      <c r="E3613" s="64" t="s"/>
      <c r="F3613" s="28" t="s">
        <v>13122</v>
      </c>
      <c r="G3613" s="28">
        <v>1</v>
      </c>
    </row>
    <row r="3614" spans="1:7">
      <c r="A3614" s="28">
        <v>3800192</v>
      </c>
      <c r="B3614" s="28" t="s">
        <v>13120</v>
      </c>
      <c r="C3614" s="28">
        <v>4</v>
      </c>
      <c r="D3614" s="28" t="s">
        <v>13121</v>
      </c>
      <c r="E3614" s="64" t="s"/>
      <c r="F3614" s="28" t="s">
        <v>13122</v>
      </c>
      <c r="G3614" s="28">
        <v>1</v>
      </c>
    </row>
    <row r="3615" spans="1:7">
      <c r="A3615" s="28">
        <v>3800193</v>
      </c>
      <c r="B3615" s="28" t="s">
        <v>13120</v>
      </c>
      <c r="C3615" s="28">
        <v>4</v>
      </c>
      <c r="D3615" s="28" t="s">
        <v>13121</v>
      </c>
      <c r="E3615" s="64" t="s"/>
      <c r="F3615" s="28" t="s">
        <v>13122</v>
      </c>
      <c r="G3615" s="28">
        <v>1</v>
      </c>
    </row>
    <row r="3616" spans="1:7">
      <c r="A3616" s="28">
        <v>3800194</v>
      </c>
      <c r="B3616" s="28" t="s">
        <v>13120</v>
      </c>
      <c r="C3616" s="28">
        <v>4</v>
      </c>
      <c r="D3616" s="28" t="s">
        <v>13121</v>
      </c>
      <c r="E3616" s="64" t="s"/>
      <c r="F3616" s="28" t="s">
        <v>13122</v>
      </c>
      <c r="G3616" s="28">
        <v>1</v>
      </c>
    </row>
    <row r="3617" spans="1:7">
      <c r="A3617" s="28">
        <v>3800195</v>
      </c>
      <c r="B3617" s="28" t="s">
        <v>13120</v>
      </c>
      <c r="C3617" s="28">
        <v>4</v>
      </c>
      <c r="D3617" s="28" t="s">
        <v>13121</v>
      </c>
      <c r="E3617" s="64" t="s"/>
      <c r="F3617" s="28" t="s">
        <v>13122</v>
      </c>
      <c r="G3617" s="28">
        <v>1</v>
      </c>
    </row>
    <row r="3618" spans="1:7">
      <c r="A3618" s="28">
        <v>3800196</v>
      </c>
      <c r="B3618" s="28" t="s">
        <v>13120</v>
      </c>
      <c r="C3618" s="28">
        <v>4</v>
      </c>
      <c r="D3618" s="28" t="s">
        <v>13121</v>
      </c>
      <c r="E3618" s="64" t="s"/>
      <c r="F3618" s="28" t="s">
        <v>13122</v>
      </c>
      <c r="G3618" s="28">
        <v>1</v>
      </c>
    </row>
    <row r="3619" spans="1:7">
      <c r="A3619" s="28">
        <v>3800197</v>
      </c>
      <c r="B3619" s="28" t="s">
        <v>13120</v>
      </c>
      <c r="C3619" s="28">
        <v>4</v>
      </c>
      <c r="D3619" s="28" t="s">
        <v>13121</v>
      </c>
      <c r="E3619" s="64" t="s"/>
      <c r="F3619" s="28" t="s">
        <v>13122</v>
      </c>
      <c r="G3619" s="28">
        <v>1</v>
      </c>
    </row>
    <row r="3620" spans="1:7">
      <c r="A3620" s="28">
        <v>3800198</v>
      </c>
      <c r="B3620" s="28" t="s">
        <v>13120</v>
      </c>
      <c r="C3620" s="28">
        <v>4</v>
      </c>
      <c r="D3620" s="28" t="s">
        <v>13121</v>
      </c>
      <c r="E3620" s="64" t="s"/>
      <c r="F3620" s="28" t="s">
        <v>13122</v>
      </c>
      <c r="G3620" s="28">
        <v>1</v>
      </c>
    </row>
    <row r="3621" spans="1:7">
      <c r="A3621" s="28">
        <v>3800199</v>
      </c>
      <c r="B3621" s="28" t="s">
        <v>13120</v>
      </c>
      <c r="C3621" s="28">
        <v>4</v>
      </c>
      <c r="D3621" s="28" t="s">
        <v>13121</v>
      </c>
      <c r="E3621" s="64" t="s"/>
      <c r="F3621" s="28" t="s">
        <v>13122</v>
      </c>
      <c r="G3621" s="28">
        <v>1</v>
      </c>
    </row>
    <row r="3622" spans="1:7">
      <c r="A3622" s="28">
        <v>3800200</v>
      </c>
      <c r="B3622" s="28" t="s">
        <v>13120</v>
      </c>
      <c r="C3622" s="28">
        <v>4</v>
      </c>
      <c r="D3622" s="28" t="s">
        <v>13121</v>
      </c>
      <c r="E3622" s="64" t="s"/>
      <c r="F3622" s="28" t="s">
        <v>13122</v>
      </c>
      <c r="G3622" s="28">
        <v>1</v>
      </c>
    </row>
    <row r="3623" spans="1:7">
      <c r="A3623" s="28">
        <v>3800201</v>
      </c>
      <c r="B3623" s="28" t="s">
        <v>13120</v>
      </c>
      <c r="C3623" s="28">
        <v>4</v>
      </c>
      <c r="D3623" s="28" t="s">
        <v>13121</v>
      </c>
      <c r="E3623" s="64" t="s"/>
      <c r="F3623" s="28" t="s">
        <v>13122</v>
      </c>
      <c r="G3623" s="28">
        <v>1</v>
      </c>
    </row>
    <row r="3624" spans="1:7">
      <c r="A3624" s="28">
        <v>3800202</v>
      </c>
      <c r="B3624" s="28" t="s">
        <v>13120</v>
      </c>
      <c r="C3624" s="28">
        <v>4</v>
      </c>
      <c r="D3624" s="28" t="s">
        <v>13121</v>
      </c>
      <c r="E3624" s="64" t="s"/>
      <c r="F3624" s="28" t="s">
        <v>13122</v>
      </c>
      <c r="G3624" s="28">
        <v>1</v>
      </c>
    </row>
    <row r="3625" spans="1:7">
      <c r="A3625" s="28">
        <v>3800203</v>
      </c>
      <c r="B3625" s="28" t="s">
        <v>13120</v>
      </c>
      <c r="C3625" s="28">
        <v>4</v>
      </c>
      <c r="D3625" s="28" t="s">
        <v>13121</v>
      </c>
      <c r="E3625" s="64" t="s"/>
      <c r="F3625" s="28" t="s">
        <v>13122</v>
      </c>
      <c r="G3625" s="28">
        <v>1</v>
      </c>
    </row>
    <row r="3626" spans="1:7">
      <c r="A3626" s="28">
        <v>3800204</v>
      </c>
      <c r="B3626" s="28" t="s">
        <v>13120</v>
      </c>
      <c r="C3626" s="28">
        <v>4</v>
      </c>
      <c r="D3626" s="28" t="s">
        <v>13121</v>
      </c>
      <c r="E3626" s="64" t="s"/>
      <c r="F3626" s="28" t="s">
        <v>13122</v>
      </c>
      <c r="G3626" s="28">
        <v>1</v>
      </c>
    </row>
    <row r="3627" spans="1:7">
      <c r="A3627" s="28">
        <v>3800205</v>
      </c>
      <c r="B3627" s="28" t="s">
        <v>13120</v>
      </c>
      <c r="C3627" s="28">
        <v>4</v>
      </c>
      <c r="D3627" s="28" t="s">
        <v>13121</v>
      </c>
      <c r="E3627" s="64" t="s"/>
      <c r="F3627" s="28" t="s">
        <v>13122</v>
      </c>
      <c r="G3627" s="28">
        <v>1</v>
      </c>
    </row>
    <row r="3628" spans="1:7">
      <c r="A3628" s="28">
        <v>3800206</v>
      </c>
      <c r="B3628" s="28" t="s">
        <v>13120</v>
      </c>
      <c r="C3628" s="28">
        <v>4</v>
      </c>
      <c r="D3628" s="28" t="s">
        <v>13121</v>
      </c>
      <c r="E3628" s="64" t="s"/>
      <c r="F3628" s="28" t="s">
        <v>13122</v>
      </c>
      <c r="G3628" s="28">
        <v>1</v>
      </c>
    </row>
    <row r="3629" spans="1:7">
      <c r="A3629" s="28">
        <v>3800207</v>
      </c>
      <c r="B3629" s="28" t="s">
        <v>13120</v>
      </c>
      <c r="C3629" s="28">
        <v>4</v>
      </c>
      <c r="D3629" s="28" t="s">
        <v>13121</v>
      </c>
      <c r="E3629" s="64" t="s"/>
      <c r="F3629" s="28" t="s">
        <v>13122</v>
      </c>
      <c r="G3629" s="28">
        <v>1</v>
      </c>
    </row>
    <row r="3630" spans="1:7">
      <c r="A3630" s="28">
        <v>3800208</v>
      </c>
      <c r="B3630" s="28" t="s">
        <v>13120</v>
      </c>
      <c r="C3630" s="28">
        <v>4</v>
      </c>
      <c r="D3630" s="28" t="s">
        <v>13121</v>
      </c>
      <c r="E3630" s="64" t="s"/>
      <c r="F3630" s="28" t="s">
        <v>13122</v>
      </c>
      <c r="G3630" s="28">
        <v>1</v>
      </c>
    </row>
    <row r="3631" spans="1:7">
      <c r="A3631" s="28">
        <v>3800209</v>
      </c>
      <c r="B3631" s="28" t="s">
        <v>13120</v>
      </c>
      <c r="C3631" s="28">
        <v>4</v>
      </c>
      <c r="D3631" s="28" t="s">
        <v>13121</v>
      </c>
      <c r="E3631" s="64" t="s"/>
      <c r="F3631" s="28" t="s">
        <v>13122</v>
      </c>
      <c r="G3631" s="28">
        <v>1</v>
      </c>
    </row>
    <row r="3632" spans="1:7">
      <c r="A3632" s="28">
        <v>3800210</v>
      </c>
      <c r="B3632" s="28" t="s">
        <v>13120</v>
      </c>
      <c r="C3632" s="28">
        <v>4</v>
      </c>
      <c r="D3632" s="28" t="s">
        <v>13121</v>
      </c>
      <c r="E3632" s="64" t="s"/>
      <c r="F3632" s="28" t="s">
        <v>13122</v>
      </c>
      <c r="G3632" s="28">
        <v>1</v>
      </c>
    </row>
    <row r="3633" spans="1:7">
      <c r="A3633" s="28">
        <v>3800211</v>
      </c>
      <c r="B3633" s="28" t="s">
        <v>13120</v>
      </c>
      <c r="C3633" s="28">
        <v>4</v>
      </c>
      <c r="D3633" s="28" t="s">
        <v>13121</v>
      </c>
      <c r="E3633" s="64" t="s"/>
      <c r="F3633" s="28" t="s">
        <v>13122</v>
      </c>
      <c r="G3633" s="28">
        <v>1</v>
      </c>
    </row>
    <row r="3634" spans="1:7">
      <c r="A3634" s="28">
        <v>3800212</v>
      </c>
      <c r="B3634" s="28" t="s">
        <v>13120</v>
      </c>
      <c r="C3634" s="28">
        <v>4</v>
      </c>
      <c r="D3634" s="28" t="s">
        <v>13121</v>
      </c>
      <c r="E3634" s="64" t="s"/>
      <c r="F3634" s="28" t="s">
        <v>13122</v>
      </c>
      <c r="G3634" s="28">
        <v>1</v>
      </c>
    </row>
    <row r="3635" spans="1:7">
      <c r="A3635" s="28">
        <v>3800213</v>
      </c>
      <c r="B3635" s="28" t="s">
        <v>13120</v>
      </c>
      <c r="C3635" s="28">
        <v>4</v>
      </c>
      <c r="D3635" s="28" t="s">
        <v>13121</v>
      </c>
      <c r="E3635" s="64" t="s"/>
      <c r="F3635" s="28" t="s">
        <v>13122</v>
      </c>
      <c r="G3635" s="28">
        <v>1</v>
      </c>
    </row>
    <row r="3636" spans="1:7">
      <c r="A3636" s="28">
        <v>3800214</v>
      </c>
      <c r="B3636" s="28" t="s">
        <v>13120</v>
      </c>
      <c r="C3636" s="28">
        <v>4</v>
      </c>
      <c r="D3636" s="28" t="s">
        <v>13121</v>
      </c>
      <c r="E3636" s="64" t="s"/>
      <c r="F3636" s="28" t="s">
        <v>13122</v>
      </c>
      <c r="G3636" s="28">
        <v>1</v>
      </c>
    </row>
    <row r="3637" spans="1:7">
      <c r="A3637" s="28">
        <v>3800215</v>
      </c>
      <c r="B3637" s="28" t="s">
        <v>13120</v>
      </c>
      <c r="C3637" s="28">
        <v>4</v>
      </c>
      <c r="D3637" s="28" t="s">
        <v>13121</v>
      </c>
      <c r="E3637" s="64" t="s"/>
      <c r="F3637" s="28" t="s">
        <v>13122</v>
      </c>
      <c r="G3637" s="28">
        <v>1</v>
      </c>
    </row>
    <row r="3638" spans="1:7">
      <c r="A3638" s="28">
        <v>3800216</v>
      </c>
      <c r="B3638" s="28" t="s">
        <v>13120</v>
      </c>
      <c r="C3638" s="28">
        <v>4</v>
      </c>
      <c r="D3638" s="28" t="s">
        <v>13121</v>
      </c>
      <c r="E3638" s="64" t="s"/>
      <c r="F3638" s="28" t="s">
        <v>13122</v>
      </c>
      <c r="G3638" s="28">
        <v>1</v>
      </c>
    </row>
    <row r="3639" spans="1:7">
      <c r="A3639" s="28">
        <v>3800217</v>
      </c>
      <c r="B3639" s="28" t="s">
        <v>13120</v>
      </c>
      <c r="C3639" s="28">
        <v>4</v>
      </c>
      <c r="D3639" s="28" t="s">
        <v>13121</v>
      </c>
      <c r="E3639" s="64" t="s"/>
      <c r="F3639" s="28" t="s">
        <v>13122</v>
      </c>
      <c r="G3639" s="28">
        <v>1</v>
      </c>
    </row>
    <row r="3640" spans="1:7">
      <c r="A3640" s="28">
        <v>3800218</v>
      </c>
      <c r="B3640" s="28" t="s">
        <v>13120</v>
      </c>
      <c r="C3640" s="28">
        <v>4</v>
      </c>
      <c r="D3640" s="28" t="s">
        <v>13121</v>
      </c>
      <c r="E3640" s="64" t="s"/>
      <c r="F3640" s="28" t="s">
        <v>13122</v>
      </c>
      <c r="G3640" s="28">
        <v>1</v>
      </c>
    </row>
    <row r="3641" spans="1:7">
      <c r="A3641" s="28">
        <v>3900001</v>
      </c>
      <c r="B3641" s="28" t="s">
        <v>13123</v>
      </c>
      <c r="C3641" s="28">
        <v>3</v>
      </c>
      <c r="D3641" s="28" t="s">
        <v>13124</v>
      </c>
      <c r="E3641" s="64" t="s"/>
      <c r="F3641" s="28" t="s">
        <v>13125</v>
      </c>
      <c r="G3641" s="28">
        <v>1</v>
      </c>
    </row>
    <row r="3642" spans="1:7">
      <c r="A3642" s="28">
        <v>3900002</v>
      </c>
      <c r="B3642" s="28" t="s">
        <v>13123</v>
      </c>
      <c r="C3642" s="28">
        <v>3</v>
      </c>
      <c r="D3642" s="28" t="s">
        <v>13124</v>
      </c>
      <c r="E3642" s="64" t="s"/>
      <c r="F3642" s="28" t="s">
        <v>13125</v>
      </c>
      <c r="G3642" s="28">
        <v>1</v>
      </c>
    </row>
    <row r="3643" spans="1:7">
      <c r="A3643" s="28">
        <v>3900003</v>
      </c>
      <c r="B3643" s="28" t="s">
        <v>13123</v>
      </c>
      <c r="C3643" s="28">
        <v>3</v>
      </c>
      <c r="D3643" s="28" t="s">
        <v>13124</v>
      </c>
      <c r="E3643" s="64" t="s"/>
      <c r="F3643" s="28" t="s">
        <v>13125</v>
      </c>
      <c r="G3643" s="28">
        <v>1</v>
      </c>
    </row>
    <row r="3644" spans="1:7">
      <c r="A3644" s="28">
        <v>3900004</v>
      </c>
      <c r="B3644" s="28" t="s">
        <v>13123</v>
      </c>
      <c r="C3644" s="28">
        <v>3</v>
      </c>
      <c r="D3644" s="28" t="s">
        <v>13124</v>
      </c>
      <c r="E3644" s="64" t="s"/>
      <c r="F3644" s="28" t="s">
        <v>13125</v>
      </c>
      <c r="G3644" s="28">
        <v>1</v>
      </c>
    </row>
    <row r="3645" spans="1:7">
      <c r="A3645" s="28">
        <v>3900005</v>
      </c>
      <c r="B3645" s="28" t="s">
        <v>13123</v>
      </c>
      <c r="C3645" s="28">
        <v>3</v>
      </c>
      <c r="D3645" s="28" t="s">
        <v>13124</v>
      </c>
      <c r="E3645" s="64" t="s"/>
      <c r="F3645" s="28" t="s">
        <v>13125</v>
      </c>
      <c r="G3645" s="28">
        <v>1</v>
      </c>
    </row>
    <row r="3646" spans="1:7">
      <c r="A3646" s="28">
        <v>3900006</v>
      </c>
      <c r="B3646" s="28" t="s">
        <v>13123</v>
      </c>
      <c r="C3646" s="28">
        <v>3</v>
      </c>
      <c r="D3646" s="28" t="s">
        <v>13124</v>
      </c>
      <c r="E3646" s="64" t="s"/>
      <c r="F3646" s="28" t="s">
        <v>13125</v>
      </c>
      <c r="G3646" s="28">
        <v>1</v>
      </c>
    </row>
    <row r="3647" spans="1:7">
      <c r="A3647" s="28">
        <v>3900007</v>
      </c>
      <c r="B3647" s="28" t="s">
        <v>13123</v>
      </c>
      <c r="C3647" s="28">
        <v>3</v>
      </c>
      <c r="D3647" s="28" t="s">
        <v>13124</v>
      </c>
      <c r="E3647" s="64" t="s"/>
      <c r="F3647" s="28" t="s">
        <v>13125</v>
      </c>
      <c r="G3647" s="28">
        <v>1</v>
      </c>
    </row>
    <row r="3648" spans="1:7">
      <c r="A3648" s="28">
        <v>3900008</v>
      </c>
      <c r="B3648" s="28" t="s">
        <v>13123</v>
      </c>
      <c r="C3648" s="28">
        <v>3</v>
      </c>
      <c r="D3648" s="28" t="s">
        <v>13124</v>
      </c>
      <c r="E3648" s="64" t="s"/>
      <c r="F3648" s="28" t="s">
        <v>13125</v>
      </c>
      <c r="G3648" s="28">
        <v>1</v>
      </c>
    </row>
    <row r="3649" spans="1:7">
      <c r="A3649" s="28">
        <v>3900009</v>
      </c>
      <c r="B3649" s="28" t="s">
        <v>13123</v>
      </c>
      <c r="C3649" s="28">
        <v>3</v>
      </c>
      <c r="D3649" s="28" t="s">
        <v>13124</v>
      </c>
      <c r="E3649" s="64" t="s"/>
      <c r="F3649" s="28" t="s">
        <v>13125</v>
      </c>
      <c r="G3649" s="28">
        <v>1</v>
      </c>
    </row>
    <row r="3650" spans="1:7">
      <c r="A3650" s="28">
        <v>3900010</v>
      </c>
      <c r="B3650" s="28" t="s">
        <v>13123</v>
      </c>
      <c r="C3650" s="28">
        <v>3</v>
      </c>
      <c r="D3650" s="28" t="s">
        <v>13124</v>
      </c>
      <c r="E3650" s="64" t="s"/>
      <c r="F3650" s="28" t="s">
        <v>13125</v>
      </c>
      <c r="G3650" s="28">
        <v>1</v>
      </c>
    </row>
    <row r="3651" spans="1:7">
      <c r="A3651" s="28">
        <v>3900011</v>
      </c>
      <c r="B3651" s="28" t="s">
        <v>13123</v>
      </c>
      <c r="C3651" s="28">
        <v>3</v>
      </c>
      <c r="D3651" s="28" t="s">
        <v>13124</v>
      </c>
      <c r="E3651" s="64" t="s"/>
      <c r="F3651" s="28" t="s">
        <v>13125</v>
      </c>
      <c r="G3651" s="28">
        <v>1</v>
      </c>
    </row>
    <row r="3652" spans="1:7">
      <c r="A3652" s="28">
        <v>3900012</v>
      </c>
      <c r="B3652" s="28" t="s">
        <v>13123</v>
      </c>
      <c r="C3652" s="28">
        <v>3</v>
      </c>
      <c r="D3652" s="28" t="s">
        <v>13124</v>
      </c>
      <c r="E3652" s="64" t="s"/>
      <c r="F3652" s="28" t="s">
        <v>13125</v>
      </c>
      <c r="G3652" s="28">
        <v>1</v>
      </c>
    </row>
    <row r="3653" spans="1:7">
      <c r="A3653" s="28">
        <v>3900013</v>
      </c>
      <c r="B3653" s="28" t="s">
        <v>13123</v>
      </c>
      <c r="C3653" s="28">
        <v>3</v>
      </c>
      <c r="D3653" s="28" t="s">
        <v>13124</v>
      </c>
      <c r="E3653" s="64" t="s"/>
      <c r="F3653" s="28" t="s">
        <v>13125</v>
      </c>
      <c r="G3653" s="28">
        <v>1</v>
      </c>
    </row>
    <row r="3654" spans="1:7">
      <c r="A3654" s="28">
        <v>3900014</v>
      </c>
      <c r="B3654" s="28" t="s">
        <v>13123</v>
      </c>
      <c r="C3654" s="28">
        <v>3</v>
      </c>
      <c r="D3654" s="28" t="s">
        <v>13124</v>
      </c>
      <c r="E3654" s="64" t="s"/>
      <c r="F3654" s="28" t="s">
        <v>13125</v>
      </c>
      <c r="G3654" s="28">
        <v>1</v>
      </c>
    </row>
    <row r="3655" spans="1:7">
      <c r="A3655" s="28">
        <v>3900015</v>
      </c>
      <c r="B3655" s="28" t="s">
        <v>13123</v>
      </c>
      <c r="C3655" s="28">
        <v>3</v>
      </c>
      <c r="D3655" s="28" t="s">
        <v>13124</v>
      </c>
      <c r="E3655" s="64" t="s"/>
      <c r="F3655" s="28" t="s">
        <v>13125</v>
      </c>
      <c r="G3655" s="28">
        <v>1</v>
      </c>
    </row>
    <row r="3656" spans="1:7">
      <c r="A3656" s="28">
        <v>3900016</v>
      </c>
      <c r="B3656" s="28" t="s">
        <v>13123</v>
      </c>
      <c r="C3656" s="28">
        <v>3</v>
      </c>
      <c r="D3656" s="28" t="s">
        <v>13124</v>
      </c>
      <c r="E3656" s="64" t="s"/>
      <c r="F3656" s="28" t="s">
        <v>13125</v>
      </c>
      <c r="G3656" s="28">
        <v>1</v>
      </c>
    </row>
    <row r="3657" spans="1:7">
      <c r="A3657" s="28">
        <v>3900017</v>
      </c>
      <c r="B3657" s="28" t="s">
        <v>13123</v>
      </c>
      <c r="C3657" s="28">
        <v>3</v>
      </c>
      <c r="D3657" s="28" t="s">
        <v>13124</v>
      </c>
      <c r="E3657" s="64" t="s"/>
      <c r="F3657" s="28" t="s">
        <v>13125</v>
      </c>
      <c r="G3657" s="28">
        <v>1</v>
      </c>
    </row>
    <row r="3658" spans="1:7">
      <c r="A3658" s="28">
        <v>3950001</v>
      </c>
      <c r="B3658" s="28" t="s">
        <v>13126</v>
      </c>
      <c r="C3658" s="28">
        <v>3</v>
      </c>
      <c r="D3658" s="28" t="s">
        <v>13127</v>
      </c>
      <c r="E3658" s="64" t="s"/>
      <c r="F3658" s="28" t="s">
        <v>9803</v>
      </c>
      <c r="G3658" s="28">
        <v>1</v>
      </c>
    </row>
    <row r="3659" spans="1:7">
      <c r="A3659" s="28">
        <v>3950002</v>
      </c>
      <c r="B3659" s="28" t="s">
        <v>13128</v>
      </c>
      <c r="C3659" s="28">
        <v>3</v>
      </c>
      <c r="D3659" s="28" t="s">
        <v>13127</v>
      </c>
      <c r="E3659" s="64" t="s"/>
      <c r="F3659" s="28" t="s">
        <v>9797</v>
      </c>
      <c r="G3659" s="28">
        <v>1</v>
      </c>
    </row>
    <row r="3660" spans="1:7">
      <c r="A3660" s="28">
        <v>3950003</v>
      </c>
      <c r="B3660" s="28" t="s">
        <v>13129</v>
      </c>
      <c r="C3660" s="28">
        <v>3</v>
      </c>
      <c r="D3660" s="28" t="s">
        <v>13127</v>
      </c>
      <c r="E3660" s="64" t="s"/>
      <c r="F3660" s="28" t="s">
        <v>9886</v>
      </c>
      <c r="G3660" s="28">
        <v>1</v>
      </c>
    </row>
    <row r="3661" spans="1:7">
      <c r="A3661" s="28">
        <v>3950004</v>
      </c>
      <c r="B3661" s="28" t="s">
        <v>13130</v>
      </c>
      <c r="C3661" s="28">
        <v>3</v>
      </c>
      <c r="D3661" s="28" t="s">
        <v>13127</v>
      </c>
      <c r="E3661" s="64" t="s"/>
      <c r="F3661" s="28" t="s">
        <v>9810</v>
      </c>
      <c r="G3661" s="28">
        <v>1</v>
      </c>
    </row>
    <row r="3662" spans="1:7">
      <c r="A3662" s="28">
        <v>3950006</v>
      </c>
      <c r="B3662" s="28" t="s">
        <v>13131</v>
      </c>
      <c r="C3662" s="28">
        <v>3</v>
      </c>
      <c r="D3662" s="28" t="s">
        <v>13127</v>
      </c>
      <c r="E3662" s="64" t="s"/>
      <c r="F3662" s="28" t="s">
        <v>9825</v>
      </c>
      <c r="G3662" s="28">
        <v>1</v>
      </c>
    </row>
    <row r="3663" spans="1:7">
      <c r="A3663" s="28">
        <v>3950008</v>
      </c>
      <c r="B3663" s="28" t="s">
        <v>13132</v>
      </c>
      <c r="C3663" s="28">
        <v>3</v>
      </c>
      <c r="D3663" s="28" t="s">
        <v>13127</v>
      </c>
      <c r="E3663" s="64" t="s"/>
      <c r="F3663" s="28" t="s">
        <v>9821</v>
      </c>
      <c r="G3663" s="28">
        <v>1</v>
      </c>
    </row>
    <row r="3664" spans="1:7">
      <c r="A3664" s="28">
        <v>3950011</v>
      </c>
      <c r="B3664" s="28" t="s">
        <v>13133</v>
      </c>
      <c r="C3664" s="28">
        <v>3</v>
      </c>
      <c r="D3664" s="28" t="s">
        <v>13134</v>
      </c>
      <c r="E3664" s="64" t="s"/>
      <c r="F3664" s="28" t="s">
        <v>7580</v>
      </c>
      <c r="G3664" s="28">
        <v>1</v>
      </c>
    </row>
    <row r="3665" spans="1:7">
      <c r="A3665" s="28">
        <v>3950013</v>
      </c>
      <c r="B3665" s="28" t="s">
        <v>13135</v>
      </c>
      <c r="C3665" s="28">
        <v>3</v>
      </c>
      <c r="D3665" s="28" t="s">
        <v>13134</v>
      </c>
      <c r="E3665" s="64" t="s"/>
      <c r="F3665" s="28" t="s">
        <v>13136</v>
      </c>
      <c r="G3665" s="28">
        <v>1</v>
      </c>
    </row>
    <row r="3666" spans="1:7">
      <c r="A3666" s="28">
        <v>3950015</v>
      </c>
      <c r="B3666" s="28" t="s">
        <v>13137</v>
      </c>
      <c r="C3666" s="28">
        <v>3</v>
      </c>
      <c r="D3666" s="28" t="s">
        <v>13134</v>
      </c>
      <c r="E3666" s="64" t="s"/>
      <c r="F3666" s="28" t="s">
        <v>7583</v>
      </c>
      <c r="G3666" s="28">
        <v>1</v>
      </c>
    </row>
    <row r="3667" spans="1:7">
      <c r="A3667" s="28">
        <v>3950016</v>
      </c>
      <c r="B3667" s="28" t="s">
        <v>13138</v>
      </c>
      <c r="C3667" s="28">
        <v>3</v>
      </c>
      <c r="D3667" s="28" t="s">
        <v>13134</v>
      </c>
      <c r="E3667" s="64" t="s"/>
      <c r="F3667" s="28" t="s">
        <v>13139</v>
      </c>
      <c r="G3667" s="28">
        <v>1</v>
      </c>
    </row>
    <row r="3668" spans="1:7">
      <c r="A3668" s="28">
        <v>3960001</v>
      </c>
      <c r="B3668" s="28" t="s">
        <v>13140</v>
      </c>
      <c r="C3668" s="28">
        <v>3</v>
      </c>
      <c r="D3668" s="28" t="s">
        <v>13141</v>
      </c>
      <c r="E3668" s="64" t="s"/>
      <c r="F3668" s="28" t="s">
        <v>9421</v>
      </c>
      <c r="G3668" s="28">
        <v>1</v>
      </c>
    </row>
    <row r="3669" spans="1:7">
      <c r="A3669" s="28">
        <v>3960002</v>
      </c>
      <c r="B3669" s="28" t="s">
        <v>13142</v>
      </c>
      <c r="C3669" s="28">
        <v>3</v>
      </c>
      <c r="D3669" s="28" t="s">
        <v>13143</v>
      </c>
      <c r="E3669" s="64" t="s"/>
      <c r="F3669" s="28" t="s">
        <v>13144</v>
      </c>
      <c r="G3669" s="28">
        <v>1</v>
      </c>
    </row>
    <row r="3670" spans="1:7">
      <c r="A3670" s="28">
        <v>3960003</v>
      </c>
      <c r="B3670" s="28" t="s">
        <v>13145</v>
      </c>
      <c r="C3670" s="28">
        <v>3</v>
      </c>
      <c r="D3670" s="28" t="s">
        <v>13146</v>
      </c>
      <c r="E3670" s="64" t="s"/>
      <c r="F3670" s="28" t="s">
        <v>8720</v>
      </c>
      <c r="G3670" s="28">
        <v>1</v>
      </c>
    </row>
    <row r="3671" spans="1:7">
      <c r="A3671" s="28">
        <v>3960004</v>
      </c>
      <c r="B3671" s="28" t="s">
        <v>13147</v>
      </c>
      <c r="C3671" s="28">
        <v>3</v>
      </c>
      <c r="D3671" s="28" t="s">
        <v>13148</v>
      </c>
      <c r="E3671" s="64" t="s"/>
      <c r="F3671" s="28" t="s">
        <v>13144</v>
      </c>
      <c r="G3671" s="28">
        <v>1</v>
      </c>
    </row>
    <row r="3672" spans="1:7">
      <c r="A3672" s="28">
        <v>3960005</v>
      </c>
      <c r="B3672" s="28" t="s">
        <v>13149</v>
      </c>
      <c r="C3672" s="28">
        <v>3</v>
      </c>
      <c r="D3672" s="28" t="s">
        <v>13150</v>
      </c>
      <c r="E3672" s="64" t="s"/>
      <c r="F3672" s="28" t="s">
        <v>8413</v>
      </c>
      <c r="G3672" s="28">
        <v>1</v>
      </c>
    </row>
    <row r="3673" spans="1:7">
      <c r="A3673" s="28">
        <v>3960006</v>
      </c>
      <c r="B3673" s="28" t="s">
        <v>13151</v>
      </c>
      <c r="C3673" s="28">
        <v>3</v>
      </c>
      <c r="D3673" s="28" t="s">
        <v>13152</v>
      </c>
      <c r="E3673" s="64" t="s"/>
      <c r="F3673" s="28" t="s">
        <v>13144</v>
      </c>
      <c r="G3673" s="28">
        <v>1</v>
      </c>
    </row>
    <row r="3674" spans="1:7">
      <c r="A3674" s="28">
        <v>3960007</v>
      </c>
      <c r="B3674" s="28" t="s">
        <v>13153</v>
      </c>
      <c r="C3674" s="28">
        <v>3</v>
      </c>
      <c r="D3674" s="28" t="s">
        <v>13154</v>
      </c>
      <c r="E3674" s="64" t="s"/>
      <c r="F3674" s="28" t="s">
        <v>9457</v>
      </c>
      <c r="G3674" s="28">
        <v>1</v>
      </c>
    </row>
    <row r="3675" spans="1:7">
      <c r="A3675" s="28">
        <v>3960008</v>
      </c>
      <c r="B3675" s="28" t="s">
        <v>13155</v>
      </c>
      <c r="C3675" s="28">
        <v>3</v>
      </c>
      <c r="D3675" s="28" t="s">
        <v>13156</v>
      </c>
      <c r="E3675" s="64" t="s"/>
      <c r="F3675" s="28" t="s">
        <v>9493</v>
      </c>
      <c r="G3675" s="28">
        <v>1</v>
      </c>
    </row>
    <row r="3676" spans="1:7">
      <c r="A3676" s="28">
        <v>4000000</v>
      </c>
      <c r="B3676" s="28" t="s">
        <v>13157</v>
      </c>
      <c r="C3676" s="28">
        <v>3</v>
      </c>
      <c r="D3676" s="28" t="s">
        <v>13158</v>
      </c>
      <c r="E3676" s="64" t="s"/>
      <c r="F3676" s="28" t="s">
        <v>7690</v>
      </c>
      <c r="G3676" s="28">
        <v>1</v>
      </c>
    </row>
    <row r="3677" spans="1:7">
      <c r="A3677" s="28">
        <v>4000001</v>
      </c>
      <c r="B3677" s="28" t="s">
        <v>13159</v>
      </c>
      <c r="C3677" s="28">
        <v>3</v>
      </c>
      <c r="D3677" s="28" t="s">
        <v>13160</v>
      </c>
      <c r="E3677" s="64" t="s">
        <v>13161</v>
      </c>
      <c r="F3677" s="28" t="s">
        <v>13162</v>
      </c>
      <c r="G3677" s="28">
        <v>1</v>
      </c>
    </row>
    <row r="3678" spans="1:7">
      <c r="A3678" s="28">
        <v>4000002</v>
      </c>
      <c r="B3678" s="28" t="s">
        <v>13163</v>
      </c>
      <c r="C3678" s="28">
        <v>3</v>
      </c>
      <c r="D3678" s="28" t="s">
        <v>13164</v>
      </c>
      <c r="E3678" s="64" t="s">
        <v>13161</v>
      </c>
      <c r="F3678" s="28" t="s">
        <v>13165</v>
      </c>
      <c r="G3678" s="28">
        <v>1</v>
      </c>
    </row>
    <row r="3679" spans="1:7">
      <c r="A3679" s="28">
        <v>4000003</v>
      </c>
      <c r="B3679" s="28" t="s">
        <v>13166</v>
      </c>
      <c r="C3679" s="28">
        <v>3</v>
      </c>
      <c r="D3679" s="28" t="s">
        <v>13167</v>
      </c>
      <c r="E3679" s="64" t="s">
        <v>13161</v>
      </c>
      <c r="F3679" s="28" t="s">
        <v>13168</v>
      </c>
      <c r="G3679" s="28">
        <v>1</v>
      </c>
    </row>
    <row r="3680" spans="1:7">
      <c r="A3680" s="28">
        <v>4000004</v>
      </c>
      <c r="B3680" s="28" t="s">
        <v>13169</v>
      </c>
      <c r="C3680" s="28">
        <v>3</v>
      </c>
      <c r="D3680" s="28" t="s">
        <v>13170</v>
      </c>
      <c r="E3680" s="64" t="s">
        <v>13161</v>
      </c>
      <c r="F3680" s="28" t="s">
        <v>13171</v>
      </c>
      <c r="G3680" s="28">
        <v>1</v>
      </c>
    </row>
    <row r="3681" spans="1:7">
      <c r="A3681" s="28">
        <v>4000005</v>
      </c>
      <c r="B3681" s="28" t="s">
        <v>13172</v>
      </c>
      <c r="C3681" s="28">
        <v>3</v>
      </c>
      <c r="D3681" s="28" t="s">
        <v>13173</v>
      </c>
      <c r="E3681" s="64" t="s">
        <v>13161</v>
      </c>
      <c r="F3681" s="28" t="s">
        <v>13174</v>
      </c>
      <c r="G3681" s="28">
        <v>1</v>
      </c>
    </row>
    <row r="3682" spans="1:7">
      <c r="A3682" s="28">
        <v>4000006</v>
      </c>
      <c r="B3682" s="28" t="s">
        <v>13175</v>
      </c>
      <c r="C3682" s="28">
        <v>3</v>
      </c>
      <c r="D3682" s="28" t="s">
        <v>13173</v>
      </c>
      <c r="E3682" s="64" t="s">
        <v>13161</v>
      </c>
      <c r="F3682" s="28" t="s">
        <v>13176</v>
      </c>
      <c r="G3682" s="28">
        <v>1</v>
      </c>
    </row>
    <row r="3683" spans="1:7">
      <c r="A3683" s="28">
        <v>4000007</v>
      </c>
      <c r="B3683" s="28" t="s">
        <v>13177</v>
      </c>
      <c r="C3683" s="28">
        <v>3</v>
      </c>
      <c r="D3683" s="28" t="s">
        <v>13178</v>
      </c>
      <c r="E3683" s="64" t="s">
        <v>13179</v>
      </c>
      <c r="F3683" s="28" t="s">
        <v>13180</v>
      </c>
      <c r="G3683" s="28">
        <v>1</v>
      </c>
    </row>
    <row r="3684" spans="1:7">
      <c r="A3684" s="28">
        <v>4000008</v>
      </c>
      <c r="B3684" s="28" t="s">
        <v>13181</v>
      </c>
      <c r="C3684" s="28">
        <v>3</v>
      </c>
      <c r="D3684" s="28" t="s">
        <v>13178</v>
      </c>
      <c r="E3684" s="64" t="s">
        <v>13182</v>
      </c>
      <c r="F3684" s="28" t="s">
        <v>13180</v>
      </c>
      <c r="G3684" s="28">
        <v>1</v>
      </c>
    </row>
    <row r="3685" spans="1:7">
      <c r="A3685" s="28">
        <v>4000009</v>
      </c>
      <c r="B3685" s="28" t="s">
        <v>13183</v>
      </c>
      <c r="C3685" s="28">
        <v>3</v>
      </c>
      <c r="D3685" s="28" t="s">
        <v>13178</v>
      </c>
      <c r="E3685" s="28" t="s">
        <v>13179</v>
      </c>
      <c r="F3685" s="28" t="s">
        <v>13180</v>
      </c>
      <c r="G3685" s="28">
        <v>1</v>
      </c>
    </row>
    <row r="3686" spans="1:7">
      <c r="A3686" s="28">
        <v>4000011</v>
      </c>
      <c r="B3686" s="28" t="s">
        <v>13184</v>
      </c>
      <c r="C3686" s="28">
        <v>2</v>
      </c>
      <c r="D3686" s="28" t="s">
        <v>13185</v>
      </c>
      <c r="E3686" s="64" t="s">
        <v>7999</v>
      </c>
      <c r="F3686" s="28" t="s">
        <v>8000</v>
      </c>
      <c r="G3686" s="28">
        <v>120</v>
      </c>
    </row>
    <row r="3687" spans="1:7">
      <c r="A3687" s="28">
        <v>4000012</v>
      </c>
      <c r="B3687" s="28" t="s">
        <v>13186</v>
      </c>
      <c r="C3687" s="28">
        <v>2</v>
      </c>
      <c r="D3687" s="28" t="s">
        <v>13187</v>
      </c>
      <c r="E3687" s="28" t="s">
        <v>7999</v>
      </c>
      <c r="F3687" s="28" t="s">
        <v>8000</v>
      </c>
      <c r="G3687" s="28">
        <v>120</v>
      </c>
    </row>
    <row r="3688" spans="1:7">
      <c r="A3688" s="28">
        <v>4000013</v>
      </c>
      <c r="B3688" s="28" t="s">
        <v>13184</v>
      </c>
      <c r="C3688" s="28">
        <v>2</v>
      </c>
      <c r="D3688" s="28" t="s">
        <v>13185</v>
      </c>
      <c r="E3688" s="64" t="s">
        <v>7999</v>
      </c>
      <c r="F3688" s="28" t="s">
        <v>8000</v>
      </c>
      <c r="G3688" s="28">
        <v>120</v>
      </c>
    </row>
    <row r="3689" spans="1:7">
      <c r="A3689" s="28">
        <v>4000014</v>
      </c>
      <c r="B3689" s="28" t="s">
        <v>13188</v>
      </c>
      <c r="C3689" s="28">
        <v>2</v>
      </c>
      <c r="D3689" s="28" t="s">
        <v>13189</v>
      </c>
      <c r="E3689" s="64" t="s">
        <v>7999</v>
      </c>
      <c r="F3689" s="28" t="s">
        <v>8000</v>
      </c>
      <c r="G3689" s="28">
        <v>120</v>
      </c>
    </row>
    <row r="3690" spans="1:7">
      <c r="A3690" s="28">
        <v>4000015</v>
      </c>
      <c r="B3690" s="28" t="s">
        <v>7997</v>
      </c>
      <c r="C3690" s="28">
        <v>2</v>
      </c>
      <c r="D3690" s="28" t="s">
        <v>13190</v>
      </c>
      <c r="E3690" s="28" t="s">
        <v>7999</v>
      </c>
      <c r="F3690" s="28" t="s">
        <v>8000</v>
      </c>
      <c r="G3690" s="28">
        <v>120</v>
      </c>
    </row>
    <row r="3691" spans="1:7">
      <c r="A3691" s="28">
        <v>4000016</v>
      </c>
      <c r="B3691" s="28" t="s">
        <v>13191</v>
      </c>
      <c r="C3691" s="28">
        <v>2</v>
      </c>
      <c r="D3691" s="28" t="s">
        <v>13192</v>
      </c>
      <c r="E3691" s="64" t="s">
        <v>13193</v>
      </c>
      <c r="F3691" s="28" t="s">
        <v>8003</v>
      </c>
      <c r="G3691" s="28">
        <v>120</v>
      </c>
    </row>
    <row r="3692" spans="1:7">
      <c r="A3692" s="28">
        <v>4000017</v>
      </c>
      <c r="B3692" s="28" t="s">
        <v>13181</v>
      </c>
      <c r="C3692" s="28">
        <v>3</v>
      </c>
      <c r="D3692" s="28" t="s">
        <v>13178</v>
      </c>
      <c r="E3692" s="64" t="s">
        <v>13179</v>
      </c>
      <c r="F3692" s="28" t="s">
        <v>13180</v>
      </c>
      <c r="G3692" s="28">
        <v>1</v>
      </c>
    </row>
    <row r="3693" spans="1:7">
      <c r="A3693" s="28">
        <v>4000018</v>
      </c>
      <c r="B3693" s="28" t="s">
        <v>13181</v>
      </c>
      <c r="C3693" s="28">
        <v>3</v>
      </c>
      <c r="D3693" s="28" t="s">
        <v>13178</v>
      </c>
      <c r="E3693" s="28" t="s">
        <v>13179</v>
      </c>
      <c r="F3693" s="28" t="s">
        <v>13180</v>
      </c>
      <c r="G3693" s="28">
        <v>1</v>
      </c>
    </row>
    <row r="3694" spans="1:7">
      <c r="A3694" s="28">
        <v>4000020</v>
      </c>
      <c r="B3694" s="28" t="s">
        <v>13194</v>
      </c>
      <c r="C3694" s="28">
        <v>3</v>
      </c>
      <c r="D3694" s="28" t="s">
        <v>13195</v>
      </c>
      <c r="E3694" s="28" t="s">
        <v>13196</v>
      </c>
      <c r="F3694" s="28" t="s">
        <v>13180</v>
      </c>
      <c r="G3694" s="28">
        <v>1</v>
      </c>
    </row>
    <row r="3695" spans="1:7">
      <c r="A3695" s="28">
        <v>4000021</v>
      </c>
      <c r="B3695" s="28" t="s">
        <v>13197</v>
      </c>
      <c r="C3695" s="28">
        <v>3</v>
      </c>
      <c r="D3695" s="28" t="s">
        <v>13198</v>
      </c>
      <c r="E3695" s="28" t="s">
        <v>13161</v>
      </c>
      <c r="F3695" s="28" t="s">
        <v>13199</v>
      </c>
      <c r="G3695" s="28">
        <v>1</v>
      </c>
    </row>
    <row r="3696" spans="1:7">
      <c r="A3696" s="28">
        <v>4000022</v>
      </c>
      <c r="B3696" s="28" t="s">
        <v>13200</v>
      </c>
      <c r="C3696" s="28">
        <v>3</v>
      </c>
      <c r="D3696" s="28" t="s">
        <v>13200</v>
      </c>
      <c r="E3696" s="28" t="s">
        <v>13200</v>
      </c>
      <c r="F3696" s="28" t="s">
        <v>13180</v>
      </c>
      <c r="G3696" s="28">
        <v>1</v>
      </c>
    </row>
    <row r="3697" spans="1:7">
      <c r="A3697" s="28">
        <v>4000026</v>
      </c>
      <c r="B3697" s="28" t="s">
        <v>13201</v>
      </c>
      <c r="C3697" s="28">
        <v>3</v>
      </c>
      <c r="D3697" s="28" t="s">
        <v>13202</v>
      </c>
      <c r="E3697" s="28" t="s">
        <v>13203</v>
      </c>
      <c r="F3697" s="28" t="s">
        <v>13204</v>
      </c>
      <c r="G3697" s="28">
        <v>1</v>
      </c>
    </row>
    <row r="3698" spans="1:7">
      <c r="A3698" s="28">
        <v>4000027</v>
      </c>
      <c r="B3698" s="28" t="s">
        <v>13197</v>
      </c>
      <c r="C3698" s="28">
        <v>3</v>
      </c>
      <c r="D3698" s="28" t="s">
        <v>13198</v>
      </c>
      <c r="E3698" s="28" t="s">
        <v>13161</v>
      </c>
      <c r="F3698" s="28" t="s">
        <v>13199</v>
      </c>
      <c r="G3698" s="28">
        <v>1</v>
      </c>
    </row>
    <row r="3699" spans="1:7">
      <c r="A3699" s="28">
        <v>4000028</v>
      </c>
      <c r="B3699" s="28" t="s">
        <v>13205</v>
      </c>
      <c r="C3699" s="28">
        <v>3</v>
      </c>
      <c r="D3699" s="28" t="s">
        <v>13206</v>
      </c>
      <c r="E3699" s="28" t="s">
        <v>13207</v>
      </c>
      <c r="F3699" s="28" t="s">
        <v>13208</v>
      </c>
      <c r="G3699" s="28">
        <v>1</v>
      </c>
    </row>
    <row r="3700" spans="1:7">
      <c r="A3700" s="28">
        <v>4000029</v>
      </c>
      <c r="B3700" s="28" t="s">
        <v>13209</v>
      </c>
      <c r="C3700" s="28">
        <v>3</v>
      </c>
      <c r="D3700" s="28" t="s">
        <v>13210</v>
      </c>
      <c r="E3700" s="28" t="s">
        <v>13210</v>
      </c>
      <c r="F3700" s="28" t="s">
        <v>13211</v>
      </c>
      <c r="G3700" s="28">
        <v>1</v>
      </c>
    </row>
    <row r="3701" spans="1:7">
      <c r="A3701" s="28">
        <v>4000030</v>
      </c>
      <c r="B3701" s="28" t="s">
        <v>13212</v>
      </c>
      <c r="C3701" s="28">
        <v>3</v>
      </c>
      <c r="D3701" s="28" t="s">
        <v>13213</v>
      </c>
      <c r="E3701" s="28" t="s">
        <v>13214</v>
      </c>
      <c r="F3701" s="28" t="s">
        <v>13215</v>
      </c>
      <c r="G3701" s="28">
        <v>1</v>
      </c>
    </row>
    <row r="3702" spans="1:7">
      <c r="A3702" s="28">
        <v>4000031</v>
      </c>
      <c r="B3702" s="28" t="s">
        <v>13216</v>
      </c>
      <c r="C3702" s="28">
        <v>3</v>
      </c>
      <c r="D3702" s="28" t="s">
        <v>13213</v>
      </c>
      <c r="E3702" s="28" t="s">
        <v>13214</v>
      </c>
      <c r="F3702" s="28" t="s">
        <v>13215</v>
      </c>
      <c r="G3702" s="28">
        <v>1</v>
      </c>
    </row>
    <row r="3703" spans="1:7">
      <c r="A3703" s="28">
        <v>4000032</v>
      </c>
      <c r="B3703" s="28" t="s">
        <v>13217</v>
      </c>
      <c r="C3703" s="28">
        <v>3</v>
      </c>
      <c r="D3703" s="28" t="s">
        <v>13213</v>
      </c>
      <c r="E3703" s="28" t="s">
        <v>13214</v>
      </c>
      <c r="F3703" s="28" t="s">
        <v>13215</v>
      </c>
      <c r="G3703" s="28">
        <v>1</v>
      </c>
    </row>
    <row r="3704" spans="1:7">
      <c r="A3704" s="28">
        <v>4000033</v>
      </c>
      <c r="B3704" s="28" t="s">
        <v>13218</v>
      </c>
      <c r="C3704" s="28">
        <v>3</v>
      </c>
      <c r="D3704" s="28" t="s"/>
      <c r="E3704" s="28" t="s"/>
      <c r="F3704" s="28" t="s">
        <v>13208</v>
      </c>
      <c r="G3704" s="28">
        <v>1</v>
      </c>
    </row>
    <row r="3705" spans="1:7">
      <c r="A3705" s="28">
        <v>4000034</v>
      </c>
      <c r="B3705" s="28" t="s">
        <v>13219</v>
      </c>
      <c r="C3705" s="28">
        <v>3</v>
      </c>
      <c r="D3705" s="28" t="s">
        <v>13220</v>
      </c>
      <c r="E3705" s="28" t="s">
        <v>13221</v>
      </c>
      <c r="F3705" s="28" t="s">
        <v>13222</v>
      </c>
      <c r="G3705" s="28">
        <v>1</v>
      </c>
    </row>
    <row r="3706" spans="1:7">
      <c r="A3706" s="28">
        <v>4000039</v>
      </c>
      <c r="B3706" s="28" t="s">
        <v>13223</v>
      </c>
      <c r="C3706" s="28">
        <v>3</v>
      </c>
      <c r="D3706" s="28" t="s">
        <v>13224</v>
      </c>
      <c r="E3706" s="28" t="s">
        <v>13225</v>
      </c>
      <c r="F3706" s="28" t="s">
        <v>13226</v>
      </c>
      <c r="G3706" s="28">
        <v>1</v>
      </c>
    </row>
    <row r="3707" spans="1:7">
      <c r="A3707" s="28">
        <v>4000040</v>
      </c>
      <c r="B3707" s="28" t="s">
        <v>13227</v>
      </c>
      <c r="C3707" s="28">
        <v>3</v>
      </c>
      <c r="D3707" s="28" t="s">
        <v>13224</v>
      </c>
      <c r="E3707" s="28" t="s">
        <v>13228</v>
      </c>
      <c r="F3707" s="28" t="s">
        <v>13226</v>
      </c>
      <c r="G3707" s="28">
        <v>1</v>
      </c>
    </row>
    <row r="3708" spans="1:7">
      <c r="A3708" s="28">
        <v>4000041</v>
      </c>
      <c r="B3708" s="28" t="s">
        <v>13229</v>
      </c>
      <c r="C3708" s="28">
        <v>3</v>
      </c>
      <c r="D3708" s="28" t="s">
        <v>13224</v>
      </c>
      <c r="E3708" s="28" t="s">
        <v>13230</v>
      </c>
      <c r="F3708" s="28" t="s">
        <v>13226</v>
      </c>
      <c r="G3708" s="28">
        <v>1</v>
      </c>
    </row>
    <row r="3709" spans="1:7">
      <c r="A3709" s="28">
        <v>4000048</v>
      </c>
      <c r="B3709" s="28" t="s">
        <v>13231</v>
      </c>
      <c r="C3709" s="28">
        <v>3</v>
      </c>
      <c r="D3709" s="28" t="s">
        <v>13200</v>
      </c>
      <c r="E3709" s="28" t="s">
        <v>13200</v>
      </c>
      <c r="F3709" s="28" t="s">
        <v>13180</v>
      </c>
      <c r="G3709" s="28">
        <v>1</v>
      </c>
    </row>
    <row r="3710" spans="1:7">
      <c r="A3710" s="28">
        <v>4000049</v>
      </c>
      <c r="B3710" s="28" t="s">
        <v>13232</v>
      </c>
      <c r="C3710" s="28">
        <v>3</v>
      </c>
      <c r="D3710" s="28" t="s">
        <v>13200</v>
      </c>
      <c r="E3710" s="28" t="s">
        <v>13200</v>
      </c>
      <c r="F3710" s="28" t="s">
        <v>13180</v>
      </c>
      <c r="G3710" s="28">
        <v>1</v>
      </c>
    </row>
    <row r="3711" spans="1:7">
      <c r="A3711" s="28">
        <v>4000050</v>
      </c>
      <c r="B3711" s="28" t="s">
        <v>13233</v>
      </c>
      <c r="C3711" s="28">
        <v>3</v>
      </c>
      <c r="D3711" s="28" t="s">
        <v>13200</v>
      </c>
      <c r="E3711" s="28" t="s">
        <v>13200</v>
      </c>
      <c r="F3711" s="28" t="s">
        <v>13180</v>
      </c>
      <c r="G3711" s="28">
        <v>1</v>
      </c>
    </row>
    <row r="3712" spans="1:7">
      <c r="A3712" s="28">
        <v>4000051</v>
      </c>
      <c r="B3712" s="28" t="s">
        <v>13234</v>
      </c>
      <c r="C3712" s="28">
        <v>3</v>
      </c>
      <c r="D3712" s="28" t="s">
        <v>13200</v>
      </c>
      <c r="E3712" s="28" t="s">
        <v>13200</v>
      </c>
      <c r="F3712" s="28" t="s">
        <v>13180</v>
      </c>
      <c r="G3712" s="28">
        <v>1</v>
      </c>
    </row>
    <row r="3713" spans="1:7">
      <c r="A3713" s="28">
        <v>4000052</v>
      </c>
      <c r="B3713" s="28" t="s">
        <v>13235</v>
      </c>
      <c r="C3713" s="28">
        <v>3</v>
      </c>
      <c r="D3713" s="28" t="s">
        <v>13200</v>
      </c>
      <c r="E3713" s="28" t="s">
        <v>13200</v>
      </c>
      <c r="F3713" s="28" t="s">
        <v>13180</v>
      </c>
      <c r="G3713" s="28">
        <v>1</v>
      </c>
    </row>
    <row r="3714" spans="1:7">
      <c r="A3714" s="28">
        <v>4000053</v>
      </c>
      <c r="B3714" s="28" t="s">
        <v>13236</v>
      </c>
      <c r="C3714" s="28">
        <v>3</v>
      </c>
      <c r="D3714" s="28" t="s">
        <v>13200</v>
      </c>
      <c r="E3714" s="28" t="s">
        <v>13200</v>
      </c>
      <c r="F3714" s="28" t="s">
        <v>13180</v>
      </c>
      <c r="G3714" s="28">
        <v>1</v>
      </c>
    </row>
    <row r="3715" spans="1:7">
      <c r="A3715" s="28">
        <v>4000070</v>
      </c>
      <c r="B3715" s="28" t="s">
        <v>8020</v>
      </c>
      <c r="C3715" s="28">
        <v>2</v>
      </c>
      <c r="D3715" s="28" t="s">
        <v>8021</v>
      </c>
      <c r="E3715" s="28" t="s">
        <v>8022</v>
      </c>
      <c r="F3715" s="28" t="s">
        <v>8023</v>
      </c>
      <c r="G3715" s="28">
        <v>120</v>
      </c>
    </row>
    <row r="3716" spans="1:7">
      <c r="A3716" s="28">
        <v>4000090</v>
      </c>
      <c r="B3716" s="28" t="s">
        <v>8027</v>
      </c>
      <c r="C3716" s="28">
        <v>3</v>
      </c>
      <c r="D3716" s="28" t="s">
        <v>8028</v>
      </c>
      <c r="E3716" s="28" t="s">
        <v>8029</v>
      </c>
      <c r="F3716" s="28" t="s">
        <v>8030</v>
      </c>
      <c r="G3716" s="28">
        <v>120</v>
      </c>
    </row>
    <row r="3717" spans="1:7">
      <c r="A3717" s="28">
        <v>4000100</v>
      </c>
      <c r="B3717" s="28" t="s">
        <v>13237</v>
      </c>
      <c r="C3717" s="28">
        <v>3</v>
      </c>
      <c r="D3717" s="28" t="s">
        <v>13238</v>
      </c>
      <c r="E3717" s="28" t="s">
        <v>13239</v>
      </c>
      <c r="F3717" s="28" t="s">
        <v>13211</v>
      </c>
      <c r="G3717" s="28">
        <v>1</v>
      </c>
    </row>
    <row r="3718" spans="1:7">
      <c r="A3718" s="28">
        <v>4000102</v>
      </c>
      <c r="B3718" s="28" t="s">
        <v>13240</v>
      </c>
      <c r="C3718" s="28">
        <v>3</v>
      </c>
      <c r="D3718" s="28" t="s">
        <v>13238</v>
      </c>
      <c r="E3718" s="28" t="s">
        <v>13239</v>
      </c>
      <c r="F3718" s="28" t="s">
        <v>13211</v>
      </c>
      <c r="G3718" s="28">
        <v>1</v>
      </c>
    </row>
    <row r="3719" spans="1:7">
      <c r="A3719" s="28">
        <v>4000103</v>
      </c>
      <c r="B3719" s="28" t="s">
        <v>13241</v>
      </c>
      <c r="C3719" s="28">
        <v>3</v>
      </c>
      <c r="D3719" s="28" t="s">
        <v>13238</v>
      </c>
      <c r="E3719" s="28" t="s">
        <v>13239</v>
      </c>
      <c r="F3719" s="28" t="s">
        <v>13211</v>
      </c>
      <c r="G3719" s="28">
        <v>1</v>
      </c>
    </row>
    <row r="3720" spans="1:7">
      <c r="A3720" s="28">
        <v>4000104</v>
      </c>
      <c r="B3720" s="28" t="s">
        <v>13242</v>
      </c>
      <c r="C3720" s="28">
        <v>3</v>
      </c>
      <c r="D3720" s="28" t="s">
        <v>13238</v>
      </c>
      <c r="E3720" s="28" t="s">
        <v>13239</v>
      </c>
      <c r="F3720" s="28" t="s">
        <v>13211</v>
      </c>
      <c r="G3720" s="28">
        <v>1</v>
      </c>
    </row>
    <row r="3721" spans="1:7">
      <c r="A3721" s="28">
        <v>4000110</v>
      </c>
      <c r="B3721" s="28" t="s">
        <v>8034</v>
      </c>
      <c r="C3721" s="28">
        <v>3</v>
      </c>
      <c r="D3721" s="28" t="s">
        <v>8035</v>
      </c>
      <c r="E3721" s="28" t="s">
        <v>8036</v>
      </c>
      <c r="F3721" s="28" t="s">
        <v>8037</v>
      </c>
      <c r="G3721" s="28">
        <v>120</v>
      </c>
    </row>
    <row r="3722" spans="1:7">
      <c r="A3722" s="28">
        <v>4000111</v>
      </c>
      <c r="B3722" s="28" t="s">
        <v>8034</v>
      </c>
      <c r="C3722" s="28">
        <v>3</v>
      </c>
      <c r="D3722" s="28" t="s">
        <v>8035</v>
      </c>
      <c r="E3722" s="28" t="s">
        <v>8036</v>
      </c>
      <c r="F3722" s="28" t="s">
        <v>8037</v>
      </c>
      <c r="G3722" s="28">
        <v>120</v>
      </c>
    </row>
    <row r="3723" spans="1:7">
      <c r="A3723" s="28">
        <v>4000113</v>
      </c>
      <c r="B3723" s="28" t="s">
        <v>8034</v>
      </c>
      <c r="C3723" s="28">
        <v>3</v>
      </c>
      <c r="D3723" s="28" t="s">
        <v>13243</v>
      </c>
      <c r="E3723" s="28" t="s">
        <v>8036</v>
      </c>
      <c r="F3723" s="28" t="s">
        <v>8037</v>
      </c>
      <c r="G3723" s="28">
        <v>120</v>
      </c>
    </row>
    <row r="3724" spans="1:7">
      <c r="A3724" s="28">
        <v>4000120</v>
      </c>
      <c r="B3724" s="28" t="s">
        <v>8038</v>
      </c>
      <c r="C3724" s="28">
        <v>2</v>
      </c>
      <c r="D3724" s="28" t="s">
        <v>8039</v>
      </c>
      <c r="E3724" s="28" t="s">
        <v>8036</v>
      </c>
      <c r="F3724" s="28" t="s">
        <v>8040</v>
      </c>
      <c r="G3724" s="28">
        <v>120</v>
      </c>
    </row>
    <row r="3725" spans="1:7">
      <c r="A3725" s="28">
        <v>4000121</v>
      </c>
      <c r="B3725" s="28" t="s">
        <v>8038</v>
      </c>
      <c r="C3725" s="28">
        <v>2</v>
      </c>
      <c r="D3725" s="28" t="s">
        <v>8039</v>
      </c>
      <c r="E3725" s="28" t="s">
        <v>8036</v>
      </c>
      <c r="F3725" s="28" t="s">
        <v>8040</v>
      </c>
      <c r="G3725" s="28">
        <v>120</v>
      </c>
    </row>
    <row r="3726" spans="1:7">
      <c r="A3726" s="28">
        <v>4000123</v>
      </c>
      <c r="B3726" s="28" t="s">
        <v>8038</v>
      </c>
      <c r="C3726" s="28">
        <v>2</v>
      </c>
      <c r="D3726" s="28" t="s">
        <v>13244</v>
      </c>
      <c r="E3726" s="28" t="s">
        <v>8036</v>
      </c>
      <c r="F3726" s="28" t="s">
        <v>8040</v>
      </c>
      <c r="G3726" s="28">
        <v>120</v>
      </c>
    </row>
    <row r="3727" spans="1:7">
      <c r="A3727" s="28">
        <v>4000201</v>
      </c>
      <c r="B3727" s="28" t="s">
        <v>13245</v>
      </c>
      <c r="C3727" s="28">
        <v>3</v>
      </c>
      <c r="D3727" s="28" t="s">
        <v>13246</v>
      </c>
      <c r="E3727" s="28" t="s">
        <v>13247</v>
      </c>
      <c r="F3727" s="28" t="s">
        <v>13248</v>
      </c>
      <c r="G3727" s="28">
        <v>1</v>
      </c>
    </row>
    <row r="3728" spans="1:7">
      <c r="A3728" s="28">
        <v>4100001</v>
      </c>
      <c r="B3728" s="28" t="s">
        <v>13249</v>
      </c>
      <c r="C3728" s="28">
        <v>2</v>
      </c>
      <c r="D3728" s="28" t="s">
        <v>13250</v>
      </c>
      <c r="E3728" s="28" t="s"/>
      <c r="F3728" s="28" t="s">
        <v>13251</v>
      </c>
      <c r="G3728" s="28">
        <v>200</v>
      </c>
    </row>
    <row r="3729" spans="1:7">
      <c r="A3729" s="28">
        <v>4100101</v>
      </c>
      <c r="B3729" s="28" t="s">
        <v>13252</v>
      </c>
      <c r="C3729" s="28">
        <v>2</v>
      </c>
      <c r="D3729" s="28" t="s">
        <v>13250</v>
      </c>
      <c r="E3729" s="28" t="s"/>
      <c r="F3729" s="28" t="s">
        <v>13253</v>
      </c>
      <c r="G3729" s="28">
        <v>200</v>
      </c>
    </row>
    <row r="3730" spans="1:7">
      <c r="A3730" s="28">
        <v>4100102</v>
      </c>
      <c r="B3730" s="28" t="s">
        <v>13254</v>
      </c>
      <c r="C3730" s="28">
        <v>2</v>
      </c>
      <c r="D3730" s="28" t="s">
        <v>13250</v>
      </c>
      <c r="E3730" s="28" t="s"/>
      <c r="F3730" s="28" t="s">
        <v>13253</v>
      </c>
      <c r="G3730" s="28">
        <v>200</v>
      </c>
    </row>
    <row r="3731" spans="1:7">
      <c r="A3731" s="28">
        <v>4100103</v>
      </c>
      <c r="B3731" s="28" t="s">
        <v>13255</v>
      </c>
      <c r="C3731" s="28">
        <v>2</v>
      </c>
      <c r="D3731" s="28" t="s">
        <v>13250</v>
      </c>
      <c r="E3731" s="28" t="s"/>
      <c r="F3731" s="28" t="s">
        <v>13253</v>
      </c>
      <c r="G3731" s="28">
        <v>200</v>
      </c>
    </row>
    <row r="3732" spans="1:7">
      <c r="A3732" s="28">
        <v>4100104</v>
      </c>
      <c r="B3732" s="28" t="s">
        <v>13256</v>
      </c>
      <c r="C3732" s="28">
        <v>2</v>
      </c>
      <c r="D3732" s="28" t="s">
        <v>13250</v>
      </c>
      <c r="E3732" s="28" t="s"/>
      <c r="F3732" s="28" t="s">
        <v>13253</v>
      </c>
      <c r="G3732" s="28">
        <v>200</v>
      </c>
    </row>
    <row r="3733" spans="1:7">
      <c r="A3733" s="28">
        <v>4100201</v>
      </c>
      <c r="B3733" s="28" t="s">
        <v>13257</v>
      </c>
      <c r="C3733" s="28">
        <v>2</v>
      </c>
      <c r="D3733" s="28" t="s">
        <v>13250</v>
      </c>
      <c r="E3733" s="28" t="s"/>
      <c r="F3733" s="28" t="s">
        <v>13253</v>
      </c>
      <c r="G3733" s="28">
        <v>200</v>
      </c>
    </row>
    <row r="3734" spans="1:7">
      <c r="A3734" s="28">
        <v>4100202</v>
      </c>
      <c r="B3734" s="28" t="s">
        <v>13258</v>
      </c>
      <c r="C3734" s="28">
        <v>2</v>
      </c>
      <c r="D3734" s="28" t="s">
        <v>13250</v>
      </c>
      <c r="E3734" s="28" t="s"/>
      <c r="F3734" s="28" t="s">
        <v>13253</v>
      </c>
      <c r="G3734" s="28">
        <v>200</v>
      </c>
    </row>
    <row r="3735" spans="1:7">
      <c r="A3735" s="28">
        <v>4100203</v>
      </c>
      <c r="B3735" s="28" t="s">
        <v>13259</v>
      </c>
      <c r="C3735" s="28">
        <v>2</v>
      </c>
      <c r="D3735" s="28" t="s">
        <v>13250</v>
      </c>
      <c r="E3735" s="28" t="s"/>
      <c r="F3735" s="28" t="s">
        <v>13253</v>
      </c>
      <c r="G3735" s="28">
        <v>200</v>
      </c>
    </row>
    <row r="3736" spans="1:7">
      <c r="A3736" s="28">
        <v>4100301</v>
      </c>
      <c r="B3736" s="28" t="s">
        <v>13260</v>
      </c>
      <c r="C3736" s="28">
        <v>2</v>
      </c>
      <c r="D3736" s="28" t="s">
        <v>13250</v>
      </c>
      <c r="E3736" s="28" t="s"/>
      <c r="F3736" s="28" t="s">
        <v>13253</v>
      </c>
      <c r="G3736" s="28">
        <v>200</v>
      </c>
    </row>
    <row r="3737" spans="1:7">
      <c r="A3737" s="28">
        <v>4100302</v>
      </c>
      <c r="B3737" s="28" t="s">
        <v>13261</v>
      </c>
      <c r="C3737" s="28">
        <v>2</v>
      </c>
      <c r="D3737" s="28" t="s">
        <v>13250</v>
      </c>
      <c r="E3737" s="28" t="s"/>
      <c r="F3737" s="28" t="s">
        <v>13253</v>
      </c>
      <c r="G3737" s="28">
        <v>200</v>
      </c>
    </row>
    <row r="3738" spans="1:7">
      <c r="A3738" s="28">
        <v>4100303</v>
      </c>
      <c r="B3738" s="28" t="s">
        <v>13262</v>
      </c>
      <c r="C3738" s="28">
        <v>2</v>
      </c>
      <c r="D3738" s="28" t="s">
        <v>13250</v>
      </c>
      <c r="E3738" s="28" t="s"/>
      <c r="F3738" s="28" t="s">
        <v>13253</v>
      </c>
      <c r="G3738" s="28">
        <v>200</v>
      </c>
    </row>
    <row r="3739" spans="1:7">
      <c r="A3739" s="28">
        <v>4100401</v>
      </c>
      <c r="B3739" s="28" t="s">
        <v>13263</v>
      </c>
      <c r="C3739" s="28">
        <v>3</v>
      </c>
      <c r="D3739" s="28" t="s">
        <v>13250</v>
      </c>
      <c r="E3739" s="28" t="s"/>
      <c r="F3739" s="28" t="s">
        <v>9854</v>
      </c>
      <c r="G3739" s="28">
        <v>200</v>
      </c>
    </row>
    <row r="3740" spans="1:7">
      <c r="A3740" s="28">
        <v>4100402</v>
      </c>
      <c r="B3740" s="28" t="s">
        <v>13264</v>
      </c>
      <c r="C3740" s="28">
        <v>3</v>
      </c>
      <c r="D3740" s="28" t="s">
        <v>13250</v>
      </c>
      <c r="E3740" s="28" t="s"/>
      <c r="F3740" s="28" t="s">
        <v>9854</v>
      </c>
      <c r="G3740" s="28">
        <v>200</v>
      </c>
    </row>
    <row r="3741" spans="1:7">
      <c r="A3741" s="28">
        <v>4100403</v>
      </c>
      <c r="B3741" s="28" t="s">
        <v>13265</v>
      </c>
      <c r="C3741" s="28">
        <v>3</v>
      </c>
      <c r="D3741" s="28" t="s">
        <v>13250</v>
      </c>
      <c r="E3741" s="28" t="s"/>
      <c r="F3741" s="28" t="s">
        <v>9854</v>
      </c>
      <c r="G3741" s="28">
        <v>200</v>
      </c>
    </row>
    <row r="3742" spans="1:7">
      <c r="A3742" s="28">
        <v>4100501</v>
      </c>
      <c r="B3742" s="28" t="s">
        <v>13266</v>
      </c>
      <c r="C3742" s="28">
        <v>3</v>
      </c>
      <c r="D3742" s="28" t="s">
        <v>13250</v>
      </c>
      <c r="E3742" s="28" t="s"/>
      <c r="F3742" s="28" t="s">
        <v>9806</v>
      </c>
      <c r="G3742" s="28">
        <v>200</v>
      </c>
    </row>
    <row r="3743" spans="1:7">
      <c r="A3743" s="28">
        <v>4100502</v>
      </c>
      <c r="B3743" s="28" t="s">
        <v>13267</v>
      </c>
      <c r="C3743" s="28">
        <v>3</v>
      </c>
      <c r="D3743" s="28" t="s">
        <v>13250</v>
      </c>
      <c r="E3743" s="28" t="s"/>
      <c r="F3743" s="28" t="s">
        <v>9806</v>
      </c>
      <c r="G3743" s="28">
        <v>200</v>
      </c>
    </row>
    <row r="3744" spans="1:7">
      <c r="A3744" s="28">
        <v>4100503</v>
      </c>
      <c r="B3744" s="28" t="s">
        <v>13268</v>
      </c>
      <c r="C3744" s="28">
        <v>3</v>
      </c>
      <c r="D3744" s="28" t="s">
        <v>13250</v>
      </c>
      <c r="E3744" s="28" t="s"/>
      <c r="F3744" s="28" t="s">
        <v>9806</v>
      </c>
      <c r="G3744" s="28">
        <v>200</v>
      </c>
    </row>
    <row r="3745" spans="1:7">
      <c r="A3745" s="28">
        <v>4100601</v>
      </c>
      <c r="B3745" s="28" t="s">
        <v>13269</v>
      </c>
      <c r="C3745" s="28">
        <v>3</v>
      </c>
      <c r="D3745" s="28" t="s">
        <v>13250</v>
      </c>
      <c r="E3745" s="28" t="s"/>
      <c r="F3745" s="28" t="s">
        <v>9846</v>
      </c>
      <c r="G3745" s="28">
        <v>200</v>
      </c>
    </row>
    <row r="3746" spans="1:7">
      <c r="A3746" s="28">
        <v>4100602</v>
      </c>
      <c r="B3746" s="28" t="s">
        <v>13270</v>
      </c>
      <c r="C3746" s="28">
        <v>3</v>
      </c>
      <c r="D3746" s="28" t="s">
        <v>13250</v>
      </c>
      <c r="E3746" s="28" t="s"/>
      <c r="F3746" s="28" t="s">
        <v>9846</v>
      </c>
      <c r="G3746" s="28">
        <v>200</v>
      </c>
    </row>
    <row r="3747" spans="1:7">
      <c r="A3747" s="28">
        <v>4100603</v>
      </c>
      <c r="B3747" s="28" t="s">
        <v>13271</v>
      </c>
      <c r="C3747" s="28">
        <v>3</v>
      </c>
      <c r="D3747" s="28" t="s">
        <v>13250</v>
      </c>
      <c r="E3747" s="28" t="s"/>
      <c r="F3747" s="28" t="s">
        <v>9846</v>
      </c>
      <c r="G3747" s="28">
        <v>200</v>
      </c>
    </row>
    <row r="3748" spans="1:7">
      <c r="A3748" s="28">
        <v>4100701</v>
      </c>
      <c r="B3748" s="28" t="s">
        <v>13272</v>
      </c>
      <c r="C3748" s="28">
        <v>3</v>
      </c>
      <c r="D3748" s="28" t="s">
        <v>13250</v>
      </c>
      <c r="E3748" s="28" t="s"/>
      <c r="F3748" s="28" t="s">
        <v>9825</v>
      </c>
      <c r="G3748" s="28">
        <v>200</v>
      </c>
    </row>
    <row r="3749" spans="1:7">
      <c r="A3749" s="28">
        <v>4100702</v>
      </c>
      <c r="B3749" s="28" t="s">
        <v>13273</v>
      </c>
      <c r="C3749" s="28">
        <v>3</v>
      </c>
      <c r="D3749" s="28" t="s">
        <v>13250</v>
      </c>
      <c r="E3749" s="28" t="s"/>
      <c r="F3749" s="28" t="s">
        <v>9825</v>
      </c>
      <c r="G3749" s="28">
        <v>200</v>
      </c>
    </row>
    <row r="3750" spans="1:7">
      <c r="A3750" s="28">
        <v>4100703</v>
      </c>
      <c r="B3750" s="28" t="s">
        <v>13274</v>
      </c>
      <c r="C3750" s="28">
        <v>3</v>
      </c>
      <c r="D3750" s="28" t="s">
        <v>13250</v>
      </c>
      <c r="E3750" s="28" t="s"/>
      <c r="F3750" s="28" t="s">
        <v>9825</v>
      </c>
      <c r="G3750" s="28">
        <v>200</v>
      </c>
    </row>
    <row r="3751" spans="1:7">
      <c r="A3751" s="28">
        <v>4100801</v>
      </c>
      <c r="B3751" s="28" t="s">
        <v>13275</v>
      </c>
      <c r="C3751" s="28">
        <v>3</v>
      </c>
      <c r="D3751" s="28" t="s">
        <v>13250</v>
      </c>
      <c r="E3751" s="28" t="s"/>
      <c r="F3751" s="28" t="s">
        <v>9810</v>
      </c>
      <c r="G3751" s="28">
        <v>200</v>
      </c>
    </row>
    <row r="3752" spans="1:7">
      <c r="A3752" s="28">
        <v>4100802</v>
      </c>
      <c r="B3752" s="28" t="s">
        <v>13276</v>
      </c>
      <c r="C3752" s="28">
        <v>3</v>
      </c>
      <c r="D3752" s="28" t="s">
        <v>13250</v>
      </c>
      <c r="E3752" s="28" t="s"/>
      <c r="F3752" s="28" t="s">
        <v>9810</v>
      </c>
      <c r="G3752" s="28">
        <v>200</v>
      </c>
    </row>
    <row r="3753" spans="1:7">
      <c r="A3753" s="28">
        <v>4100803</v>
      </c>
      <c r="B3753" s="28" t="s">
        <v>13277</v>
      </c>
      <c r="C3753" s="28">
        <v>3</v>
      </c>
      <c r="D3753" s="28" t="s">
        <v>13250</v>
      </c>
      <c r="E3753" s="28" t="s"/>
      <c r="F3753" s="28" t="s">
        <v>9810</v>
      </c>
      <c r="G3753" s="28">
        <v>200</v>
      </c>
    </row>
    <row r="3754" spans="1:7">
      <c r="A3754" s="28">
        <v>4100901</v>
      </c>
      <c r="B3754" s="28" t="s">
        <v>13278</v>
      </c>
      <c r="C3754" s="28">
        <v>3</v>
      </c>
      <c r="D3754" s="28" t="s">
        <v>13250</v>
      </c>
      <c r="E3754" s="28" t="s"/>
      <c r="F3754" s="28" t="s">
        <v>9829</v>
      </c>
      <c r="G3754" s="28">
        <v>200</v>
      </c>
    </row>
    <row r="3755" spans="1:7">
      <c r="A3755" s="28">
        <v>4100902</v>
      </c>
      <c r="B3755" s="28" t="s">
        <v>13279</v>
      </c>
      <c r="C3755" s="28">
        <v>3</v>
      </c>
      <c r="D3755" s="28" t="s">
        <v>13250</v>
      </c>
      <c r="E3755" s="28" t="s"/>
      <c r="F3755" s="28" t="s">
        <v>9829</v>
      </c>
      <c r="G3755" s="28">
        <v>200</v>
      </c>
    </row>
    <row r="3756" spans="1:7">
      <c r="A3756" s="28">
        <v>4100903</v>
      </c>
      <c r="B3756" s="28" t="s">
        <v>13280</v>
      </c>
      <c r="C3756" s="28">
        <v>3</v>
      </c>
      <c r="D3756" s="28" t="s">
        <v>13250</v>
      </c>
      <c r="E3756" s="28" t="s"/>
      <c r="F3756" s="28" t="s">
        <v>9829</v>
      </c>
      <c r="G3756" s="28">
        <v>200</v>
      </c>
    </row>
    <row r="3757" spans="1:7">
      <c r="A3757" s="28">
        <v>4101001</v>
      </c>
      <c r="B3757" s="28" t="s">
        <v>13281</v>
      </c>
      <c r="C3757" s="28">
        <v>3</v>
      </c>
      <c r="D3757" s="28" t="s">
        <v>13250</v>
      </c>
      <c r="E3757" s="28" t="s"/>
      <c r="F3757" s="28" t="s">
        <v>9832</v>
      </c>
      <c r="G3757" s="28">
        <v>200</v>
      </c>
    </row>
    <row r="3758" spans="1:7">
      <c r="A3758" s="28">
        <v>4101002</v>
      </c>
      <c r="B3758" s="28" t="s">
        <v>13282</v>
      </c>
      <c r="C3758" s="28">
        <v>3</v>
      </c>
      <c r="D3758" s="28" t="s">
        <v>13250</v>
      </c>
      <c r="E3758" s="28" t="s"/>
      <c r="F3758" s="28" t="s">
        <v>9832</v>
      </c>
      <c r="G3758" s="28">
        <v>200</v>
      </c>
    </row>
    <row r="3759" spans="1:7">
      <c r="A3759" s="28">
        <v>4101003</v>
      </c>
      <c r="B3759" s="28" t="s">
        <v>13283</v>
      </c>
      <c r="C3759" s="28">
        <v>3</v>
      </c>
      <c r="D3759" s="28" t="s">
        <v>13250</v>
      </c>
      <c r="E3759" s="28" t="s"/>
      <c r="F3759" s="28" t="s">
        <v>9832</v>
      </c>
      <c r="G3759" s="28">
        <v>200</v>
      </c>
    </row>
    <row r="3760" spans="1:7">
      <c r="A3760" s="28">
        <v>4101101</v>
      </c>
      <c r="B3760" s="28" t="s">
        <v>13284</v>
      </c>
      <c r="C3760" s="28">
        <v>3</v>
      </c>
      <c r="D3760" s="28" t="s">
        <v>13250</v>
      </c>
      <c r="E3760" s="28" t="s"/>
      <c r="F3760" s="28" t="s">
        <v>9797</v>
      </c>
      <c r="G3760" s="28">
        <v>200</v>
      </c>
    </row>
    <row r="3761" spans="1:7">
      <c r="A3761" s="28">
        <v>4101102</v>
      </c>
      <c r="B3761" s="28" t="s">
        <v>13285</v>
      </c>
      <c r="C3761" s="28">
        <v>3</v>
      </c>
      <c r="D3761" s="28" t="s">
        <v>13250</v>
      </c>
      <c r="E3761" s="28" t="s"/>
      <c r="F3761" s="28" t="s">
        <v>9797</v>
      </c>
      <c r="G3761" s="28">
        <v>200</v>
      </c>
    </row>
    <row r="3762" spans="1:7">
      <c r="A3762" s="28">
        <v>4101103</v>
      </c>
      <c r="B3762" s="28" t="s">
        <v>13286</v>
      </c>
      <c r="C3762" s="28">
        <v>3</v>
      </c>
      <c r="D3762" s="28" t="s">
        <v>13250</v>
      </c>
      <c r="E3762" s="28" t="s"/>
      <c r="F3762" s="28" t="s">
        <v>9797</v>
      </c>
      <c r="G3762" s="28">
        <v>200</v>
      </c>
    </row>
    <row r="3763" spans="1:7">
      <c r="A3763" s="28">
        <v>4101201</v>
      </c>
      <c r="B3763" s="28" t="s">
        <v>13287</v>
      </c>
      <c r="C3763" s="28">
        <v>3</v>
      </c>
      <c r="D3763" s="28" t="s">
        <v>13250</v>
      </c>
      <c r="E3763" s="28" t="s"/>
      <c r="F3763" s="28" t="s">
        <v>9839</v>
      </c>
      <c r="G3763" s="28">
        <v>200</v>
      </c>
    </row>
    <row r="3764" spans="1:7">
      <c r="A3764" s="28">
        <v>4101202</v>
      </c>
      <c r="B3764" s="28" t="s">
        <v>13288</v>
      </c>
      <c r="C3764" s="28">
        <v>3</v>
      </c>
      <c r="D3764" s="28" t="s">
        <v>13250</v>
      </c>
      <c r="E3764" s="28" t="s"/>
      <c r="F3764" s="28" t="s">
        <v>9839</v>
      </c>
      <c r="G3764" s="28">
        <v>200</v>
      </c>
    </row>
    <row r="3765" spans="1:7">
      <c r="A3765" s="28">
        <v>4101203</v>
      </c>
      <c r="B3765" s="28" t="s">
        <v>13289</v>
      </c>
      <c r="C3765" s="28">
        <v>3</v>
      </c>
      <c r="D3765" s="28" t="s">
        <v>13250</v>
      </c>
      <c r="E3765" s="28" t="s"/>
      <c r="F3765" s="28" t="s">
        <v>9839</v>
      </c>
      <c r="G3765" s="28">
        <v>200</v>
      </c>
    </row>
    <row r="3766" spans="1:7">
      <c r="A3766" s="28">
        <v>4101301</v>
      </c>
      <c r="B3766" s="28" t="s">
        <v>13290</v>
      </c>
      <c r="C3766" s="28">
        <v>3</v>
      </c>
      <c r="D3766" s="28" t="s">
        <v>13250</v>
      </c>
      <c r="E3766" s="28" t="s"/>
      <c r="F3766" s="28" t="s">
        <v>9842</v>
      </c>
      <c r="G3766" s="28">
        <v>200</v>
      </c>
    </row>
    <row r="3767" spans="1:7">
      <c r="A3767" s="28">
        <v>4101302</v>
      </c>
      <c r="B3767" s="28" t="s">
        <v>13291</v>
      </c>
      <c r="C3767" s="28">
        <v>3</v>
      </c>
      <c r="D3767" s="28" t="s">
        <v>13250</v>
      </c>
      <c r="E3767" s="28" t="s"/>
      <c r="F3767" s="28" t="s">
        <v>9842</v>
      </c>
      <c r="G3767" s="28">
        <v>200</v>
      </c>
    </row>
    <row r="3768" spans="1:7">
      <c r="A3768" s="28">
        <v>4101303</v>
      </c>
      <c r="B3768" s="28" t="s">
        <v>13292</v>
      </c>
      <c r="C3768" s="28">
        <v>3</v>
      </c>
      <c r="D3768" s="28" t="s">
        <v>13250</v>
      </c>
      <c r="E3768" s="28" t="s"/>
      <c r="F3768" s="28" t="s">
        <v>9842</v>
      </c>
      <c r="G3768" s="28">
        <v>200</v>
      </c>
    </row>
    <row r="3769" spans="1:7">
      <c r="A3769" s="28">
        <v>4101401</v>
      </c>
      <c r="B3769" s="28" t="s">
        <v>13293</v>
      </c>
      <c r="C3769" s="28">
        <v>3</v>
      </c>
      <c r="D3769" s="28" t="s">
        <v>13250</v>
      </c>
      <c r="E3769" s="28" t="s"/>
      <c r="F3769" s="28" t="s">
        <v>9821</v>
      </c>
      <c r="G3769" s="28">
        <v>200</v>
      </c>
    </row>
    <row r="3770" spans="1:7">
      <c r="A3770" s="28">
        <v>4101402</v>
      </c>
      <c r="B3770" s="28" t="s">
        <v>13294</v>
      </c>
      <c r="C3770" s="28">
        <v>3</v>
      </c>
      <c r="D3770" s="28" t="s">
        <v>13250</v>
      </c>
      <c r="E3770" s="28" t="s"/>
      <c r="F3770" s="28" t="s">
        <v>9821</v>
      </c>
      <c r="G3770" s="28">
        <v>200</v>
      </c>
    </row>
    <row r="3771" spans="1:7">
      <c r="A3771" s="28">
        <v>4101403</v>
      </c>
      <c r="B3771" s="28" t="s">
        <v>13295</v>
      </c>
      <c r="C3771" s="28">
        <v>3</v>
      </c>
      <c r="D3771" s="28" t="s">
        <v>13250</v>
      </c>
      <c r="E3771" s="28" t="s"/>
      <c r="F3771" s="28" t="s">
        <v>9821</v>
      </c>
      <c r="G3771" s="28">
        <v>200</v>
      </c>
    </row>
    <row r="3772" spans="1:7">
      <c r="A3772" s="28">
        <v>4101501</v>
      </c>
      <c r="B3772" s="28" t="s">
        <v>13296</v>
      </c>
      <c r="C3772" s="28">
        <v>3</v>
      </c>
      <c r="D3772" s="28" t="s">
        <v>13250</v>
      </c>
      <c r="E3772" s="28" t="s"/>
      <c r="F3772" s="28" t="s">
        <v>9818</v>
      </c>
      <c r="G3772" s="28">
        <v>200</v>
      </c>
    </row>
    <row r="3773" spans="1:7">
      <c r="A3773" s="28">
        <v>4101502</v>
      </c>
      <c r="B3773" s="28" t="s">
        <v>13297</v>
      </c>
      <c r="C3773" s="28">
        <v>3</v>
      </c>
      <c r="D3773" s="28" t="s">
        <v>13250</v>
      </c>
      <c r="E3773" s="28" t="s"/>
      <c r="F3773" s="28" t="s">
        <v>9818</v>
      </c>
      <c r="G3773" s="28">
        <v>200</v>
      </c>
    </row>
    <row r="3774" spans="1:7">
      <c r="A3774" s="28">
        <v>4101503</v>
      </c>
      <c r="B3774" s="28" t="s">
        <v>13298</v>
      </c>
      <c r="C3774" s="28">
        <v>3</v>
      </c>
      <c r="D3774" s="28" t="s">
        <v>13250</v>
      </c>
      <c r="E3774" s="28" t="s"/>
      <c r="F3774" s="28" t="s">
        <v>9818</v>
      </c>
      <c r="G3774" s="28">
        <v>200</v>
      </c>
    </row>
    <row r="3775" spans="1:7">
      <c r="A3775" s="28">
        <v>4101601</v>
      </c>
      <c r="B3775" s="28" t="s">
        <v>13299</v>
      </c>
      <c r="C3775" s="28">
        <v>3</v>
      </c>
      <c r="D3775" s="28" t="s">
        <v>13250</v>
      </c>
      <c r="E3775" s="28" t="s"/>
      <c r="F3775" s="28" t="s">
        <v>9814</v>
      </c>
      <c r="G3775" s="28">
        <v>200</v>
      </c>
    </row>
    <row r="3776" spans="1:7">
      <c r="A3776" s="28">
        <v>4101602</v>
      </c>
      <c r="B3776" s="28" t="s">
        <v>13300</v>
      </c>
      <c r="C3776" s="28">
        <v>3</v>
      </c>
      <c r="D3776" s="28" t="s">
        <v>13250</v>
      </c>
      <c r="E3776" s="54" t="s"/>
      <c r="F3776" s="28" t="s">
        <v>9814</v>
      </c>
      <c r="G3776" s="28">
        <v>200</v>
      </c>
    </row>
    <row r="3777" spans="1:7">
      <c r="A3777" s="28">
        <v>4101603</v>
      </c>
      <c r="B3777" s="28" t="s">
        <v>13301</v>
      </c>
      <c r="C3777" s="28">
        <v>3</v>
      </c>
      <c r="D3777" s="28" t="s">
        <v>13250</v>
      </c>
      <c r="E3777" s="54" t="s"/>
      <c r="F3777" s="28" t="s">
        <v>9814</v>
      </c>
      <c r="G3777" s="28">
        <v>200</v>
      </c>
    </row>
    <row r="3778" spans="1:7">
      <c r="A3778" s="28">
        <v>4101701</v>
      </c>
      <c r="B3778" s="28" t="s">
        <v>13302</v>
      </c>
      <c r="C3778" s="28">
        <v>4</v>
      </c>
      <c r="D3778" s="28" t="s">
        <v>13250</v>
      </c>
      <c r="E3778" s="54" t="s"/>
      <c r="F3778" s="28" t="s">
        <v>9882</v>
      </c>
      <c r="G3778" s="28">
        <v>200</v>
      </c>
    </row>
    <row r="3779" spans="1:7">
      <c r="A3779" s="28">
        <v>4101702</v>
      </c>
      <c r="B3779" s="28" t="s">
        <v>13303</v>
      </c>
      <c r="C3779" s="28">
        <v>4</v>
      </c>
      <c r="D3779" s="28" t="s">
        <v>13250</v>
      </c>
      <c r="E3779" s="54" t="s"/>
      <c r="F3779" s="28" t="s">
        <v>9882</v>
      </c>
      <c r="G3779" s="28">
        <v>200</v>
      </c>
    </row>
    <row r="3780" spans="1:7">
      <c r="A3780" s="28">
        <v>4101703</v>
      </c>
      <c r="B3780" s="28" t="s">
        <v>13304</v>
      </c>
      <c r="C3780" s="28">
        <v>4</v>
      </c>
      <c r="D3780" s="28" t="s">
        <v>13250</v>
      </c>
      <c r="E3780" s="54" t="s"/>
      <c r="F3780" s="28" t="s">
        <v>9882</v>
      </c>
      <c r="G3780" s="28">
        <v>200</v>
      </c>
    </row>
    <row r="3781" spans="1:7">
      <c r="A3781" s="28">
        <v>4101801</v>
      </c>
      <c r="B3781" s="28" t="s">
        <v>13305</v>
      </c>
      <c r="C3781" s="28">
        <v>4</v>
      </c>
      <c r="D3781" s="28" t="s">
        <v>13250</v>
      </c>
      <c r="E3781" s="28" t="s"/>
      <c r="F3781" s="28" t="s">
        <v>9862</v>
      </c>
      <c r="G3781" s="28">
        <v>200</v>
      </c>
    </row>
    <row r="3782" spans="1:7">
      <c r="A3782" s="28">
        <v>4101802</v>
      </c>
      <c r="B3782" s="28" t="s">
        <v>13306</v>
      </c>
      <c r="C3782" s="28">
        <v>4</v>
      </c>
      <c r="D3782" s="28" t="s">
        <v>13250</v>
      </c>
      <c r="E3782" s="54" t="s"/>
      <c r="F3782" s="28" t="s">
        <v>9862</v>
      </c>
      <c r="G3782" s="28">
        <v>200</v>
      </c>
    </row>
    <row r="3783" spans="1:7">
      <c r="A3783" s="28">
        <v>4101803</v>
      </c>
      <c r="B3783" s="28" t="s">
        <v>13307</v>
      </c>
      <c r="C3783" s="28">
        <v>4</v>
      </c>
      <c r="D3783" s="28" t="s">
        <v>13250</v>
      </c>
      <c r="E3783" s="54" t="s"/>
      <c r="F3783" s="28" t="s">
        <v>9862</v>
      </c>
      <c r="G3783" s="28">
        <v>200</v>
      </c>
    </row>
    <row r="3784" spans="1:7">
      <c r="A3784" s="28">
        <v>4101901</v>
      </c>
      <c r="B3784" s="28" t="s">
        <v>13308</v>
      </c>
      <c r="C3784" s="28">
        <v>4</v>
      </c>
      <c r="D3784" s="28" t="s">
        <v>13250</v>
      </c>
      <c r="E3784" s="54" t="s"/>
      <c r="F3784" s="28" t="s">
        <v>9803</v>
      </c>
      <c r="G3784" s="28">
        <v>200</v>
      </c>
    </row>
    <row r="3785" spans="1:7">
      <c r="A3785" s="28">
        <v>4101902</v>
      </c>
      <c r="B3785" s="28" t="s">
        <v>13309</v>
      </c>
      <c r="C3785" s="28">
        <v>4</v>
      </c>
      <c r="D3785" s="28" t="s">
        <v>13250</v>
      </c>
      <c r="E3785" s="54" t="s"/>
      <c r="F3785" s="28" t="s">
        <v>9803</v>
      </c>
      <c r="G3785" s="28">
        <v>200</v>
      </c>
    </row>
    <row r="3786" spans="1:7">
      <c r="A3786" s="28">
        <v>4101903</v>
      </c>
      <c r="B3786" s="28" t="s">
        <v>13310</v>
      </c>
      <c r="C3786" s="28">
        <v>4</v>
      </c>
      <c r="D3786" s="28" t="s">
        <v>13250</v>
      </c>
      <c r="E3786" s="54" t="s"/>
      <c r="F3786" s="28" t="s">
        <v>9803</v>
      </c>
      <c r="G3786" s="28">
        <v>200</v>
      </c>
    </row>
    <row r="3787" spans="1:7">
      <c r="A3787" s="28">
        <v>4102001</v>
      </c>
      <c r="B3787" s="28" t="s">
        <v>13311</v>
      </c>
      <c r="C3787" s="28">
        <v>4</v>
      </c>
      <c r="D3787" s="28" t="s">
        <v>13250</v>
      </c>
      <c r="E3787" s="54" t="s"/>
      <c r="F3787" s="28" t="s">
        <v>9902</v>
      </c>
      <c r="G3787" s="28">
        <v>200</v>
      </c>
    </row>
    <row r="3788" spans="1:7">
      <c r="A3788" s="28">
        <v>4102101</v>
      </c>
      <c r="B3788" s="28" t="s">
        <v>13312</v>
      </c>
      <c r="C3788" s="28">
        <v>4</v>
      </c>
      <c r="D3788" s="28" t="s">
        <v>13250</v>
      </c>
      <c r="E3788" s="54" t="s"/>
      <c r="F3788" s="28" t="s">
        <v>9890</v>
      </c>
      <c r="G3788" s="28">
        <v>200</v>
      </c>
    </row>
    <row r="3789" spans="1:7">
      <c r="A3789" s="28">
        <v>4102102</v>
      </c>
      <c r="B3789" s="28" t="s">
        <v>13313</v>
      </c>
      <c r="C3789" s="28">
        <v>4</v>
      </c>
      <c r="D3789" s="28" t="s">
        <v>13250</v>
      </c>
      <c r="E3789" s="54" t="s"/>
      <c r="F3789" s="28" t="s">
        <v>9890</v>
      </c>
      <c r="G3789" s="28">
        <v>200</v>
      </c>
    </row>
    <row r="3790" spans="1:7">
      <c r="A3790" s="28">
        <v>4102103</v>
      </c>
      <c r="B3790" s="28" t="s">
        <v>13314</v>
      </c>
      <c r="C3790" s="28">
        <v>4</v>
      </c>
      <c r="D3790" s="28" t="s">
        <v>13250</v>
      </c>
      <c r="E3790" s="54" t="s"/>
      <c r="F3790" s="28" t="s">
        <v>9890</v>
      </c>
      <c r="G3790" s="28">
        <v>200</v>
      </c>
    </row>
    <row r="3791" spans="1:7">
      <c r="A3791" s="28">
        <v>4102104</v>
      </c>
      <c r="B3791" s="28" t="s">
        <v>13315</v>
      </c>
      <c r="C3791" s="28">
        <v>4</v>
      </c>
      <c r="D3791" s="28" t="s">
        <v>13250</v>
      </c>
      <c r="E3791" s="54" t="s"/>
      <c r="F3791" s="28" t="s">
        <v>9890</v>
      </c>
      <c r="G3791" s="28">
        <v>200</v>
      </c>
    </row>
    <row r="3792" spans="1:7">
      <c r="A3792" s="28">
        <v>4102201</v>
      </c>
      <c r="B3792" s="28" t="s">
        <v>13316</v>
      </c>
      <c r="C3792" s="28">
        <v>4</v>
      </c>
      <c r="D3792" s="28" t="s">
        <v>13250</v>
      </c>
      <c r="E3792" s="54" t="s"/>
      <c r="F3792" s="28" t="s">
        <v>9835</v>
      </c>
      <c r="G3792" s="28">
        <v>200</v>
      </c>
    </row>
    <row r="3793" spans="1:7">
      <c r="A3793" s="28">
        <v>4102202</v>
      </c>
      <c r="B3793" s="28" t="s">
        <v>13317</v>
      </c>
      <c r="C3793" s="28">
        <v>4</v>
      </c>
      <c r="D3793" s="28" t="s">
        <v>13250</v>
      </c>
      <c r="E3793" s="28" t="s"/>
      <c r="F3793" s="28" t="s">
        <v>9835</v>
      </c>
      <c r="G3793" s="28">
        <v>200</v>
      </c>
    </row>
    <row r="3794" spans="1:7">
      <c r="A3794" s="28">
        <v>4102203</v>
      </c>
      <c r="B3794" s="28" t="s">
        <v>13318</v>
      </c>
      <c r="C3794" s="28">
        <v>4</v>
      </c>
      <c r="D3794" s="28" t="s">
        <v>13250</v>
      </c>
      <c r="E3794" s="28" t="s"/>
      <c r="F3794" s="28" t="s">
        <v>9835</v>
      </c>
      <c r="G3794" s="28">
        <v>200</v>
      </c>
    </row>
    <row r="3795" spans="1:7">
      <c r="A3795" s="28">
        <v>4102204</v>
      </c>
      <c r="B3795" s="28" t="s">
        <v>13319</v>
      </c>
      <c r="C3795" s="28">
        <v>4</v>
      </c>
      <c r="D3795" s="28" t="s">
        <v>13250</v>
      </c>
      <c r="E3795" s="28" t="s"/>
      <c r="F3795" s="28" t="s">
        <v>9835</v>
      </c>
      <c r="G3795" s="28">
        <v>200</v>
      </c>
    </row>
    <row r="3796" spans="1:7">
      <c r="A3796" s="28">
        <v>4102301</v>
      </c>
      <c r="B3796" s="28" t="s">
        <v>13320</v>
      </c>
      <c r="C3796" s="28">
        <v>4</v>
      </c>
      <c r="D3796" s="28" t="s">
        <v>13250</v>
      </c>
      <c r="E3796" s="28" t="s"/>
      <c r="F3796" s="28" t="s">
        <v>9886</v>
      </c>
      <c r="G3796" s="28">
        <v>200</v>
      </c>
    </row>
    <row r="3797" spans="1:7">
      <c r="A3797" s="28">
        <v>4102302</v>
      </c>
      <c r="B3797" s="28" t="s">
        <v>13321</v>
      </c>
      <c r="C3797" s="28">
        <v>4</v>
      </c>
      <c r="D3797" s="28" t="s">
        <v>13250</v>
      </c>
      <c r="E3797" s="54" t="s"/>
      <c r="F3797" s="28" t="s">
        <v>9886</v>
      </c>
      <c r="G3797" s="28">
        <v>200</v>
      </c>
    </row>
    <row r="3798" spans="1:7">
      <c r="A3798" s="28">
        <v>4102303</v>
      </c>
      <c r="B3798" s="28" t="s">
        <v>13322</v>
      </c>
      <c r="C3798" s="28">
        <v>4</v>
      </c>
      <c r="D3798" s="28" t="s">
        <v>13250</v>
      </c>
      <c r="E3798" s="28" t="s"/>
      <c r="F3798" s="28" t="s">
        <v>9886</v>
      </c>
      <c r="G3798" s="28">
        <v>200</v>
      </c>
    </row>
    <row r="3799" spans="1:7">
      <c r="A3799" s="28">
        <v>4102304</v>
      </c>
      <c r="B3799" s="28" t="s">
        <v>13323</v>
      </c>
      <c r="C3799" s="28">
        <v>4</v>
      </c>
      <c r="D3799" s="28" t="s">
        <v>13250</v>
      </c>
      <c r="E3799" s="28" t="s"/>
      <c r="F3799" s="28" t="s">
        <v>9886</v>
      </c>
      <c r="G3799" s="28">
        <v>200</v>
      </c>
    </row>
    <row r="3800" spans="1:7">
      <c r="A3800" s="28">
        <v>4102401</v>
      </c>
      <c r="B3800" s="28" t="s">
        <v>13324</v>
      </c>
      <c r="C3800" s="28">
        <v>4</v>
      </c>
      <c r="D3800" s="28" t="s">
        <v>13250</v>
      </c>
      <c r="E3800" s="28" t="s"/>
      <c r="F3800" s="28" t="s">
        <v>9866</v>
      </c>
      <c r="G3800" s="28">
        <v>200</v>
      </c>
    </row>
    <row r="3801" spans="1:7">
      <c r="A3801" s="28">
        <v>4102501</v>
      </c>
      <c r="B3801" s="28" t="s">
        <v>13325</v>
      </c>
      <c r="C3801" s="28">
        <v>4</v>
      </c>
      <c r="D3801" s="28" t="s">
        <v>13250</v>
      </c>
      <c r="E3801" s="28" t="s"/>
      <c r="F3801" s="28" t="s">
        <v>9870</v>
      </c>
      <c r="G3801" s="28">
        <v>200</v>
      </c>
    </row>
    <row r="3802" spans="1:7">
      <c r="A3802" s="28">
        <v>4102502</v>
      </c>
      <c r="B3802" s="28" t="s">
        <v>13326</v>
      </c>
      <c r="C3802" s="28">
        <v>4</v>
      </c>
      <c r="D3802" s="28" t="s">
        <v>13250</v>
      </c>
      <c r="E3802" s="28" t="s"/>
      <c r="F3802" s="28" t="s">
        <v>9870</v>
      </c>
      <c r="G3802" s="28">
        <v>200</v>
      </c>
    </row>
    <row r="3803" spans="1:7">
      <c r="A3803" s="28">
        <v>4102503</v>
      </c>
      <c r="B3803" s="28" t="s">
        <v>13327</v>
      </c>
      <c r="C3803" s="28">
        <v>4</v>
      </c>
      <c r="D3803" s="28" t="s">
        <v>13250</v>
      </c>
      <c r="E3803" s="28" t="s"/>
      <c r="F3803" s="28" t="s">
        <v>9870</v>
      </c>
      <c r="G3803" s="28">
        <v>200</v>
      </c>
    </row>
    <row r="3804" spans="1:7">
      <c r="A3804" s="28">
        <v>4102504</v>
      </c>
      <c r="B3804" s="28" t="s">
        <v>13328</v>
      </c>
      <c r="C3804" s="28">
        <v>4</v>
      </c>
      <c r="D3804" s="28" t="s">
        <v>13250</v>
      </c>
      <c r="E3804" s="28" t="s"/>
      <c r="F3804" s="28" t="s">
        <v>9870</v>
      </c>
      <c r="G3804" s="28">
        <v>200</v>
      </c>
    </row>
    <row r="3805" spans="1:7">
      <c r="A3805" s="28">
        <v>4102601</v>
      </c>
      <c r="B3805" s="28" t="s">
        <v>13329</v>
      </c>
      <c r="C3805" s="28">
        <v>4</v>
      </c>
      <c r="D3805" s="28" t="s">
        <v>13250</v>
      </c>
      <c r="E3805" s="28" t="s"/>
      <c r="F3805" s="28" t="s">
        <v>9800</v>
      </c>
      <c r="G3805" s="28">
        <v>200</v>
      </c>
    </row>
    <row r="3806" spans="1:7">
      <c r="A3806" s="28">
        <v>4102602</v>
      </c>
      <c r="B3806" s="28" t="s">
        <v>13330</v>
      </c>
      <c r="C3806" s="28">
        <v>4</v>
      </c>
      <c r="D3806" s="28" t="s">
        <v>13250</v>
      </c>
      <c r="E3806" s="54" t="s"/>
      <c r="F3806" s="28" t="s">
        <v>9800</v>
      </c>
      <c r="G3806" s="28">
        <v>200</v>
      </c>
    </row>
    <row r="3807" spans="1:7">
      <c r="A3807" s="28">
        <v>4102603</v>
      </c>
      <c r="B3807" s="28" t="s">
        <v>13331</v>
      </c>
      <c r="C3807" s="28">
        <v>4</v>
      </c>
      <c r="D3807" s="28" t="s">
        <v>13250</v>
      </c>
      <c r="E3807" s="28" t="s"/>
      <c r="F3807" s="28" t="s">
        <v>9800</v>
      </c>
      <c r="G3807" s="28">
        <v>200</v>
      </c>
    </row>
    <row r="3808" spans="1:7">
      <c r="A3808" s="28">
        <v>4102604</v>
      </c>
      <c r="B3808" s="28" t="s">
        <v>13332</v>
      </c>
      <c r="C3808" s="28">
        <v>4</v>
      </c>
      <c r="D3808" s="28" t="s">
        <v>13250</v>
      </c>
      <c r="E3808" s="28" t="s"/>
      <c r="F3808" s="28" t="s">
        <v>9800</v>
      </c>
      <c r="G3808" s="28">
        <v>200</v>
      </c>
    </row>
    <row r="3809" spans="1:7">
      <c r="A3809" s="28">
        <v>4120011</v>
      </c>
      <c r="B3809" s="28" t="s">
        <v>13333</v>
      </c>
      <c r="C3809" s="28">
        <v>3</v>
      </c>
      <c r="D3809" s="28" t="s">
        <v>13334</v>
      </c>
      <c r="E3809" s="28" t="s">
        <v>12265</v>
      </c>
      <c r="F3809" s="28" t="s">
        <v>13335</v>
      </c>
      <c r="G3809" s="28">
        <v>1</v>
      </c>
    </row>
    <row r="3810" spans="1:7">
      <c r="A3810" s="28">
        <v>4120012</v>
      </c>
      <c r="B3810" s="28" t="s">
        <v>13336</v>
      </c>
      <c r="C3810" s="28">
        <v>3</v>
      </c>
      <c r="D3810" s="28" t="s">
        <v>13337</v>
      </c>
      <c r="E3810" s="28" t="s"/>
      <c r="F3810" s="28" t="s">
        <v>13338</v>
      </c>
      <c r="G3810" s="28">
        <v>1</v>
      </c>
    </row>
    <row r="3811" spans="1:7">
      <c r="A3811" s="28">
        <v>4120022</v>
      </c>
      <c r="B3811" s="28" t="s">
        <v>13339</v>
      </c>
      <c r="C3811" s="28">
        <v>3</v>
      </c>
      <c r="D3811" s="28" t="s">
        <v>13340</v>
      </c>
      <c r="E3811" s="28" t="s">
        <v>13341</v>
      </c>
      <c r="F3811" s="28" t="s">
        <v>13338</v>
      </c>
      <c r="G3811" s="28">
        <v>1</v>
      </c>
    </row>
    <row r="3812" spans="1:7">
      <c r="A3812" s="28">
        <v>4120110</v>
      </c>
      <c r="B3812" s="28" t="s">
        <v>13342</v>
      </c>
      <c r="C3812" s="28">
        <v>3</v>
      </c>
      <c r="D3812" s="28" t="s">
        <v>13343</v>
      </c>
      <c r="E3812" s="28" t="s"/>
      <c r="F3812" s="28" t="s">
        <v>12266</v>
      </c>
      <c r="G3812" s="28">
        <v>1</v>
      </c>
    </row>
    <row r="3813" spans="1:7">
      <c r="A3813" s="28">
        <v>4120111</v>
      </c>
      <c r="B3813" s="28" t="s">
        <v>13344</v>
      </c>
      <c r="C3813" s="28">
        <v>3</v>
      </c>
      <c r="D3813" s="28" t="s">
        <v>13345</v>
      </c>
      <c r="E3813" s="28" t="s"/>
      <c r="F3813" s="28" t="s">
        <v>13335</v>
      </c>
      <c r="G3813" s="28">
        <v>1</v>
      </c>
    </row>
    <row r="3814" spans="1:7">
      <c r="A3814" s="28">
        <v>4120112</v>
      </c>
      <c r="B3814" s="28" t="s">
        <v>13346</v>
      </c>
      <c r="C3814" s="28">
        <v>3</v>
      </c>
      <c r="D3814" s="28" t="s">
        <v>13340</v>
      </c>
      <c r="E3814" s="28" t="s">
        <v>13347</v>
      </c>
      <c r="F3814" s="28" t="s">
        <v>13338</v>
      </c>
      <c r="G3814" s="28">
        <v>1</v>
      </c>
    </row>
    <row r="3815" spans="1:7">
      <c r="A3815" s="28">
        <v>4120210</v>
      </c>
      <c r="B3815" s="28" t="s">
        <v>13348</v>
      </c>
      <c r="C3815" s="28">
        <v>3</v>
      </c>
      <c r="D3815" s="28" t="s">
        <v>13349</v>
      </c>
      <c r="E3815" s="28" t="s"/>
      <c r="F3815" s="28" t="s">
        <v>12266</v>
      </c>
      <c r="G3815" s="28">
        <v>1</v>
      </c>
    </row>
    <row r="3816" spans="1:7">
      <c r="A3816" s="28">
        <v>4120211</v>
      </c>
      <c r="B3816" s="28" t="s">
        <v>13333</v>
      </c>
      <c r="C3816" s="28">
        <v>3</v>
      </c>
      <c r="D3816" s="28" t="s">
        <v>13334</v>
      </c>
      <c r="E3816" s="28" t="s"/>
      <c r="F3816" s="28" t="s">
        <v>13350</v>
      </c>
      <c r="G3816" s="28">
        <v>1</v>
      </c>
    </row>
    <row r="3817" spans="1:7">
      <c r="A3817" s="28">
        <v>4120212</v>
      </c>
      <c r="B3817" s="28" t="s">
        <v>13336</v>
      </c>
      <c r="C3817" s="28">
        <v>3</v>
      </c>
      <c r="D3817" s="28" t="s">
        <v>13340</v>
      </c>
      <c r="E3817" s="28" t="s">
        <v>13337</v>
      </c>
      <c r="F3817" s="28" t="s">
        <v>13338</v>
      </c>
      <c r="G3817" s="28">
        <v>1</v>
      </c>
    </row>
    <row r="3818" spans="1:7">
      <c r="A3818" s="28">
        <v>4150001</v>
      </c>
      <c r="B3818" s="28" t="s">
        <v>13351</v>
      </c>
      <c r="C3818" s="28">
        <v>3</v>
      </c>
      <c r="D3818" s="28" t="s">
        <v>13352</v>
      </c>
      <c r="E3818" s="28" t="s">
        <v>13353</v>
      </c>
      <c r="F3818" s="28" t="s">
        <v>13354</v>
      </c>
      <c r="G3818" s="28">
        <v>999999</v>
      </c>
    </row>
    <row r="3819" spans="1:7">
      <c r="A3819" s="28">
        <v>4150002</v>
      </c>
      <c r="B3819" s="28" t="s">
        <v>13355</v>
      </c>
      <c r="C3819" s="28">
        <v>3</v>
      </c>
      <c r="D3819" s="28" t="s">
        <v>13356</v>
      </c>
      <c r="E3819" s="28" t="s">
        <v>13357</v>
      </c>
      <c r="F3819" s="28" t="s">
        <v>13358</v>
      </c>
      <c r="G3819" s="28">
        <v>999999</v>
      </c>
    </row>
    <row r="3820" spans="1:7">
      <c r="A3820" s="28">
        <v>4150003</v>
      </c>
      <c r="B3820" s="28" t="s">
        <v>13359</v>
      </c>
      <c r="C3820" s="28">
        <v>3</v>
      </c>
      <c r="D3820" s="28" t="s">
        <v>13352</v>
      </c>
      <c r="E3820" s="28" t="s">
        <v>13360</v>
      </c>
      <c r="F3820" s="28" t="s">
        <v>13361</v>
      </c>
      <c r="G3820" s="28">
        <v>999999</v>
      </c>
    </row>
    <row r="3821" spans="1:7">
      <c r="A3821" s="28">
        <v>4150004</v>
      </c>
      <c r="B3821" s="28" t="s">
        <v>13362</v>
      </c>
      <c r="C3821" s="28">
        <v>3</v>
      </c>
      <c r="D3821" s="28" t="s">
        <v>13363</v>
      </c>
      <c r="E3821" s="28" t="s">
        <v>13364</v>
      </c>
      <c r="F3821" s="28" t="s">
        <v>13365</v>
      </c>
      <c r="G3821" s="28">
        <v>999999</v>
      </c>
    </row>
    <row r="3822" spans="1:7">
      <c r="A3822" s="28">
        <v>4150005</v>
      </c>
      <c r="B3822" s="28" t="s">
        <v>13366</v>
      </c>
      <c r="C3822" s="28">
        <v>3</v>
      </c>
      <c r="D3822" s="28" t="s">
        <v>13356</v>
      </c>
      <c r="E3822" s="28" t="s">
        <v>13367</v>
      </c>
      <c r="F3822" s="28" t="s">
        <v>13368</v>
      </c>
      <c r="G3822" s="28">
        <v>999999</v>
      </c>
    </row>
    <row r="3823" spans="1:7">
      <c r="A3823" s="28">
        <v>4150006</v>
      </c>
      <c r="B3823" s="28" t="s">
        <v>13369</v>
      </c>
      <c r="C3823" s="28">
        <v>3</v>
      </c>
      <c r="D3823" s="28" t="s">
        <v>13370</v>
      </c>
      <c r="E3823" s="28" t="s">
        <v>13371</v>
      </c>
      <c r="F3823" s="28" t="s">
        <v>13372</v>
      </c>
      <c r="G3823" s="28">
        <v>999999</v>
      </c>
    </row>
    <row r="3824" spans="1:7">
      <c r="A3824" s="28">
        <v>4150007</v>
      </c>
      <c r="B3824" s="28" t="s">
        <v>13373</v>
      </c>
      <c r="C3824" s="28">
        <v>3</v>
      </c>
      <c r="D3824" s="28" t="s">
        <v>13352</v>
      </c>
      <c r="E3824" s="54" t="s">
        <v>13374</v>
      </c>
      <c r="F3824" s="28" t="s">
        <v>13375</v>
      </c>
      <c r="G3824" s="28">
        <v>999999</v>
      </c>
    </row>
    <row r="3825" spans="1:7">
      <c r="A3825" s="28">
        <v>4150008</v>
      </c>
      <c r="B3825" s="28" t="s">
        <v>13376</v>
      </c>
      <c r="C3825" s="28">
        <v>3</v>
      </c>
      <c r="D3825" s="28" t="s">
        <v>13377</v>
      </c>
      <c r="E3825" s="28" t="s">
        <v>13378</v>
      </c>
      <c r="F3825" s="28" t="s">
        <v>13379</v>
      </c>
      <c r="G3825" s="28">
        <v>999999</v>
      </c>
    </row>
    <row r="3826" spans="1:7">
      <c r="A3826" s="28">
        <v>4150009</v>
      </c>
      <c r="B3826" s="28" t="s">
        <v>13380</v>
      </c>
      <c r="C3826" s="28">
        <v>3</v>
      </c>
      <c r="D3826" s="28" t="s">
        <v>13356</v>
      </c>
      <c r="E3826" s="28" t="s">
        <v>13381</v>
      </c>
      <c r="F3826" s="28" t="s">
        <v>13382</v>
      </c>
      <c r="G3826" s="28">
        <v>999999</v>
      </c>
    </row>
    <row r="3827" spans="1:7">
      <c r="A3827" s="28">
        <v>4150010</v>
      </c>
      <c r="B3827" s="28" t="s">
        <v>13383</v>
      </c>
      <c r="C3827" s="28">
        <v>3</v>
      </c>
      <c r="D3827" s="28" t="s">
        <v>13356</v>
      </c>
      <c r="E3827" s="28" t="s">
        <v>13384</v>
      </c>
      <c r="F3827" s="28" t="s">
        <v>13385</v>
      </c>
      <c r="G3827" s="28">
        <v>999999</v>
      </c>
    </row>
    <row r="3828" spans="1:7">
      <c r="A3828" s="28">
        <v>4150011</v>
      </c>
      <c r="B3828" s="28" t="s">
        <v>13386</v>
      </c>
      <c r="C3828" s="28">
        <v>3</v>
      </c>
      <c r="D3828" s="28" t="s">
        <v>13370</v>
      </c>
      <c r="E3828" s="28" t="s">
        <v>13387</v>
      </c>
      <c r="F3828" s="28" t="s">
        <v>13388</v>
      </c>
      <c r="G3828" s="28">
        <v>999999</v>
      </c>
    </row>
    <row r="3829" spans="1:7">
      <c r="A3829" s="28">
        <v>4150012</v>
      </c>
      <c r="B3829" s="28" t="s">
        <v>13389</v>
      </c>
      <c r="C3829" s="28">
        <v>3</v>
      </c>
      <c r="D3829" s="28" t="s">
        <v>13390</v>
      </c>
      <c r="E3829" s="28" t="s">
        <v>13391</v>
      </c>
      <c r="F3829" s="28" t="s">
        <v>13392</v>
      </c>
      <c r="G3829" s="28">
        <v>999999</v>
      </c>
    </row>
    <row r="3830" spans="1:7">
      <c r="A3830" s="28">
        <v>4150013</v>
      </c>
      <c r="B3830" s="28" t="s">
        <v>13393</v>
      </c>
      <c r="C3830" s="28">
        <v>3</v>
      </c>
      <c r="D3830" s="28" t="s">
        <v>13352</v>
      </c>
      <c r="E3830" s="28" t="s">
        <v>13394</v>
      </c>
      <c r="F3830" s="28" t="s">
        <v>13395</v>
      </c>
      <c r="G3830" s="28">
        <v>999999</v>
      </c>
    </row>
    <row r="3831" spans="1:7">
      <c r="A3831" s="28">
        <v>4150014</v>
      </c>
      <c r="B3831" s="28" t="s">
        <v>13396</v>
      </c>
      <c r="C3831" s="28">
        <v>3</v>
      </c>
      <c r="D3831" s="28" t="s">
        <v>13397</v>
      </c>
      <c r="E3831" s="28" t="s">
        <v>13398</v>
      </c>
      <c r="F3831" s="28" t="s">
        <v>13399</v>
      </c>
      <c r="G3831" s="28">
        <v>999999</v>
      </c>
    </row>
    <row r="3832" spans="1:7">
      <c r="A3832" s="28">
        <v>4150015</v>
      </c>
      <c r="B3832" s="28" t="s">
        <v>13400</v>
      </c>
      <c r="C3832" s="28">
        <v>3</v>
      </c>
      <c r="D3832" s="28" t="s">
        <v>13352</v>
      </c>
      <c r="E3832" s="66" t="s">
        <v>13401</v>
      </c>
      <c r="F3832" s="28" t="s">
        <v>13402</v>
      </c>
      <c r="G3832" s="28">
        <v>999999</v>
      </c>
    </row>
    <row r="3833" spans="1:7">
      <c r="A3833" s="28">
        <v>4150016</v>
      </c>
      <c r="B3833" s="28" t="s">
        <v>13403</v>
      </c>
      <c r="C3833" s="28">
        <v>3</v>
      </c>
      <c r="D3833" s="28" t="s">
        <v>13404</v>
      </c>
      <c r="E3833" s="66" t="s">
        <v>13405</v>
      </c>
      <c r="F3833" s="28" t="s">
        <v>13406</v>
      </c>
      <c r="G3833" s="28">
        <v>999999</v>
      </c>
    </row>
    <row r="3834" spans="1:7">
      <c r="A3834" s="28">
        <v>4150017</v>
      </c>
      <c r="B3834" s="28" t="s">
        <v>13407</v>
      </c>
      <c r="C3834" s="28">
        <v>3</v>
      </c>
      <c r="D3834" s="28" t="s">
        <v>13370</v>
      </c>
      <c r="E3834" s="66" t="s">
        <v>13408</v>
      </c>
      <c r="F3834" s="28" t="s">
        <v>13409</v>
      </c>
      <c r="G3834" s="28">
        <v>999999</v>
      </c>
    </row>
    <row r="3835" spans="1:7">
      <c r="A3835" s="28">
        <v>4150018</v>
      </c>
      <c r="B3835" s="28" t="s">
        <v>13410</v>
      </c>
      <c r="C3835" s="28">
        <v>3</v>
      </c>
      <c r="D3835" s="28" t="s">
        <v>13390</v>
      </c>
      <c r="E3835" s="66" t="s">
        <v>13411</v>
      </c>
      <c r="F3835" s="28" t="s">
        <v>13412</v>
      </c>
      <c r="G3835" s="28">
        <v>999999</v>
      </c>
    </row>
    <row r="3836" spans="1:7">
      <c r="A3836" s="28">
        <v>4150019</v>
      </c>
      <c r="B3836" s="28" t="s">
        <v>13413</v>
      </c>
      <c r="C3836" s="28">
        <v>3</v>
      </c>
      <c r="D3836" s="28" t="s">
        <v>13397</v>
      </c>
      <c r="E3836" s="66" t="s">
        <v>13414</v>
      </c>
      <c r="F3836" s="28" t="s">
        <v>13415</v>
      </c>
      <c r="G3836" s="28">
        <v>999999</v>
      </c>
    </row>
    <row r="3837" spans="1:7">
      <c r="A3837" s="28">
        <v>4150020</v>
      </c>
      <c r="B3837" s="28" t="s">
        <v>13416</v>
      </c>
      <c r="C3837" s="28">
        <v>3</v>
      </c>
      <c r="D3837" s="28" t="s">
        <v>13352</v>
      </c>
      <c r="E3837" s="28" t="s">
        <v>13417</v>
      </c>
      <c r="F3837" s="28" t="s">
        <v>13418</v>
      </c>
      <c r="G3837" s="28">
        <v>999999</v>
      </c>
    </row>
    <row r="3838" spans="1:7">
      <c r="A3838" s="28">
        <v>4150021</v>
      </c>
      <c r="B3838" s="28" t="s">
        <v>13419</v>
      </c>
      <c r="C3838" s="28">
        <v>3</v>
      </c>
      <c r="D3838" s="28" t="s">
        <v>13363</v>
      </c>
      <c r="E3838" s="66" t="s">
        <v>13420</v>
      </c>
      <c r="F3838" s="28" t="s">
        <v>13421</v>
      </c>
      <c r="G3838" s="28">
        <v>999999</v>
      </c>
    </row>
    <row r="3839" spans="1:7">
      <c r="A3839" s="28">
        <v>4150022</v>
      </c>
      <c r="B3839" s="28" t="s">
        <v>13422</v>
      </c>
      <c r="C3839" s="28">
        <v>3</v>
      </c>
      <c r="D3839" s="28" t="s">
        <v>13370</v>
      </c>
      <c r="E3839" s="66" t="s">
        <v>13423</v>
      </c>
      <c r="F3839" s="28" t="s">
        <v>13424</v>
      </c>
      <c r="G3839" s="28">
        <v>999999</v>
      </c>
    </row>
    <row r="3840" spans="1:7">
      <c r="A3840" s="28">
        <v>4150023</v>
      </c>
      <c r="B3840" s="28" t="s">
        <v>13425</v>
      </c>
      <c r="C3840" s="28">
        <v>3</v>
      </c>
      <c r="D3840" s="28" t="s">
        <v>13390</v>
      </c>
      <c r="E3840" s="66" t="s">
        <v>13426</v>
      </c>
      <c r="F3840" s="28" t="s">
        <v>13427</v>
      </c>
      <c r="G3840" s="28">
        <v>999999</v>
      </c>
    </row>
    <row r="3841" spans="1:7">
      <c r="A3841" s="28">
        <v>4150024</v>
      </c>
      <c r="B3841" s="28" t="s">
        <v>13428</v>
      </c>
      <c r="C3841" s="28">
        <v>3</v>
      </c>
      <c r="D3841" s="28" t="s">
        <v>13370</v>
      </c>
      <c r="E3841" s="66" t="s">
        <v>13429</v>
      </c>
      <c r="F3841" s="28" t="s">
        <v>13430</v>
      </c>
      <c r="G3841" s="28">
        <v>999999</v>
      </c>
    </row>
    <row r="3842" spans="1:7">
      <c r="A3842" s="28">
        <v>4150025</v>
      </c>
      <c r="B3842" s="28" t="s">
        <v>13431</v>
      </c>
      <c r="C3842" s="28">
        <v>3</v>
      </c>
      <c r="D3842" s="28" t="s">
        <v>13404</v>
      </c>
      <c r="E3842" s="66" t="s">
        <v>13432</v>
      </c>
      <c r="F3842" s="28" t="s">
        <v>13433</v>
      </c>
      <c r="G3842" s="28">
        <v>999999</v>
      </c>
    </row>
    <row r="3843" spans="1:7">
      <c r="A3843" s="28">
        <v>4150026</v>
      </c>
      <c r="B3843" s="28" t="s">
        <v>13434</v>
      </c>
      <c r="C3843" s="28">
        <v>3</v>
      </c>
      <c r="D3843" s="28" t="s">
        <v>13356</v>
      </c>
      <c r="E3843" s="66" t="s">
        <v>13435</v>
      </c>
      <c r="F3843" s="28" t="s">
        <v>13436</v>
      </c>
      <c r="G3843" s="28">
        <v>999999</v>
      </c>
    </row>
    <row r="3844" spans="1:7">
      <c r="A3844" s="28">
        <v>4150027</v>
      </c>
      <c r="B3844" s="28" t="s">
        <v>13437</v>
      </c>
      <c r="C3844" s="28">
        <v>3</v>
      </c>
      <c r="D3844" s="28" t="s">
        <v>13404</v>
      </c>
      <c r="E3844" s="66" t="s">
        <v>13438</v>
      </c>
      <c r="F3844" s="28" t="s">
        <v>13439</v>
      </c>
      <c r="G3844" s="28">
        <v>999999</v>
      </c>
    </row>
    <row r="3845" spans="1:7">
      <c r="A3845" s="28">
        <v>4150028</v>
      </c>
      <c r="B3845" s="28" t="s">
        <v>13440</v>
      </c>
      <c r="C3845" s="28">
        <v>3</v>
      </c>
      <c r="D3845" s="28" t="s">
        <v>13356</v>
      </c>
      <c r="E3845" s="66" t="s">
        <v>13441</v>
      </c>
      <c r="F3845" s="28" t="s">
        <v>13442</v>
      </c>
      <c r="G3845" s="28">
        <v>999999</v>
      </c>
    </row>
    <row r="3846" spans="1:7">
      <c r="A3846" s="28">
        <v>4150051</v>
      </c>
      <c r="B3846" s="28" t="s">
        <v>13443</v>
      </c>
      <c r="C3846" s="28">
        <v>4</v>
      </c>
      <c r="D3846" s="28" t="s">
        <v>13444</v>
      </c>
      <c r="E3846" s="66" t="s">
        <v>13353</v>
      </c>
      <c r="F3846" s="28" t="s">
        <v>13354</v>
      </c>
      <c r="G3846" s="28">
        <v>999999</v>
      </c>
    </row>
    <row r="3847" spans="1:7">
      <c r="A3847" s="28">
        <v>4150052</v>
      </c>
      <c r="B3847" s="28" t="s">
        <v>13445</v>
      </c>
      <c r="C3847" s="28">
        <v>4</v>
      </c>
      <c r="D3847" s="28" t="s">
        <v>13446</v>
      </c>
      <c r="E3847" s="66" t="s">
        <v>13357</v>
      </c>
      <c r="F3847" s="28" t="s">
        <v>13358</v>
      </c>
      <c r="G3847" s="28">
        <v>999999</v>
      </c>
    </row>
    <row r="3848" spans="1:7">
      <c r="A3848" s="28">
        <v>4150053</v>
      </c>
      <c r="B3848" s="28" t="s">
        <v>13447</v>
      </c>
      <c r="C3848" s="28">
        <v>4</v>
      </c>
      <c r="D3848" s="28" t="s">
        <v>13444</v>
      </c>
      <c r="E3848" s="66" t="s">
        <v>13360</v>
      </c>
      <c r="F3848" s="28" t="s">
        <v>13361</v>
      </c>
      <c r="G3848" s="28">
        <v>999999</v>
      </c>
    </row>
    <row r="3849" spans="1:7">
      <c r="A3849" s="28">
        <v>4150054</v>
      </c>
      <c r="B3849" s="28" t="s">
        <v>13448</v>
      </c>
      <c r="C3849" s="28">
        <v>4</v>
      </c>
      <c r="D3849" s="28" t="s">
        <v>13449</v>
      </c>
      <c r="E3849" s="54" t="s">
        <v>13364</v>
      </c>
      <c r="F3849" s="28" t="s">
        <v>13365</v>
      </c>
      <c r="G3849" s="28">
        <v>999999</v>
      </c>
    </row>
    <row r="3850" spans="1:7">
      <c r="A3850" s="28">
        <v>4150055</v>
      </c>
      <c r="B3850" s="28" t="s">
        <v>13450</v>
      </c>
      <c r="C3850" s="28">
        <v>4</v>
      </c>
      <c r="D3850" s="28" t="s">
        <v>13446</v>
      </c>
      <c r="E3850" s="54" t="s">
        <v>13367</v>
      </c>
      <c r="F3850" s="28" t="s">
        <v>13368</v>
      </c>
      <c r="G3850" s="28">
        <v>999999</v>
      </c>
    </row>
    <row r="3851" spans="1:7">
      <c r="A3851" s="28">
        <v>4150056</v>
      </c>
      <c r="B3851" s="28" t="s">
        <v>13451</v>
      </c>
      <c r="C3851" s="28">
        <v>4</v>
      </c>
      <c r="D3851" s="28" t="s">
        <v>13452</v>
      </c>
      <c r="E3851" s="54" t="s">
        <v>13371</v>
      </c>
      <c r="F3851" s="28" t="s">
        <v>13372</v>
      </c>
      <c r="G3851" s="28">
        <v>999999</v>
      </c>
    </row>
    <row r="3852" spans="1:7">
      <c r="A3852" s="28">
        <v>4150057</v>
      </c>
      <c r="B3852" s="28" t="s">
        <v>13453</v>
      </c>
      <c r="C3852" s="28">
        <v>4</v>
      </c>
      <c r="D3852" s="28" t="s">
        <v>13444</v>
      </c>
      <c r="E3852" s="54" t="s">
        <v>13374</v>
      </c>
      <c r="F3852" s="28" t="s">
        <v>13375</v>
      </c>
      <c r="G3852" s="28">
        <v>999999</v>
      </c>
    </row>
    <row r="3853" spans="1:7">
      <c r="A3853" s="28">
        <v>4150058</v>
      </c>
      <c r="B3853" s="28" t="s">
        <v>13454</v>
      </c>
      <c r="C3853" s="28">
        <v>4</v>
      </c>
      <c r="D3853" s="28" t="s">
        <v>13455</v>
      </c>
      <c r="E3853" s="66" t="s">
        <v>13378</v>
      </c>
      <c r="F3853" s="28" t="s">
        <v>13379</v>
      </c>
      <c r="G3853" s="28">
        <v>999999</v>
      </c>
    </row>
    <row r="3854" spans="1:7">
      <c r="A3854" s="28">
        <v>4150059</v>
      </c>
      <c r="B3854" s="28" t="s">
        <v>13456</v>
      </c>
      <c r="C3854" s="28">
        <v>4</v>
      </c>
      <c r="D3854" s="28" t="s">
        <v>13446</v>
      </c>
      <c r="E3854" s="54" t="s">
        <v>13381</v>
      </c>
      <c r="F3854" s="28" t="s">
        <v>13382</v>
      </c>
      <c r="G3854" s="28">
        <v>999999</v>
      </c>
    </row>
    <row r="3855" spans="1:7">
      <c r="A3855" s="28">
        <v>4150060</v>
      </c>
      <c r="B3855" s="28" t="s">
        <v>13457</v>
      </c>
      <c r="C3855" s="28">
        <v>4</v>
      </c>
      <c r="D3855" s="28" t="s">
        <v>13446</v>
      </c>
      <c r="E3855" s="54" t="s">
        <v>13384</v>
      </c>
      <c r="F3855" s="28" t="s">
        <v>13385</v>
      </c>
      <c r="G3855" s="28">
        <v>999999</v>
      </c>
    </row>
    <row r="3856" spans="1:7">
      <c r="A3856" s="28">
        <v>4150061</v>
      </c>
      <c r="B3856" s="28" t="s">
        <v>13458</v>
      </c>
      <c r="C3856" s="28">
        <v>4</v>
      </c>
      <c r="D3856" s="28" t="s">
        <v>13452</v>
      </c>
      <c r="E3856" s="54" t="s">
        <v>13387</v>
      </c>
      <c r="F3856" s="28" t="s">
        <v>13388</v>
      </c>
      <c r="G3856" s="28">
        <v>999999</v>
      </c>
    </row>
    <row r="3857" spans="1:7">
      <c r="A3857" s="28">
        <v>4150062</v>
      </c>
      <c r="B3857" s="28" t="s">
        <v>13459</v>
      </c>
      <c r="C3857" s="28">
        <v>4</v>
      </c>
      <c r="D3857" s="28" t="s">
        <v>13460</v>
      </c>
      <c r="E3857" s="54" t="s">
        <v>13391</v>
      </c>
      <c r="F3857" s="28" t="s">
        <v>13392</v>
      </c>
      <c r="G3857" s="28">
        <v>999999</v>
      </c>
    </row>
    <row r="3858" spans="1:7">
      <c r="A3858" s="28">
        <v>4150063</v>
      </c>
      <c r="B3858" s="28" t="s">
        <v>13461</v>
      </c>
      <c r="C3858" s="28">
        <v>4</v>
      </c>
      <c r="D3858" s="28" t="s">
        <v>13444</v>
      </c>
      <c r="E3858" s="54" t="s">
        <v>13394</v>
      </c>
      <c r="F3858" s="28" t="s">
        <v>13395</v>
      </c>
      <c r="G3858" s="28">
        <v>999999</v>
      </c>
    </row>
    <row r="3859" spans="1:7">
      <c r="A3859" s="28">
        <v>4150064</v>
      </c>
      <c r="B3859" s="28" t="s">
        <v>13462</v>
      </c>
      <c r="C3859" s="28">
        <v>4</v>
      </c>
      <c r="D3859" s="28" t="s">
        <v>13463</v>
      </c>
      <c r="E3859" s="54" t="s">
        <v>13398</v>
      </c>
      <c r="F3859" s="28" t="s">
        <v>13399</v>
      </c>
      <c r="G3859" s="28">
        <v>999999</v>
      </c>
    </row>
    <row r="3860" spans="1:7">
      <c r="A3860" s="28">
        <v>4150065</v>
      </c>
      <c r="B3860" s="28" t="s">
        <v>13464</v>
      </c>
      <c r="C3860" s="28">
        <v>4</v>
      </c>
      <c r="D3860" s="28" t="s">
        <v>13444</v>
      </c>
      <c r="E3860" s="54" t="s">
        <v>13401</v>
      </c>
      <c r="F3860" s="28" t="s">
        <v>13402</v>
      </c>
      <c r="G3860" s="28">
        <v>999999</v>
      </c>
    </row>
    <row r="3861" spans="1:7">
      <c r="A3861" s="28">
        <v>4150066</v>
      </c>
      <c r="B3861" s="28" t="s">
        <v>13465</v>
      </c>
      <c r="C3861" s="28">
        <v>4</v>
      </c>
      <c r="D3861" s="28" t="s">
        <v>13466</v>
      </c>
      <c r="E3861" s="54" t="s">
        <v>13405</v>
      </c>
      <c r="F3861" s="28" t="s">
        <v>13406</v>
      </c>
      <c r="G3861" s="28">
        <v>999999</v>
      </c>
    </row>
    <row r="3862" spans="1:7">
      <c r="A3862" s="28">
        <v>4150067</v>
      </c>
      <c r="B3862" s="28" t="s">
        <v>13467</v>
      </c>
      <c r="C3862" s="28">
        <v>4</v>
      </c>
      <c r="D3862" s="28" t="s">
        <v>13452</v>
      </c>
      <c r="E3862" s="66" t="s">
        <v>13408</v>
      </c>
      <c r="F3862" s="28" t="s">
        <v>13409</v>
      </c>
      <c r="G3862" s="28">
        <v>999999</v>
      </c>
    </row>
    <row r="3863" spans="1:7">
      <c r="A3863" s="28">
        <v>4150068</v>
      </c>
      <c r="B3863" s="28" t="s">
        <v>13468</v>
      </c>
      <c r="C3863" s="28">
        <v>4</v>
      </c>
      <c r="D3863" s="28" t="s">
        <v>13460</v>
      </c>
      <c r="E3863" s="54" t="s">
        <v>13411</v>
      </c>
      <c r="F3863" s="28" t="s">
        <v>13412</v>
      </c>
      <c r="G3863" s="28">
        <v>999999</v>
      </c>
    </row>
    <row r="3864" spans="1:7">
      <c r="A3864" s="28">
        <v>4150069</v>
      </c>
      <c r="B3864" s="28" t="s">
        <v>13469</v>
      </c>
      <c r="C3864" s="28">
        <v>4</v>
      </c>
      <c r="D3864" s="28" t="s">
        <v>13463</v>
      </c>
      <c r="E3864" s="54" t="s">
        <v>13414</v>
      </c>
      <c r="F3864" s="28" t="s">
        <v>13415</v>
      </c>
      <c r="G3864" s="28">
        <v>999999</v>
      </c>
    </row>
    <row r="3865" spans="1:7">
      <c r="A3865" s="28">
        <v>4150070</v>
      </c>
      <c r="B3865" s="28" t="s">
        <v>13470</v>
      </c>
      <c r="C3865" s="28">
        <v>4</v>
      </c>
      <c r="D3865" s="28" t="s">
        <v>13444</v>
      </c>
      <c r="E3865" s="54" t="s">
        <v>13417</v>
      </c>
      <c r="F3865" s="28" t="s">
        <v>13418</v>
      </c>
      <c r="G3865" s="28">
        <v>999999</v>
      </c>
    </row>
    <row r="3866" spans="1:7">
      <c r="A3866" s="28">
        <v>4150071</v>
      </c>
      <c r="B3866" s="28" t="s">
        <v>13471</v>
      </c>
      <c r="C3866" s="28">
        <v>4</v>
      </c>
      <c r="D3866" s="28" t="s">
        <v>13449</v>
      </c>
      <c r="E3866" s="54" t="s">
        <v>13420</v>
      </c>
      <c r="F3866" s="28" t="s">
        <v>13421</v>
      </c>
      <c r="G3866" s="28">
        <v>999999</v>
      </c>
    </row>
    <row r="3867" spans="1:7">
      <c r="A3867" s="28">
        <v>4150072</v>
      </c>
      <c r="B3867" s="28" t="s">
        <v>13472</v>
      </c>
      <c r="C3867" s="28">
        <v>4</v>
      </c>
      <c r="D3867" s="28" t="s">
        <v>13452</v>
      </c>
      <c r="E3867" s="54" t="s">
        <v>13423</v>
      </c>
      <c r="F3867" s="28" t="s">
        <v>13424</v>
      </c>
      <c r="G3867" s="28">
        <v>999999</v>
      </c>
    </row>
    <row r="3868" spans="1:7">
      <c r="A3868" s="28">
        <v>4150073</v>
      </c>
      <c r="B3868" s="28" t="s">
        <v>13473</v>
      </c>
      <c r="C3868" s="28">
        <v>4</v>
      </c>
      <c r="D3868" s="28" t="s">
        <v>13460</v>
      </c>
      <c r="E3868" s="54" t="s">
        <v>13426</v>
      </c>
      <c r="F3868" s="28" t="s">
        <v>13427</v>
      </c>
      <c r="G3868" s="28">
        <v>999999</v>
      </c>
    </row>
    <row r="3869" spans="1:7">
      <c r="A3869" s="28">
        <v>4150074</v>
      </c>
      <c r="B3869" s="28" t="s">
        <v>13474</v>
      </c>
      <c r="C3869" s="28">
        <v>4</v>
      </c>
      <c r="D3869" s="28" t="s">
        <v>13452</v>
      </c>
      <c r="E3869" s="54" t="s">
        <v>13429</v>
      </c>
      <c r="F3869" s="28" t="s">
        <v>13430</v>
      </c>
      <c r="G3869" s="28">
        <v>999999</v>
      </c>
    </row>
    <row r="3870" spans="1:7">
      <c r="A3870" s="28">
        <v>4150075</v>
      </c>
      <c r="B3870" s="28" t="s">
        <v>13475</v>
      </c>
      <c r="C3870" s="28">
        <v>4</v>
      </c>
      <c r="D3870" s="28" t="s">
        <v>13466</v>
      </c>
      <c r="E3870" s="54" t="s">
        <v>13432</v>
      </c>
      <c r="F3870" s="28" t="s">
        <v>13433</v>
      </c>
      <c r="G3870" s="28">
        <v>999999</v>
      </c>
    </row>
    <row r="3871" spans="1:7">
      <c r="A3871" s="28">
        <v>4150076</v>
      </c>
      <c r="B3871" s="28" t="s">
        <v>13476</v>
      </c>
      <c r="C3871" s="28">
        <v>4</v>
      </c>
      <c r="D3871" s="28" t="s">
        <v>13446</v>
      </c>
      <c r="E3871" s="54" t="s">
        <v>13435</v>
      </c>
      <c r="F3871" s="28" t="s">
        <v>13436</v>
      </c>
      <c r="G3871" s="28">
        <v>999999</v>
      </c>
    </row>
    <row r="3872" spans="1:7">
      <c r="A3872" s="28">
        <v>4150077</v>
      </c>
      <c r="B3872" s="28" t="s">
        <v>13477</v>
      </c>
      <c r="C3872" s="28">
        <v>4</v>
      </c>
      <c r="D3872" s="28" t="s">
        <v>13466</v>
      </c>
      <c r="E3872" s="54" t="s">
        <v>13438</v>
      </c>
      <c r="F3872" s="28" t="s">
        <v>13439</v>
      </c>
      <c r="G3872" s="28">
        <v>999999</v>
      </c>
    </row>
    <row r="3873" spans="1:7">
      <c r="A3873" s="28">
        <v>4150078</v>
      </c>
      <c r="B3873" s="28" t="s">
        <v>13478</v>
      </c>
      <c r="C3873" s="28">
        <v>4</v>
      </c>
      <c r="D3873" s="28" t="s">
        <v>13446</v>
      </c>
      <c r="E3873" s="54" t="s">
        <v>13441</v>
      </c>
      <c r="F3873" s="28" t="s">
        <v>13442</v>
      </c>
      <c r="G3873" s="28">
        <v>999999</v>
      </c>
    </row>
    <row r="3874" spans="1:7">
      <c r="A3874" s="28">
        <v>4151001</v>
      </c>
      <c r="B3874" s="28" t="s">
        <v>13479</v>
      </c>
      <c r="C3874" s="28">
        <v>1</v>
      </c>
      <c r="D3874" s="28" t="s">
        <v>13480</v>
      </c>
      <c r="E3874" s="54" t="s">
        <v>13481</v>
      </c>
      <c r="F3874" s="28" t="s">
        <v>13482</v>
      </c>
      <c r="G3874" s="28">
        <v>9999999</v>
      </c>
    </row>
    <row r="3875" spans="1:7">
      <c r="A3875" s="28">
        <v>4151002</v>
      </c>
      <c r="B3875" s="28" t="s">
        <v>13483</v>
      </c>
      <c r="C3875" s="28">
        <v>2</v>
      </c>
      <c r="D3875" s="28" t="s">
        <v>13484</v>
      </c>
      <c r="E3875" s="54" t="s">
        <v>13485</v>
      </c>
      <c r="F3875" s="28" t="s">
        <v>13486</v>
      </c>
      <c r="G3875" s="28">
        <v>9999999</v>
      </c>
    </row>
    <row r="3876" spans="1:7">
      <c r="A3876" s="28">
        <v>4151003</v>
      </c>
      <c r="B3876" s="28" t="s">
        <v>13487</v>
      </c>
      <c r="C3876" s="28">
        <v>1</v>
      </c>
      <c r="D3876" s="28" t="s">
        <v>13488</v>
      </c>
      <c r="E3876" s="54" t="s">
        <v>13489</v>
      </c>
      <c r="F3876" s="28" t="s">
        <v>13490</v>
      </c>
      <c r="G3876" s="28">
        <v>9999999</v>
      </c>
    </row>
    <row r="3877" spans="1:7">
      <c r="A3877" s="28">
        <v>4151004</v>
      </c>
      <c r="B3877" s="28" t="s">
        <v>13491</v>
      </c>
      <c r="C3877" s="28">
        <v>2</v>
      </c>
      <c r="D3877" s="28" t="s">
        <v>13492</v>
      </c>
      <c r="E3877" s="54" t="s">
        <v>13485</v>
      </c>
      <c r="F3877" s="28" t="s">
        <v>13486</v>
      </c>
      <c r="G3877" s="28">
        <v>9999999</v>
      </c>
    </row>
    <row r="3878" spans="1:7">
      <c r="A3878" s="28">
        <v>4151005</v>
      </c>
      <c r="B3878" s="28" t="s">
        <v>13493</v>
      </c>
      <c r="C3878" s="28">
        <v>1</v>
      </c>
      <c r="D3878" s="28" t="s">
        <v>13494</v>
      </c>
      <c r="E3878" s="54" t="s">
        <v>13495</v>
      </c>
      <c r="F3878" s="28" t="s">
        <v>13496</v>
      </c>
      <c r="G3878" s="28">
        <v>9999999</v>
      </c>
    </row>
    <row r="3879" spans="1:7">
      <c r="A3879" s="28">
        <v>4151006</v>
      </c>
      <c r="B3879" s="28" t="s">
        <v>13497</v>
      </c>
      <c r="C3879" s="28">
        <v>1</v>
      </c>
      <c r="D3879" s="28" t="s">
        <v>13498</v>
      </c>
      <c r="E3879" s="54" t="s">
        <v>13499</v>
      </c>
      <c r="F3879" s="28" t="s">
        <v>13500</v>
      </c>
      <c r="G3879" s="28">
        <v>9999999</v>
      </c>
    </row>
    <row r="3880" spans="1:7">
      <c r="A3880" s="28">
        <v>4151007</v>
      </c>
      <c r="B3880" s="28" t="s">
        <v>13501</v>
      </c>
      <c r="C3880" s="28">
        <v>1</v>
      </c>
      <c r="D3880" s="28" t="s">
        <v>13502</v>
      </c>
      <c r="E3880" s="54" t="s">
        <v>13503</v>
      </c>
      <c r="F3880" s="28" t="s">
        <v>13504</v>
      </c>
      <c r="G3880" s="28">
        <v>9999999</v>
      </c>
    </row>
    <row r="3881" spans="1:7">
      <c r="A3881" s="28">
        <v>4151008</v>
      </c>
      <c r="B3881" s="28" t="s">
        <v>13505</v>
      </c>
      <c r="C3881" s="28">
        <v>2</v>
      </c>
      <c r="D3881" s="28" t="s">
        <v>13506</v>
      </c>
      <c r="E3881" s="54" t="s">
        <v>13507</v>
      </c>
      <c r="F3881" s="28" t="s">
        <v>13508</v>
      </c>
      <c r="G3881" s="28">
        <v>9999999</v>
      </c>
    </row>
    <row r="3882" spans="1:7">
      <c r="A3882" s="28">
        <v>4151009</v>
      </c>
      <c r="B3882" s="28" t="s">
        <v>13509</v>
      </c>
      <c r="C3882" s="28">
        <v>1</v>
      </c>
      <c r="D3882" s="28" t="s">
        <v>13510</v>
      </c>
      <c r="E3882" s="54" t="s">
        <v>13511</v>
      </c>
      <c r="F3882" s="28" t="s">
        <v>13512</v>
      </c>
      <c r="G3882" s="28">
        <v>9999999</v>
      </c>
    </row>
    <row r="3883" spans="1:7">
      <c r="A3883" s="28">
        <v>4151010</v>
      </c>
      <c r="B3883" s="28" t="s">
        <v>13513</v>
      </c>
      <c r="C3883" s="28">
        <v>1</v>
      </c>
      <c r="D3883" s="28" t="s">
        <v>13514</v>
      </c>
      <c r="E3883" s="54" t="s">
        <v>13515</v>
      </c>
      <c r="F3883" s="28" t="s">
        <v>13516</v>
      </c>
      <c r="G3883" s="28">
        <v>9999999</v>
      </c>
    </row>
    <row r="3884" spans="1:7">
      <c r="A3884" s="28">
        <v>4151011</v>
      </c>
      <c r="B3884" s="28" t="s">
        <v>13517</v>
      </c>
      <c r="C3884" s="28">
        <v>1</v>
      </c>
      <c r="D3884" s="28" t="s">
        <v>13518</v>
      </c>
      <c r="E3884" s="54" t="s">
        <v>13519</v>
      </c>
      <c r="F3884" s="28" t="s">
        <v>13520</v>
      </c>
      <c r="G3884" s="28">
        <v>9999999</v>
      </c>
    </row>
    <row r="3885" spans="1:7">
      <c r="A3885" s="28">
        <v>4151012</v>
      </c>
      <c r="B3885" s="28" t="s">
        <v>13521</v>
      </c>
      <c r="C3885" s="28">
        <v>2</v>
      </c>
      <c r="D3885" s="28" t="s">
        <v>13492</v>
      </c>
      <c r="E3885" s="54" t="s">
        <v>13485</v>
      </c>
      <c r="F3885" s="28" t="s">
        <v>13486</v>
      </c>
      <c r="G3885" s="28">
        <v>9999999</v>
      </c>
    </row>
    <row r="3886" spans="1:7">
      <c r="A3886" s="28">
        <v>4151013</v>
      </c>
      <c r="B3886" s="28" t="s">
        <v>13522</v>
      </c>
      <c r="C3886" s="28">
        <v>1</v>
      </c>
      <c r="D3886" s="28" t="s">
        <v>13523</v>
      </c>
      <c r="E3886" s="54" t="s">
        <v>13524</v>
      </c>
      <c r="F3886" s="28" t="s">
        <v>13525</v>
      </c>
      <c r="G3886" s="28">
        <v>9999999</v>
      </c>
    </row>
    <row r="3887" spans="1:7">
      <c r="A3887" s="71">
        <v>4151014</v>
      </c>
      <c r="B3887" s="71" t="s">
        <v>13526</v>
      </c>
      <c r="C3887" s="71">
        <v>1</v>
      </c>
      <c r="D3887" s="71" t="s">
        <v>13498</v>
      </c>
      <c r="E3887" s="67" t="s">
        <v>13499</v>
      </c>
      <c r="F3887" s="71" t="s">
        <v>13500</v>
      </c>
      <c r="G3887" s="71">
        <v>9999999</v>
      </c>
    </row>
    <row r="3888" spans="1:7">
      <c r="A3888" s="71">
        <v>4151015</v>
      </c>
      <c r="B3888" s="71" t="s">
        <v>13527</v>
      </c>
      <c r="C3888" s="71">
        <v>1</v>
      </c>
      <c r="D3888" s="71" t="s">
        <v>13528</v>
      </c>
      <c r="E3888" s="69" t="s">
        <v>13529</v>
      </c>
      <c r="F3888" s="71" t="s">
        <v>13530</v>
      </c>
      <c r="G3888" s="71">
        <v>9999999</v>
      </c>
    </row>
    <row r="3889" spans="1:7">
      <c r="A3889" s="71">
        <v>4151016</v>
      </c>
      <c r="B3889" s="71" t="s">
        <v>13531</v>
      </c>
      <c r="C3889" s="71">
        <v>2</v>
      </c>
      <c r="D3889" s="71" t="s">
        <v>13506</v>
      </c>
      <c r="E3889" s="69" t="s">
        <v>13507</v>
      </c>
      <c r="F3889" s="71" t="s">
        <v>13508</v>
      </c>
      <c r="G3889" s="71">
        <v>9999999</v>
      </c>
    </row>
    <row r="3890" spans="1:7">
      <c r="A3890" s="71">
        <v>4151017</v>
      </c>
      <c r="B3890" s="71" t="s">
        <v>13532</v>
      </c>
      <c r="C3890" s="71">
        <v>1</v>
      </c>
      <c r="D3890" s="71" t="s">
        <v>13533</v>
      </c>
      <c r="E3890" s="69" t="s">
        <v>13534</v>
      </c>
      <c r="F3890" s="71" t="s">
        <v>13535</v>
      </c>
      <c r="G3890" s="71">
        <v>9999999</v>
      </c>
    </row>
    <row r="3891" spans="1:7">
      <c r="A3891" s="28">
        <v>4151018</v>
      </c>
      <c r="B3891" s="28" t="s">
        <v>13536</v>
      </c>
      <c r="C3891" s="28">
        <v>2</v>
      </c>
      <c r="D3891" s="28" t="s">
        <v>13506</v>
      </c>
      <c r="E3891" s="65" t="s">
        <v>13507</v>
      </c>
      <c r="F3891" s="28" t="s">
        <v>13508</v>
      </c>
      <c r="G3891" s="28">
        <v>9999999</v>
      </c>
    </row>
    <row r="3892" spans="1:7">
      <c r="A3892" s="28">
        <v>4151019</v>
      </c>
      <c r="B3892" s="28" t="s">
        <v>13537</v>
      </c>
      <c r="C3892" s="28">
        <v>1</v>
      </c>
      <c r="D3892" s="28" t="s">
        <v>13538</v>
      </c>
      <c r="E3892" s="65" t="s">
        <v>13539</v>
      </c>
      <c r="F3892" s="28" t="s">
        <v>13540</v>
      </c>
      <c r="G3892" s="28">
        <v>9999999</v>
      </c>
    </row>
    <row r="3893" spans="1:7">
      <c r="A3893" s="28">
        <v>4151020</v>
      </c>
      <c r="B3893" s="28" t="s">
        <v>13541</v>
      </c>
      <c r="C3893" s="28">
        <v>1</v>
      </c>
      <c r="D3893" s="28" t="s">
        <v>13514</v>
      </c>
      <c r="E3893" s="28" t="s">
        <v>13515</v>
      </c>
      <c r="F3893" s="28" t="s">
        <v>13516</v>
      </c>
      <c r="G3893" s="28">
        <v>9999999</v>
      </c>
    </row>
    <row r="3894" spans="1:7">
      <c r="A3894" s="28">
        <v>4151021</v>
      </c>
      <c r="B3894" s="28" t="s">
        <v>13542</v>
      </c>
      <c r="C3894" s="28">
        <v>1</v>
      </c>
      <c r="D3894" s="28" t="s">
        <v>13543</v>
      </c>
      <c r="E3894" s="65" t="s">
        <v>13544</v>
      </c>
      <c r="F3894" s="28" t="s">
        <v>13545</v>
      </c>
      <c r="G3894" s="28">
        <v>9999999</v>
      </c>
    </row>
    <row r="3895" spans="1:7">
      <c r="A3895" s="28">
        <v>4151022</v>
      </c>
      <c r="B3895" s="28" t="s">
        <v>13546</v>
      </c>
      <c r="C3895" s="28">
        <v>1</v>
      </c>
      <c r="D3895" s="28" t="s">
        <v>13547</v>
      </c>
      <c r="E3895" s="65" t="s">
        <v>13548</v>
      </c>
      <c r="F3895" s="28" t="s">
        <v>13549</v>
      </c>
      <c r="G3895" s="28">
        <v>9999999</v>
      </c>
    </row>
    <row r="3896" spans="1:7">
      <c r="A3896" s="28">
        <v>4151023</v>
      </c>
      <c r="B3896" s="28" t="s">
        <v>13550</v>
      </c>
      <c r="C3896" s="28">
        <v>1</v>
      </c>
      <c r="D3896" s="28" t="s">
        <v>13551</v>
      </c>
      <c r="E3896" s="65" t="s">
        <v>13552</v>
      </c>
      <c r="F3896" s="28" t="s">
        <v>13553</v>
      </c>
      <c r="G3896" s="28">
        <v>9999999</v>
      </c>
    </row>
    <row r="3897" spans="1:7">
      <c r="A3897" s="28">
        <v>4151024</v>
      </c>
      <c r="B3897" s="28" t="s">
        <v>13554</v>
      </c>
      <c r="C3897" s="28">
        <v>3</v>
      </c>
      <c r="D3897" s="28" t="s">
        <v>13492</v>
      </c>
      <c r="E3897" s="65" t="s">
        <v>13555</v>
      </c>
      <c r="F3897" s="28" t="s">
        <v>13556</v>
      </c>
      <c r="G3897" s="28">
        <v>9999999</v>
      </c>
    </row>
    <row r="3898" spans="1:7">
      <c r="A3898" s="28">
        <v>4151025</v>
      </c>
      <c r="B3898" s="28" t="s">
        <v>13557</v>
      </c>
      <c r="C3898" s="28">
        <v>1</v>
      </c>
      <c r="D3898" s="28" t="s">
        <v>13558</v>
      </c>
      <c r="E3898" s="65" t="s">
        <v>13559</v>
      </c>
      <c r="F3898" s="28" t="s">
        <v>13560</v>
      </c>
      <c r="G3898" s="28">
        <v>9999999</v>
      </c>
    </row>
    <row r="3899" spans="1:7">
      <c r="A3899" s="28">
        <v>4151026</v>
      </c>
      <c r="B3899" s="28" t="s">
        <v>13561</v>
      </c>
      <c r="C3899" s="28">
        <v>1</v>
      </c>
      <c r="D3899" s="28" t="s">
        <v>13498</v>
      </c>
      <c r="E3899" s="65" t="s">
        <v>13499</v>
      </c>
      <c r="F3899" s="28" t="s">
        <v>13500</v>
      </c>
      <c r="G3899" s="28">
        <v>9999999</v>
      </c>
    </row>
    <row r="3900" spans="1:7">
      <c r="A3900" s="28">
        <v>4151027</v>
      </c>
      <c r="B3900" s="28" t="s">
        <v>13562</v>
      </c>
      <c r="C3900" s="28">
        <v>1</v>
      </c>
      <c r="D3900" s="28" t="s">
        <v>13563</v>
      </c>
      <c r="E3900" s="65" t="s">
        <v>13564</v>
      </c>
      <c r="F3900" s="28" t="s">
        <v>13565</v>
      </c>
      <c r="G3900" s="28">
        <v>9999999</v>
      </c>
    </row>
    <row r="3901" spans="1:7">
      <c r="A3901" s="28">
        <v>4151028</v>
      </c>
      <c r="B3901" s="28" t="s">
        <v>13566</v>
      </c>
      <c r="C3901" s="28">
        <v>3</v>
      </c>
      <c r="D3901" s="28" t="s">
        <v>13492</v>
      </c>
      <c r="E3901" s="65" t="s">
        <v>13555</v>
      </c>
      <c r="F3901" s="28" t="s">
        <v>13556</v>
      </c>
      <c r="G3901" s="28">
        <v>9999999</v>
      </c>
    </row>
    <row r="3902" spans="1:7">
      <c r="A3902" s="28">
        <v>4151029</v>
      </c>
      <c r="B3902" s="28" t="s">
        <v>13567</v>
      </c>
      <c r="C3902" s="28">
        <v>1</v>
      </c>
      <c r="D3902" s="28" t="s">
        <v>13568</v>
      </c>
      <c r="E3902" s="65" t="s">
        <v>13569</v>
      </c>
      <c r="F3902" s="28" t="s">
        <v>13570</v>
      </c>
      <c r="G3902" s="28">
        <v>9999999</v>
      </c>
    </row>
    <row r="3903" spans="1:7">
      <c r="A3903" s="28">
        <v>4151030</v>
      </c>
      <c r="B3903" s="28" t="s">
        <v>13571</v>
      </c>
      <c r="C3903" s="28">
        <v>1</v>
      </c>
      <c r="D3903" s="28" t="s">
        <v>13572</v>
      </c>
      <c r="E3903" s="65" t="s">
        <v>13573</v>
      </c>
      <c r="F3903" s="28" t="s">
        <v>13574</v>
      </c>
      <c r="G3903" s="28">
        <v>9999999</v>
      </c>
    </row>
    <row r="3904" spans="1:7">
      <c r="A3904" s="28">
        <v>4151031</v>
      </c>
      <c r="B3904" s="28" t="s">
        <v>13575</v>
      </c>
      <c r="C3904" s="28">
        <v>1</v>
      </c>
      <c r="D3904" s="28" t="s">
        <v>13576</v>
      </c>
      <c r="E3904" s="65" t="s">
        <v>13577</v>
      </c>
      <c r="F3904" s="28" t="s">
        <v>13578</v>
      </c>
      <c r="G3904" s="28">
        <v>9999999</v>
      </c>
    </row>
    <row r="3905" spans="1:7">
      <c r="A3905" s="28">
        <v>4151032</v>
      </c>
      <c r="B3905" s="28" t="s">
        <v>13579</v>
      </c>
      <c r="C3905" s="28">
        <v>1</v>
      </c>
      <c r="D3905" s="28" t="s">
        <v>13514</v>
      </c>
      <c r="E3905" s="66" t="s">
        <v>13515</v>
      </c>
      <c r="F3905" s="28" t="s">
        <v>13516</v>
      </c>
      <c r="G3905" s="28">
        <v>9999999</v>
      </c>
    </row>
    <row r="3906" spans="1:7">
      <c r="A3906" s="28">
        <v>4151033</v>
      </c>
      <c r="B3906" s="28" t="s">
        <v>13580</v>
      </c>
      <c r="C3906" s="28">
        <v>1</v>
      </c>
      <c r="D3906" s="28" t="s">
        <v>13581</v>
      </c>
      <c r="E3906" s="66" t="s">
        <v>13582</v>
      </c>
      <c r="F3906" s="28" t="s">
        <v>13583</v>
      </c>
      <c r="G3906" s="28">
        <v>9999999</v>
      </c>
    </row>
    <row r="3907" spans="1:7">
      <c r="A3907" s="28">
        <v>4151034</v>
      </c>
      <c r="B3907" s="28" t="s">
        <v>13584</v>
      </c>
      <c r="C3907" s="28">
        <v>1</v>
      </c>
      <c r="D3907" s="28" t="s">
        <v>13547</v>
      </c>
      <c r="E3907" s="54" t="s">
        <v>13548</v>
      </c>
      <c r="F3907" s="28" t="s">
        <v>13549</v>
      </c>
      <c r="G3907" s="28">
        <v>9999999</v>
      </c>
    </row>
    <row r="3908" spans="1:7">
      <c r="A3908" s="28">
        <v>4151035</v>
      </c>
      <c r="B3908" s="28" t="s">
        <v>13585</v>
      </c>
      <c r="C3908" s="28">
        <v>1</v>
      </c>
      <c r="D3908" s="28" t="s">
        <v>13586</v>
      </c>
      <c r="E3908" s="66" t="s">
        <v>13587</v>
      </c>
      <c r="F3908" s="28" t="s">
        <v>13588</v>
      </c>
      <c r="G3908" s="28">
        <v>9999999</v>
      </c>
    </row>
    <row r="3909" spans="1:7">
      <c r="A3909" s="28">
        <v>4151036</v>
      </c>
      <c r="B3909" s="28" t="s">
        <v>13589</v>
      </c>
      <c r="C3909" s="28">
        <v>1</v>
      </c>
      <c r="D3909" s="28" t="s">
        <v>13498</v>
      </c>
      <c r="E3909" s="65" t="s">
        <v>13590</v>
      </c>
      <c r="F3909" s="28" t="s">
        <v>13591</v>
      </c>
      <c r="G3909" s="28">
        <v>9999999</v>
      </c>
    </row>
    <row r="3910" spans="1:7">
      <c r="A3910" s="28">
        <v>4151037</v>
      </c>
      <c r="B3910" s="28" t="s">
        <v>13592</v>
      </c>
      <c r="C3910" s="28">
        <v>1</v>
      </c>
      <c r="D3910" s="28" t="s">
        <v>13593</v>
      </c>
      <c r="E3910" s="66" t="s">
        <v>13594</v>
      </c>
      <c r="F3910" s="28" t="s">
        <v>13595</v>
      </c>
      <c r="G3910" s="28">
        <v>9999999</v>
      </c>
    </row>
    <row r="3911" spans="1:7">
      <c r="A3911" s="28">
        <v>4151038</v>
      </c>
      <c r="B3911" s="28" t="s">
        <v>13596</v>
      </c>
      <c r="C3911" s="28">
        <v>3</v>
      </c>
      <c r="D3911" s="28" t="s">
        <v>13492</v>
      </c>
      <c r="E3911" s="66" t="s">
        <v>13555</v>
      </c>
      <c r="F3911" s="28" t="s">
        <v>13556</v>
      </c>
      <c r="G3911" s="28">
        <v>9999999</v>
      </c>
    </row>
    <row r="3912" spans="1:7">
      <c r="A3912" s="28">
        <v>4151039</v>
      </c>
      <c r="B3912" s="28" t="s">
        <v>13597</v>
      </c>
      <c r="C3912" s="28">
        <v>1</v>
      </c>
      <c r="D3912" s="28" t="s">
        <v>13598</v>
      </c>
      <c r="E3912" s="66" t="s">
        <v>13599</v>
      </c>
      <c r="F3912" s="28" t="s">
        <v>13600</v>
      </c>
      <c r="G3912" s="28">
        <v>9999999</v>
      </c>
    </row>
    <row r="3913" spans="1:7">
      <c r="A3913" s="28">
        <v>4151040</v>
      </c>
      <c r="B3913" s="28" t="s">
        <v>13601</v>
      </c>
      <c r="C3913" s="28">
        <v>1</v>
      </c>
      <c r="D3913" s="28" t="s">
        <v>13498</v>
      </c>
      <c r="E3913" s="66" t="s">
        <v>13590</v>
      </c>
      <c r="F3913" s="28" t="s">
        <v>13591</v>
      </c>
      <c r="G3913" s="28">
        <v>9999999</v>
      </c>
    </row>
    <row r="3914" spans="1:7">
      <c r="A3914" s="28">
        <v>4151041</v>
      </c>
      <c r="B3914" s="28" t="s">
        <v>13602</v>
      </c>
      <c r="C3914" s="28">
        <v>1</v>
      </c>
      <c r="D3914" s="28" t="s">
        <v>13603</v>
      </c>
      <c r="E3914" s="66" t="s">
        <v>13604</v>
      </c>
      <c r="F3914" s="28" t="s">
        <v>13605</v>
      </c>
      <c r="G3914" s="28">
        <v>9999999</v>
      </c>
    </row>
    <row r="3915" spans="1:7">
      <c r="A3915" s="28">
        <v>4151042</v>
      </c>
      <c r="B3915" s="28" t="s">
        <v>13606</v>
      </c>
      <c r="C3915" s="28">
        <v>1</v>
      </c>
      <c r="D3915" s="28" t="s">
        <v>13514</v>
      </c>
      <c r="E3915" s="66" t="s">
        <v>13607</v>
      </c>
      <c r="F3915" s="28" t="s">
        <v>13608</v>
      </c>
      <c r="G3915" s="28">
        <v>9999999</v>
      </c>
    </row>
    <row r="3916" spans="1:7">
      <c r="A3916" s="28">
        <v>4151043</v>
      </c>
      <c r="B3916" s="28" t="s">
        <v>13609</v>
      </c>
      <c r="C3916" s="28">
        <v>1</v>
      </c>
      <c r="D3916" s="28" t="s">
        <v>13610</v>
      </c>
      <c r="E3916" s="66" t="s">
        <v>13611</v>
      </c>
      <c r="F3916" s="28" t="s">
        <v>13612</v>
      </c>
      <c r="G3916" s="28">
        <v>9999999</v>
      </c>
    </row>
    <row r="3917" spans="1:7">
      <c r="A3917" s="28">
        <v>4151044</v>
      </c>
      <c r="B3917" s="28" t="s">
        <v>13613</v>
      </c>
      <c r="C3917" s="28">
        <v>1</v>
      </c>
      <c r="D3917" s="28" t="s">
        <v>13547</v>
      </c>
      <c r="E3917" s="66" t="s">
        <v>13548</v>
      </c>
      <c r="F3917" s="28" t="s">
        <v>13549</v>
      </c>
      <c r="G3917" s="28">
        <v>9999999</v>
      </c>
    </row>
    <row r="3918" spans="1:7">
      <c r="A3918" s="28">
        <v>4151045</v>
      </c>
      <c r="B3918" s="28" t="s">
        <v>13614</v>
      </c>
      <c r="C3918" s="28">
        <v>1</v>
      </c>
      <c r="D3918" s="28" t="s">
        <v>13615</v>
      </c>
      <c r="E3918" s="54" t="s">
        <v>13616</v>
      </c>
      <c r="F3918" s="28" t="s">
        <v>13617</v>
      </c>
      <c r="G3918" s="28">
        <v>9999999</v>
      </c>
    </row>
    <row r="3919" spans="1:7">
      <c r="A3919" s="28">
        <v>4151046</v>
      </c>
      <c r="B3919" s="28" t="s">
        <v>13618</v>
      </c>
      <c r="C3919" s="28">
        <v>1</v>
      </c>
      <c r="D3919" s="28" t="s">
        <v>13514</v>
      </c>
      <c r="E3919" s="54" t="s">
        <v>13607</v>
      </c>
      <c r="F3919" s="28" t="s">
        <v>13608</v>
      </c>
      <c r="G3919" s="28">
        <v>9999999</v>
      </c>
    </row>
    <row r="3920" spans="1:7">
      <c r="A3920" s="28">
        <v>4151047</v>
      </c>
      <c r="B3920" s="28" t="s">
        <v>13619</v>
      </c>
      <c r="C3920" s="28">
        <v>1</v>
      </c>
      <c r="D3920" s="28" t="s">
        <v>13620</v>
      </c>
      <c r="E3920" s="64" t="s">
        <v>13621</v>
      </c>
      <c r="F3920" s="28" t="s">
        <v>13622</v>
      </c>
      <c r="G3920" s="28">
        <v>9999999</v>
      </c>
    </row>
    <row r="3921" spans="1:7">
      <c r="A3921" s="28">
        <v>4151048</v>
      </c>
      <c r="B3921" s="28" t="s">
        <v>13623</v>
      </c>
      <c r="C3921" s="28">
        <v>1</v>
      </c>
      <c r="D3921" s="28" t="s">
        <v>13572</v>
      </c>
      <c r="E3921" s="54" t="s">
        <v>13573</v>
      </c>
      <c r="F3921" s="28" t="s">
        <v>13574</v>
      </c>
      <c r="G3921" s="28">
        <v>9999999</v>
      </c>
    </row>
    <row r="3922" spans="1:7">
      <c r="A3922" s="28">
        <v>4151049</v>
      </c>
      <c r="B3922" s="28" t="s">
        <v>13624</v>
      </c>
      <c r="C3922" s="28">
        <v>1</v>
      </c>
      <c r="D3922" s="28" t="s">
        <v>13625</v>
      </c>
      <c r="E3922" s="54" t="s">
        <v>13626</v>
      </c>
      <c r="F3922" s="28" t="s">
        <v>13627</v>
      </c>
      <c r="G3922" s="28">
        <v>9999999</v>
      </c>
    </row>
    <row r="3923" spans="1:7">
      <c r="A3923" s="28">
        <v>4151050</v>
      </c>
      <c r="B3923" s="28" t="s">
        <v>13628</v>
      </c>
      <c r="C3923" s="28">
        <v>3</v>
      </c>
      <c r="D3923" s="28" t="s">
        <v>13506</v>
      </c>
      <c r="E3923" s="66" t="s">
        <v>13629</v>
      </c>
      <c r="F3923" s="28" t="s">
        <v>13630</v>
      </c>
      <c r="G3923" s="28">
        <v>9999999</v>
      </c>
    </row>
    <row r="3924" spans="1:7">
      <c r="A3924" s="28">
        <v>4151051</v>
      </c>
      <c r="B3924" s="28" t="s">
        <v>13631</v>
      </c>
      <c r="C3924" s="28">
        <v>1</v>
      </c>
      <c r="D3924" s="28" t="s">
        <v>13632</v>
      </c>
      <c r="E3924" s="54" t="s">
        <v>13633</v>
      </c>
      <c r="F3924" s="28" t="s">
        <v>13634</v>
      </c>
      <c r="G3924" s="28">
        <v>9999999</v>
      </c>
    </row>
    <row r="3925" spans="1:7">
      <c r="A3925" s="28">
        <v>4151052</v>
      </c>
      <c r="B3925" s="28" t="s">
        <v>13635</v>
      </c>
      <c r="C3925" s="28">
        <v>1</v>
      </c>
      <c r="D3925" s="28" t="s">
        <v>13572</v>
      </c>
      <c r="E3925" s="54" t="s">
        <v>13573</v>
      </c>
      <c r="F3925" s="28" t="s">
        <v>13574</v>
      </c>
      <c r="G3925" s="28">
        <v>9999999</v>
      </c>
    </row>
    <row r="3926" spans="1:7">
      <c r="A3926" s="28">
        <v>4151053</v>
      </c>
      <c r="B3926" s="28" t="s">
        <v>13636</v>
      </c>
      <c r="C3926" s="28">
        <v>1</v>
      </c>
      <c r="D3926" s="28" t="s">
        <v>13637</v>
      </c>
      <c r="E3926" s="54" t="s">
        <v>13638</v>
      </c>
      <c r="F3926" s="28" t="s">
        <v>13639</v>
      </c>
      <c r="G3926" s="28">
        <v>9999999</v>
      </c>
    </row>
    <row r="3927" spans="1:7">
      <c r="A3927" s="28">
        <v>4151054</v>
      </c>
      <c r="B3927" s="28" t="s">
        <v>13640</v>
      </c>
      <c r="C3927" s="28">
        <v>3</v>
      </c>
      <c r="D3927" s="28" t="s">
        <v>13506</v>
      </c>
      <c r="E3927" s="54" t="s">
        <v>13629</v>
      </c>
      <c r="F3927" s="28" t="s">
        <v>13630</v>
      </c>
      <c r="G3927" s="28">
        <v>9999999</v>
      </c>
    </row>
    <row r="3928" spans="1:7">
      <c r="A3928" s="28">
        <v>4151055</v>
      </c>
      <c r="B3928" s="28" t="s">
        <v>13631</v>
      </c>
      <c r="C3928" s="28">
        <v>4</v>
      </c>
      <c r="D3928" s="28" t="s">
        <v>13641</v>
      </c>
      <c r="E3928" s="54" t="s">
        <v>13642</v>
      </c>
      <c r="F3928" s="28" t="s">
        <v>7435</v>
      </c>
      <c r="G3928" s="28">
        <v>9999</v>
      </c>
    </row>
    <row r="3929" spans="1:7">
      <c r="A3929" s="28">
        <v>4151056</v>
      </c>
      <c r="B3929" s="28" t="s">
        <v>13643</v>
      </c>
      <c r="C3929" s="28">
        <v>4</v>
      </c>
      <c r="D3929" s="28" t="s">
        <v>13641</v>
      </c>
      <c r="E3929" s="54" t="s">
        <v>13642</v>
      </c>
      <c r="F3929" s="28" t="s">
        <v>7435</v>
      </c>
      <c r="G3929" s="28">
        <v>9999</v>
      </c>
    </row>
    <row r="3930" spans="1:7">
      <c r="A3930" s="28">
        <v>4151101</v>
      </c>
      <c r="B3930" s="28" t="s">
        <v>13644</v>
      </c>
      <c r="C3930" s="28">
        <v>4</v>
      </c>
      <c r="D3930" s="28" t="s">
        <v>13645</v>
      </c>
      <c r="E3930" s="54" t="s">
        <v>13646</v>
      </c>
      <c r="F3930" s="28" t="s">
        <v>13647</v>
      </c>
      <c r="G3930" s="28">
        <v>9999</v>
      </c>
    </row>
    <row r="3931" spans="1:7">
      <c r="A3931" s="28">
        <v>4151102</v>
      </c>
      <c r="B3931" s="28" t="s">
        <v>13648</v>
      </c>
      <c r="C3931" s="28">
        <v>4</v>
      </c>
      <c r="D3931" s="28" t="s">
        <v>13649</v>
      </c>
      <c r="E3931" s="54" t="s">
        <v>13646</v>
      </c>
      <c r="F3931" s="28" t="s">
        <v>13647</v>
      </c>
      <c r="G3931" s="28">
        <v>9999</v>
      </c>
    </row>
    <row r="3932" spans="1:7">
      <c r="A3932" s="28">
        <v>4151103</v>
      </c>
      <c r="B3932" s="28" t="s">
        <v>13650</v>
      </c>
      <c r="C3932" s="28">
        <v>4</v>
      </c>
      <c r="D3932" s="28" t="s">
        <v>13651</v>
      </c>
      <c r="E3932" s="54" t="s">
        <v>13646</v>
      </c>
      <c r="F3932" s="28" t="s">
        <v>13647</v>
      </c>
      <c r="G3932" s="28">
        <v>9999</v>
      </c>
    </row>
    <row r="3933" spans="1:7">
      <c r="A3933" s="28">
        <v>4151104</v>
      </c>
      <c r="B3933" s="28" t="s">
        <v>13652</v>
      </c>
      <c r="C3933" s="28">
        <v>4</v>
      </c>
      <c r="D3933" s="28" t="s">
        <v>13653</v>
      </c>
      <c r="E3933" s="54" t="s">
        <v>13646</v>
      </c>
      <c r="F3933" s="28" t="s">
        <v>13647</v>
      </c>
      <c r="G3933" s="28">
        <v>9999</v>
      </c>
    </row>
    <row r="3934" spans="1:7">
      <c r="A3934" s="28">
        <v>4151105</v>
      </c>
      <c r="B3934" s="28" t="s">
        <v>13654</v>
      </c>
      <c r="C3934" s="28">
        <v>4</v>
      </c>
      <c r="D3934" s="28" t="s">
        <v>13655</v>
      </c>
      <c r="E3934" s="54" t="s">
        <v>13646</v>
      </c>
      <c r="F3934" s="28" t="s">
        <v>13647</v>
      </c>
      <c r="G3934" s="28">
        <v>9999</v>
      </c>
    </row>
    <row r="3935" spans="1:7">
      <c r="A3935" s="28">
        <v>4151106</v>
      </c>
      <c r="B3935" s="28" t="s">
        <v>13656</v>
      </c>
      <c r="C3935" s="28">
        <v>4</v>
      </c>
      <c r="D3935" s="28" t="s">
        <v>13657</v>
      </c>
      <c r="E3935" s="54" t="s">
        <v>13646</v>
      </c>
      <c r="F3935" s="28" t="s">
        <v>13647</v>
      </c>
      <c r="G3935" s="28">
        <v>9999</v>
      </c>
    </row>
    <row r="3936" spans="1:7">
      <c r="A3936" s="28">
        <v>4151107</v>
      </c>
      <c r="B3936" s="28" t="s">
        <v>13658</v>
      </c>
      <c r="C3936" s="28">
        <v>4</v>
      </c>
      <c r="D3936" s="28" t="s">
        <v>13659</v>
      </c>
      <c r="E3936" s="54" t="s">
        <v>13646</v>
      </c>
      <c r="F3936" s="28" t="s">
        <v>13647</v>
      </c>
      <c r="G3936" s="28">
        <v>9999</v>
      </c>
    </row>
    <row r="3937" spans="1:7">
      <c r="A3937" s="28">
        <v>4151108</v>
      </c>
      <c r="B3937" s="28" t="s">
        <v>13660</v>
      </c>
      <c r="C3937" s="28">
        <v>4</v>
      </c>
      <c r="D3937" s="28" t="s">
        <v>13661</v>
      </c>
      <c r="E3937" s="54" t="s">
        <v>13646</v>
      </c>
      <c r="F3937" s="28" t="s">
        <v>13647</v>
      </c>
      <c r="G3937" s="28">
        <v>9999</v>
      </c>
    </row>
    <row r="3938" spans="1:7">
      <c r="A3938" s="28">
        <v>4151109</v>
      </c>
      <c r="B3938" s="28" t="s">
        <v>13662</v>
      </c>
      <c r="C3938" s="28">
        <v>4</v>
      </c>
      <c r="D3938" s="28" t="s">
        <v>13663</v>
      </c>
      <c r="E3938" s="54" t="s">
        <v>13646</v>
      </c>
      <c r="F3938" s="28" t="s">
        <v>13647</v>
      </c>
      <c r="G3938" s="28">
        <v>9999</v>
      </c>
    </row>
    <row r="3939" spans="1:7">
      <c r="A3939" s="28">
        <v>4151110</v>
      </c>
      <c r="B3939" s="28" t="s">
        <v>13664</v>
      </c>
      <c r="C3939" s="28">
        <v>4</v>
      </c>
      <c r="D3939" s="28" t="s">
        <v>13665</v>
      </c>
      <c r="E3939" s="54" t="s">
        <v>13646</v>
      </c>
      <c r="F3939" s="28" t="s">
        <v>13647</v>
      </c>
      <c r="G3939" s="28">
        <v>9999</v>
      </c>
    </row>
    <row r="3940" spans="1:7">
      <c r="A3940" s="28">
        <v>4151111</v>
      </c>
      <c r="B3940" s="28" t="s">
        <v>13666</v>
      </c>
      <c r="C3940" s="28">
        <v>4</v>
      </c>
      <c r="D3940" s="28" t="s">
        <v>13667</v>
      </c>
      <c r="E3940" s="54" t="s">
        <v>13646</v>
      </c>
      <c r="F3940" s="28" t="s">
        <v>13647</v>
      </c>
      <c r="G3940" s="28">
        <v>9999</v>
      </c>
    </row>
    <row r="3941" spans="1:7">
      <c r="A3941" s="28">
        <v>4151112</v>
      </c>
      <c r="B3941" s="28" t="s">
        <v>13668</v>
      </c>
      <c r="C3941" s="28">
        <v>4</v>
      </c>
      <c r="D3941" s="28" t="s">
        <v>13669</v>
      </c>
      <c r="E3941" s="54" t="s">
        <v>13646</v>
      </c>
      <c r="F3941" s="28" t="s">
        <v>13647</v>
      </c>
      <c r="G3941" s="28">
        <v>9999</v>
      </c>
    </row>
    <row r="3942" spans="1:7">
      <c r="A3942" s="28">
        <v>4151113</v>
      </c>
      <c r="B3942" s="28" t="s">
        <v>13670</v>
      </c>
      <c r="C3942" s="28">
        <v>4</v>
      </c>
      <c r="D3942" s="28" t="s">
        <v>13671</v>
      </c>
      <c r="E3942" s="54" t="s">
        <v>13646</v>
      </c>
      <c r="F3942" s="28" t="s">
        <v>13647</v>
      </c>
      <c r="G3942" s="28">
        <v>9999</v>
      </c>
    </row>
    <row r="3943" spans="1:7">
      <c r="A3943" s="28">
        <v>4151114</v>
      </c>
      <c r="B3943" s="28" t="s">
        <v>13672</v>
      </c>
      <c r="C3943" s="28">
        <v>4</v>
      </c>
      <c r="D3943" s="28" t="s">
        <v>13673</v>
      </c>
      <c r="E3943" s="54" t="s">
        <v>13646</v>
      </c>
      <c r="F3943" s="28" t="s">
        <v>13647</v>
      </c>
      <c r="G3943" s="28">
        <v>9999</v>
      </c>
    </row>
    <row r="3944" spans="1:7">
      <c r="A3944" s="28">
        <v>4151115</v>
      </c>
      <c r="B3944" s="28" t="s">
        <v>13674</v>
      </c>
      <c r="C3944" s="28">
        <v>4</v>
      </c>
      <c r="D3944" s="28" t="s">
        <v>13675</v>
      </c>
      <c r="E3944" s="54" t="s">
        <v>13646</v>
      </c>
      <c r="F3944" s="28" t="s">
        <v>13647</v>
      </c>
      <c r="G3944" s="28">
        <v>9999</v>
      </c>
    </row>
    <row r="3945" spans="1:7">
      <c r="A3945" s="28">
        <v>4151116</v>
      </c>
      <c r="B3945" s="28" t="s">
        <v>13676</v>
      </c>
      <c r="C3945" s="28">
        <v>4</v>
      </c>
      <c r="D3945" s="28" t="s">
        <v>13677</v>
      </c>
      <c r="E3945" s="64" t="s">
        <v>13646</v>
      </c>
      <c r="F3945" s="28" t="s">
        <v>13647</v>
      </c>
      <c r="G3945" s="28">
        <v>9999</v>
      </c>
    </row>
    <row r="3946" spans="1:7">
      <c r="A3946" s="28">
        <v>4151117</v>
      </c>
      <c r="B3946" s="28" t="s">
        <v>13678</v>
      </c>
      <c r="C3946" s="28">
        <v>4</v>
      </c>
      <c r="D3946" s="28" t="s">
        <v>13679</v>
      </c>
      <c r="E3946" s="54" t="s">
        <v>13646</v>
      </c>
      <c r="F3946" s="28" t="s">
        <v>13647</v>
      </c>
      <c r="G3946" s="28">
        <v>9999</v>
      </c>
    </row>
    <row r="3947" spans="1:7">
      <c r="A3947" s="28">
        <v>4151118</v>
      </c>
      <c r="B3947" s="28" t="s">
        <v>13680</v>
      </c>
      <c r="C3947" s="28">
        <v>4</v>
      </c>
      <c r="D3947" s="28" t="s">
        <v>13681</v>
      </c>
      <c r="E3947" s="28" t="s">
        <v>13646</v>
      </c>
      <c r="F3947" s="28" t="s">
        <v>13647</v>
      </c>
      <c r="G3947" s="28">
        <v>9999</v>
      </c>
    </row>
    <row r="3948" spans="1:7">
      <c r="A3948" s="28">
        <v>4151119</v>
      </c>
      <c r="B3948" s="28" t="s">
        <v>13682</v>
      </c>
      <c r="C3948" s="28">
        <v>4</v>
      </c>
      <c r="D3948" s="28" t="s">
        <v>13683</v>
      </c>
      <c r="E3948" s="28" t="s">
        <v>13646</v>
      </c>
      <c r="F3948" s="28" t="s">
        <v>13647</v>
      </c>
      <c r="G3948" s="28">
        <v>9999</v>
      </c>
    </row>
    <row r="3949" spans="1:7">
      <c r="A3949" s="28">
        <v>4151120</v>
      </c>
      <c r="B3949" s="28" t="s">
        <v>13684</v>
      </c>
      <c r="C3949" s="28">
        <v>4</v>
      </c>
      <c r="D3949" s="28" t="s">
        <v>13685</v>
      </c>
      <c r="E3949" s="28" t="s">
        <v>13646</v>
      </c>
      <c r="F3949" s="28" t="s">
        <v>13647</v>
      </c>
      <c r="G3949" s="28">
        <v>9999</v>
      </c>
    </row>
    <row r="3950" spans="1:7">
      <c r="A3950" s="28">
        <v>4151121</v>
      </c>
      <c r="B3950" s="28" t="s">
        <v>13686</v>
      </c>
      <c r="C3950" s="28">
        <v>4</v>
      </c>
      <c r="D3950" s="28" t="s">
        <v>13687</v>
      </c>
      <c r="E3950" s="28" t="s">
        <v>13646</v>
      </c>
      <c r="F3950" s="28" t="s">
        <v>13647</v>
      </c>
      <c r="G3950" s="28">
        <v>9999</v>
      </c>
    </row>
    <row r="3951" spans="1:7">
      <c r="A3951" s="28">
        <v>4151122</v>
      </c>
      <c r="B3951" s="28" t="s">
        <v>13688</v>
      </c>
      <c r="C3951" s="28">
        <v>4</v>
      </c>
      <c r="D3951" s="28" t="s">
        <v>13689</v>
      </c>
      <c r="E3951" s="28" t="s">
        <v>13646</v>
      </c>
      <c r="F3951" s="28" t="s">
        <v>13647</v>
      </c>
      <c r="G3951" s="28">
        <v>9999</v>
      </c>
    </row>
    <row r="3952" spans="1:7">
      <c r="A3952" s="28">
        <v>4151123</v>
      </c>
      <c r="B3952" s="28" t="s">
        <v>13690</v>
      </c>
      <c r="C3952" s="28">
        <v>4</v>
      </c>
      <c r="D3952" s="28" t="s">
        <v>13691</v>
      </c>
      <c r="E3952" s="28" t="s">
        <v>13646</v>
      </c>
      <c r="F3952" s="28" t="s">
        <v>13647</v>
      </c>
      <c r="G3952" s="28">
        <v>9999</v>
      </c>
    </row>
    <row r="3953" spans="1:7">
      <c r="A3953" s="28">
        <v>4151124</v>
      </c>
      <c r="B3953" s="28" t="s">
        <v>13692</v>
      </c>
      <c r="C3953" s="28">
        <v>4</v>
      </c>
      <c r="D3953" s="28" t="s">
        <v>13693</v>
      </c>
      <c r="E3953" s="28" t="s">
        <v>13646</v>
      </c>
      <c r="F3953" s="28" t="s">
        <v>13647</v>
      </c>
      <c r="G3953" s="28">
        <v>9999</v>
      </c>
    </row>
    <row r="3954" spans="1:7">
      <c r="A3954" s="28">
        <v>4151125</v>
      </c>
      <c r="B3954" s="28" t="s">
        <v>13694</v>
      </c>
      <c r="C3954" s="28">
        <v>4</v>
      </c>
      <c r="D3954" s="28" t="s">
        <v>13695</v>
      </c>
      <c r="E3954" s="28" t="s">
        <v>13646</v>
      </c>
      <c r="F3954" s="28" t="s">
        <v>13647</v>
      </c>
      <c r="G3954" s="28">
        <v>9999</v>
      </c>
    </row>
    <row r="3955" spans="1:7">
      <c r="A3955" s="28">
        <v>4151126</v>
      </c>
      <c r="B3955" s="28" t="s">
        <v>13696</v>
      </c>
      <c r="C3955" s="28">
        <v>4</v>
      </c>
      <c r="D3955" s="28" t="s">
        <v>13697</v>
      </c>
      <c r="E3955" s="28" t="s">
        <v>13646</v>
      </c>
      <c r="F3955" s="28" t="s">
        <v>13647</v>
      </c>
      <c r="G3955" s="28">
        <v>9999</v>
      </c>
    </row>
    <row r="3956" spans="1:7">
      <c r="A3956" s="28">
        <v>4151127</v>
      </c>
      <c r="B3956" s="28" t="s">
        <v>13698</v>
      </c>
      <c r="C3956" s="28">
        <v>4</v>
      </c>
      <c r="D3956" s="28" t="s">
        <v>13699</v>
      </c>
      <c r="E3956" s="28" t="s">
        <v>13646</v>
      </c>
      <c r="F3956" s="28" t="s">
        <v>13647</v>
      </c>
      <c r="G3956" s="28">
        <v>9999</v>
      </c>
    </row>
    <row r="3957" spans="1:7">
      <c r="A3957" s="28">
        <v>4151128</v>
      </c>
      <c r="B3957" s="28" t="s">
        <v>13700</v>
      </c>
      <c r="C3957" s="28">
        <v>4</v>
      </c>
      <c r="D3957" s="28" t="s">
        <v>13701</v>
      </c>
      <c r="E3957" s="28" t="s">
        <v>13646</v>
      </c>
      <c r="F3957" s="28" t="s">
        <v>13647</v>
      </c>
      <c r="G3957" s="28">
        <v>9999</v>
      </c>
    </row>
    <row r="3958" spans="1:7">
      <c r="A3958" s="28">
        <v>4151201</v>
      </c>
      <c r="B3958" s="28" t="s">
        <v>13702</v>
      </c>
      <c r="C3958" s="28">
        <v>4</v>
      </c>
      <c r="D3958" s="28" t="s">
        <v>13703</v>
      </c>
      <c r="E3958" s="28" t="s">
        <v>13704</v>
      </c>
      <c r="F3958" s="28" t="s">
        <v>13705</v>
      </c>
      <c r="G3958" s="28">
        <v>9999</v>
      </c>
    </row>
    <row r="3959" spans="1:7">
      <c r="A3959" s="28">
        <v>4151202</v>
      </c>
      <c r="B3959" s="28" t="s">
        <v>13706</v>
      </c>
      <c r="C3959" s="28">
        <v>4</v>
      </c>
      <c r="D3959" s="28" t="s">
        <v>13707</v>
      </c>
      <c r="E3959" s="28" t="s">
        <v>13704</v>
      </c>
      <c r="F3959" s="28" t="s">
        <v>13705</v>
      </c>
      <c r="G3959" s="28">
        <v>9999</v>
      </c>
    </row>
    <row r="3960" spans="1:7">
      <c r="A3960" s="28">
        <v>4151203</v>
      </c>
      <c r="B3960" s="28" t="s">
        <v>13708</v>
      </c>
      <c r="C3960" s="28">
        <v>4</v>
      </c>
      <c r="D3960" s="28" t="s">
        <v>13709</v>
      </c>
      <c r="E3960" s="28" t="s">
        <v>13704</v>
      </c>
      <c r="F3960" s="28" t="s">
        <v>13705</v>
      </c>
      <c r="G3960" s="28">
        <v>9999</v>
      </c>
    </row>
    <row r="3961" spans="1:7">
      <c r="A3961" s="28">
        <v>4151204</v>
      </c>
      <c r="B3961" s="28" t="s">
        <v>13710</v>
      </c>
      <c r="C3961" s="28">
        <v>4</v>
      </c>
      <c r="D3961" s="28" t="s">
        <v>13711</v>
      </c>
      <c r="E3961" s="28" t="s">
        <v>13704</v>
      </c>
      <c r="F3961" s="28" t="s">
        <v>13705</v>
      </c>
      <c r="G3961" s="28">
        <v>9999</v>
      </c>
    </row>
    <row r="3962" spans="1:7">
      <c r="A3962" s="28">
        <v>4151205</v>
      </c>
      <c r="B3962" s="28" t="s">
        <v>13712</v>
      </c>
      <c r="C3962" s="28">
        <v>4</v>
      </c>
      <c r="D3962" s="28" t="s">
        <v>13713</v>
      </c>
      <c r="E3962" s="28" t="s">
        <v>13704</v>
      </c>
      <c r="F3962" s="28" t="s">
        <v>13705</v>
      </c>
      <c r="G3962" s="28">
        <v>9999</v>
      </c>
    </row>
    <row r="3963" spans="1:7">
      <c r="A3963" s="28">
        <v>4151206</v>
      </c>
      <c r="B3963" s="28" t="s">
        <v>13714</v>
      </c>
      <c r="C3963" s="28">
        <v>4</v>
      </c>
      <c r="D3963" s="28" t="s">
        <v>13715</v>
      </c>
      <c r="E3963" s="28" t="s">
        <v>13704</v>
      </c>
      <c r="F3963" s="28" t="s">
        <v>13705</v>
      </c>
      <c r="G3963" s="28">
        <v>9999</v>
      </c>
    </row>
    <row r="3964" spans="1:7">
      <c r="A3964" s="28">
        <v>4151207</v>
      </c>
      <c r="B3964" s="28" t="s">
        <v>13716</v>
      </c>
      <c r="C3964" s="28">
        <v>4</v>
      </c>
      <c r="D3964" s="28" t="s">
        <v>13717</v>
      </c>
      <c r="E3964" s="28" t="s">
        <v>13704</v>
      </c>
      <c r="F3964" s="28" t="s">
        <v>13705</v>
      </c>
      <c r="G3964" s="28">
        <v>9999</v>
      </c>
    </row>
    <row r="3965" spans="1:7">
      <c r="A3965" s="28">
        <v>4151208</v>
      </c>
      <c r="B3965" s="28" t="s">
        <v>13718</v>
      </c>
      <c r="C3965" s="28">
        <v>4</v>
      </c>
      <c r="D3965" s="28" t="s">
        <v>13719</v>
      </c>
      <c r="E3965" s="28" t="s">
        <v>13704</v>
      </c>
      <c r="F3965" s="28" t="s">
        <v>13705</v>
      </c>
      <c r="G3965" s="28">
        <v>9999</v>
      </c>
    </row>
    <row r="3966" spans="1:7">
      <c r="A3966" s="28">
        <v>4151209</v>
      </c>
      <c r="B3966" s="28" t="s">
        <v>13720</v>
      </c>
      <c r="C3966" s="28">
        <v>4</v>
      </c>
      <c r="D3966" s="28" t="s">
        <v>13721</v>
      </c>
      <c r="E3966" s="28" t="s">
        <v>13704</v>
      </c>
      <c r="F3966" s="28" t="s">
        <v>13705</v>
      </c>
      <c r="G3966" s="28">
        <v>9999</v>
      </c>
    </row>
    <row r="3967" spans="1:7">
      <c r="A3967" s="28">
        <v>4151210</v>
      </c>
      <c r="B3967" s="28" t="s">
        <v>13722</v>
      </c>
      <c r="C3967" s="28">
        <v>4</v>
      </c>
      <c r="D3967" s="28" t="s">
        <v>13723</v>
      </c>
      <c r="E3967" s="65" t="s">
        <v>13704</v>
      </c>
      <c r="F3967" s="28" t="s">
        <v>13705</v>
      </c>
      <c r="G3967" s="28">
        <v>9999</v>
      </c>
    </row>
    <row r="3968" spans="1:7">
      <c r="A3968" s="28">
        <v>4151211</v>
      </c>
      <c r="B3968" s="28" t="s">
        <v>13724</v>
      </c>
      <c r="C3968" s="28">
        <v>4</v>
      </c>
      <c r="D3968" s="28" t="s">
        <v>13725</v>
      </c>
      <c r="E3968" s="65" t="s">
        <v>13704</v>
      </c>
      <c r="F3968" s="28" t="s">
        <v>13705</v>
      </c>
      <c r="G3968" s="28">
        <v>9999</v>
      </c>
    </row>
    <row r="3969" spans="1:7">
      <c r="A3969" s="28">
        <v>4151212</v>
      </c>
      <c r="B3969" s="28" t="s">
        <v>13726</v>
      </c>
      <c r="C3969" s="28">
        <v>4</v>
      </c>
      <c r="D3969" s="28" t="s">
        <v>13727</v>
      </c>
      <c r="E3969" s="65" t="s">
        <v>13704</v>
      </c>
      <c r="F3969" s="28" t="s">
        <v>13705</v>
      </c>
      <c r="G3969" s="28">
        <v>9999</v>
      </c>
    </row>
    <row r="3970" spans="1:7">
      <c r="A3970" s="28">
        <v>4151213</v>
      </c>
      <c r="B3970" s="28" t="s">
        <v>13728</v>
      </c>
      <c r="C3970" s="28">
        <v>4</v>
      </c>
      <c r="D3970" s="28" t="s">
        <v>13729</v>
      </c>
      <c r="E3970" s="65" t="s">
        <v>13704</v>
      </c>
      <c r="F3970" s="28" t="s">
        <v>13705</v>
      </c>
      <c r="G3970" s="28">
        <v>9999</v>
      </c>
    </row>
    <row r="3971" spans="1:7">
      <c r="A3971" s="28">
        <v>4151214</v>
      </c>
      <c r="B3971" s="28" t="s">
        <v>13730</v>
      </c>
      <c r="C3971" s="28">
        <v>4</v>
      </c>
      <c r="D3971" s="28" t="s">
        <v>13731</v>
      </c>
      <c r="E3971" s="65" t="s">
        <v>13704</v>
      </c>
      <c r="F3971" s="28" t="s">
        <v>13705</v>
      </c>
      <c r="G3971" s="28">
        <v>9999</v>
      </c>
    </row>
    <row r="3972" spans="1:7">
      <c r="A3972" s="28">
        <v>4151215</v>
      </c>
      <c r="B3972" s="28" t="s">
        <v>13732</v>
      </c>
      <c r="C3972" s="28">
        <v>4</v>
      </c>
      <c r="D3972" s="28" t="s">
        <v>13733</v>
      </c>
      <c r="E3972" s="65" t="s">
        <v>13704</v>
      </c>
      <c r="F3972" s="28" t="s">
        <v>13705</v>
      </c>
      <c r="G3972" s="28">
        <v>9999</v>
      </c>
    </row>
    <row r="3973" spans="1:7">
      <c r="A3973" s="28">
        <v>4151216</v>
      </c>
      <c r="B3973" s="28" t="s">
        <v>13734</v>
      </c>
      <c r="C3973" s="28">
        <v>4</v>
      </c>
      <c r="D3973" s="28" t="s">
        <v>13735</v>
      </c>
      <c r="E3973" s="65" t="s">
        <v>13704</v>
      </c>
      <c r="F3973" s="28" t="s">
        <v>13705</v>
      </c>
      <c r="G3973" s="28">
        <v>9999</v>
      </c>
    </row>
    <row r="3974" spans="1:7">
      <c r="A3974" s="28">
        <v>4151217</v>
      </c>
      <c r="B3974" s="28" t="s">
        <v>13736</v>
      </c>
      <c r="C3974" s="28">
        <v>4</v>
      </c>
      <c r="D3974" s="28" t="s">
        <v>13737</v>
      </c>
      <c r="E3974" s="65" t="s">
        <v>13704</v>
      </c>
      <c r="F3974" s="28" t="s">
        <v>13705</v>
      </c>
      <c r="G3974" s="28">
        <v>9999</v>
      </c>
    </row>
    <row r="3975" spans="1:7">
      <c r="A3975" s="28">
        <v>4151218</v>
      </c>
      <c r="B3975" s="28" t="s">
        <v>13738</v>
      </c>
      <c r="C3975" s="28">
        <v>4</v>
      </c>
      <c r="D3975" s="28" t="s">
        <v>13739</v>
      </c>
      <c r="E3975" s="64" t="s">
        <v>13704</v>
      </c>
      <c r="F3975" s="28" t="s">
        <v>13705</v>
      </c>
      <c r="G3975" s="28">
        <v>9999</v>
      </c>
    </row>
    <row r="3976" spans="1:7">
      <c r="A3976" s="28">
        <v>4151219</v>
      </c>
      <c r="B3976" s="28" t="s">
        <v>13740</v>
      </c>
      <c r="C3976" s="28">
        <v>4</v>
      </c>
      <c r="D3976" s="28" t="s">
        <v>13741</v>
      </c>
      <c r="E3976" s="65" t="s">
        <v>13704</v>
      </c>
      <c r="F3976" s="28" t="s">
        <v>13705</v>
      </c>
      <c r="G3976" s="28">
        <v>9999</v>
      </c>
    </row>
    <row r="3977" spans="1:7">
      <c r="A3977" s="28">
        <v>4151220</v>
      </c>
      <c r="B3977" s="28" t="s">
        <v>13742</v>
      </c>
      <c r="C3977" s="28">
        <v>4</v>
      </c>
      <c r="D3977" s="28" t="s">
        <v>13743</v>
      </c>
      <c r="E3977" s="65" t="s">
        <v>13704</v>
      </c>
      <c r="F3977" s="28" t="s">
        <v>13705</v>
      </c>
      <c r="G3977" s="28">
        <v>9999</v>
      </c>
    </row>
    <row r="3978" spans="1:7">
      <c r="A3978" s="28">
        <v>4151221</v>
      </c>
      <c r="B3978" s="28" t="s">
        <v>13744</v>
      </c>
      <c r="C3978" s="28">
        <v>4</v>
      </c>
      <c r="D3978" s="28" t="s">
        <v>13745</v>
      </c>
      <c r="E3978" s="65" t="s">
        <v>13704</v>
      </c>
      <c r="F3978" s="28" t="s">
        <v>13705</v>
      </c>
      <c r="G3978" s="28">
        <v>9999</v>
      </c>
    </row>
    <row r="3979" spans="1:7">
      <c r="A3979" s="28">
        <v>4151222</v>
      </c>
      <c r="B3979" s="28" t="s">
        <v>13746</v>
      </c>
      <c r="C3979" s="28">
        <v>4</v>
      </c>
      <c r="D3979" s="28" t="s">
        <v>13747</v>
      </c>
      <c r="E3979" s="65" t="s">
        <v>13704</v>
      </c>
      <c r="F3979" s="28" t="s">
        <v>13705</v>
      </c>
      <c r="G3979" s="28">
        <v>9999</v>
      </c>
    </row>
    <row r="3980" spans="1:7">
      <c r="A3980" s="28">
        <v>4151223</v>
      </c>
      <c r="B3980" s="28" t="s">
        <v>13748</v>
      </c>
      <c r="C3980" s="28">
        <v>4</v>
      </c>
      <c r="D3980" s="28" t="s">
        <v>13749</v>
      </c>
      <c r="E3980" s="65" t="s">
        <v>13704</v>
      </c>
      <c r="F3980" s="28" t="s">
        <v>13705</v>
      </c>
      <c r="G3980" s="28">
        <v>9999</v>
      </c>
    </row>
    <row r="3981" spans="1:7">
      <c r="A3981" s="28">
        <v>4151224</v>
      </c>
      <c r="B3981" s="28" t="s">
        <v>13750</v>
      </c>
      <c r="C3981" s="28">
        <v>4</v>
      </c>
      <c r="D3981" s="28" t="s">
        <v>13751</v>
      </c>
      <c r="E3981" s="64" t="s">
        <v>13704</v>
      </c>
      <c r="F3981" s="28" t="s">
        <v>13705</v>
      </c>
      <c r="G3981" s="28">
        <v>9999</v>
      </c>
    </row>
    <row r="3982" spans="1:7">
      <c r="A3982" s="28">
        <v>4151225</v>
      </c>
      <c r="B3982" s="28" t="s">
        <v>13752</v>
      </c>
      <c r="C3982" s="28">
        <v>4</v>
      </c>
      <c r="D3982" s="28" t="s">
        <v>13753</v>
      </c>
      <c r="E3982" s="65" t="s">
        <v>13704</v>
      </c>
      <c r="F3982" s="28" t="s">
        <v>13705</v>
      </c>
      <c r="G3982" s="28">
        <v>9999</v>
      </c>
    </row>
    <row r="3983" spans="1:7">
      <c r="A3983" s="28">
        <v>4151226</v>
      </c>
      <c r="B3983" s="28" t="s">
        <v>13754</v>
      </c>
      <c r="C3983" s="28">
        <v>4</v>
      </c>
      <c r="D3983" s="28" t="s">
        <v>13755</v>
      </c>
      <c r="E3983" s="65" t="s">
        <v>13704</v>
      </c>
      <c r="F3983" s="28" t="s">
        <v>13705</v>
      </c>
      <c r="G3983" s="28">
        <v>9999</v>
      </c>
    </row>
    <row r="3984" spans="1:7">
      <c r="A3984" s="28">
        <v>4151227</v>
      </c>
      <c r="B3984" s="28" t="s">
        <v>13756</v>
      </c>
      <c r="C3984" s="28">
        <v>4</v>
      </c>
      <c r="D3984" s="28" t="s">
        <v>13757</v>
      </c>
      <c r="E3984" s="64" t="s">
        <v>13704</v>
      </c>
      <c r="F3984" s="28" t="s">
        <v>13705</v>
      </c>
      <c r="G3984" s="28">
        <v>9999</v>
      </c>
    </row>
    <row r="3985" spans="1:7">
      <c r="A3985" s="28">
        <v>4151228</v>
      </c>
      <c r="B3985" s="28" t="s">
        <v>13758</v>
      </c>
      <c r="C3985" s="28">
        <v>4</v>
      </c>
      <c r="D3985" s="28" t="s">
        <v>13759</v>
      </c>
      <c r="E3985" s="65" t="s">
        <v>13704</v>
      </c>
      <c r="F3985" s="28" t="s">
        <v>13705</v>
      </c>
      <c r="G3985" s="28">
        <v>9999</v>
      </c>
    </row>
    <row r="3986" spans="1:7">
      <c r="A3986" s="28">
        <v>4151301</v>
      </c>
      <c r="B3986" s="28" t="s">
        <v>13760</v>
      </c>
      <c r="C3986" s="28">
        <v>3</v>
      </c>
      <c r="D3986" s="28" t="s">
        <v>13761</v>
      </c>
      <c r="E3986" s="65" t="s">
        <v>13762</v>
      </c>
      <c r="F3986" s="28" t="s">
        <v>13763</v>
      </c>
      <c r="G3986" s="28">
        <v>9999</v>
      </c>
    </row>
    <row r="3987" spans="1:7">
      <c r="A3987" s="28">
        <v>4151302</v>
      </c>
      <c r="B3987" s="28" t="s">
        <v>13764</v>
      </c>
      <c r="C3987" s="28">
        <v>3</v>
      </c>
      <c r="D3987" s="28" t="s">
        <v>13761</v>
      </c>
      <c r="E3987" s="65" t="s">
        <v>13765</v>
      </c>
      <c r="F3987" s="28" t="s">
        <v>13766</v>
      </c>
      <c r="G3987" s="28">
        <v>9999</v>
      </c>
    </row>
    <row r="3988" spans="1:7">
      <c r="A3988" s="28">
        <v>4151303</v>
      </c>
      <c r="B3988" s="28" t="s">
        <v>13767</v>
      </c>
      <c r="C3988" s="28">
        <v>3</v>
      </c>
      <c r="D3988" s="28" t="s">
        <v>13761</v>
      </c>
      <c r="E3988" s="65" t="s">
        <v>13768</v>
      </c>
      <c r="F3988" s="28" t="s">
        <v>13769</v>
      </c>
      <c r="G3988" s="28">
        <v>9999</v>
      </c>
    </row>
    <row r="3989" spans="1:7">
      <c r="A3989" s="28">
        <v>4152001</v>
      </c>
      <c r="B3989" s="28" t="s">
        <v>13770</v>
      </c>
      <c r="C3989" s="28">
        <v>4</v>
      </c>
      <c r="D3989" s="28" t="s">
        <v>13771</v>
      </c>
      <c r="E3989" s="65" t="s">
        <v>13772</v>
      </c>
      <c r="F3989" s="28" t="s">
        <v>13773</v>
      </c>
      <c r="G3989" s="28">
        <v>9999</v>
      </c>
    </row>
    <row r="3990" spans="1:7">
      <c r="A3990" s="28">
        <v>4152002</v>
      </c>
      <c r="B3990" s="28" t="s">
        <v>13774</v>
      </c>
      <c r="C3990" s="28">
        <v>4</v>
      </c>
      <c r="D3990" s="28" t="s">
        <v>13775</v>
      </c>
      <c r="E3990" s="65" t="s">
        <v>13776</v>
      </c>
      <c r="F3990" s="28" t="s">
        <v>13777</v>
      </c>
      <c r="G3990" s="28">
        <v>9999</v>
      </c>
    </row>
    <row r="3991" spans="1:7">
      <c r="A3991" s="28">
        <v>4200000</v>
      </c>
      <c r="B3991" s="28" t="s">
        <v>13778</v>
      </c>
      <c r="C3991" s="28">
        <v>3</v>
      </c>
      <c r="D3991" s="28" t="s">
        <v>13779</v>
      </c>
      <c r="E3991" s="65" t="s">
        <v>13780</v>
      </c>
      <c r="F3991" s="28" t="s">
        <v>13781</v>
      </c>
      <c r="G3991" s="28">
        <v>1</v>
      </c>
    </row>
    <row r="3992" spans="1:7">
      <c r="A3992" s="28">
        <v>10007030</v>
      </c>
      <c r="B3992" s="28" t="s">
        <v>8654</v>
      </c>
      <c r="C3992" s="28">
        <v>4</v>
      </c>
      <c r="D3992" s="28" t="s">
        <v>8655</v>
      </c>
      <c r="E3992" s="64" t="s">
        <v>8656</v>
      </c>
      <c r="F3992" s="28" t="s">
        <v>8657</v>
      </c>
      <c r="G3992" s="28">
        <v>1</v>
      </c>
    </row>
    <row r="3993" spans="1:7">
      <c r="A3993" s="28">
        <v>11000201</v>
      </c>
      <c r="B3993" s="28" t="s">
        <v>13782</v>
      </c>
      <c r="C3993" s="28">
        <v>4</v>
      </c>
      <c r="D3993" s="28" t="s">
        <v>13783</v>
      </c>
      <c r="E3993" s="64" t="s">
        <v>10069</v>
      </c>
      <c r="F3993" s="28" t="s">
        <v>10029</v>
      </c>
      <c r="G3993" s="28">
        <v>1</v>
      </c>
    </row>
    <row r="3994" spans="1:7">
      <c r="A3994" s="28">
        <v>11000202</v>
      </c>
      <c r="B3994" s="28" t="s">
        <v>13784</v>
      </c>
      <c r="C3994" s="28">
        <v>4</v>
      </c>
      <c r="D3994" s="28" t="s">
        <v>13785</v>
      </c>
      <c r="E3994" s="64" t="s">
        <v>10069</v>
      </c>
      <c r="F3994" s="28" t="s">
        <v>10029</v>
      </c>
      <c r="G3994" s="28">
        <v>1</v>
      </c>
    </row>
    <row r="3995" spans="1:7">
      <c r="A3995" s="28">
        <v>11000203</v>
      </c>
      <c r="B3995" s="28" t="s">
        <v>13786</v>
      </c>
      <c r="C3995" s="28">
        <v>4</v>
      </c>
      <c r="D3995" s="28" t="s">
        <v>13787</v>
      </c>
      <c r="E3995" s="64" t="s">
        <v>10069</v>
      </c>
      <c r="F3995" s="28" t="s">
        <v>10029</v>
      </c>
      <c r="G3995" s="28">
        <v>1</v>
      </c>
    </row>
    <row r="3996" spans="1:7">
      <c r="A3996" s="28">
        <v>11000204</v>
      </c>
      <c r="B3996" s="28" t="s">
        <v>13788</v>
      </c>
      <c r="C3996" s="28">
        <v>4</v>
      </c>
      <c r="D3996" s="28" t="s">
        <v>13789</v>
      </c>
      <c r="E3996" s="64" t="s">
        <v>10069</v>
      </c>
      <c r="F3996" s="28" t="s">
        <v>10029</v>
      </c>
      <c r="G3996" s="28">
        <v>1</v>
      </c>
    </row>
    <row r="3997" spans="1:7">
      <c r="A3997" s="28">
        <v>11000205</v>
      </c>
      <c r="B3997" s="28" t="s">
        <v>13790</v>
      </c>
      <c r="C3997" s="28">
        <v>4</v>
      </c>
      <c r="D3997" s="28" t="s">
        <v>13789</v>
      </c>
      <c r="E3997" s="64" t="s">
        <v>10069</v>
      </c>
      <c r="F3997" s="28" t="s">
        <v>10029</v>
      </c>
      <c r="G3997" s="28">
        <v>1</v>
      </c>
    </row>
    <row r="3998" spans="1:7">
      <c r="A3998" s="28">
        <v>11000211</v>
      </c>
      <c r="B3998" s="28" t="s">
        <v>13791</v>
      </c>
      <c r="C3998" s="28">
        <v>4</v>
      </c>
      <c r="D3998" s="28" t="s">
        <v>13792</v>
      </c>
      <c r="E3998" s="64" t="s">
        <v>10072</v>
      </c>
      <c r="F3998" s="28" t="s">
        <v>10029</v>
      </c>
      <c r="G3998" s="28">
        <v>1</v>
      </c>
    </row>
    <row r="3999" spans="1:7">
      <c r="A3999" s="28">
        <v>11000212</v>
      </c>
      <c r="B3999" s="28" t="s">
        <v>13793</v>
      </c>
      <c r="C3999" s="28">
        <v>4</v>
      </c>
      <c r="D3999" s="28" t="s">
        <v>13794</v>
      </c>
      <c r="E3999" s="64" t="s">
        <v>10072</v>
      </c>
      <c r="F3999" s="28" t="s">
        <v>10029</v>
      </c>
      <c r="G3999" s="28">
        <v>1</v>
      </c>
    </row>
    <row r="4000" spans="1:7">
      <c r="A4000" s="28">
        <v>11000213</v>
      </c>
      <c r="B4000" s="28" t="s">
        <v>13795</v>
      </c>
      <c r="C4000" s="28">
        <v>4</v>
      </c>
      <c r="D4000" s="28" t="s">
        <v>13796</v>
      </c>
      <c r="E4000" s="64" t="s">
        <v>10072</v>
      </c>
      <c r="F4000" s="28" t="s">
        <v>10029</v>
      </c>
      <c r="G4000" s="28">
        <v>1</v>
      </c>
    </row>
    <row r="4001" spans="1:7">
      <c r="A4001" s="28">
        <v>11000214</v>
      </c>
      <c r="B4001" s="28" t="s">
        <v>13797</v>
      </c>
      <c r="C4001" s="28">
        <v>4</v>
      </c>
      <c r="D4001" s="28" t="s">
        <v>13796</v>
      </c>
      <c r="E4001" s="64" t="s">
        <v>10072</v>
      </c>
      <c r="F4001" s="28" t="s">
        <v>10029</v>
      </c>
      <c r="G4001" s="28">
        <v>1</v>
      </c>
    </row>
    <row r="4002" spans="1:7">
      <c r="A4002" s="28">
        <v>11000221</v>
      </c>
      <c r="B4002" s="28" t="s">
        <v>13798</v>
      </c>
      <c r="C4002" s="28">
        <v>4</v>
      </c>
      <c r="D4002" s="28" t="s">
        <v>13799</v>
      </c>
      <c r="E4002" s="64" t="s">
        <v>10075</v>
      </c>
      <c r="F4002" s="28" t="s">
        <v>10029</v>
      </c>
      <c r="G4002" s="28">
        <v>1</v>
      </c>
    </row>
    <row r="4003" spans="1:7">
      <c r="A4003" s="28">
        <v>11000222</v>
      </c>
      <c r="B4003" s="28" t="s">
        <v>13800</v>
      </c>
      <c r="C4003" s="28">
        <v>4</v>
      </c>
      <c r="D4003" s="28" t="s">
        <v>10074</v>
      </c>
      <c r="E4003" s="64" t="s">
        <v>10075</v>
      </c>
      <c r="F4003" s="28" t="s">
        <v>10029</v>
      </c>
      <c r="G4003" s="28">
        <v>1</v>
      </c>
    </row>
    <row r="4004" spans="1:7">
      <c r="A4004" s="28">
        <v>11000223</v>
      </c>
      <c r="B4004" s="28" t="s">
        <v>13801</v>
      </c>
      <c r="C4004" s="28">
        <v>4</v>
      </c>
      <c r="D4004" s="28" t="s">
        <v>10074</v>
      </c>
      <c r="E4004" s="64" t="s">
        <v>10075</v>
      </c>
      <c r="F4004" s="28" t="s">
        <v>10029</v>
      </c>
      <c r="G4004" s="28">
        <v>1</v>
      </c>
    </row>
    <row r="4005" spans="1:7">
      <c r="A4005" s="28">
        <v>11000281</v>
      </c>
      <c r="B4005" s="28" t="s">
        <v>13802</v>
      </c>
      <c r="C4005" s="28">
        <v>4</v>
      </c>
      <c r="D4005" s="28" t="s">
        <v>13803</v>
      </c>
      <c r="E4005" s="64" t="s">
        <v>13804</v>
      </c>
      <c r="F4005" s="28" t="s">
        <v>10029</v>
      </c>
      <c r="G4005" s="28">
        <v>1</v>
      </c>
    </row>
    <row r="4006" spans="1:7">
      <c r="A4006" s="28">
        <v>11000282</v>
      </c>
      <c r="B4006" s="28" t="s">
        <v>13805</v>
      </c>
      <c r="C4006" s="28">
        <v>4</v>
      </c>
      <c r="D4006" s="28" t="s">
        <v>13806</v>
      </c>
      <c r="E4006" s="64" t="s">
        <v>13804</v>
      </c>
      <c r="F4006" s="28" t="s">
        <v>10029</v>
      </c>
      <c r="G4006" s="28">
        <v>1</v>
      </c>
    </row>
    <row r="4007" spans="1:7">
      <c r="A4007" s="28">
        <v>11000291</v>
      </c>
      <c r="B4007" s="28" t="s">
        <v>13807</v>
      </c>
      <c r="C4007" s="28">
        <v>4</v>
      </c>
      <c r="D4007" s="28" t="s">
        <v>13808</v>
      </c>
      <c r="E4007" s="64" t="s">
        <v>10093</v>
      </c>
      <c r="F4007" s="28" t="s">
        <v>10029</v>
      </c>
      <c r="G4007" s="28">
        <v>1</v>
      </c>
    </row>
    <row r="4008" spans="1:7">
      <c r="A4008" s="28">
        <v>11000292</v>
      </c>
      <c r="B4008" s="28" t="s">
        <v>13809</v>
      </c>
      <c r="C4008" s="28">
        <v>4</v>
      </c>
      <c r="D4008" s="28" t="s">
        <v>13810</v>
      </c>
      <c r="E4008" s="64" t="s">
        <v>10093</v>
      </c>
      <c r="F4008" s="28" t="s">
        <v>10029</v>
      </c>
      <c r="G4008" s="28">
        <v>1</v>
      </c>
    </row>
    <row r="4009" spans="1:7">
      <c r="A4009" s="28">
        <v>11000293</v>
      </c>
      <c r="B4009" s="28" t="s">
        <v>13811</v>
      </c>
      <c r="C4009" s="28">
        <v>4</v>
      </c>
      <c r="D4009" s="28" t="s">
        <v>13812</v>
      </c>
      <c r="E4009" s="64" t="s">
        <v>10093</v>
      </c>
      <c r="F4009" s="28" t="s">
        <v>10029</v>
      </c>
      <c r="G4009" s="28">
        <v>1</v>
      </c>
    </row>
    <row r="4010" spans="1:7">
      <c r="A4010" s="28">
        <v>11007030</v>
      </c>
      <c r="B4010" s="28" t="s">
        <v>8654</v>
      </c>
      <c r="C4010" s="28">
        <v>4</v>
      </c>
      <c r="D4010" s="28" t="s">
        <v>10154</v>
      </c>
      <c r="E4010" s="64" t="s">
        <v>8656</v>
      </c>
      <c r="F4010" s="28" t="s">
        <v>8657</v>
      </c>
      <c r="G4010" s="28">
        <v>1</v>
      </c>
    </row>
    <row r="4011" spans="1:7">
      <c r="A4011" s="28">
        <v>11009480</v>
      </c>
      <c r="B4011" s="28" t="s">
        <v>8880</v>
      </c>
      <c r="C4011" s="28">
        <v>4</v>
      </c>
      <c r="D4011" s="28" t="s">
        <v>10176</v>
      </c>
      <c r="E4011" s="64" t="s">
        <v>8882</v>
      </c>
      <c r="F4011" s="28" t="s">
        <v>8883</v>
      </c>
      <c r="G4011" s="28">
        <v>1</v>
      </c>
    </row>
    <row r="4012" spans="1:7">
      <c r="A4012" s="28">
        <v>40002801</v>
      </c>
      <c r="B4012" s="28" t="s">
        <v>8086</v>
      </c>
      <c r="C4012" s="28">
        <v>2</v>
      </c>
      <c r="D4012" s="28" t="s">
        <v>8087</v>
      </c>
      <c r="E4012" s="64" t="s"/>
      <c r="F4012" s="28" t="s">
        <v>8088</v>
      </c>
      <c r="G4012" s="28">
        <v>120</v>
      </c>
    </row>
    <row r="4013" spans="1:7">
      <c r="A4013" s="28">
        <v>40002901</v>
      </c>
      <c r="B4013" s="28" t="s">
        <v>8086</v>
      </c>
      <c r="C4013" s="28">
        <v>3</v>
      </c>
      <c r="D4013" s="28" t="s">
        <v>8087</v>
      </c>
      <c r="E4013" s="64" t="s"/>
      <c r="F4013" s="28" t="s">
        <v>8089</v>
      </c>
      <c r="G4013" s="28">
        <v>120</v>
      </c>
    </row>
    <row r="4014" spans="1:7">
      <c r="A4014" s="28">
        <v>40003201</v>
      </c>
      <c r="B4014" s="28" t="s">
        <v>8090</v>
      </c>
      <c r="C4014" s="28">
        <v>2</v>
      </c>
      <c r="D4014" s="28" t="s">
        <v>8091</v>
      </c>
      <c r="E4014" s="64" t="s"/>
      <c r="F4014" s="28" t="s">
        <v>8092</v>
      </c>
      <c r="G4014" s="28">
        <v>120</v>
      </c>
    </row>
    <row r="4015" spans="1:7">
      <c r="A4015" s="28">
        <v>40003202</v>
      </c>
      <c r="B4015" s="28" t="s">
        <v>8090</v>
      </c>
      <c r="C4015" s="28">
        <v>2</v>
      </c>
      <c r="D4015" s="28" t="s">
        <v>13813</v>
      </c>
      <c r="E4015" s="64" t="s"/>
      <c r="F4015" s="28" t="s">
        <v>8092</v>
      </c>
      <c r="G4015" s="28">
        <v>120</v>
      </c>
    </row>
    <row r="4016" spans="1:7">
      <c r="A4016" s="28">
        <v>40003203</v>
      </c>
      <c r="B4016" s="28" t="s">
        <v>8090</v>
      </c>
      <c r="C4016" s="28">
        <v>2</v>
      </c>
      <c r="D4016" s="28" t="s">
        <v>8091</v>
      </c>
      <c r="E4016" s="64" t="s"/>
      <c r="F4016" s="28" t="s">
        <v>8092</v>
      </c>
      <c r="G4016" s="28">
        <v>120</v>
      </c>
    </row>
    <row r="4017" spans="1:7">
      <c r="A4017" s="28">
        <v>40003301</v>
      </c>
      <c r="B4017" s="28" t="s">
        <v>8079</v>
      </c>
      <c r="C4017" s="28">
        <v>3</v>
      </c>
      <c r="D4017" s="28" t="s">
        <v>8079</v>
      </c>
      <c r="E4017" s="28" t="s">
        <v>8079</v>
      </c>
      <c r="F4017" s="28" t="s"/>
      <c r="G4017" s="16">
        <v>120</v>
      </c>
    </row>
    <row r="4018" spans="1:7">
      <c r="A4018" s="28">
        <v>40003302</v>
      </c>
      <c r="B4018" s="28" t="s">
        <v>13814</v>
      </c>
      <c r="C4018" s="28">
        <v>3</v>
      </c>
      <c r="D4018" s="28" t="s">
        <v>13815</v>
      </c>
      <c r="E4018" s="28" t="s"/>
      <c r="F4018" s="28" t="s"/>
      <c r="G4018" s="16">
        <v>120</v>
      </c>
    </row>
    <row r="4019" spans="1:7">
      <c r="A4019" s="28">
        <v>40003501</v>
      </c>
      <c r="B4019" s="28" t="s">
        <v>8093</v>
      </c>
      <c r="C4019" s="28">
        <v>3</v>
      </c>
      <c r="D4019" s="28" t="s">
        <v>8094</v>
      </c>
      <c r="E4019" s="28" t="s"/>
      <c r="F4019" s="28" t="s"/>
      <c r="G4019" s="16">
        <v>120</v>
      </c>
    </row>
    <row r="4020" spans="1:7">
      <c r="A4020" s="28">
        <v>40004300</v>
      </c>
      <c r="B4020" s="28" t="s">
        <v>13816</v>
      </c>
      <c r="C4020" s="28">
        <v>3</v>
      </c>
      <c r="D4020" s="28" t="s">
        <v>13817</v>
      </c>
      <c r="E4020" s="28" t="s"/>
      <c r="F4020" s="28" t="s">
        <v>8101</v>
      </c>
      <c r="G4020" s="16">
        <v>120</v>
      </c>
    </row>
    <row r="4021" spans="1:7">
      <c r="A4021" s="28">
        <v>40004301</v>
      </c>
      <c r="B4021" s="28" t="s">
        <v>13816</v>
      </c>
      <c r="C4021" s="28">
        <v>3</v>
      </c>
      <c r="D4021" s="28" t="s">
        <v>13817</v>
      </c>
      <c r="E4021" s="28" t="s"/>
      <c r="F4021" s="28" t="s">
        <v>8101</v>
      </c>
      <c r="G4021" s="16">
        <v>120</v>
      </c>
    </row>
    <row r="4022" spans="1:7">
      <c r="A4022" s="28">
        <v>40004399</v>
      </c>
      <c r="B4022" s="28" t="s">
        <v>8099</v>
      </c>
      <c r="C4022" s="28">
        <v>3</v>
      </c>
      <c r="D4022" s="28" t="s">
        <v>8100</v>
      </c>
      <c r="E4022" s="28" t="s"/>
      <c r="F4022" s="28" t="s">
        <v>7555</v>
      </c>
      <c r="G4022" s="16">
        <v>120</v>
      </c>
    </row>
    <row r="4023" spans="1:7">
      <c r="A4023" s="28">
        <v>40004400</v>
      </c>
      <c r="B4023" s="28" t="s">
        <v>8102</v>
      </c>
      <c r="C4023" s="28">
        <v>3</v>
      </c>
      <c r="D4023" s="28" t="s">
        <v>13818</v>
      </c>
      <c r="E4023" s="28" t="s"/>
      <c r="F4023" s="28" t="s">
        <v>8104</v>
      </c>
      <c r="G4023" s="16">
        <v>120</v>
      </c>
    </row>
    <row r="4024" spans="1:7">
      <c r="A4024" s="28">
        <v>40004401</v>
      </c>
      <c r="B4024" s="28" t="s">
        <v>8102</v>
      </c>
      <c r="C4024" s="28">
        <v>3</v>
      </c>
      <c r="D4024" s="28" t="s">
        <v>13818</v>
      </c>
      <c r="E4024" s="28" t="s"/>
      <c r="F4024" s="28" t="s">
        <v>8104</v>
      </c>
      <c r="G4024" s="16">
        <v>120</v>
      </c>
    </row>
    <row r="4025" spans="1:7">
      <c r="A4025" s="28">
        <v>40004499</v>
      </c>
      <c r="B4025" s="28" t="s">
        <v>8102</v>
      </c>
      <c r="C4025" s="28">
        <v>3</v>
      </c>
      <c r="D4025" s="28" t="s">
        <v>8103</v>
      </c>
      <c r="E4025" s="28" t="s"/>
      <c r="F4025" s="28" t="s">
        <v>7558</v>
      </c>
      <c r="G4025" s="16">
        <v>120</v>
      </c>
    </row>
    <row r="4026" spans="1:7">
      <c r="A4026" s="28">
        <v>40004500</v>
      </c>
      <c r="B4026" s="28" t="s">
        <v>8105</v>
      </c>
      <c r="C4026" s="28">
        <v>3</v>
      </c>
      <c r="D4026" s="28" t="s">
        <v>8117</v>
      </c>
      <c r="E4026" s="28" t="s"/>
      <c r="F4026" s="28" t="s">
        <v>8107</v>
      </c>
      <c r="G4026" s="16">
        <v>120</v>
      </c>
    </row>
    <row r="4027" spans="1:7">
      <c r="A4027" s="28">
        <v>40004501</v>
      </c>
      <c r="B4027" s="28" t="s">
        <v>8105</v>
      </c>
      <c r="C4027" s="28">
        <v>3</v>
      </c>
      <c r="D4027" s="28" t="s">
        <v>8117</v>
      </c>
      <c r="E4027" s="28" t="s"/>
      <c r="F4027" s="28" t="s">
        <v>8107</v>
      </c>
      <c r="G4027" s="16">
        <v>120</v>
      </c>
    </row>
    <row r="4028" spans="1:7">
      <c r="A4028" s="28">
        <v>40004599</v>
      </c>
      <c r="B4028" s="28" t="s">
        <v>8105</v>
      </c>
      <c r="C4028" s="28">
        <v>3</v>
      </c>
      <c r="D4028" s="28" t="s">
        <v>8106</v>
      </c>
      <c r="E4028" s="28" t="s"/>
      <c r="F4028" s="28" t="s">
        <v>7561</v>
      </c>
      <c r="G4028" s="16">
        <v>120</v>
      </c>
    </row>
    <row r="4029" spans="1:7">
      <c r="A4029" s="28">
        <v>40004801</v>
      </c>
      <c r="B4029" s="28" t="s">
        <v>8113</v>
      </c>
      <c r="C4029" s="28">
        <v>3</v>
      </c>
      <c r="D4029" s="28" t="s">
        <v>8114</v>
      </c>
      <c r="E4029" s="28" t="s">
        <v>8115</v>
      </c>
      <c r="F4029" s="28" t="s">
        <v>8116</v>
      </c>
      <c r="G4029" s="16">
        <v>120</v>
      </c>
    </row>
    <row r="4030" spans="1:7">
      <c r="A4030" s="28">
        <v>40004802</v>
      </c>
      <c r="B4030" s="28" t="s">
        <v>8113</v>
      </c>
      <c r="C4030" s="28">
        <v>3</v>
      </c>
      <c r="D4030" s="28" t="s">
        <v>8114</v>
      </c>
      <c r="E4030" s="28" t="s">
        <v>8115</v>
      </c>
      <c r="F4030" s="28" t="s">
        <v>8116</v>
      </c>
      <c r="G4030" s="16">
        <v>120</v>
      </c>
    </row>
    <row r="4031" spans="1:7">
      <c r="A4031" s="28">
        <v>40004803</v>
      </c>
      <c r="B4031" s="28" t="s">
        <v>8113</v>
      </c>
      <c r="C4031" s="28">
        <v>3</v>
      </c>
      <c r="D4031" s="28" t="s">
        <v>8114</v>
      </c>
      <c r="E4031" s="28" t="s">
        <v>8115</v>
      </c>
      <c r="F4031" s="28" t="s">
        <v>8116</v>
      </c>
      <c r="G4031" s="16">
        <v>120</v>
      </c>
    </row>
    <row r="4032" spans="1:7">
      <c r="A4032" s="28">
        <v>40004804</v>
      </c>
      <c r="B4032" s="28" t="s">
        <v>8113</v>
      </c>
      <c r="C4032" s="28">
        <v>3</v>
      </c>
      <c r="D4032" s="28" t="s">
        <v>8114</v>
      </c>
      <c r="E4032" s="28" t="s">
        <v>8115</v>
      </c>
      <c r="F4032" s="28" t="s">
        <v>8116</v>
      </c>
      <c r="G4032" s="16">
        <v>120</v>
      </c>
    </row>
    <row r="4033" spans="1:7">
      <c r="A4033" s="28">
        <v>40004901</v>
      </c>
      <c r="B4033" s="28" t="s">
        <v>8105</v>
      </c>
      <c r="C4033" s="28">
        <v>3</v>
      </c>
      <c r="D4033" s="28" t="s">
        <v>8117</v>
      </c>
      <c r="E4033" s="28" t="s"/>
      <c r="F4033" s="28" t="s">
        <v>8118</v>
      </c>
      <c r="G4033" s="16">
        <v>120</v>
      </c>
    </row>
    <row r="4034" spans="1:7">
      <c r="A4034" s="28">
        <v>412011101</v>
      </c>
      <c r="B4034" s="28" t="s">
        <v>13819</v>
      </c>
      <c r="C4034" s="28">
        <v>3</v>
      </c>
      <c r="D4034" s="28" t="s">
        <v>13820</v>
      </c>
      <c r="E4034" s="28" t="s">
        <v>13821</v>
      </c>
      <c r="F4034" s="28" t="s">
        <v>13822</v>
      </c>
      <c r="G4034" s="16">
        <v>1</v>
      </c>
    </row>
    <row r="4035" spans="1:7">
      <c r="A4035" s="28">
        <v>412011102</v>
      </c>
      <c r="B4035" s="28" t="s">
        <v>13823</v>
      </c>
      <c r="C4035" s="28">
        <v>3</v>
      </c>
      <c r="D4035" s="28" t="s">
        <v>13820</v>
      </c>
      <c r="E4035" s="28" t="s">
        <v>13824</v>
      </c>
      <c r="F4035" s="28" t="s">
        <v>13825</v>
      </c>
      <c r="G4035" s="16">
        <v>1</v>
      </c>
    </row>
    <row r="4036" spans="1:7">
      <c r="A4036" s="28">
        <v>412011103</v>
      </c>
      <c r="B4036" s="28" t="s">
        <v>13826</v>
      </c>
      <c r="C4036" s="28">
        <v>3</v>
      </c>
      <c r="D4036" s="28" t="s">
        <v>13820</v>
      </c>
      <c r="E4036" s="28" t="s">
        <v>13827</v>
      </c>
      <c r="F4036" s="28" t="s">
        <v>13828</v>
      </c>
      <c r="G4036" s="16">
        <v>1</v>
      </c>
    </row>
    <row r="4037" spans="1:7">
      <c r="A4037" s="28">
        <v>412011104</v>
      </c>
      <c r="B4037" s="28" t="s">
        <v>13829</v>
      </c>
      <c r="C4037" s="28">
        <v>3</v>
      </c>
      <c r="D4037" s="28" t="s">
        <v>13820</v>
      </c>
      <c r="E4037" s="28" t="s">
        <v>13830</v>
      </c>
      <c r="F4037" s="28" t="s">
        <v>13831</v>
      </c>
      <c r="G4037" s="16">
        <v>1</v>
      </c>
    </row>
    <row r="4038" spans="1:7">
      <c r="A4038" s="28">
        <v>412011105</v>
      </c>
      <c r="B4038" s="28" t="s">
        <v>13832</v>
      </c>
      <c r="C4038" s="28">
        <v>3</v>
      </c>
      <c r="D4038" s="28" t="s">
        <v>13820</v>
      </c>
      <c r="E4038" s="28" t="s">
        <v>13833</v>
      </c>
      <c r="F4038" s="28" t="s">
        <v>13834</v>
      </c>
      <c r="G4038" s="16">
        <v>1</v>
      </c>
    </row>
    <row r="4039" spans="1:7">
      <c r="A4039" s="28">
        <v>412011106</v>
      </c>
      <c r="B4039" s="28" t="s">
        <v>13835</v>
      </c>
      <c r="C4039" s="28">
        <v>3</v>
      </c>
      <c r="D4039" s="28" t="s">
        <v>13820</v>
      </c>
      <c r="E4039" s="28" t="s">
        <v>13836</v>
      </c>
      <c r="F4039" s="28" t="s">
        <v>13837</v>
      </c>
      <c r="G4039" s="16">
        <v>1</v>
      </c>
    </row>
    <row r="4040" spans="1:7">
      <c r="A4040" s="28">
        <v>412011107</v>
      </c>
      <c r="B4040" s="28" t="s">
        <v>13838</v>
      </c>
      <c r="C4040" s="28">
        <v>3</v>
      </c>
      <c r="D4040" s="28" t="s">
        <v>13820</v>
      </c>
      <c r="E4040" s="28" t="s">
        <v>13839</v>
      </c>
      <c r="F4040" s="28" t="s">
        <v>13840</v>
      </c>
      <c r="G4040" s="16">
        <v>1</v>
      </c>
    </row>
    <row r="4041" spans="1:7">
      <c r="A4041" s="28">
        <v>412011108</v>
      </c>
      <c r="B4041" s="28" t="s">
        <v>13841</v>
      </c>
      <c r="C4041" s="28">
        <v>3</v>
      </c>
      <c r="D4041" s="28" t="s">
        <v>13820</v>
      </c>
      <c r="E4041" s="28" t="s">
        <v>13842</v>
      </c>
      <c r="F4041" s="28" t="s">
        <v>13843</v>
      </c>
      <c r="G4041" s="16">
        <v>1</v>
      </c>
    </row>
    <row r="4042" spans="1:7">
      <c r="A4042" s="28">
        <v>412011109</v>
      </c>
      <c r="B4042" s="28" t="s">
        <v>13844</v>
      </c>
      <c r="C4042" s="28">
        <v>3</v>
      </c>
      <c r="D4042" s="28" t="s">
        <v>13820</v>
      </c>
      <c r="E4042" s="28" t="s">
        <v>13845</v>
      </c>
      <c r="F4042" s="28" t="s">
        <v>13846</v>
      </c>
      <c r="G4042" s="16">
        <v>1</v>
      </c>
    </row>
    <row r="4043" spans="1:7">
      <c r="A4043" s="28">
        <v>412011110</v>
      </c>
      <c r="B4043" s="28" t="s">
        <v>13847</v>
      </c>
      <c r="C4043" s="28">
        <v>3</v>
      </c>
      <c r="D4043" s="28" t="s">
        <v>13820</v>
      </c>
      <c r="E4043" s="28" t="s">
        <v>13848</v>
      </c>
      <c r="F4043" s="28" t="s">
        <v>13849</v>
      </c>
      <c r="G4043" s="16">
        <v>1</v>
      </c>
    </row>
    <row r="4044" spans="1:7">
      <c r="A4044" s="28">
        <v>412011111</v>
      </c>
      <c r="B4044" s="28" t="s">
        <v>13850</v>
      </c>
      <c r="C4044" s="28">
        <v>3</v>
      </c>
      <c r="D4044" s="28" t="s">
        <v>13851</v>
      </c>
      <c r="E4044" s="28" t="s"/>
      <c r="F4044" s="28" t="s">
        <v>12266</v>
      </c>
      <c r="G4044" s="16">
        <v>1</v>
      </c>
    </row>
    <row r="4045" spans="1:7">
      <c r="A4045" s="28">
        <v>412011112</v>
      </c>
      <c r="B4045" s="28" t="s">
        <v>13852</v>
      </c>
      <c r="C4045" s="28">
        <v>3</v>
      </c>
      <c r="D4045" s="28" t="s">
        <v>13820</v>
      </c>
      <c r="E4045" s="28" t="s">
        <v>13853</v>
      </c>
      <c r="F4045" s="28" t="s">
        <v>13854</v>
      </c>
      <c r="G4045" s="16">
        <v>1</v>
      </c>
    </row>
    <row r="4046" spans="1:7">
      <c r="A4046" s="28">
        <v>412011113</v>
      </c>
      <c r="B4046" s="28" t="s">
        <v>13855</v>
      </c>
      <c r="C4046" s="28">
        <v>3</v>
      </c>
      <c r="D4046" s="28" t="s">
        <v>13820</v>
      </c>
      <c r="E4046" s="28" t="s">
        <v>13856</v>
      </c>
      <c r="F4046" s="28" t="s">
        <v>13857</v>
      </c>
      <c r="G4046" s="16">
        <v>1</v>
      </c>
    </row>
    <row r="4047" spans="1:7">
      <c r="A4047" s="28">
        <v>412011114</v>
      </c>
      <c r="B4047" s="28" t="s">
        <v>13858</v>
      </c>
      <c r="C4047" s="28">
        <v>3</v>
      </c>
      <c r="D4047" s="28" t="s">
        <v>13820</v>
      </c>
      <c r="E4047" s="28" t="s">
        <v>13859</v>
      </c>
      <c r="F4047" s="28" t="s">
        <v>13860</v>
      </c>
      <c r="G4047" s="16">
        <v>1</v>
      </c>
    </row>
    <row r="4048" spans="1:7">
      <c r="A4048" s="28">
        <v>412011115</v>
      </c>
      <c r="B4048" s="28" t="s">
        <v>13861</v>
      </c>
      <c r="C4048" s="28">
        <v>3</v>
      </c>
      <c r="D4048" s="28" t="s">
        <v>13820</v>
      </c>
      <c r="E4048" s="28" t="s">
        <v>13862</v>
      </c>
      <c r="F4048" s="28" t="s">
        <v>13863</v>
      </c>
      <c r="G4048" s="16">
        <v>1</v>
      </c>
    </row>
    <row r="4049" spans="1:7">
      <c r="A4049" s="28">
        <v>412011116</v>
      </c>
      <c r="B4049" s="28" t="s">
        <v>13864</v>
      </c>
      <c r="C4049" s="28">
        <v>3</v>
      </c>
      <c r="D4049" s="28" t="s">
        <v>13820</v>
      </c>
      <c r="E4049" s="28" t="s">
        <v>13865</v>
      </c>
      <c r="F4049" s="28" t="s">
        <v>13866</v>
      </c>
      <c r="G4049" s="16">
        <v>1</v>
      </c>
    </row>
    <row r="4050" spans="1:7">
      <c r="A4050" s="28">
        <v>412011117</v>
      </c>
      <c r="B4050" s="28" t="s">
        <v>13867</v>
      </c>
      <c r="C4050" s="28">
        <v>3</v>
      </c>
      <c r="D4050" s="28" t="s">
        <v>13820</v>
      </c>
      <c r="E4050" s="28" t="s">
        <v>13868</v>
      </c>
      <c r="F4050" s="28" t="s">
        <v>13869</v>
      </c>
      <c r="G4050" s="16">
        <v>1</v>
      </c>
    </row>
    <row r="4051" spans="1:7">
      <c r="A4051" s="28">
        <v>412011118</v>
      </c>
      <c r="B4051" s="28" t="s">
        <v>13870</v>
      </c>
      <c r="C4051" s="28">
        <v>3</v>
      </c>
      <c r="D4051" s="28" t="s">
        <v>13820</v>
      </c>
      <c r="E4051" s="28" t="s">
        <v>13871</v>
      </c>
      <c r="F4051" s="28" t="s">
        <v>13872</v>
      </c>
      <c r="G4051" s="16">
        <v>1</v>
      </c>
    </row>
    <row r="4052" spans="1:7">
      <c r="A4052" s="28">
        <v>412011119</v>
      </c>
      <c r="B4052" s="28" t="s">
        <v>13873</v>
      </c>
      <c r="C4052" s="28">
        <v>3</v>
      </c>
      <c r="D4052" s="28" t="s">
        <v>13820</v>
      </c>
      <c r="E4052" s="28" t="s">
        <v>13874</v>
      </c>
      <c r="F4052" s="28" t="s">
        <v>13875</v>
      </c>
      <c r="G4052" s="16">
        <v>1</v>
      </c>
    </row>
    <row r="4053" spans="1:7">
      <c r="A4053" s="28">
        <v>412011120</v>
      </c>
      <c r="B4053" s="28" t="s">
        <v>13876</v>
      </c>
      <c r="C4053" s="28">
        <v>3</v>
      </c>
      <c r="D4053" s="28" t="s">
        <v>13820</v>
      </c>
      <c r="E4053" s="28" t="s">
        <v>13877</v>
      </c>
      <c r="F4053" s="28" t="s">
        <v>13878</v>
      </c>
      <c r="G4053" s="16">
        <v>1</v>
      </c>
    </row>
    <row r="4054" spans="1:7">
      <c r="A4054" s="28">
        <v>412011121</v>
      </c>
      <c r="B4054" s="28" t="s">
        <v>13879</v>
      </c>
      <c r="C4054" s="28">
        <v>3</v>
      </c>
      <c r="D4054" s="28" t="s">
        <v>13820</v>
      </c>
      <c r="E4054" s="28" t="s">
        <v>13880</v>
      </c>
      <c r="F4054" s="28" t="s">
        <v>13881</v>
      </c>
      <c r="G4054" s="16">
        <v>1</v>
      </c>
    </row>
    <row r="4055" spans="1:7">
      <c r="A4055" s="28">
        <v>412011122</v>
      </c>
      <c r="B4055" s="28" t="s">
        <v>13882</v>
      </c>
      <c r="C4055" s="28">
        <v>3</v>
      </c>
      <c r="D4055" s="28" t="s">
        <v>13820</v>
      </c>
      <c r="E4055" s="28" t="s">
        <v>13883</v>
      </c>
      <c r="F4055" s="28" t="s">
        <v>13884</v>
      </c>
      <c r="G4055" s="16">
        <v>1</v>
      </c>
    </row>
    <row r="4056" spans="1:7">
      <c r="A4056" s="28">
        <v>412011123</v>
      </c>
      <c r="B4056" s="28" t="s">
        <v>13885</v>
      </c>
      <c r="C4056" s="28">
        <v>3</v>
      </c>
      <c r="D4056" s="28" t="s">
        <v>13820</v>
      </c>
      <c r="E4056" s="28" t="s">
        <v>13886</v>
      </c>
      <c r="F4056" s="28" t="s">
        <v>13887</v>
      </c>
      <c r="G4056" s="16">
        <v>1</v>
      </c>
    </row>
    <row r="4057" spans="1:7">
      <c r="A4057" s="28">
        <v>412011127</v>
      </c>
      <c r="B4057" s="28" t="s">
        <v>13888</v>
      </c>
      <c r="C4057" s="28">
        <v>3</v>
      </c>
      <c r="D4057" s="28" t="s">
        <v>13820</v>
      </c>
      <c r="E4057" s="28" t="s">
        <v>13889</v>
      </c>
      <c r="F4057" s="28" t="s">
        <v>13890</v>
      </c>
      <c r="G4057" s="16">
        <v>1</v>
      </c>
    </row>
    <row r="4058" spans="1:7">
      <c r="A4058" s="28">
        <v>412011128</v>
      </c>
      <c r="B4058" s="28" t="s">
        <v>13891</v>
      </c>
      <c r="C4058" s="28">
        <v>3</v>
      </c>
      <c r="D4058" s="28" t="s">
        <v>13820</v>
      </c>
      <c r="E4058" s="28" t="s">
        <v>13892</v>
      </c>
      <c r="F4058" s="28" t="s">
        <v>13893</v>
      </c>
      <c r="G4058" s="16">
        <v>1</v>
      </c>
    </row>
    <row r="4059" spans="1:7">
      <c r="A4059" s="28">
        <v>412011129</v>
      </c>
      <c r="B4059" s="28" t="s">
        <v>13894</v>
      </c>
      <c r="C4059" s="28">
        <v>3</v>
      </c>
      <c r="D4059" s="28" t="s">
        <v>13820</v>
      </c>
      <c r="E4059" s="28" t="s">
        <v>13895</v>
      </c>
      <c r="F4059" s="28" t="s">
        <v>13896</v>
      </c>
      <c r="G4059" s="16">
        <v>1</v>
      </c>
    </row>
    <row r="4060" spans="1:7">
      <c r="A4060" s="28">
        <v>412011130</v>
      </c>
      <c r="B4060" s="28" t="s">
        <v>13897</v>
      </c>
      <c r="C4060" s="28">
        <v>3</v>
      </c>
      <c r="D4060" s="28" t="s">
        <v>13820</v>
      </c>
      <c r="E4060" s="28" t="s">
        <v>13898</v>
      </c>
      <c r="F4060" s="28" t="s">
        <v>13899</v>
      </c>
      <c r="G4060" s="16">
        <v>1</v>
      </c>
    </row>
    <row r="4061" spans="1:7">
      <c r="A4061" s="28">
        <v>412011181</v>
      </c>
      <c r="B4061" s="28" t="s">
        <v>13900</v>
      </c>
      <c r="C4061" s="28">
        <v>3</v>
      </c>
      <c r="D4061" s="28" t="s">
        <v>13820</v>
      </c>
      <c r="E4061" s="28" t="s">
        <v>13901</v>
      </c>
      <c r="F4061" s="28" t="s">
        <v>13902</v>
      </c>
      <c r="G4061" s="16">
        <v>1</v>
      </c>
    </row>
    <row r="4062" spans="1:7">
      <c r="A4062" s="28">
        <v>412011182</v>
      </c>
      <c r="B4062" s="28" t="s">
        <v>13903</v>
      </c>
      <c r="C4062" s="28">
        <v>3</v>
      </c>
      <c r="D4062" s="28" t="s">
        <v>13820</v>
      </c>
      <c r="E4062" s="28" t="s">
        <v>13904</v>
      </c>
      <c r="F4062" s="28" t="s">
        <v>13905</v>
      </c>
      <c r="G4062" s="16">
        <v>1</v>
      </c>
    </row>
    <row r="4063" spans="1:7">
      <c r="A4063" s="28">
        <v>412021101</v>
      </c>
      <c r="B4063" s="28" t="s">
        <v>13906</v>
      </c>
      <c r="C4063" s="28">
        <v>3</v>
      </c>
      <c r="D4063" s="28" t="s">
        <v>13907</v>
      </c>
      <c r="E4063" s="28" t="s">
        <v>13908</v>
      </c>
      <c r="F4063" s="28" t="s">
        <v>13909</v>
      </c>
      <c r="G4063" s="16">
        <v>1</v>
      </c>
    </row>
    <row r="4064" spans="1:7">
      <c r="A4064" s="28">
        <v>412021102</v>
      </c>
      <c r="B4064" s="28" t="s">
        <v>13910</v>
      </c>
      <c r="C4064" s="28">
        <v>3</v>
      </c>
      <c r="D4064" s="28" t="s">
        <v>13907</v>
      </c>
      <c r="E4064" s="28" t="s">
        <v>13911</v>
      </c>
      <c r="F4064" s="28" t="s">
        <v>13912</v>
      </c>
      <c r="G4064" s="16">
        <v>1</v>
      </c>
    </row>
    <row r="4065" spans="1:7">
      <c r="A4065" s="28">
        <v>412021103</v>
      </c>
      <c r="B4065" s="28" t="s">
        <v>13913</v>
      </c>
      <c r="C4065" s="28">
        <v>3</v>
      </c>
      <c r="D4065" s="28" t="s">
        <v>13907</v>
      </c>
      <c r="E4065" s="28" t="s">
        <v>13827</v>
      </c>
      <c r="F4065" s="28" t="s">
        <v>13914</v>
      </c>
      <c r="G4065" s="16">
        <v>1</v>
      </c>
    </row>
    <row r="4066" spans="1:7">
      <c r="A4066" s="28">
        <v>412021104</v>
      </c>
      <c r="B4066" s="28" t="s">
        <v>13915</v>
      </c>
      <c r="C4066" s="28">
        <v>3</v>
      </c>
      <c r="D4066" s="28" t="s">
        <v>13907</v>
      </c>
      <c r="E4066" s="28" t="s">
        <v>13830</v>
      </c>
      <c r="F4066" s="28" t="s">
        <v>13916</v>
      </c>
      <c r="G4066" s="16">
        <v>1</v>
      </c>
    </row>
    <row r="4067" spans="1:7">
      <c r="A4067" s="28">
        <v>412021105</v>
      </c>
      <c r="B4067" s="28" t="s">
        <v>13917</v>
      </c>
      <c r="C4067" s="28">
        <v>3</v>
      </c>
      <c r="D4067" s="28" t="s">
        <v>13907</v>
      </c>
      <c r="E4067" s="28" t="s">
        <v>13918</v>
      </c>
      <c r="F4067" s="28" t="s">
        <v>13919</v>
      </c>
      <c r="G4067" s="16">
        <v>1</v>
      </c>
    </row>
    <row r="4068" spans="1:7">
      <c r="A4068" s="28">
        <v>412021106</v>
      </c>
      <c r="B4068" s="28" t="s">
        <v>13920</v>
      </c>
      <c r="C4068" s="28">
        <v>3</v>
      </c>
      <c r="D4068" s="28" t="s">
        <v>13907</v>
      </c>
      <c r="E4068" s="28" t="s">
        <v>13921</v>
      </c>
      <c r="F4068" s="28" t="s">
        <v>13922</v>
      </c>
      <c r="G4068" s="16">
        <v>1</v>
      </c>
    </row>
    <row r="4069" spans="1:7">
      <c r="A4069" s="28">
        <v>412021107</v>
      </c>
      <c r="B4069" s="28" t="s">
        <v>13923</v>
      </c>
      <c r="C4069" s="28">
        <v>3</v>
      </c>
      <c r="D4069" s="28" t="s">
        <v>13907</v>
      </c>
      <c r="E4069" s="28" t="s">
        <v>13924</v>
      </c>
      <c r="F4069" s="28" t="s">
        <v>13925</v>
      </c>
      <c r="G4069" s="16">
        <v>1</v>
      </c>
    </row>
    <row r="4070" spans="1:7">
      <c r="A4070" s="28">
        <v>412021108</v>
      </c>
      <c r="B4070" s="28" t="s">
        <v>13926</v>
      </c>
      <c r="C4070" s="28">
        <v>3</v>
      </c>
      <c r="D4070" s="28" t="s">
        <v>13907</v>
      </c>
      <c r="E4070" s="28" t="s">
        <v>13927</v>
      </c>
      <c r="F4070" s="28" t="s">
        <v>13928</v>
      </c>
      <c r="G4070" s="16">
        <v>1</v>
      </c>
    </row>
    <row r="4071" spans="1:7">
      <c r="A4071" s="28">
        <v>412021109</v>
      </c>
      <c r="B4071" s="28" t="s">
        <v>13929</v>
      </c>
      <c r="C4071" s="28">
        <v>3</v>
      </c>
      <c r="D4071" s="28" t="s">
        <v>13907</v>
      </c>
      <c r="E4071" s="28" t="s">
        <v>13930</v>
      </c>
      <c r="F4071" s="28" t="s">
        <v>13931</v>
      </c>
      <c r="G4071" s="16">
        <v>1</v>
      </c>
    </row>
    <row r="4072" spans="1:7">
      <c r="A4072" s="28">
        <v>412021110</v>
      </c>
      <c r="B4072" s="28" t="s">
        <v>13932</v>
      </c>
      <c r="C4072" s="28">
        <v>3</v>
      </c>
      <c r="D4072" s="28" t="s">
        <v>13907</v>
      </c>
      <c r="E4072" s="28" t="s">
        <v>13933</v>
      </c>
      <c r="F4072" s="28" t="s">
        <v>13934</v>
      </c>
      <c r="G4072" s="16">
        <v>1</v>
      </c>
    </row>
    <row r="4073" spans="1:7">
      <c r="A4073" s="28">
        <v>412021111</v>
      </c>
      <c r="B4073" s="28" t="s">
        <v>13935</v>
      </c>
      <c r="C4073" s="28">
        <v>3</v>
      </c>
      <c r="D4073" s="28" t="s">
        <v>13936</v>
      </c>
      <c r="E4073" s="28" t="s"/>
      <c r="F4073" s="28" t="s">
        <v>12266</v>
      </c>
      <c r="G4073" s="16">
        <v>1</v>
      </c>
    </row>
    <row r="4074" spans="1:7">
      <c r="A4074" s="28">
        <v>412021112</v>
      </c>
      <c r="B4074" s="28" t="s">
        <v>13937</v>
      </c>
      <c r="C4074" s="28">
        <v>3</v>
      </c>
      <c r="D4074" s="28" t="s">
        <v>13907</v>
      </c>
      <c r="E4074" s="28" t="s">
        <v>13938</v>
      </c>
      <c r="F4074" s="28" t="s">
        <v>13939</v>
      </c>
      <c r="G4074" s="16">
        <v>1</v>
      </c>
    </row>
    <row r="4075" spans="1:7">
      <c r="A4075" s="28">
        <v>412021113</v>
      </c>
      <c r="B4075" s="28" t="s">
        <v>13940</v>
      </c>
      <c r="C4075" s="28">
        <v>3</v>
      </c>
      <c r="D4075" s="28" t="s">
        <v>13907</v>
      </c>
      <c r="E4075" s="28" t="s">
        <v>13941</v>
      </c>
      <c r="F4075" s="28" t="s">
        <v>13942</v>
      </c>
      <c r="G4075" s="16">
        <v>1</v>
      </c>
    </row>
    <row r="4076" spans="1:7">
      <c r="A4076" s="28">
        <v>412021114</v>
      </c>
      <c r="B4076" s="28" t="s">
        <v>13943</v>
      </c>
      <c r="C4076" s="28">
        <v>3</v>
      </c>
      <c r="D4076" s="28" t="s">
        <v>13907</v>
      </c>
      <c r="E4076" s="28" t="s">
        <v>13944</v>
      </c>
      <c r="F4076" s="28" t="s">
        <v>13945</v>
      </c>
      <c r="G4076" s="16">
        <v>1</v>
      </c>
    </row>
    <row r="4077" spans="1:7">
      <c r="A4077" s="28">
        <v>412021115</v>
      </c>
      <c r="B4077" s="28" t="s">
        <v>13946</v>
      </c>
      <c r="C4077" s="28">
        <v>3</v>
      </c>
      <c r="D4077" s="28" t="s">
        <v>13907</v>
      </c>
      <c r="E4077" s="28" t="s">
        <v>13947</v>
      </c>
      <c r="F4077" s="28" t="s">
        <v>13948</v>
      </c>
      <c r="G4077" s="16">
        <v>1</v>
      </c>
    </row>
    <row r="4078" spans="1:7">
      <c r="A4078" s="28">
        <v>412021116</v>
      </c>
      <c r="B4078" s="28" t="s">
        <v>13949</v>
      </c>
      <c r="C4078" s="28">
        <v>3</v>
      </c>
      <c r="D4078" s="28" t="s">
        <v>13907</v>
      </c>
      <c r="E4078" s="28" t="s">
        <v>13950</v>
      </c>
      <c r="F4078" s="28" t="s">
        <v>13951</v>
      </c>
      <c r="G4078" s="16">
        <v>1</v>
      </c>
    </row>
    <row r="4079" spans="1:7">
      <c r="A4079" s="28">
        <v>412021117</v>
      </c>
      <c r="B4079" s="28" t="s">
        <v>13952</v>
      </c>
      <c r="C4079" s="28">
        <v>3</v>
      </c>
      <c r="D4079" s="28" t="s">
        <v>13907</v>
      </c>
      <c r="E4079" s="28" t="s">
        <v>13953</v>
      </c>
      <c r="F4079" s="28" t="s">
        <v>13954</v>
      </c>
      <c r="G4079" s="16">
        <v>1</v>
      </c>
    </row>
    <row r="4080" spans="1:7">
      <c r="A4080" s="28">
        <v>412021118</v>
      </c>
      <c r="B4080" s="28" t="s">
        <v>13955</v>
      </c>
      <c r="C4080" s="28">
        <v>3</v>
      </c>
      <c r="D4080" s="28" t="s">
        <v>13907</v>
      </c>
      <c r="E4080" s="28" t="s">
        <v>13871</v>
      </c>
      <c r="F4080" s="28" t="s">
        <v>13956</v>
      </c>
      <c r="G4080" s="16">
        <v>1</v>
      </c>
    </row>
    <row r="4081" spans="1:7">
      <c r="A4081" s="28">
        <v>412021119</v>
      </c>
      <c r="B4081" s="28" t="s">
        <v>13873</v>
      </c>
      <c r="C4081" s="28">
        <v>3</v>
      </c>
      <c r="D4081" s="28" t="s">
        <v>13907</v>
      </c>
      <c r="E4081" s="28" t="s">
        <v>13957</v>
      </c>
      <c r="F4081" s="28" t="s">
        <v>13958</v>
      </c>
      <c r="G4081" s="16">
        <v>1</v>
      </c>
    </row>
    <row r="4082" spans="1:7">
      <c r="A4082" s="28">
        <v>412021120</v>
      </c>
      <c r="B4082" s="28" t="s">
        <v>13959</v>
      </c>
      <c r="C4082" s="28">
        <v>3</v>
      </c>
      <c r="D4082" s="28" t="s">
        <v>13907</v>
      </c>
      <c r="E4082" s="28" t="s">
        <v>13960</v>
      </c>
      <c r="F4082" s="28" t="s">
        <v>13961</v>
      </c>
      <c r="G4082" s="16">
        <v>1</v>
      </c>
    </row>
    <row r="4083" spans="1:7">
      <c r="A4083" s="28">
        <v>412021121</v>
      </c>
      <c r="B4083" s="28" t="s">
        <v>13962</v>
      </c>
      <c r="C4083" s="28">
        <v>3</v>
      </c>
      <c r="D4083" s="28" t="s">
        <v>13907</v>
      </c>
      <c r="E4083" s="28" t="s">
        <v>13880</v>
      </c>
      <c r="F4083" s="28" t="s">
        <v>13963</v>
      </c>
      <c r="G4083" s="16">
        <v>1</v>
      </c>
    </row>
    <row r="4084" spans="1:7">
      <c r="A4084" s="28">
        <v>412021122</v>
      </c>
      <c r="B4084" s="28" t="s">
        <v>13882</v>
      </c>
      <c r="C4084" s="28">
        <v>3</v>
      </c>
      <c r="D4084" s="28" t="s">
        <v>13907</v>
      </c>
      <c r="E4084" s="28" t="s">
        <v>13883</v>
      </c>
      <c r="F4084" s="28" t="s">
        <v>13964</v>
      </c>
      <c r="G4084" s="16">
        <v>1</v>
      </c>
    </row>
    <row r="4085" spans="1:7">
      <c r="A4085" s="28">
        <v>412021123</v>
      </c>
      <c r="B4085" s="28" t="s">
        <v>13965</v>
      </c>
      <c r="C4085" s="28">
        <v>3</v>
      </c>
      <c r="D4085" s="28" t="s">
        <v>13907</v>
      </c>
      <c r="E4085" s="28" t="s">
        <v>13966</v>
      </c>
      <c r="F4085" s="28" t="s">
        <v>13967</v>
      </c>
      <c r="G4085" s="16">
        <v>1</v>
      </c>
    </row>
    <row r="4086" spans="1:7">
      <c r="A4086" s="28">
        <v>412021127</v>
      </c>
      <c r="B4086" s="28" t="s">
        <v>13968</v>
      </c>
      <c r="C4086" s="28">
        <v>3</v>
      </c>
      <c r="D4086" s="28" t="s">
        <v>13907</v>
      </c>
      <c r="E4086" s="28" t="s">
        <v>13969</v>
      </c>
      <c r="F4086" s="28" t="s">
        <v>13970</v>
      </c>
      <c r="G4086" s="16">
        <v>1</v>
      </c>
    </row>
    <row r="4087" spans="1:7">
      <c r="A4087" s="28">
        <v>412021128</v>
      </c>
      <c r="B4087" s="28" t="s">
        <v>13891</v>
      </c>
      <c r="C4087" s="28">
        <v>3</v>
      </c>
      <c r="D4087" s="28" t="s">
        <v>13907</v>
      </c>
      <c r="E4087" s="28" t="s">
        <v>13971</v>
      </c>
      <c r="F4087" s="28" t="s">
        <v>13972</v>
      </c>
      <c r="G4087" s="16">
        <v>1</v>
      </c>
    </row>
    <row r="4088" spans="1:7">
      <c r="A4088" s="28">
        <v>412021129</v>
      </c>
      <c r="B4088" s="28" t="s">
        <v>13894</v>
      </c>
      <c r="C4088" s="28">
        <v>3</v>
      </c>
      <c r="D4088" s="28" t="s">
        <v>13907</v>
      </c>
      <c r="E4088" s="28" t="s">
        <v>13973</v>
      </c>
      <c r="F4088" s="28" t="s">
        <v>13974</v>
      </c>
      <c r="G4088" s="16">
        <v>1</v>
      </c>
    </row>
    <row r="4089" spans="1:7">
      <c r="A4089" s="28">
        <v>412021130</v>
      </c>
      <c r="B4089" s="28" t="s">
        <v>13897</v>
      </c>
      <c r="C4089" s="28">
        <v>3</v>
      </c>
      <c r="D4089" s="28" t="s">
        <v>13907</v>
      </c>
      <c r="E4089" s="28" t="s">
        <v>13975</v>
      </c>
      <c r="F4089" s="28" t="s">
        <v>13976</v>
      </c>
      <c r="G4089" s="16">
        <v>1</v>
      </c>
    </row>
    <row r="4090" spans="1:7">
      <c r="A4090" s="28">
        <v>412021181</v>
      </c>
      <c r="B4090" s="28" t="s">
        <v>13977</v>
      </c>
      <c r="C4090" s="28">
        <v>3</v>
      </c>
      <c r="D4090" s="28" t="s">
        <v>13907</v>
      </c>
      <c r="E4090" s="28" t="s">
        <v>13978</v>
      </c>
      <c r="F4090" s="28" t="s">
        <v>13979</v>
      </c>
      <c r="G4090" s="16">
        <v>1</v>
      </c>
    </row>
    <row r="4091" spans="1:7">
      <c r="A4091" s="28">
        <v>412021182</v>
      </c>
      <c r="B4091" s="28" t="s">
        <v>13980</v>
      </c>
      <c r="C4091" s="28">
        <v>3</v>
      </c>
      <c r="D4091" s="28" t="s">
        <v>13907</v>
      </c>
      <c r="E4091" s="28" t="s">
        <v>13981</v>
      </c>
      <c r="F4091" s="28" t="s">
        <v>13982</v>
      </c>
      <c r="G4091" s="16">
        <v>1</v>
      </c>
    </row>
    <row r="4092" spans="1:7">
      <c r="A4092" s="28">
        <v>1228206001</v>
      </c>
      <c r="B4092" s="28" t="s">
        <v>9140</v>
      </c>
      <c r="C4092" s="28">
        <v>4</v>
      </c>
      <c r="D4092" s="28" t="s">
        <v>13983</v>
      </c>
      <c r="E4092" s="28" t="s">
        <v>9142</v>
      </c>
      <c r="F4092" s="28" t="s">
        <v>9143</v>
      </c>
      <c r="G4092" s="16">
        <v>1</v>
      </c>
    </row>
    <row r="4093" spans="1:7">
      <c r="A4093" s="28">
        <v>1228206002</v>
      </c>
      <c r="B4093" s="28" t="s">
        <v>9144</v>
      </c>
      <c r="C4093" s="28">
        <v>3</v>
      </c>
      <c r="D4093" s="28" t="s">
        <v>13984</v>
      </c>
      <c r="E4093" s="28" t="s">
        <v>9146</v>
      </c>
      <c r="F4093" s="28" t="s">
        <v>9147</v>
      </c>
      <c r="G4093" s="16">
        <v>1</v>
      </c>
    </row>
    <row r="4094" spans="1:7">
      <c r="A4094" s="28">
        <v>1228206003</v>
      </c>
      <c r="B4094" s="28" t="s">
        <v>9148</v>
      </c>
      <c r="C4094" s="28">
        <v>4</v>
      </c>
      <c r="D4094" s="28" t="s">
        <v>13985</v>
      </c>
      <c r="E4094" s="28" t="s">
        <v>9150</v>
      </c>
      <c r="F4094" s="28" t="s">
        <v>9151</v>
      </c>
      <c r="G4094" s="16">
        <v>1</v>
      </c>
    </row>
    <row r="4095" spans="1:7">
      <c r="A4095" s="28">
        <v>1228206004</v>
      </c>
      <c r="B4095" s="28" t="s">
        <v>9152</v>
      </c>
      <c r="C4095" s="28">
        <v>4</v>
      </c>
      <c r="D4095" s="28" t="s">
        <v>13986</v>
      </c>
      <c r="E4095" s="28" t="s">
        <v>9154</v>
      </c>
      <c r="F4095" s="28" t="s">
        <v>9155</v>
      </c>
      <c r="G4095" s="16">
        <v>1</v>
      </c>
    </row>
    <row r="4096" spans="1:7">
      <c r="A4096" s="28">
        <v>1228206005</v>
      </c>
      <c r="B4096" s="28" t="s">
        <v>9156</v>
      </c>
      <c r="C4096" s="28">
        <v>3</v>
      </c>
      <c r="D4096" s="28" t="s">
        <v>13987</v>
      </c>
      <c r="E4096" s="28" t="s">
        <v>9158</v>
      </c>
      <c r="F4096" s="28" t="s">
        <v>9159</v>
      </c>
      <c r="G4096" s="16">
        <v>1</v>
      </c>
    </row>
    <row r="4097" spans="1:7">
      <c r="A4097" s="28">
        <v>1228206006</v>
      </c>
      <c r="B4097" s="28" t="s">
        <v>9160</v>
      </c>
      <c r="C4097" s="28">
        <v>4</v>
      </c>
      <c r="D4097" s="28" t="s">
        <v>13988</v>
      </c>
      <c r="E4097" s="28" t="s">
        <v>9162</v>
      </c>
      <c r="F4097" s="28" t="s">
        <v>9163</v>
      </c>
      <c r="G4097" s="16">
        <v>1</v>
      </c>
    </row>
    <row r="4098" spans="1:7">
      <c r="A4098" s="28">
        <v>1228206007</v>
      </c>
      <c r="B4098" s="28" t="s">
        <v>9164</v>
      </c>
      <c r="C4098" s="28">
        <v>3</v>
      </c>
      <c r="D4098" s="28" t="s">
        <v>13989</v>
      </c>
      <c r="E4098" s="28" t="s">
        <v>9166</v>
      </c>
      <c r="F4098" s="28" t="s">
        <v>9167</v>
      </c>
      <c r="G4098" s="16">
        <v>1</v>
      </c>
    </row>
    <row r="4099" spans="1:7">
      <c r="A4099" s="28">
        <v>1228206008</v>
      </c>
      <c r="B4099" s="28" t="s">
        <v>9794</v>
      </c>
      <c r="C4099" s="28">
        <v>4</v>
      </c>
      <c r="D4099" s="28" t="s">
        <v>13990</v>
      </c>
      <c r="E4099" s="28" t="s"/>
      <c r="F4099" s="28" t="s">
        <v>9797</v>
      </c>
      <c r="G4099" s="16">
        <v>1</v>
      </c>
    </row>
    <row r="4100" spans="1:7">
      <c r="A4100" s="28">
        <v>1228206009</v>
      </c>
      <c r="B4100" s="28" t="s">
        <v>9798</v>
      </c>
      <c r="C4100" s="28">
        <v>4</v>
      </c>
      <c r="D4100" s="28" t="s">
        <v>13991</v>
      </c>
      <c r="E4100" s="28" t="s"/>
      <c r="F4100" s="28" t="s">
        <v>9800</v>
      </c>
      <c r="G4100" s="16">
        <v>1</v>
      </c>
    </row>
    <row r="4101" spans="1:7">
      <c r="A4101" s="28">
        <v>1228206010</v>
      </c>
      <c r="B4101" s="28" t="s">
        <v>9801</v>
      </c>
      <c r="C4101" s="28">
        <v>4</v>
      </c>
      <c r="D4101" s="28" t="s">
        <v>13992</v>
      </c>
      <c r="E4101" s="28" t="s"/>
      <c r="F4101" s="28" t="s">
        <v>9803</v>
      </c>
      <c r="G4101" s="16">
        <v>1</v>
      </c>
    </row>
    <row r="4102" spans="1:7">
      <c r="A4102" s="28">
        <v>1228206011</v>
      </c>
      <c r="B4102" s="28" t="s">
        <v>9804</v>
      </c>
      <c r="C4102" s="28">
        <v>4</v>
      </c>
      <c r="D4102" s="28" t="s">
        <v>13993</v>
      </c>
      <c r="E4102" s="28" t="s"/>
      <c r="F4102" s="28" t="s">
        <v>9806</v>
      </c>
      <c r="G4102" s="16">
        <v>1</v>
      </c>
    </row>
    <row r="4103" spans="1:7">
      <c r="A4103" s="28">
        <v>1228206012</v>
      </c>
      <c r="B4103" s="28" t="s">
        <v>9807</v>
      </c>
      <c r="C4103" s="28">
        <v>4</v>
      </c>
      <c r="D4103" s="28" t="s">
        <v>13994</v>
      </c>
      <c r="E4103" s="28" t="s"/>
      <c r="F4103" s="28" t="s">
        <v>9810</v>
      </c>
      <c r="G4103" s="16">
        <v>1</v>
      </c>
    </row>
    <row r="4104" spans="1:7">
      <c r="A4104" s="28">
        <v>1228206013</v>
      </c>
      <c r="B4104" s="28" t="s">
        <v>9811</v>
      </c>
      <c r="C4104" s="28">
        <v>4</v>
      </c>
      <c r="D4104" s="28" t="s">
        <v>13995</v>
      </c>
      <c r="E4104" s="28" t="s"/>
      <c r="F4104" s="28" t="s">
        <v>9814</v>
      </c>
      <c r="G4104" s="16">
        <v>1</v>
      </c>
    </row>
    <row r="4105" spans="1:7">
      <c r="A4105" s="28">
        <v>1228206014</v>
      </c>
      <c r="B4105" s="28" t="s">
        <v>9819</v>
      </c>
      <c r="C4105" s="28">
        <v>4</v>
      </c>
      <c r="D4105" s="28" t="s">
        <v>13996</v>
      </c>
      <c r="E4105" s="28" t="s"/>
      <c r="F4105" s="28" t="s">
        <v>9821</v>
      </c>
      <c r="G4105" s="16">
        <v>1</v>
      </c>
    </row>
    <row r="4106" spans="1:7">
      <c r="A4106" s="28">
        <v>1228206015</v>
      </c>
      <c r="B4106" s="28" t="s">
        <v>9859</v>
      </c>
      <c r="C4106" s="28">
        <v>4</v>
      </c>
      <c r="D4106" s="28" t="s">
        <v>13997</v>
      </c>
      <c r="E4106" s="28" t="s"/>
      <c r="F4106" s="28" t="s">
        <v>9862</v>
      </c>
      <c r="G4106" s="16">
        <v>1</v>
      </c>
    </row>
    <row r="4107" spans="1:7">
      <c r="A4107" s="28">
        <v>1228206016</v>
      </c>
      <c r="B4107" s="28" t="s">
        <v>9863</v>
      </c>
      <c r="C4107" s="28">
        <v>4</v>
      </c>
      <c r="D4107" s="28" t="s">
        <v>13998</v>
      </c>
      <c r="E4107" s="28" t="s"/>
      <c r="F4107" s="28" t="s">
        <v>9866</v>
      </c>
      <c r="G4107" s="16">
        <v>1</v>
      </c>
    </row>
    <row r="4108" spans="1:7">
      <c r="A4108" s="28">
        <v>1228206017</v>
      </c>
      <c r="B4108" s="28" t="s">
        <v>9867</v>
      </c>
      <c r="C4108" s="28">
        <v>4</v>
      </c>
      <c r="D4108" s="28" t="s">
        <v>13999</v>
      </c>
      <c r="E4108" s="28" t="s"/>
      <c r="F4108" s="28" t="s">
        <v>9870</v>
      </c>
      <c r="G4108" s="16">
        <v>1</v>
      </c>
    </row>
    <row r="4109" spans="1:7">
      <c r="A4109" s="28">
        <v>1228206018</v>
      </c>
      <c r="B4109" s="28" t="s">
        <v>9875</v>
      </c>
      <c r="C4109" s="28">
        <v>4</v>
      </c>
      <c r="D4109" s="28" t="s">
        <v>14000</v>
      </c>
      <c r="E4109" s="28" t="s"/>
      <c r="F4109" s="28" t="s">
        <v>9878</v>
      </c>
      <c r="G4109" s="16">
        <v>1</v>
      </c>
    </row>
    <row r="4110" spans="1:7">
      <c r="A4110" s="28">
        <v>1228206019</v>
      </c>
      <c r="B4110" s="28" t="s">
        <v>14001</v>
      </c>
      <c r="C4110" s="28">
        <v>4</v>
      </c>
      <c r="D4110" s="28" t="s">
        <v>14002</v>
      </c>
      <c r="E4110" s="28" t="s"/>
      <c r="F4110" s="28" t="s">
        <v>9055</v>
      </c>
      <c r="G4110" s="16">
        <v>1</v>
      </c>
    </row>
    <row r="4111" spans="1:7">
      <c r="A4111" s="28">
        <v>1228206020</v>
      </c>
      <c r="B4111" s="28" t="s">
        <v>9895</v>
      </c>
      <c r="C4111" s="28">
        <v>4</v>
      </c>
      <c r="D4111" s="28" t="s">
        <v>14003</v>
      </c>
      <c r="E4111" s="28" t="s"/>
      <c r="F4111" s="28" t="s">
        <v>9898</v>
      </c>
      <c r="G4111" s="16">
        <v>1</v>
      </c>
    </row>
    <row r="4112" spans="1:7">
      <c r="A4112" s="28">
        <v>1228206021</v>
      </c>
      <c r="B4112" s="28" t="s">
        <v>14004</v>
      </c>
      <c r="C4112" s="28">
        <v>4</v>
      </c>
      <c r="D4112" s="28" t="s">
        <v>14005</v>
      </c>
      <c r="E4112" s="28" t="s"/>
      <c r="F4112" s="28" t="s">
        <v>9557</v>
      </c>
      <c r="G4112" s="16">
        <v>1</v>
      </c>
    </row>
    <row r="4113" spans="1:7">
      <c r="A4113" s="28">
        <v>1228206022</v>
      </c>
      <c r="B4113" s="28" t="s">
        <v>4152</v>
      </c>
      <c r="C4113" s="28">
        <v>4</v>
      </c>
      <c r="D4113" s="28" t="s">
        <v>14006</v>
      </c>
      <c r="E4113" s="28" t="s"/>
      <c r="F4113" s="28" t="s">
        <v>8863</v>
      </c>
      <c r="G4113" s="16">
        <v>1</v>
      </c>
    </row>
    <row r="4114" spans="1:7">
      <c r="A4114" s="28">
        <v>1228206023</v>
      </c>
      <c r="B4114" s="28" t="s">
        <v>14007</v>
      </c>
      <c r="C4114" s="28">
        <v>4</v>
      </c>
      <c r="D4114" s="28" t="s">
        <v>14008</v>
      </c>
      <c r="E4114" s="28" t="s"/>
      <c r="F4114" s="28" t="s">
        <v>8867</v>
      </c>
      <c r="G4114" s="16">
        <v>1</v>
      </c>
    </row>
    <row r="4115" spans="1:7">
      <c r="A4115" s="28">
        <v>1228206024</v>
      </c>
      <c r="B4115" s="28" t="s">
        <v>4165</v>
      </c>
      <c r="C4115" s="28">
        <v>4</v>
      </c>
      <c r="D4115" s="28" t="s">
        <v>14009</v>
      </c>
      <c r="E4115" s="28" t="s"/>
      <c r="F4115" s="28" t="s">
        <v>8871</v>
      </c>
      <c r="G4115" s="16">
        <v>1</v>
      </c>
    </row>
    <row r="4116" spans="1:7">
      <c r="A4116" s="28">
        <v>1228206025</v>
      </c>
      <c r="B4116" s="28" t="s">
        <v>110</v>
      </c>
      <c r="C4116" s="28">
        <v>4</v>
      </c>
      <c r="D4116" s="28" t="s">
        <v>14010</v>
      </c>
      <c r="E4116" s="28" t="s"/>
      <c r="F4116" s="28" t="s">
        <v>8875</v>
      </c>
      <c r="G4116" s="16">
        <v>1</v>
      </c>
    </row>
    <row r="4117" spans="1:7">
      <c r="A4117" s="28">
        <v>1228206026</v>
      </c>
      <c r="B4117" s="28" t="s">
        <v>4202</v>
      </c>
      <c r="C4117" s="28">
        <v>4</v>
      </c>
      <c r="D4117" s="28" t="s">
        <v>14011</v>
      </c>
      <c r="E4117" s="28" t="s"/>
      <c r="F4117" s="28" t="s">
        <v>8911</v>
      </c>
      <c r="G4117" s="16">
        <v>1</v>
      </c>
    </row>
    <row r="4118" spans="1:7">
      <c r="A4118" s="28">
        <v>1228206027</v>
      </c>
      <c r="B4118" s="28" t="s">
        <v>4269</v>
      </c>
      <c r="C4118" s="28">
        <v>4</v>
      </c>
      <c r="D4118" s="28" t="s">
        <v>14012</v>
      </c>
      <c r="E4118" s="28" t="s"/>
      <c r="F4118" s="28" t="s">
        <v>8947</v>
      </c>
      <c r="G4118" s="16">
        <v>1</v>
      </c>
    </row>
    <row r="4119" spans="1:7">
      <c r="A4119" s="28">
        <v>1228206028</v>
      </c>
      <c r="B4119" s="28" t="s">
        <v>4171</v>
      </c>
      <c r="C4119" s="28">
        <v>4</v>
      </c>
      <c r="D4119" s="28" t="s">
        <v>14013</v>
      </c>
      <c r="E4119" s="28" t="s"/>
      <c r="F4119" s="28" t="s">
        <v>8879</v>
      </c>
      <c r="G4119" s="16">
        <v>1</v>
      </c>
    </row>
    <row r="4120" spans="1:7">
      <c r="A4120" s="28">
        <v>1228206029</v>
      </c>
      <c r="B4120" s="28" t="s">
        <v>14014</v>
      </c>
      <c r="C4120" s="28">
        <v>4</v>
      </c>
      <c r="D4120" s="28" t="s">
        <v>14015</v>
      </c>
      <c r="E4120" s="28" t="s"/>
      <c r="F4120" s="28" t="s">
        <v>9878</v>
      </c>
      <c r="G4120" s="16">
        <v>1</v>
      </c>
    </row>
    <row r="4121" spans="1:7">
      <c r="A4121" s="28">
        <v>1228206030</v>
      </c>
      <c r="B4121" s="28" t="s">
        <v>4178</v>
      </c>
      <c r="C4121" s="28">
        <v>4</v>
      </c>
      <c r="D4121" s="28" t="s">
        <v>14016</v>
      </c>
      <c r="E4121" s="28" t="s"/>
      <c r="F4121" s="28" t="s">
        <v>8915</v>
      </c>
      <c r="G4121" s="16">
        <v>1</v>
      </c>
    </row>
    <row r="4122" spans="1:7">
      <c r="A4122" s="28">
        <v>1228206031</v>
      </c>
      <c r="B4122" s="28" t="s">
        <v>4184</v>
      </c>
      <c r="C4122" s="28">
        <v>4</v>
      </c>
      <c r="D4122" s="28" t="s">
        <v>14017</v>
      </c>
      <c r="E4122" s="28" t="s"/>
      <c r="F4122" s="28" t="s">
        <v>8883</v>
      </c>
      <c r="G4122" s="16">
        <v>1</v>
      </c>
    </row>
    <row r="4123" spans="1:7">
      <c r="A4123" s="28">
        <v>1228206032</v>
      </c>
      <c r="B4123" s="28" t="s">
        <v>4190</v>
      </c>
      <c r="C4123" s="28">
        <v>4</v>
      </c>
      <c r="D4123" s="28" t="s">
        <v>14018</v>
      </c>
      <c r="E4123" s="28" t="s"/>
      <c r="F4123" s="28" t="s">
        <v>8887</v>
      </c>
      <c r="G4123" s="16">
        <v>1</v>
      </c>
    </row>
    <row r="4124" spans="1:7">
      <c r="A4124" s="28">
        <v>1228206033</v>
      </c>
      <c r="B4124" s="28" t="s">
        <v>14019</v>
      </c>
      <c r="C4124" s="28">
        <v>4</v>
      </c>
      <c r="D4124" s="28" t="s">
        <v>14020</v>
      </c>
      <c r="E4124" s="28" t="s"/>
      <c r="F4124" s="28" t="s">
        <v>8955</v>
      </c>
      <c r="G4124" s="16">
        <v>1</v>
      </c>
    </row>
    <row r="4125" spans="1:7">
      <c r="A4125" s="28">
        <v>1228206034</v>
      </c>
      <c r="B4125" s="28" t="s">
        <v>328</v>
      </c>
      <c r="C4125" s="28">
        <v>4</v>
      </c>
      <c r="D4125" s="28" t="s">
        <v>14021</v>
      </c>
      <c r="E4125" s="28" t="s"/>
      <c r="F4125" s="28" t="s">
        <v>8927</v>
      </c>
      <c r="G4125" s="16">
        <v>1</v>
      </c>
    </row>
    <row r="4126" spans="1:7">
      <c r="A4126" s="28">
        <v>1228206101</v>
      </c>
      <c r="B4126" s="28" t="s">
        <v>8777</v>
      </c>
      <c r="C4126" s="28">
        <v>3</v>
      </c>
      <c r="D4126" s="28" t="s">
        <v>14022</v>
      </c>
      <c r="E4126" s="28" t="s"/>
      <c r="F4126" s="28" t="s">
        <v>8780</v>
      </c>
      <c r="G4126" s="16">
        <v>1</v>
      </c>
    </row>
    <row r="4127" spans="1:7">
      <c r="A4127" s="28">
        <v>1228206102</v>
      </c>
      <c r="B4127" s="28" t="s">
        <v>8842</v>
      </c>
      <c r="C4127" s="28">
        <v>3</v>
      </c>
      <c r="D4127" s="28" t="s">
        <v>14023</v>
      </c>
      <c r="E4127" s="28" t="s"/>
      <c r="F4127" s="28" t="s">
        <v>8845</v>
      </c>
      <c r="G4127" s="16">
        <v>1</v>
      </c>
    </row>
    <row r="4128" spans="1:7">
      <c r="A4128" s="28">
        <v>1228206103</v>
      </c>
      <c r="B4128" s="28" t="s">
        <v>9398</v>
      </c>
      <c r="C4128" s="28">
        <v>4</v>
      </c>
      <c r="D4128" s="28" t="s">
        <v>14024</v>
      </c>
      <c r="E4128" s="28" t="s"/>
      <c r="F4128" s="28" t="s">
        <v>9401</v>
      </c>
      <c r="G4128" s="16">
        <v>1</v>
      </c>
    </row>
    <row r="4129" spans="1:7">
      <c r="A4129" s="28">
        <v>1228206104</v>
      </c>
      <c r="B4129" s="28" t="s">
        <v>9402</v>
      </c>
      <c r="C4129" s="28">
        <v>3</v>
      </c>
      <c r="D4129" s="28" t="s">
        <v>14025</v>
      </c>
      <c r="E4129" s="28" t="s"/>
      <c r="F4129" s="28" t="s">
        <v>9405</v>
      </c>
      <c r="G4129" s="16">
        <v>1</v>
      </c>
    </row>
    <row r="4130" spans="1:7">
      <c r="A4130" s="28">
        <v>1228206105</v>
      </c>
      <c r="B4130" s="28" t="s">
        <v>9406</v>
      </c>
      <c r="C4130" s="28">
        <v>3</v>
      </c>
      <c r="D4130" s="28" t="s">
        <v>14026</v>
      </c>
      <c r="E4130" s="28" t="s"/>
      <c r="F4130" s="28" t="s">
        <v>9409</v>
      </c>
      <c r="G4130" s="16">
        <v>1</v>
      </c>
    </row>
    <row r="4131" spans="1:7">
      <c r="A4131" s="28">
        <v>1228206106</v>
      </c>
      <c r="B4131" s="28" t="s">
        <v>9418</v>
      </c>
      <c r="C4131" s="28">
        <v>4</v>
      </c>
      <c r="D4131" s="28" t="s">
        <v>14027</v>
      </c>
      <c r="E4131" s="28" t="s"/>
      <c r="F4131" s="28" t="s">
        <v>9421</v>
      </c>
      <c r="G4131" s="16">
        <v>1</v>
      </c>
    </row>
    <row r="4132" spans="1:7">
      <c r="A4132" s="28">
        <v>1228206107</v>
      </c>
      <c r="B4132" s="28" t="s">
        <v>8809</v>
      </c>
      <c r="C4132" s="28">
        <v>2</v>
      </c>
      <c r="D4132" s="28" t="s">
        <v>14028</v>
      </c>
      <c r="E4132" s="28" t="s"/>
      <c r="F4132" s="28" t="s">
        <v>8812</v>
      </c>
      <c r="G4132" s="16">
        <v>1</v>
      </c>
    </row>
    <row r="4133" spans="1:7">
      <c r="A4133" s="28">
        <v>1228206108</v>
      </c>
      <c r="B4133" s="28" t="s">
        <v>9410</v>
      </c>
      <c r="C4133" s="28">
        <v>2</v>
      </c>
      <c r="D4133" s="28" t="s">
        <v>14029</v>
      </c>
      <c r="E4133" s="28" t="s"/>
      <c r="F4133" s="28" t="s">
        <v>9413</v>
      </c>
      <c r="G4133" s="16">
        <v>1</v>
      </c>
    </row>
    <row r="4134" spans="1:7">
      <c r="A4134" s="28">
        <v>1228206109</v>
      </c>
      <c r="B4134" s="28" t="s">
        <v>9414</v>
      </c>
      <c r="C4134" s="28">
        <v>4</v>
      </c>
      <c r="D4134" s="28" t="s">
        <v>14030</v>
      </c>
      <c r="E4134" s="28" t="s"/>
      <c r="F4134" s="28" t="s">
        <v>9417</v>
      </c>
      <c r="G4134" s="16">
        <v>1</v>
      </c>
    </row>
    <row r="4135" spans="1:7">
      <c r="A4135" s="28">
        <v>1228206110</v>
      </c>
      <c r="B4135" s="28" t="s">
        <v>9666</v>
      </c>
      <c r="C4135" s="28">
        <v>3</v>
      </c>
      <c r="D4135" s="28" t="s">
        <v>14031</v>
      </c>
      <c r="E4135" s="28" t="s"/>
      <c r="F4135" s="28" t="s">
        <v>9669</v>
      </c>
      <c r="G4135" s="16">
        <v>1</v>
      </c>
    </row>
    <row r="4136" spans="1:7">
      <c r="A4136" s="28">
        <v>1228206111</v>
      </c>
      <c r="B4136" s="28" t="s">
        <v>8805</v>
      </c>
      <c r="C4136" s="28">
        <v>3</v>
      </c>
      <c r="D4136" s="28" t="s">
        <v>14032</v>
      </c>
      <c r="E4136" s="28" t="s"/>
      <c r="F4136" s="28" t="s">
        <v>8808</v>
      </c>
      <c r="G4136" s="16">
        <v>1</v>
      </c>
    </row>
    <row r="4137" spans="1:7">
      <c r="A4137" s="28">
        <v>1228206112</v>
      </c>
      <c r="B4137" s="28" t="s">
        <v>8797</v>
      </c>
      <c r="C4137" s="28">
        <v>4</v>
      </c>
      <c r="D4137" s="28" t="s">
        <v>14033</v>
      </c>
      <c r="E4137" s="28" t="s"/>
      <c r="F4137" s="28" t="s">
        <v>8800</v>
      </c>
      <c r="G4137" s="16">
        <v>1</v>
      </c>
    </row>
    <row r="4138" spans="1:7">
      <c r="A4138" s="28">
        <v>1228206113</v>
      </c>
      <c r="B4138" s="28" t="s">
        <v>8856</v>
      </c>
      <c r="C4138" s="28">
        <v>3</v>
      </c>
      <c r="D4138" s="28" t="s">
        <v>14034</v>
      </c>
      <c r="E4138" s="28" t="s"/>
      <c r="F4138" s="28" t="s">
        <v>8836</v>
      </c>
      <c r="G4138" s="16">
        <v>1</v>
      </c>
    </row>
    <row r="4139" spans="1:7">
      <c r="A4139" s="28">
        <v>1228206114</v>
      </c>
      <c r="B4139" s="28" t="s">
        <v>8829</v>
      </c>
      <c r="C4139" s="28">
        <v>4</v>
      </c>
      <c r="D4139" s="28" t="s">
        <v>14035</v>
      </c>
      <c r="E4139" s="28" t="s"/>
      <c r="F4139" s="28" t="s">
        <v>8832</v>
      </c>
      <c r="G4139" s="16">
        <v>1</v>
      </c>
    </row>
    <row r="4140" spans="1:7">
      <c r="A4140" s="28">
        <v>1228206115</v>
      </c>
      <c r="B4140" s="28" t="s">
        <v>8821</v>
      </c>
      <c r="C4140" s="28">
        <v>4</v>
      </c>
      <c r="D4140" s="28" t="s">
        <v>14036</v>
      </c>
      <c r="E4140" s="28" t="s"/>
      <c r="F4140" s="28" t="s">
        <v>8824</v>
      </c>
      <c r="G4140" s="16">
        <v>1</v>
      </c>
    </row>
    <row r="4141" spans="1:7">
      <c r="A4141" s="28">
        <v>1228206116</v>
      </c>
      <c r="B4141" s="28" t="s">
        <v>8837</v>
      </c>
      <c r="C4141" s="28">
        <v>3</v>
      </c>
      <c r="D4141" s="28" t="s">
        <v>14037</v>
      </c>
      <c r="E4141" s="28" t="s"/>
      <c r="F4141" s="28" t="s">
        <v>8840</v>
      </c>
      <c r="G4141" s="16">
        <v>1</v>
      </c>
    </row>
    <row r="4142" spans="1:7">
      <c r="A4142" s="28">
        <v>1228206117</v>
      </c>
      <c r="B4142" s="28" t="s">
        <v>8817</v>
      </c>
      <c r="C4142" s="28">
        <v>3</v>
      </c>
      <c r="D4142" s="28" t="s">
        <v>14038</v>
      </c>
      <c r="E4142" s="28" t="s"/>
      <c r="F4142" s="28" t="s">
        <v>8820</v>
      </c>
      <c r="G4142" s="16">
        <v>1</v>
      </c>
    </row>
    <row r="4143" spans="1:7">
      <c r="A4143" s="28">
        <v>1228206118</v>
      </c>
      <c r="B4143" s="28" t="s">
        <v>8825</v>
      </c>
      <c r="C4143" s="28">
        <v>2</v>
      </c>
      <c r="D4143" s="28" t="s">
        <v>14039</v>
      </c>
      <c r="E4143" s="28" t="s"/>
      <c r="F4143" s="28" t="s">
        <v>8828</v>
      </c>
      <c r="G4143" s="16">
        <v>1</v>
      </c>
    </row>
    <row r="4144" spans="1:7">
      <c r="A4144" s="28">
        <v>1228206119</v>
      </c>
      <c r="B4144" s="28" t="s">
        <v>8813</v>
      </c>
      <c r="C4144" s="28">
        <v>3</v>
      </c>
      <c r="D4144" s="28" t="s">
        <v>14040</v>
      </c>
      <c r="E4144" s="28" t="s"/>
      <c r="F4144" s="28" t="s">
        <v>8816</v>
      </c>
      <c r="G4144" s="16">
        <v>1</v>
      </c>
    </row>
    <row r="4145" spans="1:7">
      <c r="A4145" s="28">
        <v>1228206120</v>
      </c>
      <c r="B4145" s="28" t="s">
        <v>8793</v>
      </c>
      <c r="C4145" s="28">
        <v>2</v>
      </c>
      <c r="D4145" s="28" t="s">
        <v>14041</v>
      </c>
      <c r="E4145" s="28" t="s"/>
      <c r="F4145" s="28" t="s">
        <v>8796</v>
      </c>
      <c r="G4145" s="16">
        <v>1</v>
      </c>
    </row>
    <row r="4146" spans="1:7">
      <c r="A4146" s="28">
        <v>1228206121</v>
      </c>
      <c r="B4146" s="28" t="s">
        <v>8781</v>
      </c>
      <c r="C4146" s="28">
        <v>3</v>
      </c>
      <c r="D4146" s="28" t="s">
        <v>14042</v>
      </c>
      <c r="E4146" s="28" t="s"/>
      <c r="F4146" s="28" t="s">
        <v>8784</v>
      </c>
      <c r="G4146" s="16">
        <v>1</v>
      </c>
    </row>
    <row r="4147" spans="1:7">
      <c r="A4147" s="28">
        <v>1228206122</v>
      </c>
      <c r="B4147" s="28" t="s">
        <v>8846</v>
      </c>
      <c r="C4147" s="28">
        <v>4</v>
      </c>
      <c r="D4147" s="28" t="s">
        <v>14043</v>
      </c>
      <c r="E4147" s="28" t="s"/>
      <c r="F4147" s="28" t="s">
        <v>8849</v>
      </c>
      <c r="G4147" s="16">
        <v>1</v>
      </c>
    </row>
    <row r="4148" spans="1:7">
      <c r="A4148" s="28">
        <v>1228206123</v>
      </c>
      <c r="B4148" s="28" t="s">
        <v>8850</v>
      </c>
      <c r="C4148" s="28">
        <v>2</v>
      </c>
      <c r="D4148" s="28" t="s">
        <v>14044</v>
      </c>
      <c r="E4148" s="28" t="s"/>
      <c r="F4148" s="28" t="s">
        <v>8853</v>
      </c>
      <c r="G4148" s="16">
        <v>1</v>
      </c>
    </row>
  </sheetData>
</worksheet>
</file>

<file path=xl/worksheets/sheet24.xml><?xml version="1.0" encoding="utf-8"?>
<worksheet xmlns="http://schemas.openxmlformats.org/spreadsheetml/2006/main">
  <sheetPr codeName="空洞见闻">
    <tabColor/>
  </sheetPr>
  <dimension ref="D242"/>
  <sheetViews>
    <sheetView showGridLines="1" workbookViewId="0">
      <pane xSplit="1" ySplit="1" topLeftCell="B2" state="frozen"/>
    </sheetView>
  </sheetViews>
  <sheetFormatPr baseColWidth="13" defaultRowHeight="18" customHeight="1"/>
  <cols>
    <col min="1" max="2" width="10.7109" customWidth="1"/>
    <col min="3" max="3" width="20.9844" customWidth="1"/>
    <col min="4" max="4" width="43.1641" style="88" customWidth="1"/>
  </cols>
  <sheetData>
    <row r="1" spans="1:4">
      <c r="A1" s="16" t="s">
        <v>956</v>
      </c>
      <c r="B1" s="16" t="s">
        <v>14045</v>
      </c>
      <c r="C1" s="16" t="s">
        <v>14046</v>
      </c>
      <c r="D1" s="28" t="s">
        <v>14047</v>
      </c>
    </row>
    <row r="2" spans="1:4">
      <c r="A2" s="16">
        <v>106</v>
      </c>
      <c r="B2" s="16" t="s">
        <v>14048</v>
      </c>
      <c r="C2" s="16" t="s">
        <v>14049</v>
      </c>
      <c r="D2" s="28" t="s">
        <v>14050</v>
      </c>
    </row>
    <row r="3" spans="1:4">
      <c r="A3" s="16">
        <v>108</v>
      </c>
      <c r="B3" s="16" t="s">
        <v>14051</v>
      </c>
      <c r="C3" s="16" t="s">
        <v>14052</v>
      </c>
      <c r="D3" s="28" t="s">
        <v>14053</v>
      </c>
    </row>
    <row r="4" spans="1:4">
      <c r="A4" s="16">
        <v>109</v>
      </c>
      <c r="B4" s="16" t="s">
        <v>14048</v>
      </c>
      <c r="C4" s="16" t="s">
        <v>14054</v>
      </c>
      <c r="D4" s="28" t="s">
        <v>14055</v>
      </c>
    </row>
    <row r="5" spans="1:4">
      <c r="A5" s="16">
        <v>110</v>
      </c>
      <c r="B5" s="16" t="s">
        <v>14048</v>
      </c>
      <c r="C5" s="16" t="s">
        <v>14056</v>
      </c>
      <c r="D5" s="28" t="s">
        <v>14057</v>
      </c>
    </row>
    <row r="6" spans="1:4">
      <c r="A6" s="16">
        <v>10000</v>
      </c>
      <c r="B6" s="16" t="s">
        <v>14051</v>
      </c>
      <c r="C6" s="16" t="s">
        <v>14058</v>
      </c>
      <c r="D6" s="28" t="s">
        <v>14059</v>
      </c>
    </row>
    <row r="7" spans="1:4">
      <c r="A7" s="16">
        <v>10050</v>
      </c>
      <c r="B7" s="16" t="s">
        <v>14051</v>
      </c>
      <c r="C7" s="16" t="s">
        <v>14060</v>
      </c>
      <c r="D7" s="28" t="s">
        <v>14061</v>
      </c>
    </row>
    <row r="8" spans="1:4">
      <c r="A8" s="16">
        <v>10051</v>
      </c>
      <c r="B8" s="16" t="s">
        <v>14051</v>
      </c>
      <c r="C8" s="16" t="s">
        <v>14062</v>
      </c>
      <c r="D8" s="28" t="s">
        <v>14063</v>
      </c>
    </row>
    <row r="9" spans="1:4">
      <c r="A9" s="16">
        <v>10052</v>
      </c>
      <c r="B9" s="16" t="s">
        <v>14064</v>
      </c>
      <c r="C9" s="16" t="s">
        <v>14065</v>
      </c>
      <c r="D9" s="28" t="s">
        <v>14066</v>
      </c>
    </row>
    <row r="10" spans="1:4">
      <c r="A10" s="16">
        <v>10053</v>
      </c>
      <c r="B10" s="16" t="s">
        <v>14064</v>
      </c>
      <c r="C10" s="16" t="s">
        <v>14067</v>
      </c>
      <c r="D10" s="28" t="s">
        <v>14068</v>
      </c>
    </row>
    <row r="11" spans="1:4">
      <c r="A11" s="16">
        <v>10055</v>
      </c>
      <c r="B11" s="16" t="s">
        <v>14048</v>
      </c>
      <c r="C11" s="16" t="s">
        <v>14069</v>
      </c>
      <c r="D11" s="28" t="s">
        <v>14070</v>
      </c>
    </row>
    <row r="12" spans="1:4">
      <c r="A12" s="16">
        <v>10056</v>
      </c>
      <c r="B12" s="16" t="s">
        <v>14048</v>
      </c>
      <c r="C12" s="16" t="s">
        <v>14071</v>
      </c>
      <c r="D12" s="28" t="s">
        <v>14072</v>
      </c>
    </row>
    <row r="13" spans="1:4">
      <c r="A13" s="16">
        <v>10057</v>
      </c>
      <c r="B13" s="16" t="s">
        <v>14048</v>
      </c>
      <c r="C13" s="16" t="s">
        <v>14073</v>
      </c>
      <c r="D13" s="28" t="s">
        <v>14074</v>
      </c>
    </row>
    <row r="14" spans="1:4">
      <c r="A14" s="16">
        <v>10058</v>
      </c>
      <c r="B14" s="16" t="s">
        <v>14048</v>
      </c>
      <c r="C14" s="16" t="s">
        <v>14075</v>
      </c>
      <c r="D14" s="28" t="s">
        <v>14076</v>
      </c>
    </row>
    <row r="15" spans="1:4">
      <c r="A15" s="16">
        <v>10059</v>
      </c>
      <c r="B15" s="16" t="s">
        <v>14048</v>
      </c>
      <c r="C15" s="16" t="s">
        <v>14077</v>
      </c>
      <c r="D15" s="28" t="s">
        <v>14078</v>
      </c>
    </row>
    <row r="16" spans="1:4">
      <c r="A16" s="16">
        <v>10060</v>
      </c>
      <c r="B16" s="16" t="s">
        <v>14048</v>
      </c>
      <c r="C16" s="16" t="s">
        <v>14079</v>
      </c>
      <c r="D16" s="28" t="s">
        <v>14080</v>
      </c>
    </row>
    <row r="17" spans="1:4">
      <c r="A17" s="16">
        <v>10100</v>
      </c>
      <c r="B17" s="16" t="s">
        <v>14064</v>
      </c>
      <c r="C17" s="16" t="s">
        <v>14081</v>
      </c>
      <c r="D17" s="28" t="s">
        <v>14082</v>
      </c>
    </row>
    <row r="18" spans="1:4">
      <c r="A18" s="16">
        <v>10101</v>
      </c>
      <c r="B18" s="16" t="s">
        <v>14064</v>
      </c>
      <c r="C18" s="16" t="s">
        <v>14083</v>
      </c>
      <c r="D18" s="28" t="s">
        <v>14084</v>
      </c>
    </row>
    <row r="19" spans="1:4">
      <c r="A19" s="16">
        <v>10102</v>
      </c>
      <c r="B19" s="16" t="s">
        <v>14064</v>
      </c>
      <c r="C19" s="16" t="s">
        <v>14085</v>
      </c>
      <c r="D19" s="28" t="s">
        <v>14086</v>
      </c>
    </row>
    <row r="20" spans="1:4">
      <c r="A20" s="16">
        <v>10103</v>
      </c>
      <c r="B20" s="16" t="s">
        <v>14064</v>
      </c>
      <c r="C20" s="16" t="s">
        <v>14087</v>
      </c>
      <c r="D20" s="28" t="s">
        <v>14088</v>
      </c>
    </row>
    <row r="21" spans="1:4">
      <c r="A21" s="16">
        <v>10104</v>
      </c>
      <c r="B21" s="16" t="s">
        <v>14064</v>
      </c>
      <c r="C21" s="16" t="s">
        <v>14089</v>
      </c>
      <c r="D21" s="28" t="s">
        <v>14090</v>
      </c>
    </row>
    <row r="22" spans="1:4">
      <c r="A22" s="16">
        <v>10105</v>
      </c>
      <c r="B22" s="16" t="s">
        <v>14064</v>
      </c>
      <c r="C22" s="16" t="s">
        <v>14091</v>
      </c>
      <c r="D22" s="28" t="s">
        <v>14092</v>
      </c>
    </row>
    <row r="23" spans="1:4">
      <c r="A23" s="16">
        <v>10106</v>
      </c>
      <c r="B23" s="16" t="s">
        <v>14064</v>
      </c>
      <c r="C23" s="16" t="s">
        <v>14093</v>
      </c>
      <c r="D23" s="28" t="s">
        <v>14094</v>
      </c>
    </row>
    <row r="24" spans="1:4">
      <c r="A24" s="16">
        <v>10107</v>
      </c>
      <c r="B24" s="16" t="s">
        <v>14064</v>
      </c>
      <c r="C24" s="16" t="s">
        <v>14095</v>
      </c>
      <c r="D24" s="28" t="s">
        <v>14096</v>
      </c>
    </row>
    <row r="25" spans="1:4">
      <c r="A25" s="16">
        <v>10207</v>
      </c>
      <c r="B25" s="16" t="s">
        <v>14097</v>
      </c>
      <c r="C25" s="16" t="s">
        <v>14098</v>
      </c>
      <c r="D25" s="28" t="s">
        <v>14099</v>
      </c>
    </row>
    <row r="26" spans="1:4">
      <c r="A26" s="16">
        <v>10208</v>
      </c>
      <c r="B26" s="16" t="s">
        <v>14097</v>
      </c>
      <c r="C26" s="16" t="s">
        <v>14100</v>
      </c>
      <c r="D26" s="28" t="s">
        <v>14101</v>
      </c>
    </row>
    <row r="27" spans="1:4">
      <c r="A27" s="16">
        <v>10209</v>
      </c>
      <c r="B27" s="16" t="s">
        <v>14048</v>
      </c>
      <c r="C27" s="16" t="s">
        <v>14102</v>
      </c>
      <c r="D27" s="28" t="s">
        <v>14103</v>
      </c>
    </row>
    <row r="28" spans="1:4">
      <c r="A28" s="16">
        <v>10210</v>
      </c>
      <c r="B28" s="16" t="s">
        <v>14097</v>
      </c>
      <c r="C28" s="16" t="s">
        <v>14104</v>
      </c>
      <c r="D28" s="28" t="s">
        <v>14105</v>
      </c>
    </row>
    <row r="29" spans="1:4">
      <c r="A29" s="16">
        <v>10212</v>
      </c>
      <c r="B29" s="16" t="s">
        <v>14097</v>
      </c>
      <c r="C29" s="16" t="s">
        <v>14106</v>
      </c>
      <c r="D29" s="28" t="s">
        <v>14107</v>
      </c>
    </row>
    <row r="30" spans="1:4">
      <c r="A30" s="16">
        <v>10214</v>
      </c>
      <c r="B30" s="16" t="s">
        <v>14097</v>
      </c>
      <c r="C30" s="16" t="s">
        <v>14108</v>
      </c>
      <c r="D30" s="28" t="s">
        <v>14109</v>
      </c>
    </row>
    <row r="31" spans="1:4">
      <c r="A31" s="16">
        <v>10215</v>
      </c>
      <c r="B31" s="16" t="s">
        <v>14097</v>
      </c>
      <c r="C31" s="16" t="s">
        <v>14110</v>
      </c>
      <c r="D31" s="28" t="s">
        <v>14111</v>
      </c>
    </row>
    <row r="32" spans="1:4">
      <c r="A32" s="16">
        <v>10217</v>
      </c>
      <c r="B32" s="16" t="s">
        <v>14112</v>
      </c>
      <c r="C32" s="16" t="s">
        <v>14113</v>
      </c>
      <c r="D32" s="28" t="s">
        <v>14114</v>
      </c>
    </row>
    <row r="33" spans="1:4">
      <c r="A33" s="16">
        <v>10218</v>
      </c>
      <c r="B33" s="16" t="s">
        <v>14115</v>
      </c>
      <c r="C33" s="16" t="s">
        <v>14116</v>
      </c>
      <c r="D33" s="28" t="s">
        <v>14117</v>
      </c>
    </row>
    <row r="34" spans="1:4">
      <c r="A34" s="16">
        <v>10219</v>
      </c>
      <c r="B34" s="16" t="s">
        <v>14097</v>
      </c>
      <c r="C34" s="16" t="s">
        <v>14118</v>
      </c>
      <c r="D34" s="28" t="s">
        <v>14119</v>
      </c>
    </row>
    <row r="35" spans="1:4">
      <c r="A35" s="16">
        <v>10220</v>
      </c>
      <c r="B35" s="16" t="s">
        <v>14120</v>
      </c>
      <c r="C35" s="16" t="s">
        <v>14121</v>
      </c>
      <c r="D35" s="28" t="s">
        <v>14122</v>
      </c>
    </row>
    <row r="36" spans="1:4">
      <c r="A36" s="16">
        <v>10221</v>
      </c>
      <c r="B36" s="16" t="s">
        <v>14120</v>
      </c>
      <c r="C36" s="16" t="s">
        <v>14123</v>
      </c>
      <c r="D36" s="28" t="s">
        <v>14124</v>
      </c>
    </row>
    <row r="37" spans="1:4">
      <c r="A37" s="16">
        <v>10222</v>
      </c>
      <c r="B37" s="16" t="s">
        <v>14120</v>
      </c>
      <c r="C37" s="16" t="s">
        <v>14125</v>
      </c>
      <c r="D37" s="28" t="s">
        <v>14126</v>
      </c>
    </row>
    <row r="38" spans="1:4">
      <c r="A38" s="16">
        <v>10223</v>
      </c>
      <c r="B38" s="16" t="s">
        <v>14120</v>
      </c>
      <c r="C38" s="16" t="s">
        <v>14127</v>
      </c>
      <c r="D38" s="28" t="s">
        <v>14128</v>
      </c>
    </row>
    <row r="39" spans="1:4">
      <c r="A39" s="16">
        <v>10224</v>
      </c>
      <c r="B39" s="16" t="s">
        <v>14120</v>
      </c>
      <c r="C39" s="16" t="s">
        <v>1155</v>
      </c>
      <c r="D39" s="28" t="s">
        <v>14129</v>
      </c>
    </row>
    <row r="40" spans="1:4">
      <c r="A40" s="16">
        <v>10227</v>
      </c>
      <c r="B40" s="16" t="s">
        <v>14112</v>
      </c>
      <c r="C40" s="16" t="s">
        <v>14130</v>
      </c>
      <c r="D40" s="28" t="s">
        <v>14131</v>
      </c>
    </row>
    <row r="41" spans="1:4">
      <c r="A41" s="16">
        <v>10233</v>
      </c>
      <c r="B41" s="16" t="s">
        <v>14115</v>
      </c>
      <c r="C41" s="16" t="s">
        <v>14132</v>
      </c>
      <c r="D41" s="28" t="s">
        <v>14133</v>
      </c>
    </row>
    <row r="42" spans="1:4">
      <c r="A42" s="16">
        <v>10234</v>
      </c>
      <c r="B42" s="16" t="s">
        <v>14115</v>
      </c>
      <c r="C42" s="16" t="s">
        <v>14134</v>
      </c>
      <c r="D42" s="28" t="s">
        <v>14135</v>
      </c>
    </row>
    <row r="43" spans="1:4">
      <c r="A43" s="16">
        <v>10235</v>
      </c>
      <c r="B43" s="16" t="s">
        <v>14115</v>
      </c>
      <c r="C43" s="16" t="s">
        <v>14136</v>
      </c>
      <c r="D43" s="28" t="s">
        <v>14137</v>
      </c>
    </row>
    <row r="44" spans="1:4">
      <c r="A44" s="16">
        <v>10239</v>
      </c>
      <c r="B44" s="16" t="s">
        <v>14120</v>
      </c>
      <c r="C44" s="16" t="s">
        <v>14138</v>
      </c>
      <c r="D44" s="28" t="s">
        <v>14139</v>
      </c>
    </row>
    <row r="45" spans="1:4">
      <c r="A45" s="16">
        <v>10240</v>
      </c>
      <c r="B45" s="16" t="s">
        <v>14115</v>
      </c>
      <c r="C45" s="16" t="s">
        <v>14140</v>
      </c>
      <c r="D45" s="28" t="s">
        <v>14141</v>
      </c>
    </row>
    <row r="46" spans="1:4">
      <c r="A46" s="16">
        <v>10241</v>
      </c>
      <c r="B46" s="16" t="s">
        <v>14115</v>
      </c>
      <c r="C46" s="16" t="s">
        <v>14142</v>
      </c>
      <c r="D46" s="28" t="s">
        <v>14143</v>
      </c>
    </row>
    <row r="47" spans="1:4">
      <c r="A47" s="16">
        <v>10245</v>
      </c>
      <c r="B47" s="16" t="s">
        <v>14120</v>
      </c>
      <c r="C47" s="16" t="s">
        <v>14144</v>
      </c>
      <c r="D47" s="28" t="s">
        <v>14145</v>
      </c>
    </row>
    <row r="48" spans="1:4">
      <c r="A48" s="16">
        <v>10253</v>
      </c>
      <c r="B48" s="16" t="s">
        <v>14115</v>
      </c>
      <c r="C48" s="16" t="s">
        <v>14146</v>
      </c>
      <c r="D48" s="28" t="s">
        <v>14147</v>
      </c>
    </row>
    <row r="49" spans="1:4">
      <c r="A49" s="16">
        <v>10254</v>
      </c>
      <c r="B49" s="16" t="s">
        <v>14097</v>
      </c>
      <c r="C49" s="16" t="s">
        <v>14148</v>
      </c>
      <c r="D49" s="28" t="s">
        <v>14149</v>
      </c>
    </row>
    <row r="50" spans="1:4">
      <c r="A50" s="16">
        <v>10263</v>
      </c>
      <c r="B50" s="16" t="s">
        <v>14120</v>
      </c>
      <c r="C50" s="16" t="s">
        <v>14150</v>
      </c>
      <c r="D50" s="28" t="s">
        <v>14151</v>
      </c>
    </row>
    <row r="51" spans="1:4">
      <c r="A51" s="16">
        <v>10264</v>
      </c>
      <c r="B51" s="16" t="s">
        <v>14120</v>
      </c>
      <c r="C51" s="16" t="s">
        <v>14152</v>
      </c>
      <c r="D51" s="28" t="s">
        <v>14153</v>
      </c>
    </row>
    <row r="52" spans="1:4">
      <c r="A52" s="16">
        <v>10270</v>
      </c>
      <c r="B52" s="16" t="s">
        <v>14115</v>
      </c>
      <c r="C52" s="16" t="s">
        <v>14154</v>
      </c>
      <c r="D52" s="28" t="s">
        <v>14155</v>
      </c>
    </row>
    <row r="53" spans="1:4">
      <c r="A53" s="16">
        <v>10271</v>
      </c>
      <c r="B53" s="16" t="s">
        <v>14097</v>
      </c>
      <c r="C53" s="16" t="s">
        <v>14156</v>
      </c>
      <c r="D53" s="28" t="s">
        <v>14157</v>
      </c>
    </row>
    <row r="54" spans="1:4">
      <c r="A54" s="16">
        <v>10274</v>
      </c>
      <c r="B54" s="16" t="s">
        <v>14097</v>
      </c>
      <c r="C54" s="16" t="s">
        <v>14158</v>
      </c>
      <c r="D54" s="28" t="s">
        <v>14159</v>
      </c>
    </row>
    <row r="55" spans="1:4">
      <c r="A55" s="16">
        <v>10283</v>
      </c>
      <c r="B55" s="16" t="s">
        <v>14097</v>
      </c>
      <c r="C55" s="16" t="s">
        <v>14160</v>
      </c>
      <c r="D55" s="28" t="s">
        <v>14161</v>
      </c>
    </row>
    <row r="56" spans="1:4">
      <c r="A56" s="16">
        <v>10284</v>
      </c>
      <c r="B56" s="16" t="s">
        <v>14162</v>
      </c>
      <c r="C56" s="16" t="s">
        <v>14163</v>
      </c>
      <c r="D56" s="28" t="s">
        <v>14164</v>
      </c>
    </row>
    <row r="57" spans="1:4">
      <c r="A57" s="16">
        <v>10285</v>
      </c>
      <c r="B57" s="16" t="s">
        <v>14115</v>
      </c>
      <c r="C57" s="16" t="s">
        <v>14165</v>
      </c>
      <c r="D57" s="28" t="s">
        <v>14166</v>
      </c>
    </row>
    <row r="58" spans="1:4">
      <c r="A58" s="16">
        <v>10286</v>
      </c>
      <c r="B58" s="16" t="s">
        <v>14115</v>
      </c>
      <c r="C58" s="16" t="s">
        <v>14167</v>
      </c>
      <c r="D58" s="28" t="s">
        <v>14168</v>
      </c>
    </row>
    <row r="59" spans="1:4">
      <c r="A59" s="16">
        <v>10288</v>
      </c>
      <c r="B59" s="16" t="s">
        <v>14120</v>
      </c>
      <c r="C59" s="16" t="s">
        <v>1159</v>
      </c>
      <c r="D59" s="28" t="s">
        <v>14169</v>
      </c>
    </row>
    <row r="60" spans="1:4">
      <c r="A60" s="16">
        <v>10291</v>
      </c>
      <c r="B60" s="16" t="s">
        <v>14115</v>
      </c>
      <c r="C60" s="16" t="s">
        <v>14170</v>
      </c>
      <c r="D60" s="28" t="s">
        <v>14171</v>
      </c>
    </row>
    <row r="61" spans="1:4">
      <c r="A61" s="16">
        <v>10304</v>
      </c>
      <c r="B61" s="16" t="s">
        <v>14115</v>
      </c>
      <c r="C61" s="16" t="s">
        <v>14172</v>
      </c>
      <c r="D61" s="28" t="s">
        <v>14173</v>
      </c>
    </row>
    <row r="62" spans="1:4">
      <c r="A62" s="16">
        <v>12000</v>
      </c>
      <c r="B62" s="16" t="s">
        <v>14097</v>
      </c>
      <c r="C62" s="16" t="s">
        <v>14174</v>
      </c>
      <c r="D62" s="28" t="s">
        <v>14175</v>
      </c>
    </row>
    <row r="63" spans="1:4">
      <c r="A63" s="16">
        <v>12001</v>
      </c>
      <c r="B63" s="16" t="s">
        <v>14097</v>
      </c>
      <c r="C63" s="16" t="s">
        <v>14176</v>
      </c>
      <c r="D63" s="28" t="s">
        <v>14177</v>
      </c>
    </row>
    <row r="64" spans="1:4">
      <c r="A64" s="16">
        <v>12002</v>
      </c>
      <c r="B64" s="16" t="s">
        <v>14097</v>
      </c>
      <c r="C64" s="16" t="s">
        <v>14178</v>
      </c>
      <c r="D64" s="28" t="s">
        <v>14179</v>
      </c>
    </row>
    <row r="65" spans="1:4">
      <c r="A65" s="16">
        <v>12003</v>
      </c>
      <c r="B65" s="16" t="s">
        <v>14097</v>
      </c>
      <c r="C65" s="16" t="s">
        <v>8113</v>
      </c>
      <c r="D65" s="28" t="s">
        <v>14180</v>
      </c>
    </row>
    <row r="66" spans="1:4">
      <c r="A66" s="16">
        <v>14001</v>
      </c>
      <c r="B66" s="16" t="s">
        <v>14097</v>
      </c>
      <c r="C66" s="16" t="s">
        <v>14181</v>
      </c>
      <c r="D66" s="28" t="s">
        <v>14182</v>
      </c>
    </row>
    <row r="67" spans="1:4">
      <c r="A67" s="16">
        <v>14002</v>
      </c>
      <c r="B67" s="16" t="s">
        <v>14097</v>
      </c>
      <c r="C67" s="16" t="s">
        <v>14183</v>
      </c>
      <c r="D67" s="28" t="s">
        <v>14184</v>
      </c>
    </row>
    <row r="68" spans="1:4">
      <c r="A68" s="16">
        <v>14003</v>
      </c>
      <c r="B68" s="16" t="s">
        <v>14048</v>
      </c>
      <c r="C68" s="16" t="s">
        <v>14185</v>
      </c>
      <c r="D68" s="28" t="s">
        <v>14186</v>
      </c>
    </row>
    <row r="69" spans="1:4">
      <c r="A69" s="16">
        <v>14004</v>
      </c>
      <c r="B69" s="16" t="s">
        <v>14048</v>
      </c>
      <c r="C69" s="16" t="s">
        <v>14187</v>
      </c>
      <c r="D69" s="28" t="s">
        <v>14188</v>
      </c>
    </row>
    <row r="70" spans="1:4">
      <c r="A70" s="16">
        <v>14008</v>
      </c>
      <c r="B70" s="16" t="s">
        <v>14048</v>
      </c>
      <c r="C70" s="16" t="s">
        <v>14189</v>
      </c>
      <c r="D70" s="28" t="s">
        <v>14190</v>
      </c>
    </row>
    <row r="71" spans="1:4">
      <c r="A71" s="16">
        <v>14009</v>
      </c>
      <c r="B71" s="16" t="s">
        <v>14048</v>
      </c>
      <c r="C71" s="16" t="s">
        <v>14191</v>
      </c>
      <c r="D71" s="28" t="s">
        <v>14192</v>
      </c>
    </row>
    <row r="72" spans="1:4">
      <c r="A72" s="16">
        <v>14010</v>
      </c>
      <c r="B72" s="16" t="s">
        <v>14048</v>
      </c>
      <c r="C72" s="16" t="s">
        <v>14193</v>
      </c>
      <c r="D72" s="28" t="s">
        <v>14194</v>
      </c>
    </row>
    <row r="73" spans="1:4">
      <c r="A73" s="16">
        <v>14011</v>
      </c>
      <c r="B73" s="16" t="s">
        <v>14048</v>
      </c>
      <c r="C73" s="16" t="s">
        <v>14195</v>
      </c>
      <c r="D73" s="28" t="s">
        <v>14196</v>
      </c>
    </row>
    <row r="74" spans="1:4">
      <c r="A74" s="16">
        <v>14012</v>
      </c>
      <c r="B74" s="16" t="s">
        <v>14048</v>
      </c>
      <c r="C74" s="16" t="s">
        <v>14197</v>
      </c>
      <c r="D74" s="28" t="s">
        <v>14198</v>
      </c>
    </row>
    <row r="75" spans="1:4">
      <c r="A75" s="16">
        <v>14013</v>
      </c>
      <c r="B75" s="16" t="s">
        <v>14048</v>
      </c>
      <c r="C75" s="16" t="s">
        <v>14199</v>
      </c>
      <c r="D75" s="28" t="s">
        <v>14200</v>
      </c>
    </row>
    <row r="76" spans="1:4">
      <c r="A76" s="16">
        <v>14014</v>
      </c>
      <c r="B76" s="16" t="s">
        <v>14048</v>
      </c>
      <c r="C76" s="16" t="s">
        <v>14201</v>
      </c>
      <c r="D76" s="28" t="s">
        <v>14202</v>
      </c>
    </row>
    <row r="77" spans="1:4">
      <c r="A77" s="16">
        <v>14016</v>
      </c>
      <c r="B77" s="16" t="s">
        <v>14115</v>
      </c>
      <c r="C77" s="16" t="s">
        <v>14203</v>
      </c>
      <c r="D77" s="28" t="s">
        <v>14204</v>
      </c>
    </row>
    <row r="78" spans="1:4">
      <c r="A78" s="16">
        <v>14031</v>
      </c>
      <c r="B78" s="16" t="s">
        <v>14115</v>
      </c>
      <c r="C78" s="16" t="s">
        <v>14205</v>
      </c>
      <c r="D78" s="28" t="s">
        <v>14206</v>
      </c>
    </row>
    <row r="79" spans="1:4">
      <c r="A79" s="16">
        <v>14032</v>
      </c>
      <c r="B79" s="16" t="s">
        <v>14115</v>
      </c>
      <c r="C79" s="16" t="s">
        <v>14207</v>
      </c>
      <c r="D79" s="28" t="s">
        <v>14208</v>
      </c>
    </row>
    <row r="80" spans="1:4">
      <c r="A80" s="16">
        <v>14038</v>
      </c>
      <c r="B80" s="16" t="s">
        <v>14115</v>
      </c>
      <c r="C80" s="16" t="s">
        <v>14209</v>
      </c>
      <c r="D80" s="28" t="s">
        <v>14210</v>
      </c>
    </row>
    <row r="81" spans="1:4">
      <c r="A81" s="16">
        <v>14046</v>
      </c>
      <c r="B81" s="16" t="s">
        <v>14097</v>
      </c>
      <c r="C81" s="16" t="s">
        <v>8383</v>
      </c>
      <c r="D81" s="28" t="s">
        <v>9782</v>
      </c>
    </row>
    <row r="82" spans="1:4">
      <c r="A82" s="16">
        <v>14047</v>
      </c>
      <c r="B82" s="16" t="s">
        <v>14097</v>
      </c>
      <c r="C82" s="16" t="s">
        <v>8387</v>
      </c>
      <c r="D82" s="28" t="s">
        <v>9783</v>
      </c>
    </row>
    <row r="83" spans="1:4">
      <c r="A83" s="16">
        <v>14048</v>
      </c>
      <c r="B83" s="16" t="s">
        <v>14097</v>
      </c>
      <c r="C83" s="16" t="s">
        <v>8390</v>
      </c>
      <c r="D83" s="28" t="s">
        <v>9784</v>
      </c>
    </row>
    <row r="84" spans="1:4">
      <c r="A84" s="16">
        <v>14049</v>
      </c>
      <c r="B84" s="16" t="s">
        <v>14097</v>
      </c>
      <c r="C84" s="16" t="s">
        <v>14211</v>
      </c>
      <c r="D84" s="28" t="s">
        <v>14212</v>
      </c>
    </row>
    <row r="85" spans="1:4">
      <c r="A85" s="16">
        <v>14050</v>
      </c>
      <c r="B85" s="16" t="s">
        <v>14097</v>
      </c>
      <c r="C85" s="16" t="s">
        <v>14213</v>
      </c>
      <c r="D85" s="28" t="s">
        <v>14214</v>
      </c>
    </row>
    <row r="86" spans="1:4">
      <c r="A86" s="16">
        <v>14051</v>
      </c>
      <c r="B86" s="16" t="s">
        <v>14097</v>
      </c>
      <c r="C86" s="16" t="s">
        <v>14215</v>
      </c>
      <c r="D86" s="28" t="s">
        <v>14216</v>
      </c>
    </row>
    <row r="87" spans="1:4">
      <c r="A87" s="16">
        <v>14056</v>
      </c>
      <c r="B87" s="16" t="s">
        <v>14115</v>
      </c>
      <c r="C87" s="16" t="s">
        <v>14217</v>
      </c>
      <c r="D87" s="28" t="s">
        <v>14218</v>
      </c>
    </row>
    <row r="88" spans="1:4">
      <c r="A88" s="16">
        <v>14058</v>
      </c>
      <c r="B88" s="16" t="s">
        <v>14115</v>
      </c>
      <c r="C88" s="16" t="s">
        <v>14219</v>
      </c>
      <c r="D88" s="28" t="s">
        <v>14220</v>
      </c>
    </row>
    <row r="89" spans="1:4">
      <c r="A89" s="16">
        <v>14093</v>
      </c>
      <c r="B89" s="16" t="s">
        <v>14048</v>
      </c>
      <c r="C89" s="16" t="s">
        <v>14221</v>
      </c>
      <c r="D89" s="28" t="s">
        <v>14222</v>
      </c>
    </row>
    <row r="90" spans="1:4">
      <c r="A90" s="16">
        <v>14095</v>
      </c>
      <c r="B90" s="16" t="s">
        <v>14115</v>
      </c>
      <c r="C90" s="16" t="s">
        <v>14223</v>
      </c>
      <c r="D90" s="28" t="s">
        <v>14224</v>
      </c>
    </row>
    <row r="91" spans="1:4">
      <c r="A91" s="16">
        <v>14101</v>
      </c>
      <c r="B91" s="16" t="s">
        <v>14115</v>
      </c>
      <c r="C91" s="16" t="s">
        <v>14225</v>
      </c>
      <c r="D91" s="28" t="s">
        <v>14226</v>
      </c>
    </row>
    <row r="92" spans="1:4">
      <c r="A92" s="16">
        <v>14102</v>
      </c>
      <c r="B92" s="16" t="s">
        <v>14112</v>
      </c>
      <c r="C92" s="16" t="s">
        <v>14227</v>
      </c>
      <c r="D92" s="28" t="s">
        <v>14228</v>
      </c>
    </row>
    <row r="93" spans="1:4">
      <c r="A93" s="16">
        <v>14103</v>
      </c>
      <c r="B93" s="16" t="s">
        <v>14112</v>
      </c>
      <c r="C93" s="16" t="s">
        <v>14229</v>
      </c>
      <c r="D93" s="28" t="s">
        <v>14230</v>
      </c>
    </row>
    <row r="94" spans="1:4">
      <c r="A94" s="16">
        <v>14113</v>
      </c>
      <c r="B94" s="16" t="s">
        <v>14097</v>
      </c>
      <c r="C94" s="16" t="s">
        <v>14231</v>
      </c>
      <c r="D94" s="28" t="s">
        <v>14232</v>
      </c>
    </row>
    <row r="95" spans="1:4">
      <c r="A95" s="16">
        <v>14115</v>
      </c>
      <c r="B95" s="16" t="s">
        <v>14097</v>
      </c>
      <c r="C95" s="16" t="s">
        <v>14233</v>
      </c>
      <c r="D95" s="28" t="s">
        <v>14234</v>
      </c>
    </row>
    <row r="96" spans="1:4">
      <c r="A96" s="16">
        <v>14117</v>
      </c>
      <c r="B96" s="16" t="s">
        <v>14097</v>
      </c>
      <c r="C96" s="16" t="s">
        <v>14235</v>
      </c>
      <c r="D96" s="28" t="s">
        <v>14236</v>
      </c>
    </row>
    <row r="97" spans="1:4">
      <c r="A97" s="16">
        <v>22105</v>
      </c>
      <c r="B97" s="16" t="s">
        <v>14120</v>
      </c>
      <c r="C97" s="16" t="s">
        <v>14237</v>
      </c>
      <c r="D97" s="28" t="s">
        <v>14238</v>
      </c>
    </row>
    <row r="98" spans="1:4">
      <c r="A98" s="16">
        <v>22107</v>
      </c>
      <c r="B98" s="16" t="s">
        <v>14048</v>
      </c>
      <c r="C98" s="16" t="s">
        <v>14239</v>
      </c>
      <c r="D98" s="28" t="s">
        <v>14240</v>
      </c>
    </row>
    <row r="99" spans="1:4">
      <c r="A99" s="16">
        <v>22108</v>
      </c>
      <c r="B99" s="16" t="s">
        <v>14048</v>
      </c>
      <c r="C99" s="16" t="s">
        <v>14241</v>
      </c>
      <c r="D99" s="28" t="s">
        <v>14242</v>
      </c>
    </row>
    <row r="100" spans="1:4">
      <c r="A100" s="16">
        <v>30101</v>
      </c>
      <c r="B100" s="16" t="s">
        <v>14112</v>
      </c>
      <c r="C100" s="16" t="s">
        <v>14243</v>
      </c>
      <c r="D100" s="28" t="s">
        <v>14244</v>
      </c>
    </row>
    <row r="101" spans="1:4">
      <c r="A101" s="16">
        <v>30102</v>
      </c>
      <c r="B101" s="16" t="s">
        <v>14112</v>
      </c>
      <c r="C101" s="16" t="s">
        <v>14245</v>
      </c>
      <c r="D101" s="28" t="s">
        <v>14246</v>
      </c>
    </row>
    <row r="102" spans="1:4">
      <c r="A102" s="16">
        <v>30103</v>
      </c>
      <c r="B102" s="16" t="s">
        <v>14112</v>
      </c>
      <c r="C102" s="16" t="s">
        <v>14247</v>
      </c>
      <c r="D102" s="28" t="s">
        <v>14248</v>
      </c>
    </row>
    <row r="103" spans="1:4">
      <c r="A103" s="16">
        <v>30104</v>
      </c>
      <c r="B103" s="16" t="s">
        <v>14112</v>
      </c>
      <c r="C103" s="16" t="s">
        <v>14249</v>
      </c>
      <c r="D103" s="28" t="s">
        <v>14250</v>
      </c>
    </row>
    <row r="104" spans="1:4">
      <c r="A104" s="16">
        <v>30105</v>
      </c>
      <c r="B104" s="16" t="s">
        <v>14112</v>
      </c>
      <c r="C104" s="16" t="s">
        <v>14251</v>
      </c>
      <c r="D104" s="28" t="s">
        <v>14252</v>
      </c>
    </row>
    <row r="105" spans="1:4">
      <c r="A105" s="16">
        <v>30106</v>
      </c>
      <c r="B105" s="16" t="s">
        <v>14112</v>
      </c>
      <c r="C105" s="16" t="s">
        <v>14253</v>
      </c>
      <c r="D105" s="28" t="s">
        <v>14254</v>
      </c>
    </row>
    <row r="106" spans="1:4">
      <c r="A106" s="16">
        <v>32107</v>
      </c>
      <c r="B106" s="16" t="s">
        <v>14120</v>
      </c>
      <c r="C106" s="16" t="s">
        <v>14255</v>
      </c>
      <c r="D106" s="28" t="s">
        <v>14256</v>
      </c>
    </row>
    <row r="107" spans="1:4">
      <c r="A107" s="16">
        <v>32110</v>
      </c>
      <c r="B107" s="16" t="s">
        <v>14120</v>
      </c>
      <c r="C107" s="16" t="s">
        <v>14257</v>
      </c>
      <c r="D107" s="28" t="s">
        <v>14258</v>
      </c>
    </row>
    <row r="108" spans="1:4">
      <c r="A108" s="16">
        <v>32111</v>
      </c>
      <c r="B108" s="16" t="s">
        <v>14120</v>
      </c>
      <c r="C108" s="16" t="s">
        <v>14259</v>
      </c>
      <c r="D108" s="28" t="s">
        <v>14260</v>
      </c>
    </row>
    <row r="109" spans="1:4">
      <c r="A109" s="16">
        <v>32123</v>
      </c>
      <c r="B109" s="16" t="s">
        <v>14120</v>
      </c>
      <c r="C109" s="16" t="s">
        <v>1136</v>
      </c>
      <c r="D109" s="28" t="s">
        <v>14261</v>
      </c>
    </row>
    <row r="110" spans="1:4">
      <c r="A110" s="16">
        <v>32125</v>
      </c>
      <c r="B110" s="16" t="s">
        <v>14120</v>
      </c>
      <c r="C110" s="16" t="s">
        <v>14262</v>
      </c>
      <c r="D110" s="28" t="s">
        <v>14263</v>
      </c>
    </row>
    <row r="111" spans="1:4">
      <c r="A111" s="16">
        <v>32146</v>
      </c>
      <c r="B111" s="16" t="s">
        <v>14120</v>
      </c>
      <c r="C111" s="16" t="s">
        <v>14264</v>
      </c>
      <c r="D111" s="28" t="s">
        <v>14265</v>
      </c>
    </row>
    <row r="112" spans="1:4">
      <c r="A112" s="16">
        <v>32149</v>
      </c>
      <c r="B112" s="16" t="s">
        <v>14048</v>
      </c>
      <c r="C112" s="16" t="s">
        <v>14266</v>
      </c>
      <c r="D112" s="28" t="s">
        <v>14267</v>
      </c>
    </row>
    <row r="113" spans="1:4">
      <c r="A113" s="16">
        <v>32150</v>
      </c>
      <c r="B113" s="16" t="s">
        <v>14048</v>
      </c>
      <c r="C113" s="16" t="s">
        <v>14268</v>
      </c>
      <c r="D113" s="28" t="s">
        <v>14269</v>
      </c>
    </row>
    <row r="114" spans="1:4">
      <c r="A114" s="16">
        <v>32163</v>
      </c>
      <c r="B114" s="16" t="s">
        <v>14048</v>
      </c>
      <c r="C114" s="16" t="s">
        <v>14270</v>
      </c>
      <c r="D114" s="28" t="s">
        <v>14271</v>
      </c>
    </row>
    <row r="115" spans="1:4">
      <c r="A115" s="16">
        <v>32173</v>
      </c>
      <c r="B115" s="16" t="s">
        <v>14048</v>
      </c>
      <c r="C115" s="16" t="s">
        <v>14272</v>
      </c>
      <c r="D115" s="28" t="s">
        <v>14273</v>
      </c>
    </row>
    <row r="116" spans="1:4">
      <c r="A116" s="16">
        <v>32201</v>
      </c>
      <c r="B116" s="16" t="s">
        <v>14115</v>
      </c>
      <c r="C116" s="16" t="s">
        <v>14274</v>
      </c>
      <c r="D116" s="28" t="s">
        <v>14275</v>
      </c>
    </row>
    <row r="117" spans="1:4">
      <c r="A117" s="16">
        <v>32202</v>
      </c>
      <c r="B117" s="16" t="s">
        <v>14115</v>
      </c>
      <c r="C117" s="16" t="s">
        <v>14276</v>
      </c>
      <c r="D117" s="28" t="s">
        <v>14277</v>
      </c>
    </row>
    <row r="118" spans="1:4">
      <c r="A118" s="16">
        <v>32211</v>
      </c>
      <c r="B118" s="16" t="s">
        <v>14120</v>
      </c>
      <c r="C118" s="16" t="s">
        <v>1457</v>
      </c>
      <c r="D118" s="28" t="s">
        <v>14278</v>
      </c>
    </row>
    <row r="119" spans="1:4">
      <c r="A119" s="16">
        <v>32213</v>
      </c>
      <c r="B119" s="16" t="s">
        <v>14120</v>
      </c>
      <c r="C119" s="16" t="s">
        <v>1466</v>
      </c>
      <c r="D119" s="28" t="s">
        <v>14279</v>
      </c>
    </row>
    <row r="120" spans="1:4">
      <c r="A120" s="16">
        <v>32215</v>
      </c>
      <c r="B120" s="16" t="s">
        <v>14120</v>
      </c>
      <c r="C120" s="16" t="s">
        <v>1386</v>
      </c>
      <c r="D120" s="28" t="s">
        <v>14280</v>
      </c>
    </row>
    <row r="121" spans="1:4">
      <c r="A121" s="16">
        <v>32218</v>
      </c>
      <c r="B121" s="16" t="s">
        <v>14115</v>
      </c>
      <c r="C121" s="16" t="s">
        <v>14281</v>
      </c>
      <c r="D121" s="28" t="s">
        <v>14282</v>
      </c>
    </row>
    <row r="122" spans="1:4">
      <c r="A122" s="16">
        <v>32223</v>
      </c>
      <c r="B122" s="16" t="s">
        <v>14115</v>
      </c>
      <c r="C122" s="16" t="s">
        <v>14283</v>
      </c>
      <c r="D122" s="28" t="s">
        <v>14284</v>
      </c>
    </row>
    <row r="123" spans="1:4">
      <c r="A123" s="16">
        <v>32372</v>
      </c>
      <c r="B123" s="16" t="s">
        <v>14120</v>
      </c>
      <c r="C123" s="16" t="s">
        <v>14285</v>
      </c>
      <c r="D123" s="28" t="s">
        <v>14286</v>
      </c>
    </row>
    <row r="124" spans="1:4">
      <c r="A124" s="16">
        <v>32390</v>
      </c>
      <c r="B124" s="16" t="s">
        <v>14112</v>
      </c>
      <c r="C124" s="16" t="s">
        <v>14287</v>
      </c>
      <c r="D124" s="28" t="s">
        <v>14288</v>
      </c>
    </row>
    <row r="125" spans="1:4">
      <c r="A125" s="16">
        <v>32391</v>
      </c>
      <c r="B125" s="16" t="s">
        <v>14112</v>
      </c>
      <c r="C125" s="16" t="s">
        <v>14289</v>
      </c>
      <c r="D125" s="28" t="s">
        <v>14290</v>
      </c>
    </row>
    <row r="126" spans="1:4">
      <c r="A126" s="16">
        <v>32392</v>
      </c>
      <c r="B126" s="16" t="s">
        <v>14112</v>
      </c>
      <c r="C126" s="16" t="s">
        <v>14291</v>
      </c>
      <c r="D126" s="28" t="s">
        <v>14292</v>
      </c>
    </row>
    <row r="127" spans="1:4">
      <c r="A127" s="16">
        <v>40000</v>
      </c>
      <c r="B127" s="16" t="s">
        <v>14162</v>
      </c>
      <c r="C127" s="16" t="s">
        <v>14293</v>
      </c>
      <c r="D127" s="28" t="s">
        <v>14294</v>
      </c>
    </row>
    <row r="128" spans="1:4">
      <c r="A128" s="16">
        <v>50007</v>
      </c>
      <c r="B128" s="16" t="s">
        <v>14112</v>
      </c>
      <c r="C128" s="16" t="s">
        <v>14295</v>
      </c>
      <c r="D128" s="28" t="s">
        <v>14296</v>
      </c>
    </row>
    <row r="129" spans="1:4">
      <c r="A129" s="16">
        <v>50008</v>
      </c>
      <c r="B129" s="16" t="s">
        <v>14112</v>
      </c>
      <c r="C129" s="16" t="s">
        <v>14297</v>
      </c>
      <c r="D129" s="28" t="s">
        <v>14298</v>
      </c>
    </row>
    <row r="130" spans="1:4">
      <c r="A130" s="16">
        <v>50009</v>
      </c>
      <c r="B130" s="16" t="s">
        <v>14112</v>
      </c>
      <c r="C130" s="16" t="s">
        <v>14299</v>
      </c>
      <c r="D130" s="28" t="s">
        <v>14300</v>
      </c>
    </row>
    <row r="131" spans="1:4">
      <c r="A131" s="16">
        <v>50010</v>
      </c>
      <c r="B131" s="16" t="s">
        <v>14112</v>
      </c>
      <c r="C131" s="16" t="s">
        <v>14301</v>
      </c>
      <c r="D131" s="28" t="s">
        <v>14302</v>
      </c>
    </row>
    <row r="132" spans="1:4">
      <c r="A132" s="16">
        <v>50011</v>
      </c>
      <c r="B132" s="16" t="s">
        <v>14112</v>
      </c>
      <c r="C132" s="16" t="s">
        <v>14303</v>
      </c>
      <c r="D132" s="28" t="s">
        <v>14304</v>
      </c>
    </row>
    <row r="133" spans="1:4">
      <c r="A133" s="16">
        <v>50012</v>
      </c>
      <c r="B133" s="16" t="s">
        <v>14112</v>
      </c>
      <c r="C133" s="16" t="s">
        <v>14305</v>
      </c>
      <c r="D133" s="28" t="s">
        <v>14306</v>
      </c>
    </row>
    <row r="134" spans="1:4">
      <c r="A134" s="16">
        <v>50013</v>
      </c>
      <c r="B134" s="16" t="s">
        <v>14112</v>
      </c>
      <c r="C134" s="16" t="s">
        <v>14307</v>
      </c>
      <c r="D134" s="28" t="s">
        <v>14308</v>
      </c>
    </row>
    <row r="135" spans="1:4">
      <c r="A135" s="16">
        <v>50014</v>
      </c>
      <c r="B135" s="16" t="s">
        <v>14112</v>
      </c>
      <c r="C135" s="16" t="s">
        <v>14309</v>
      </c>
      <c r="D135" s="28" t="s">
        <v>14310</v>
      </c>
    </row>
    <row r="136" spans="1:4">
      <c r="A136" s="16">
        <v>50015</v>
      </c>
      <c r="B136" s="16" t="s">
        <v>14112</v>
      </c>
      <c r="C136" s="16" t="s">
        <v>14311</v>
      </c>
      <c r="D136" s="28" t="s">
        <v>14312</v>
      </c>
    </row>
    <row r="137" spans="1:4">
      <c r="A137" s="16">
        <v>50016</v>
      </c>
      <c r="B137" s="16" t="s">
        <v>14112</v>
      </c>
      <c r="C137" s="16" t="s">
        <v>14313</v>
      </c>
      <c r="D137" s="28" t="s">
        <v>14314</v>
      </c>
    </row>
    <row r="138" spans="1:4">
      <c r="A138" s="16">
        <v>50017</v>
      </c>
      <c r="B138" s="16" t="s">
        <v>14112</v>
      </c>
      <c r="C138" s="16" t="s">
        <v>14315</v>
      </c>
      <c r="D138" s="28" t="s">
        <v>14316</v>
      </c>
    </row>
    <row r="139" spans="1:4">
      <c r="A139" s="16">
        <v>50018</v>
      </c>
      <c r="B139" s="16" t="s">
        <v>14112</v>
      </c>
      <c r="C139" s="16" t="s">
        <v>14317</v>
      </c>
      <c r="D139" s="28" t="s">
        <v>14318</v>
      </c>
    </row>
    <row r="140" spans="1:4">
      <c r="A140" s="16">
        <v>50019</v>
      </c>
      <c r="B140" s="16" t="s">
        <v>14112</v>
      </c>
      <c r="C140" s="16" t="s">
        <v>14319</v>
      </c>
      <c r="D140" s="28" t="s">
        <v>14320</v>
      </c>
    </row>
    <row r="141" spans="1:4">
      <c r="A141" s="16">
        <v>50020</v>
      </c>
      <c r="B141" s="16" t="s">
        <v>14112</v>
      </c>
      <c r="C141" s="16" t="s">
        <v>14321</v>
      </c>
      <c r="D141" s="28" t="s">
        <v>14322</v>
      </c>
    </row>
    <row r="142" spans="1:4">
      <c r="A142" s="16">
        <v>50022</v>
      </c>
      <c r="B142" s="16" t="s">
        <v>14112</v>
      </c>
      <c r="C142" s="16" t="s">
        <v>14323</v>
      </c>
      <c r="D142" s="28" t="s">
        <v>14324</v>
      </c>
    </row>
    <row r="143" spans="1:4">
      <c r="A143" s="16">
        <v>50025</v>
      </c>
      <c r="B143" s="16" t="s">
        <v>14115</v>
      </c>
      <c r="C143" s="16" t="s">
        <v>10346</v>
      </c>
      <c r="D143" s="28" t="s">
        <v>14325</v>
      </c>
    </row>
    <row r="144" spans="1:4">
      <c r="A144" s="16">
        <v>50026</v>
      </c>
      <c r="B144" s="16" t="s">
        <v>14115</v>
      </c>
      <c r="C144" s="16" t="s">
        <v>14326</v>
      </c>
      <c r="D144" s="28" t="s">
        <v>14327</v>
      </c>
    </row>
    <row r="145" spans="1:4">
      <c r="A145" s="16">
        <v>50027</v>
      </c>
      <c r="B145" s="16" t="s">
        <v>14115</v>
      </c>
      <c r="C145" s="16" t="s">
        <v>14328</v>
      </c>
      <c r="D145" s="28" t="s">
        <v>14329</v>
      </c>
    </row>
    <row r="146" spans="1:4">
      <c r="A146" s="16">
        <v>50030</v>
      </c>
      <c r="B146" s="16" t="s">
        <v>14112</v>
      </c>
      <c r="C146" s="16" t="s">
        <v>14330</v>
      </c>
      <c r="D146" s="28" t="s">
        <v>14331</v>
      </c>
    </row>
    <row r="147" spans="1:4">
      <c r="A147" s="16">
        <v>50031</v>
      </c>
      <c r="B147" s="16" t="s">
        <v>14112</v>
      </c>
      <c r="C147" s="16" t="s">
        <v>14332</v>
      </c>
      <c r="D147" s="28" t="s">
        <v>14333</v>
      </c>
    </row>
    <row r="148" spans="1:4">
      <c r="A148" s="16">
        <v>50032</v>
      </c>
      <c r="B148" s="16" t="s">
        <v>14112</v>
      </c>
      <c r="C148" s="16" t="s">
        <v>14334</v>
      </c>
      <c r="D148" s="28" t="s">
        <v>14335</v>
      </c>
    </row>
    <row r="149" spans="1:4">
      <c r="A149" s="16">
        <v>50033</v>
      </c>
      <c r="B149" s="16" t="s">
        <v>14112</v>
      </c>
      <c r="C149" s="16" t="s">
        <v>14336</v>
      </c>
      <c r="D149" s="28" t="s">
        <v>14337</v>
      </c>
    </row>
    <row r="150" spans="1:4">
      <c r="A150" s="16">
        <v>51001</v>
      </c>
      <c r="B150" s="16" t="s">
        <v>14112</v>
      </c>
      <c r="C150" s="16" t="s">
        <v>14338</v>
      </c>
      <c r="D150" s="28" t="s">
        <v>14339</v>
      </c>
    </row>
    <row r="151" spans="1:4">
      <c r="A151" s="16">
        <v>52001</v>
      </c>
      <c r="B151" s="16" t="s">
        <v>14162</v>
      </c>
      <c r="C151" s="16" t="s">
        <v>14340</v>
      </c>
      <c r="D151" s="28" t="s">
        <v>14341</v>
      </c>
    </row>
    <row r="152" spans="1:4">
      <c r="A152" s="16">
        <v>52002</v>
      </c>
      <c r="B152" s="16" t="s">
        <v>14162</v>
      </c>
      <c r="C152" s="16" t="s">
        <v>14342</v>
      </c>
      <c r="D152" s="28" t="s">
        <v>14343</v>
      </c>
    </row>
    <row r="153" spans="1:4">
      <c r="A153" s="16">
        <v>52003</v>
      </c>
      <c r="B153" s="16" t="s">
        <v>14162</v>
      </c>
      <c r="C153" s="16" t="s">
        <v>14344</v>
      </c>
      <c r="D153" s="28" t="s">
        <v>14345</v>
      </c>
    </row>
    <row r="154" spans="1:4">
      <c r="A154" s="16">
        <v>52004</v>
      </c>
      <c r="B154" s="16" t="s">
        <v>14162</v>
      </c>
      <c r="C154" s="16" t="s">
        <v>14346</v>
      </c>
      <c r="D154" s="28" t="s">
        <v>14347</v>
      </c>
    </row>
    <row r="155" spans="1:4">
      <c r="A155" s="16">
        <v>401005</v>
      </c>
      <c r="B155" s="16" t="s">
        <v>14097</v>
      </c>
      <c r="C155" s="16" t="s">
        <v>14348</v>
      </c>
      <c r="D155" s="28" t="s">
        <v>14349</v>
      </c>
    </row>
    <row r="156" spans="1:4">
      <c r="A156" s="16">
        <v>402001</v>
      </c>
      <c r="B156" s="16" t="s">
        <v>14097</v>
      </c>
      <c r="C156" s="16" t="s">
        <v>14350</v>
      </c>
      <c r="D156" s="28" t="s">
        <v>14351</v>
      </c>
    </row>
    <row r="157" spans="1:4">
      <c r="A157" s="16">
        <v>500002</v>
      </c>
      <c r="B157" s="16" t="s">
        <v>14115</v>
      </c>
      <c r="C157" s="16" t="s">
        <v>14352</v>
      </c>
      <c r="D157" s="28" t="s">
        <v>14353</v>
      </c>
    </row>
    <row r="158" spans="1:4">
      <c r="A158" s="16">
        <v>500006</v>
      </c>
      <c r="B158" s="16" t="s">
        <v>14115</v>
      </c>
      <c r="C158" s="16" t="s">
        <v>14354</v>
      </c>
      <c r="D158" s="28" t="s">
        <v>14355</v>
      </c>
    </row>
    <row r="159" spans="1:4">
      <c r="A159" s="16">
        <v>500008</v>
      </c>
      <c r="B159" s="16" t="s">
        <v>14115</v>
      </c>
      <c r="C159" s="16" t="s">
        <v>14356</v>
      </c>
      <c r="D159" s="28" t="s">
        <v>14357</v>
      </c>
    </row>
    <row r="160" spans="1:4">
      <c r="A160" s="16">
        <v>500039</v>
      </c>
      <c r="B160" s="16" t="s">
        <v>14115</v>
      </c>
      <c r="C160" s="16" t="s">
        <v>14358</v>
      </c>
      <c r="D160" s="28" t="s">
        <v>14359</v>
      </c>
    </row>
    <row r="161" spans="1:4">
      <c r="A161" s="16">
        <v>500046</v>
      </c>
      <c r="B161" s="16" t="s">
        <v>14115</v>
      </c>
      <c r="C161" s="16" t="s">
        <v>14360</v>
      </c>
      <c r="D161" s="28" t="s">
        <v>14361</v>
      </c>
    </row>
    <row r="162" spans="1:4">
      <c r="A162" s="16">
        <v>700001</v>
      </c>
      <c r="B162" s="16" t="s">
        <v>14048</v>
      </c>
      <c r="C162" s="16" t="s">
        <v>14362</v>
      </c>
      <c r="D162" s="28" t="s">
        <v>14363</v>
      </c>
    </row>
    <row r="163" spans="1:4">
      <c r="A163" s="16">
        <v>700004</v>
      </c>
      <c r="B163" s="16" t="s">
        <v>14048</v>
      </c>
      <c r="C163" s="16" t="s">
        <v>14364</v>
      </c>
      <c r="D163" s="28" t="s">
        <v>14365</v>
      </c>
    </row>
    <row r="164" spans="1:4">
      <c r="A164" s="16">
        <v>700007</v>
      </c>
      <c r="B164" s="16" t="s">
        <v>14048</v>
      </c>
      <c r="C164" s="16" t="s">
        <v>14366</v>
      </c>
      <c r="D164" s="28" t="s">
        <v>14367</v>
      </c>
    </row>
    <row r="165" spans="1:4">
      <c r="A165" s="16">
        <v>700010</v>
      </c>
      <c r="B165" s="16" t="s">
        <v>14048</v>
      </c>
      <c r="C165" s="16" t="s">
        <v>14368</v>
      </c>
      <c r="D165" s="28" t="s">
        <v>14369</v>
      </c>
    </row>
    <row r="166" spans="1:4">
      <c r="A166" s="16">
        <v>700013</v>
      </c>
      <c r="B166" s="16" t="s">
        <v>14048</v>
      </c>
      <c r="C166" s="16" t="s">
        <v>14370</v>
      </c>
      <c r="D166" s="28" t="s">
        <v>14371</v>
      </c>
    </row>
    <row r="167" spans="1:4">
      <c r="A167" s="16">
        <v>700016</v>
      </c>
      <c r="B167" s="16" t="s">
        <v>14048</v>
      </c>
      <c r="C167" s="16" t="s">
        <v>14372</v>
      </c>
      <c r="D167" s="28" t="s">
        <v>14373</v>
      </c>
    </row>
    <row r="168" spans="1:4">
      <c r="A168" s="16">
        <v>700019</v>
      </c>
      <c r="B168" s="16" t="s">
        <v>14048</v>
      </c>
      <c r="C168" s="16" t="s">
        <v>14374</v>
      </c>
      <c r="D168" s="28" t="s">
        <v>14375</v>
      </c>
    </row>
    <row r="169" spans="1:4">
      <c r="A169" s="16">
        <v>700022</v>
      </c>
      <c r="B169" s="16" t="s">
        <v>14048</v>
      </c>
      <c r="C169" s="16" t="s">
        <v>14376</v>
      </c>
      <c r="D169" s="28" t="s">
        <v>14377</v>
      </c>
    </row>
    <row r="170" spans="1:4">
      <c r="A170" s="16">
        <v>700025</v>
      </c>
      <c r="B170" s="16" t="s">
        <v>14048</v>
      </c>
      <c r="C170" s="16" t="s">
        <v>14378</v>
      </c>
      <c r="D170" s="28" t="s">
        <v>14379</v>
      </c>
    </row>
    <row r="171" spans="1:4">
      <c r="A171" s="16">
        <v>700031</v>
      </c>
      <c r="B171" s="16" t="s">
        <v>14097</v>
      </c>
      <c r="C171" s="16" t="s">
        <v>14380</v>
      </c>
      <c r="D171" s="28" t="s">
        <v>14381</v>
      </c>
    </row>
    <row r="172" spans="1:4">
      <c r="A172" s="16">
        <v>700033</v>
      </c>
      <c r="B172" s="16" t="s">
        <v>14097</v>
      </c>
      <c r="C172" s="16" t="s">
        <v>14382</v>
      </c>
      <c r="D172" s="28" t="s">
        <v>14383</v>
      </c>
    </row>
    <row r="173" spans="1:4">
      <c r="A173" s="16">
        <v>700035</v>
      </c>
      <c r="B173" s="16" t="s">
        <v>14097</v>
      </c>
      <c r="C173" s="16" t="s">
        <v>14384</v>
      </c>
      <c r="D173" s="28" t="s">
        <v>14385</v>
      </c>
    </row>
    <row r="174" spans="1:4">
      <c r="A174" s="16">
        <v>700037</v>
      </c>
      <c r="B174" s="16" t="s">
        <v>14097</v>
      </c>
      <c r="C174" s="16" t="s">
        <v>14386</v>
      </c>
      <c r="D174" s="28" t="s">
        <v>14387</v>
      </c>
    </row>
    <row r="175" spans="1:4">
      <c r="A175" s="16">
        <v>700039</v>
      </c>
      <c r="B175" s="16" t="s">
        <v>14097</v>
      </c>
      <c r="C175" s="16" t="s">
        <v>14388</v>
      </c>
      <c r="D175" s="28" t="s">
        <v>14389</v>
      </c>
    </row>
    <row r="176" spans="1:4">
      <c r="A176" s="16">
        <v>700041</v>
      </c>
      <c r="B176" s="16" t="s">
        <v>14097</v>
      </c>
      <c r="C176" s="16" t="s">
        <v>14390</v>
      </c>
      <c r="D176" s="28" t="s">
        <v>14391</v>
      </c>
    </row>
    <row r="177" spans="1:4">
      <c r="A177" s="16">
        <v>700043</v>
      </c>
      <c r="B177" s="16" t="s">
        <v>14097</v>
      </c>
      <c r="C177" s="16" t="s">
        <v>14392</v>
      </c>
      <c r="D177" s="28" t="s">
        <v>14393</v>
      </c>
    </row>
    <row r="178" spans="1:4">
      <c r="A178" s="16">
        <v>700044</v>
      </c>
      <c r="B178" s="16" t="s">
        <v>14115</v>
      </c>
      <c r="C178" s="16" t="s">
        <v>14394</v>
      </c>
      <c r="D178" s="28" t="s">
        <v>14395</v>
      </c>
    </row>
    <row r="179" spans="1:4">
      <c r="A179" s="16">
        <v>700054</v>
      </c>
      <c r="B179" s="16" t="s">
        <v>14115</v>
      </c>
      <c r="C179" s="16" t="s">
        <v>14396</v>
      </c>
      <c r="D179" s="28" t="s">
        <v>14397</v>
      </c>
    </row>
    <row r="180" spans="1:4">
      <c r="A180" s="16">
        <v>700056</v>
      </c>
      <c r="B180" s="16" t="s">
        <v>14115</v>
      </c>
      <c r="C180" s="16" t="s">
        <v>14398</v>
      </c>
      <c r="D180" s="28" t="s">
        <v>14399</v>
      </c>
    </row>
    <row r="181" spans="1:4">
      <c r="A181" s="16">
        <v>700058</v>
      </c>
      <c r="B181" s="16" t="s">
        <v>14115</v>
      </c>
      <c r="C181" s="16" t="s">
        <v>14400</v>
      </c>
      <c r="D181" s="28" t="s">
        <v>14401</v>
      </c>
    </row>
    <row r="182" spans="1:4">
      <c r="A182" s="16">
        <v>700062</v>
      </c>
      <c r="B182" s="16" t="s">
        <v>14097</v>
      </c>
      <c r="C182" s="16" t="s">
        <v>14402</v>
      </c>
      <c r="D182" s="28" t="s">
        <v>14403</v>
      </c>
    </row>
    <row r="183" spans="1:4">
      <c r="A183" s="16">
        <v>700063</v>
      </c>
      <c r="B183" s="16" t="s">
        <v>14097</v>
      </c>
      <c r="C183" s="16" t="s">
        <v>14404</v>
      </c>
      <c r="D183" s="28" t="s">
        <v>14405</v>
      </c>
    </row>
    <row r="184" spans="1:4">
      <c r="A184" s="16">
        <v>700064</v>
      </c>
      <c r="B184" s="16" t="s">
        <v>14097</v>
      </c>
      <c r="C184" s="16" t="s">
        <v>14406</v>
      </c>
      <c r="D184" s="28" t="s">
        <v>14407</v>
      </c>
    </row>
    <row r="185" spans="1:4">
      <c r="A185" s="16">
        <v>700065</v>
      </c>
      <c r="B185" s="16" t="s">
        <v>14097</v>
      </c>
      <c r="C185" s="16" t="s">
        <v>14408</v>
      </c>
      <c r="D185" s="28" t="s">
        <v>14409</v>
      </c>
    </row>
    <row r="186" spans="1:4">
      <c r="A186" s="16">
        <v>700066</v>
      </c>
      <c r="B186" s="16" t="s">
        <v>14097</v>
      </c>
      <c r="C186" s="16" t="s">
        <v>14410</v>
      </c>
      <c r="D186" s="28" t="s">
        <v>14411</v>
      </c>
    </row>
    <row r="187" spans="1:4">
      <c r="A187" s="16">
        <v>700068</v>
      </c>
      <c r="B187" s="16" t="s">
        <v>14097</v>
      </c>
      <c r="C187" s="16" t="s">
        <v>7448</v>
      </c>
      <c r="D187" s="28" t="s">
        <v>14412</v>
      </c>
    </row>
    <row r="188" spans="1:4">
      <c r="A188" s="16">
        <v>700069</v>
      </c>
      <c r="B188" s="16" t="s">
        <v>14097</v>
      </c>
      <c r="C188" s="16" t="s">
        <v>14413</v>
      </c>
      <c r="D188" s="28" t="s">
        <v>14414</v>
      </c>
    </row>
    <row r="189" spans="1:4">
      <c r="A189" s="16">
        <v>700070</v>
      </c>
      <c r="B189" s="16" t="s">
        <v>14097</v>
      </c>
      <c r="C189" s="16" t="s">
        <v>14415</v>
      </c>
      <c r="D189" s="28" t="s">
        <v>14416</v>
      </c>
    </row>
    <row r="190" spans="1:4">
      <c r="A190" s="16">
        <v>700071</v>
      </c>
      <c r="B190" s="16" t="s">
        <v>14115</v>
      </c>
      <c r="C190" s="16" t="s">
        <v>14417</v>
      </c>
      <c r="D190" s="28" t="s">
        <v>14418</v>
      </c>
    </row>
    <row r="191" spans="1:4">
      <c r="A191" s="16">
        <v>700073</v>
      </c>
      <c r="B191" s="16" t="s">
        <v>14115</v>
      </c>
      <c r="C191" s="16" t="s">
        <v>14419</v>
      </c>
      <c r="D191" s="28" t="s">
        <v>14420</v>
      </c>
    </row>
    <row r="192" spans="1:4">
      <c r="A192" s="16">
        <v>700075</v>
      </c>
      <c r="B192" s="16" t="s">
        <v>14048</v>
      </c>
      <c r="C192" s="16" t="s">
        <v>14421</v>
      </c>
      <c r="D192" s="28" t="s">
        <v>14422</v>
      </c>
    </row>
    <row r="193" spans="1:4">
      <c r="A193" s="16">
        <v>700078</v>
      </c>
      <c r="B193" s="16" t="s">
        <v>14048</v>
      </c>
      <c r="C193" s="16" t="s">
        <v>14423</v>
      </c>
      <c r="D193" s="28" t="s">
        <v>14424</v>
      </c>
    </row>
    <row r="194" spans="1:4">
      <c r="A194" s="16">
        <v>700081</v>
      </c>
      <c r="B194" s="16" t="s">
        <v>14120</v>
      </c>
      <c r="C194" s="16" t="s">
        <v>14123</v>
      </c>
      <c r="D194" s="28" t="s">
        <v>14425</v>
      </c>
    </row>
    <row r="195" spans="1:4">
      <c r="A195" s="16">
        <v>700082</v>
      </c>
      <c r="B195" s="16" t="s">
        <v>14120</v>
      </c>
      <c r="C195" s="16" t="s">
        <v>14426</v>
      </c>
      <c r="D195" s="28" t="s">
        <v>14427</v>
      </c>
    </row>
    <row r="196" spans="1:4">
      <c r="A196" s="16">
        <v>700083</v>
      </c>
      <c r="B196" s="16" t="s">
        <v>14120</v>
      </c>
      <c r="C196" s="16" t="s">
        <v>14428</v>
      </c>
      <c r="D196" s="28" t="s">
        <v>14429</v>
      </c>
    </row>
    <row r="197" spans="1:4">
      <c r="A197" s="16">
        <v>700084</v>
      </c>
      <c r="B197" s="16" t="s">
        <v>14097</v>
      </c>
      <c r="C197" s="16" t="s">
        <v>14430</v>
      </c>
      <c r="D197" s="28" t="s">
        <v>14431</v>
      </c>
    </row>
    <row r="198" spans="1:4">
      <c r="A198" s="16">
        <v>700085</v>
      </c>
      <c r="B198" s="16" t="s">
        <v>14097</v>
      </c>
      <c r="C198" s="16" t="s">
        <v>14432</v>
      </c>
      <c r="D198" s="28" t="s">
        <v>14433</v>
      </c>
    </row>
    <row r="199" spans="1:4">
      <c r="A199" s="16">
        <v>700086</v>
      </c>
      <c r="B199" s="16" t="s">
        <v>14097</v>
      </c>
      <c r="C199" s="16" t="s">
        <v>14434</v>
      </c>
      <c r="D199" s="28" t="s">
        <v>14435</v>
      </c>
    </row>
    <row r="200" spans="1:4">
      <c r="A200" s="16">
        <v>700087</v>
      </c>
      <c r="B200" s="16" t="s">
        <v>14097</v>
      </c>
      <c r="C200" s="16" t="s">
        <v>14436</v>
      </c>
      <c r="D200" s="28" t="s">
        <v>14437</v>
      </c>
    </row>
    <row r="201" spans="1:4">
      <c r="A201" s="16">
        <v>700088</v>
      </c>
      <c r="B201" s="16" t="s">
        <v>14097</v>
      </c>
      <c r="C201" s="16" t="s">
        <v>14438</v>
      </c>
      <c r="D201" s="28" t="s">
        <v>14439</v>
      </c>
    </row>
    <row r="202" spans="1:4">
      <c r="A202" s="16">
        <v>700101</v>
      </c>
      <c r="B202" s="16" t="s">
        <v>14120</v>
      </c>
      <c r="C202" s="16" t="s">
        <v>14100</v>
      </c>
      <c r="D202" s="28" t="s">
        <v>14440</v>
      </c>
    </row>
    <row r="203" spans="1:4">
      <c r="A203" s="16">
        <v>700102</v>
      </c>
      <c r="B203" s="16" t="s">
        <v>14120</v>
      </c>
      <c r="C203" s="16" t="s">
        <v>14441</v>
      </c>
      <c r="D203" s="28" t="s">
        <v>14442</v>
      </c>
    </row>
    <row r="204" spans="1:4">
      <c r="A204" s="16">
        <v>700103</v>
      </c>
      <c r="B204" s="16" t="s">
        <v>14120</v>
      </c>
      <c r="C204" s="16" t="s">
        <v>14443</v>
      </c>
      <c r="D204" s="28" t="s">
        <v>14444</v>
      </c>
    </row>
    <row r="205" spans="1:4">
      <c r="A205" s="16">
        <v>700104</v>
      </c>
      <c r="B205" s="16" t="s">
        <v>14115</v>
      </c>
      <c r="C205" s="16" t="s">
        <v>14445</v>
      </c>
      <c r="D205" s="28" t="s">
        <v>14446</v>
      </c>
    </row>
    <row r="206" spans="1:4">
      <c r="A206" s="16">
        <v>700105</v>
      </c>
      <c r="B206" s="16" t="s">
        <v>14115</v>
      </c>
      <c r="C206" s="16" t="s">
        <v>14447</v>
      </c>
      <c r="D206" s="28" t="s">
        <v>14448</v>
      </c>
    </row>
    <row r="207" spans="1:4">
      <c r="A207" s="16">
        <v>700106</v>
      </c>
      <c r="B207" s="16" t="s">
        <v>14115</v>
      </c>
      <c r="C207" s="16" t="s">
        <v>14449</v>
      </c>
      <c r="D207" s="28" t="s">
        <v>14450</v>
      </c>
    </row>
    <row r="208" spans="1:4">
      <c r="A208" s="16">
        <v>700110</v>
      </c>
      <c r="B208" s="16" t="s">
        <v>14120</v>
      </c>
      <c r="C208" s="16" t="s">
        <v>14451</v>
      </c>
      <c r="D208" s="28" t="s">
        <v>14452</v>
      </c>
    </row>
    <row r="209" spans="1:4">
      <c r="A209" s="16">
        <v>700111</v>
      </c>
      <c r="B209" s="16" t="s">
        <v>14120</v>
      </c>
      <c r="C209" s="16" t="s">
        <v>14453</v>
      </c>
      <c r="D209" s="28" t="s">
        <v>14452</v>
      </c>
    </row>
    <row r="210" spans="1:4">
      <c r="A210" s="16">
        <v>700112</v>
      </c>
      <c r="B210" s="16" t="s">
        <v>14120</v>
      </c>
      <c r="C210" s="16" t="s">
        <v>14454</v>
      </c>
      <c r="D210" s="28" t="s">
        <v>14452</v>
      </c>
    </row>
    <row r="211" spans="1:4">
      <c r="A211" s="16">
        <v>700113</v>
      </c>
      <c r="B211" s="16" t="s">
        <v>14120</v>
      </c>
      <c r="C211" s="16" t="s">
        <v>14455</v>
      </c>
      <c r="D211" s="28" t="s">
        <v>14456</v>
      </c>
    </row>
    <row r="212" spans="1:4">
      <c r="A212" s="16">
        <v>700114</v>
      </c>
      <c r="B212" s="16" t="s">
        <v>14120</v>
      </c>
      <c r="C212" s="16" t="s">
        <v>14457</v>
      </c>
      <c r="D212" s="28" t="s">
        <v>14458</v>
      </c>
    </row>
    <row r="213" spans="1:4">
      <c r="A213" s="16">
        <v>700115</v>
      </c>
      <c r="B213" s="16" t="s">
        <v>14120</v>
      </c>
      <c r="C213" s="16" t="s">
        <v>14459</v>
      </c>
      <c r="D213" s="28" t="s">
        <v>14460</v>
      </c>
    </row>
    <row r="214" spans="1:4">
      <c r="A214" s="16">
        <v>700116</v>
      </c>
      <c r="B214" s="16" t="s">
        <v>14097</v>
      </c>
      <c r="C214" s="16" t="s">
        <v>14461</v>
      </c>
      <c r="D214" s="28" t="s">
        <v>14462</v>
      </c>
    </row>
    <row r="215" spans="1:4">
      <c r="A215" s="16">
        <v>700117</v>
      </c>
      <c r="B215" s="16" t="s">
        <v>14097</v>
      </c>
      <c r="C215" s="16" t="s">
        <v>14463</v>
      </c>
      <c r="D215" s="28" t="s">
        <v>14464</v>
      </c>
    </row>
    <row r="216" spans="1:4">
      <c r="A216" s="16">
        <v>700118</v>
      </c>
      <c r="B216" s="16" t="s">
        <v>14097</v>
      </c>
      <c r="C216" s="16" t="s">
        <v>14465</v>
      </c>
      <c r="D216" s="28" t="s">
        <v>14466</v>
      </c>
    </row>
    <row r="217" spans="1:4">
      <c r="A217" s="16">
        <v>700119</v>
      </c>
      <c r="B217" s="16" t="s">
        <v>14097</v>
      </c>
      <c r="C217" s="16" t="s">
        <v>14467</v>
      </c>
      <c r="D217" s="28" t="s">
        <v>14468</v>
      </c>
    </row>
    <row r="218" spans="1:4">
      <c r="A218" s="16">
        <v>20000001</v>
      </c>
      <c r="B218" s="16" t="s">
        <v>14064</v>
      </c>
      <c r="C218" s="16" t="s">
        <v>14469</v>
      </c>
      <c r="D218" s="28" t="s">
        <v>14470</v>
      </c>
    </row>
    <row r="219" spans="1:4">
      <c r="A219" s="16">
        <v>20000002</v>
      </c>
      <c r="B219" s="16" t="s">
        <v>14064</v>
      </c>
      <c r="C219" s="16" t="s">
        <v>14471</v>
      </c>
      <c r="D219" s="28" t="s">
        <v>14472</v>
      </c>
    </row>
    <row r="220" spans="1:4">
      <c r="A220" s="16">
        <v>20000003</v>
      </c>
      <c r="B220" s="16" t="s">
        <v>14064</v>
      </c>
      <c r="C220" s="16" t="s">
        <v>14473</v>
      </c>
      <c r="D220" s="28" t="s">
        <v>14474</v>
      </c>
    </row>
    <row r="221" spans="1:4">
      <c r="A221" s="16">
        <v>20000004</v>
      </c>
      <c r="B221" s="16" t="s">
        <v>14064</v>
      </c>
      <c r="C221" s="16" t="s">
        <v>14475</v>
      </c>
      <c r="D221" s="28" t="s">
        <v>14476</v>
      </c>
    </row>
    <row r="222" spans="1:4">
      <c r="A222" s="16">
        <v>20000005</v>
      </c>
      <c r="B222" s="16" t="s">
        <v>14064</v>
      </c>
      <c r="C222" s="16" t="s">
        <v>14477</v>
      </c>
      <c r="D222" s="28" t="s">
        <v>14478</v>
      </c>
    </row>
    <row r="223" spans="1:4">
      <c r="A223" s="16">
        <v>20000006</v>
      </c>
      <c r="B223" s="16" t="s">
        <v>14064</v>
      </c>
      <c r="C223" s="16" t="s">
        <v>14479</v>
      </c>
      <c r="D223" s="28" t="s">
        <v>14480</v>
      </c>
    </row>
    <row r="224" spans="1:4">
      <c r="A224" s="16">
        <v>20000007</v>
      </c>
      <c r="B224" s="16" t="s">
        <v>14064</v>
      </c>
      <c r="C224" s="16" t="s">
        <v>14481</v>
      </c>
      <c r="D224" s="28" t="s">
        <v>14482</v>
      </c>
    </row>
    <row r="225" spans="1:4">
      <c r="A225" s="16">
        <v>20000008</v>
      </c>
      <c r="B225" s="16" t="s">
        <v>14064</v>
      </c>
      <c r="C225" s="16" t="s">
        <v>14483</v>
      </c>
      <c r="D225" s="28" t="s">
        <v>14484</v>
      </c>
    </row>
    <row r="226" spans="1:4">
      <c r="A226" s="16">
        <v>20000009</v>
      </c>
      <c r="B226" s="16" t="s">
        <v>14064</v>
      </c>
      <c r="C226" s="16" t="s">
        <v>14485</v>
      </c>
      <c r="D226" s="28" t="s">
        <v>14486</v>
      </c>
    </row>
    <row r="227" spans="1:4">
      <c r="A227" s="16">
        <v>20000010</v>
      </c>
      <c r="B227" s="16" t="s">
        <v>14064</v>
      </c>
      <c r="C227" s="16" t="s">
        <v>14487</v>
      </c>
      <c r="D227" s="28" t="s">
        <v>14488</v>
      </c>
    </row>
    <row r="228" spans="1:4">
      <c r="A228" s="16">
        <v>30000010</v>
      </c>
      <c r="B228" s="16" t="s">
        <v>14048</v>
      </c>
      <c r="C228" s="16" t="s">
        <v>14489</v>
      </c>
      <c r="D228" s="28" t="s">
        <v>14490</v>
      </c>
    </row>
    <row r="229" spans="1:4">
      <c r="A229" s="16">
        <v>30000013</v>
      </c>
      <c r="B229" s="16" t="s">
        <v>14048</v>
      </c>
      <c r="C229" s="16" t="s">
        <v>14491</v>
      </c>
      <c r="D229" s="28" t="s">
        <v>14492</v>
      </c>
    </row>
    <row r="230" spans="1:4">
      <c r="A230" s="16">
        <v>30000016</v>
      </c>
      <c r="B230" s="16" t="s">
        <v>14048</v>
      </c>
      <c r="C230" s="16" t="s">
        <v>14493</v>
      </c>
      <c r="D230" s="28" t="s">
        <v>14494</v>
      </c>
    </row>
    <row r="231" spans="1:4">
      <c r="A231" s="16">
        <v>30000020</v>
      </c>
      <c r="B231" s="16" t="s">
        <v>14048</v>
      </c>
      <c r="C231" s="16" t="s">
        <v>14495</v>
      </c>
      <c r="D231" s="28" t="s">
        <v>14496</v>
      </c>
    </row>
    <row r="232" spans="1:4">
      <c r="A232" s="16">
        <v>30100002</v>
      </c>
      <c r="B232" s="16" t="s">
        <v>14115</v>
      </c>
      <c r="C232" s="16" t="s">
        <v>14497</v>
      </c>
      <c r="D232" s="28" t="s">
        <v>14498</v>
      </c>
    </row>
    <row r="233" spans="1:4">
      <c r="A233" s="16">
        <v>40200001</v>
      </c>
      <c r="B233" s="16" t="s">
        <v>14097</v>
      </c>
      <c r="C233" s="16" t="s">
        <v>14499</v>
      </c>
      <c r="D233" s="28" t="s">
        <v>14500</v>
      </c>
    </row>
    <row r="234" spans="1:4">
      <c r="A234" s="16">
        <v>70200001</v>
      </c>
      <c r="B234" s="16" t="s">
        <v>14112</v>
      </c>
      <c r="C234" s="16" t="s">
        <v>14501</v>
      </c>
      <c r="D234" s="28" t="s">
        <v>14502</v>
      </c>
    </row>
    <row r="235" spans="1:4">
      <c r="A235" s="16">
        <v>70300001</v>
      </c>
      <c r="B235" s="16" t="s">
        <v>14112</v>
      </c>
      <c r="C235" s="16" t="s">
        <v>14503</v>
      </c>
      <c r="D235" s="28" t="s">
        <v>14504</v>
      </c>
    </row>
    <row r="236" spans="1:4">
      <c r="A236" s="16">
        <v>70300002</v>
      </c>
      <c r="B236" s="16" t="s">
        <v>14112</v>
      </c>
      <c r="C236" s="16" t="s">
        <v>14505</v>
      </c>
      <c r="D236" s="28" t="s">
        <v>14506</v>
      </c>
    </row>
    <row r="237" spans="1:4">
      <c r="A237" s="16">
        <v>70300003</v>
      </c>
      <c r="B237" s="16" t="s">
        <v>14112</v>
      </c>
      <c r="C237" s="16" t="s">
        <v>14507</v>
      </c>
      <c r="D237" s="28" t="s">
        <v>14508</v>
      </c>
    </row>
    <row r="238" spans="1:4">
      <c r="A238" s="16">
        <v>70300004</v>
      </c>
      <c r="B238" s="16" t="s">
        <v>14120</v>
      </c>
      <c r="C238" s="16" t="s">
        <v>4704</v>
      </c>
      <c r="D238" s="28" t="s">
        <v>14509</v>
      </c>
    </row>
    <row r="239" spans="1:4">
      <c r="A239" s="16">
        <v>70400003</v>
      </c>
      <c r="B239" s="16" t="s">
        <v>14112</v>
      </c>
      <c r="C239" s="16" t="s">
        <v>7978</v>
      </c>
      <c r="D239" s="28" t="s">
        <v>14510</v>
      </c>
    </row>
    <row r="240" spans="1:4">
      <c r="A240" s="16">
        <v>70400004</v>
      </c>
      <c r="B240" s="16" t="s">
        <v>14112</v>
      </c>
      <c r="C240" s="16" t="s">
        <v>14511</v>
      </c>
      <c r="D240" s="28" t="s">
        <v>14512</v>
      </c>
    </row>
    <row r="241" spans="1:4">
      <c r="A241" s="16">
        <v>90010000</v>
      </c>
      <c r="B241" s="16" t="s">
        <v>14162</v>
      </c>
      <c r="C241" s="16" t="s">
        <v>14513</v>
      </c>
      <c r="D241" s="28" t="s">
        <v>14514</v>
      </c>
    </row>
    <row r="242" spans="1:4">
      <c r="A242" s="16">
        <v>90110000</v>
      </c>
      <c r="B242" s="16" t="s">
        <v>14162</v>
      </c>
      <c r="C242" s="16" t="s">
        <v>14515</v>
      </c>
      <c r="D242" s="28" t="s">
        <v>14516</v>
      </c>
    </row>
  </sheetData>
</worksheet>
</file>

<file path=xl/worksheets/sheet25.xml><?xml version="1.0" encoding="utf-8"?>
<worksheet xmlns="http://schemas.openxmlformats.org/spreadsheetml/2006/main">
  <sheetPr codeName="关于打断与抗打断">
    <tabColor/>
  </sheetPr>
  <dimension ref="E203"/>
  <sheetViews>
    <sheetView showGridLines="1" workbookViewId="0">
      <pane ySplit="1" topLeftCell="A2" state="frozen"/>
    </sheetView>
  </sheetViews>
  <sheetFormatPr baseColWidth="13" defaultRowHeight="18" customHeight="1"/>
  <cols>
    <col min="1" max="1" width="18.0742" style="16" customWidth="1"/>
    <col min="2" max="2" width="9.30078" style="16" customWidth="1"/>
    <col min="3" max="3" width="38.0312" style="16" customWidth="1"/>
    <col min="4" max="4" width="21.8516" style="16" customWidth="1"/>
    <col min="5" max="5" width="9.30078" style="42" customWidth="1"/>
    <col min="6" max="6" width="77.0234" style="16" customWidth="1"/>
    <col min="7" max="26" width="13.6719" style="16"/>
  </cols>
  <sheetData>
    <row r="1" spans="1:6">
      <c r="A1" s="16" t="s">
        <v>14517</v>
      </c>
      <c r="B1" s="16" t="s">
        <v>14518</v>
      </c>
      <c r="C1" s="16" t="s">
        <v>14519</v>
      </c>
      <c r="D1" s="16" t="s">
        <v>14520</v>
      </c>
      <c r="E1" s="31" t="s">
        <v>14521</v>
      </c>
      <c r="F1" s="16" t="s">
        <v>1973</v>
      </c>
    </row>
    <row r="2" spans="1:6">
      <c r="A2" s="16" t="s">
        <v>14522</v>
      </c>
      <c r="B2" s="16" t="s">
        <v>14522</v>
      </c>
      <c r="C2" s="16" t="s">
        <v>14523</v>
      </c>
      <c r="D2" s="16" t="s">
        <v>14524</v>
      </c>
      <c r="E2" s="31">
        <v>99</v>
      </c>
      <c r="F2" s="16" t="s">
        <v>14525</v>
      </c>
    </row>
    <row r="3" spans="1:6">
      <c r="A3" s="16" t="s">
        <v>164</v>
      </c>
      <c r="B3" s="16" t="s">
        <v>45</v>
      </c>
      <c r="C3" s="16" t="s">
        <v>14526</v>
      </c>
      <c r="D3" s="16" t="s">
        <v>14524</v>
      </c>
      <c r="E3" s="31">
        <v>6</v>
      </c>
      <c r="F3" s="16" t="s">
        <v>14527</v>
      </c>
    </row>
    <row r="4" spans="1:6">
      <c r="A4" s="16" t="s">
        <v>164</v>
      </c>
      <c r="B4" s="16" t="s">
        <v>14528</v>
      </c>
      <c r="C4" s="16" t="s">
        <v>14529</v>
      </c>
      <c r="D4" s="16" t="s">
        <v>14524</v>
      </c>
      <c r="E4" s="31">
        <v>99</v>
      </c>
      <c r="F4" s="16" t="s">
        <v>14530</v>
      </c>
    </row>
    <row r="5" spans="1:6">
      <c r="A5" s="16" t="s">
        <v>14531</v>
      </c>
      <c r="B5" s="16" t="s">
        <v>45</v>
      </c>
      <c r="C5" s="16" t="s">
        <v>14532</v>
      </c>
      <c r="D5" s="16" t="s">
        <v>14524</v>
      </c>
      <c r="E5" s="31">
        <v>3</v>
      </c>
      <c r="F5" s="16" t="s"/>
    </row>
    <row r="6" spans="1:6">
      <c r="A6" s="16" t="s">
        <v>456</v>
      </c>
      <c r="B6" s="16" t="s">
        <v>14528</v>
      </c>
      <c r="C6" s="16" t="s">
        <v>14533</v>
      </c>
      <c r="D6" s="16" t="s">
        <v>14524</v>
      </c>
      <c r="E6" s="31">
        <v>3</v>
      </c>
      <c r="F6" s="16" t="s"/>
    </row>
    <row r="7" spans="1:6">
      <c r="A7" s="16" t="s">
        <v>287</v>
      </c>
      <c r="B7" s="16" t="s">
        <v>14528</v>
      </c>
      <c r="C7" s="16" t="s">
        <v>14534</v>
      </c>
      <c r="D7" s="16" t="s">
        <v>14535</v>
      </c>
      <c r="E7" s="31">
        <v>2</v>
      </c>
      <c r="F7" s="16" t="s"/>
    </row>
    <row r="8" spans="1:6">
      <c r="A8" s="16" t="s">
        <v>14536</v>
      </c>
      <c r="B8" s="16" t="s">
        <v>14528</v>
      </c>
      <c r="C8" s="16" t="s">
        <v>14537</v>
      </c>
      <c r="D8" s="16" t="s">
        <v>14535</v>
      </c>
      <c r="E8" s="31">
        <v>-2</v>
      </c>
      <c r="F8" s="16" t="s"/>
    </row>
    <row r="9" spans="1:6">
      <c r="A9" s="16" t="s">
        <v>110</v>
      </c>
      <c r="B9" s="16" t="s">
        <v>14528</v>
      </c>
      <c r="C9" s="16" t="s">
        <v>14538</v>
      </c>
      <c r="D9" s="16" t="s">
        <v>14535</v>
      </c>
      <c r="E9" s="31">
        <v>2</v>
      </c>
      <c r="F9" s="16" t="s"/>
    </row>
    <row r="10" spans="1:6">
      <c r="A10" s="16" t="s">
        <v>328</v>
      </c>
      <c r="B10" s="16" t="s">
        <v>14528</v>
      </c>
      <c r="C10" s="16" t="s">
        <v>14539</v>
      </c>
      <c r="D10" s="16" t="s">
        <v>14524</v>
      </c>
      <c r="E10" s="31">
        <v>2</v>
      </c>
      <c r="F10" s="16" t="s"/>
    </row>
    <row r="11" spans="1:6">
      <c r="A11" s="16" t="s">
        <v>1512</v>
      </c>
      <c r="B11" s="16" t="s">
        <v>14528</v>
      </c>
      <c r="C11" s="16" t="s">
        <v>14540</v>
      </c>
      <c r="D11" s="16" t="s">
        <v>14524</v>
      </c>
      <c r="E11" s="31">
        <v>4</v>
      </c>
      <c r="F11" s="16" t="s"/>
    </row>
    <row r="12" spans="1:6">
      <c r="A12" s="16" t="s">
        <v>1512</v>
      </c>
      <c r="B12" s="16" t="s">
        <v>14528</v>
      </c>
      <c r="C12" s="16" t="s">
        <v>14541</v>
      </c>
      <c r="D12" s="16" t="s">
        <v>14524</v>
      </c>
      <c r="E12" s="31">
        <v>4</v>
      </c>
      <c r="F12" s="16" t="s"/>
    </row>
    <row r="13" spans="1:6">
      <c r="A13" s="16" t="s">
        <v>1136</v>
      </c>
      <c r="B13" s="16" t="s">
        <v>14528</v>
      </c>
      <c r="C13" s="16" t="s">
        <v>14542</v>
      </c>
      <c r="D13" s="16" t="s">
        <v>14524</v>
      </c>
      <c r="E13" s="31">
        <v>4</v>
      </c>
      <c r="F13" s="16" t="s">
        <v>14543</v>
      </c>
    </row>
    <row r="14" spans="1:6">
      <c r="A14" s="16" t="s">
        <v>1136</v>
      </c>
      <c r="B14" s="16" t="s">
        <v>14528</v>
      </c>
      <c r="C14" s="16" t="s">
        <v>14544</v>
      </c>
      <c r="D14" s="16" t="s">
        <v>14545</v>
      </c>
      <c r="E14" s="31">
        <v>6</v>
      </c>
      <c r="F14" s="16" t="s"/>
    </row>
    <row r="15" spans="1:6">
      <c r="A15" s="16" t="s">
        <v>1475</v>
      </c>
      <c r="B15" s="16" t="s">
        <v>14528</v>
      </c>
      <c r="C15" s="16" t="s">
        <v>14544</v>
      </c>
      <c r="D15" s="16" t="s">
        <v>14545</v>
      </c>
      <c r="E15" s="31">
        <v>9999</v>
      </c>
      <c r="F15" s="16" t="s"/>
    </row>
    <row r="16" spans="1:6">
      <c r="A16" s="16" t="s">
        <v>1320</v>
      </c>
      <c r="B16" s="16" t="s">
        <v>14528</v>
      </c>
      <c r="C16" s="16" t="s">
        <v>14546</v>
      </c>
      <c r="D16" s="16" t="s">
        <v>14535</v>
      </c>
      <c r="E16" s="31">
        <v>2</v>
      </c>
      <c r="F16" s="16" t="s">
        <v>14547</v>
      </c>
    </row>
    <row r="17" spans="1:6">
      <c r="A17" s="16" t="s">
        <v>1155</v>
      </c>
      <c r="B17" s="16" t="s">
        <v>14528</v>
      </c>
      <c r="C17" s="16" t="s">
        <v>14548</v>
      </c>
      <c r="D17" s="16" t="s">
        <v>14524</v>
      </c>
      <c r="E17" s="31">
        <v>5</v>
      </c>
      <c r="F17" s="16" t="s"/>
    </row>
    <row r="18" spans="1:6">
      <c r="A18" s="16" t="s">
        <v>1480</v>
      </c>
      <c r="B18" s="16" t="s">
        <v>14528</v>
      </c>
      <c r="C18" s="16" t="s">
        <v>14549</v>
      </c>
      <c r="D18" s="16" t="s">
        <v>14535</v>
      </c>
      <c r="E18" s="31">
        <v>-5</v>
      </c>
      <c r="F18" s="16" t="s"/>
    </row>
    <row r="19" spans="1:6">
      <c r="A19" s="16" t="s">
        <v>4836</v>
      </c>
      <c r="B19" s="16" t="s">
        <v>14528</v>
      </c>
      <c r="C19" s="16" t="s">
        <v>14544</v>
      </c>
      <c r="D19" s="16" t="s">
        <v>14545</v>
      </c>
      <c r="E19" s="31">
        <v>999</v>
      </c>
      <c r="F19" s="16" t="s"/>
    </row>
    <row r="20" spans="1:9">
      <c r="A20" s="16" t="s">
        <v>1452</v>
      </c>
      <c r="B20" s="16" t="s">
        <v>14528</v>
      </c>
      <c r="C20" s="16" t="s">
        <v>14546</v>
      </c>
      <c r="D20" s="16" t="s">
        <v>14535</v>
      </c>
      <c r="E20" s="31">
        <v>2</v>
      </c>
      <c r="F20" s="16" t="s"/>
      <c r="I20" s="16" t="s">
        <v>14550</v>
      </c>
    </row>
    <row r="21" spans="1:6">
      <c r="A21" s="16" t="s">
        <v>1427</v>
      </c>
      <c r="B21" s="16" t="s">
        <v>14528</v>
      </c>
      <c r="C21" s="16" t="s">
        <v>14544</v>
      </c>
      <c r="D21" s="16" t="s">
        <v>14545</v>
      </c>
      <c r="E21" s="31">
        <v>6</v>
      </c>
      <c r="F21" s="16" t="s"/>
    </row>
    <row r="22" spans="1:6">
      <c r="A22" s="16" t="s">
        <v>1607</v>
      </c>
      <c r="B22" s="16" t="s">
        <v>14528</v>
      </c>
      <c r="C22" s="16" t="s">
        <v>14544</v>
      </c>
      <c r="D22" s="16" t="s">
        <v>14545</v>
      </c>
      <c r="E22" s="31">
        <v>99</v>
      </c>
      <c r="F22" s="16" t="s"/>
    </row>
    <row r="23" spans="1:6">
      <c r="A23" s="16" t="s">
        <v>442</v>
      </c>
      <c r="B23" s="16" t="s">
        <v>14528</v>
      </c>
      <c r="C23" s="16" t="s">
        <v>14551</v>
      </c>
      <c r="D23" s="16" t="s">
        <v>14535</v>
      </c>
      <c r="E23" s="31">
        <v>1</v>
      </c>
      <c r="F23" s="16" t="s"/>
    </row>
    <row r="24" spans="1:6">
      <c r="A24" s="16" t="s">
        <v>8538</v>
      </c>
      <c r="B24" s="16" t="s">
        <v>45</v>
      </c>
      <c r="C24" s="16" t="s">
        <v>14532</v>
      </c>
      <c r="D24" s="16" t="s">
        <v>14535</v>
      </c>
      <c r="E24" s="31">
        <v>2</v>
      </c>
      <c r="F24" s="16" t="s"/>
    </row>
    <row r="25" spans="1:6">
      <c r="A25" s="16" t="s">
        <v>14552</v>
      </c>
      <c r="B25" s="16" t="s">
        <v>14536</v>
      </c>
      <c r="C25" s="16" t="s">
        <v>14553</v>
      </c>
      <c r="D25" s="16" t="s">
        <v>14535</v>
      </c>
      <c r="E25" s="31">
        <v>2</v>
      </c>
      <c r="F25" s="16" t="s">
        <v>14554</v>
      </c>
    </row>
    <row r="26" spans="1:6">
      <c r="A26" s="16" t="s">
        <v>590</v>
      </c>
      <c r="B26" s="16" t="s">
        <v>14528</v>
      </c>
      <c r="C26" s="16" t="s">
        <v>14555</v>
      </c>
      <c r="D26" s="16" t="s">
        <v>14524</v>
      </c>
      <c r="E26" s="31">
        <v>4</v>
      </c>
      <c r="F26" s="16" t="s">
        <v>14556</v>
      </c>
    </row>
    <row r="27" spans="1:6">
      <c r="A27" s="16" t="s">
        <v>590</v>
      </c>
      <c r="B27" s="16" t="s">
        <v>14528</v>
      </c>
      <c r="C27" s="16" t="s">
        <v>14557</v>
      </c>
      <c r="D27" s="16" t="s">
        <v>14524</v>
      </c>
      <c r="E27" s="31">
        <v>99</v>
      </c>
      <c r="F27" s="16" t="s"/>
    </row>
    <row r="28" spans="1:6">
      <c r="A28" s="16" t="s">
        <v>659</v>
      </c>
      <c r="B28" s="16" t="s">
        <v>14528</v>
      </c>
      <c r="C28" s="16" t="s">
        <v>14558</v>
      </c>
      <c r="D28" s="16" t="s">
        <v>14524</v>
      </c>
      <c r="E28" s="31">
        <v>1</v>
      </c>
      <c r="F28" s="16" t="s"/>
    </row>
    <row r="29" spans="1:6">
      <c r="A29" s="16" t="s">
        <v>45</v>
      </c>
      <c r="B29" s="16" t="s">
        <v>14528</v>
      </c>
      <c r="C29" s="26" t="s">
        <v>14559</v>
      </c>
      <c r="D29" s="16" t="s">
        <v>14560</v>
      </c>
      <c r="E29" s="31">
        <v>-2</v>
      </c>
      <c r="F29" s="16" t="s"/>
    </row>
    <row r="30" spans="1:6">
      <c r="A30" s="16" t="s">
        <v>45</v>
      </c>
      <c r="B30" s="16" t="s">
        <v>14528</v>
      </c>
      <c r="C30" s="26" t="s">
        <v>14561</v>
      </c>
      <c r="D30" s="16" t="s">
        <v>14560</v>
      </c>
      <c r="E30" s="31">
        <v>-4</v>
      </c>
      <c r="F30" s="16" t="s"/>
    </row>
    <row r="31" spans="1:6">
      <c r="A31" s="16" t="s">
        <v>45</v>
      </c>
      <c r="B31" s="16" t="s">
        <v>14528</v>
      </c>
      <c r="C31" s="26" t="s">
        <v>14562</v>
      </c>
      <c r="D31" s="16" t="s">
        <v>14560</v>
      </c>
      <c r="E31" s="31">
        <v>-4</v>
      </c>
      <c r="F31" s="16" t="s"/>
    </row>
    <row r="32" spans="1:6">
      <c r="A32" s="16" t="s">
        <v>45</v>
      </c>
      <c r="B32" s="16" t="s">
        <v>14528</v>
      </c>
      <c r="C32" s="26" t="s">
        <v>14563</v>
      </c>
      <c r="D32" s="16" t="s">
        <v>14560</v>
      </c>
      <c r="E32" s="31">
        <v>2</v>
      </c>
      <c r="F32" s="16" t="s"/>
    </row>
    <row r="33" spans="1:6">
      <c r="A33" s="16" t="s">
        <v>45</v>
      </c>
      <c r="B33" s="16" t="s">
        <v>14528</v>
      </c>
      <c r="C33" s="26" t="s">
        <v>14564</v>
      </c>
      <c r="D33" s="16" t="s">
        <v>14560</v>
      </c>
      <c r="E33" s="31">
        <v>2</v>
      </c>
      <c r="F33" s="16" t="s"/>
    </row>
    <row r="34" spans="1:6">
      <c r="A34" s="16" t="s">
        <v>45</v>
      </c>
      <c r="B34" s="16" t="s">
        <v>14528</v>
      </c>
      <c r="C34" s="26" t="s">
        <v>14565</v>
      </c>
      <c r="D34" s="16" t="s">
        <v>14560</v>
      </c>
      <c r="E34" s="31">
        <v>2</v>
      </c>
      <c r="F34" s="16" t="s"/>
    </row>
    <row r="35" spans="1:6">
      <c r="A35" s="16" t="s">
        <v>442</v>
      </c>
      <c r="B35" s="16" t="s">
        <v>14528</v>
      </c>
      <c r="C35" s="16" t="s">
        <v>14566</v>
      </c>
      <c r="D35" s="16" t="s">
        <v>14560</v>
      </c>
      <c r="E35" s="31">
        <v>2</v>
      </c>
      <c r="F35" s="16" t="s"/>
    </row>
    <row r="36" spans="1:6">
      <c r="A36" s="16" t="s">
        <v>442</v>
      </c>
      <c r="B36" s="16" t="s">
        <v>14528</v>
      </c>
      <c r="C36" s="16" t="s">
        <v>14567</v>
      </c>
      <c r="D36" s="16" t="s">
        <v>14560</v>
      </c>
      <c r="E36" s="31">
        <v>1</v>
      </c>
      <c r="F36" s="16" t="s"/>
    </row>
    <row r="37" spans="1:6">
      <c r="A37" s="16" t="s">
        <v>476</v>
      </c>
      <c r="B37" s="16" t="s">
        <v>14528</v>
      </c>
      <c r="C37" s="16" t="s">
        <v>14568</v>
      </c>
      <c r="D37" s="16" t="s">
        <v>14560</v>
      </c>
      <c r="E37" s="31">
        <v>2</v>
      </c>
      <c r="F37" s="16" t="s"/>
    </row>
    <row r="38" spans="1:6">
      <c r="A38" s="16" t="s">
        <v>9730</v>
      </c>
      <c r="B38" s="16" t="s">
        <v>45</v>
      </c>
      <c r="C38" s="16" t="s">
        <v>14569</v>
      </c>
      <c r="D38" s="16" t="s">
        <v>14560</v>
      </c>
      <c r="E38" s="31">
        <v>2</v>
      </c>
      <c r="F38" s="16" t="s"/>
    </row>
    <row r="39" spans="1:6">
      <c r="A39" s="16" t="s">
        <v>1320</v>
      </c>
      <c r="B39" s="16" t="s">
        <v>14528</v>
      </c>
      <c r="C39" s="16" t="s">
        <v>14570</v>
      </c>
      <c r="D39" s="16" t="s">
        <v>14560</v>
      </c>
      <c r="E39" s="31">
        <v>2</v>
      </c>
      <c r="F39" s="16" t="s"/>
    </row>
    <row r="40" spans="1:6">
      <c r="A40" s="16" t="s">
        <v>1730</v>
      </c>
      <c r="B40" s="30" t="s">
        <v>14528</v>
      </c>
      <c r="C40" s="30" t="s">
        <v>14571</v>
      </c>
      <c r="D40" s="16" t="s">
        <v>14524</v>
      </c>
      <c r="E40" s="31">
        <v>5</v>
      </c>
      <c r="F40" s="30" t="s">
        <v>14572</v>
      </c>
    </row>
    <row r="41" spans="1:6">
      <c r="A41" s="30" t="s">
        <v>628</v>
      </c>
      <c r="B41" s="30" t="s">
        <v>14528</v>
      </c>
      <c r="C41" s="30" t="s">
        <v>14573</v>
      </c>
      <c r="D41" s="16" t="s">
        <v>14560</v>
      </c>
      <c r="E41" s="31">
        <v>-4</v>
      </c>
      <c r="F41" s="30" t="s">
        <v>14574</v>
      </c>
    </row>
    <row r="42" spans="1:5">
      <c r="A42" s="16" t="s">
        <v>1654</v>
      </c>
      <c r="B42" s="16" t="s">
        <v>14528</v>
      </c>
      <c r="C42" s="16" t="s">
        <v>14544</v>
      </c>
      <c r="D42" s="16" t="s">
        <v>14545</v>
      </c>
      <c r="E42" s="31">
        <v>6</v>
      </c>
    </row>
    <row r="43" spans="1:5">
      <c r="A43" s="30" t="s">
        <v>388</v>
      </c>
      <c r="B43" s="30" t="s">
        <v>14528</v>
      </c>
      <c r="C43" s="30" t="s">
        <v>14575</v>
      </c>
      <c r="D43" s="30" t="s">
        <v>14560</v>
      </c>
      <c r="E43" s="31">
        <v>2</v>
      </c>
    </row>
    <row r="44" spans="1:6">
      <c r="A44" s="30" t="s">
        <v>126</v>
      </c>
      <c r="B44" s="30" t="s">
        <v>14528</v>
      </c>
      <c r="C44" s="30" t="s">
        <v>14576</v>
      </c>
      <c r="D44" s="30" t="s">
        <v>14535</v>
      </c>
      <c r="E44" s="31">
        <v>6</v>
      </c>
      <c r="F44" s="30" t="s">
        <v>14577</v>
      </c>
    </row>
    <row r="45" spans="1:6">
      <c r="A45" s="30" t="s">
        <v>14536</v>
      </c>
      <c r="B45" s="30" t="s">
        <v>14528</v>
      </c>
      <c r="C45" s="30" t="s">
        <v>14578</v>
      </c>
      <c r="D45" s="30" t="s">
        <v>14535</v>
      </c>
      <c r="E45" s="31">
        <v>2</v>
      </c>
      <c r="F45" s="16" t="s">
        <v>14579</v>
      </c>
    </row>
    <row r="46" spans="1:6">
      <c r="A46" s="30" t="s">
        <v>826</v>
      </c>
      <c r="B46" s="30" t="s">
        <v>14528</v>
      </c>
      <c r="C46" s="30" t="s">
        <v>14571</v>
      </c>
      <c r="D46" s="30" t="s">
        <v>14524</v>
      </c>
      <c r="E46" s="31">
        <v>5</v>
      </c>
      <c r="F46" s="30" t="s">
        <v>14580</v>
      </c>
    </row>
    <row r="47" spans="1:6">
      <c r="A47" s="16" t="s">
        <v>492</v>
      </c>
      <c r="B47" s="16" t="s">
        <v>14528</v>
      </c>
      <c r="C47" s="16" t="s">
        <v>14571</v>
      </c>
      <c r="D47" s="16" t="s">
        <v>14524</v>
      </c>
      <c r="E47" s="31">
        <v>4</v>
      </c>
      <c r="F47" s="16" t="s">
        <v>14581</v>
      </c>
    </row>
    <row r="48" spans="1:5">
      <c r="A48" s="30" t="s">
        <v>1697</v>
      </c>
      <c r="B48" s="30" t="s">
        <v>14528</v>
      </c>
      <c r="C48" s="30" t="s">
        <v>14546</v>
      </c>
      <c r="D48" s="30" t="s">
        <v>14524</v>
      </c>
      <c r="E48" s="31">
        <v>8</v>
      </c>
    </row>
    <row r="49" spans="1:5">
      <c r="A49" s="30" t="s">
        <v>1754</v>
      </c>
      <c r="B49" s="30" t="s">
        <v>14528</v>
      </c>
      <c r="C49" s="30" t="s">
        <v>14582</v>
      </c>
      <c r="D49" s="30" t="s">
        <v>14524</v>
      </c>
      <c r="E49" s="31">
        <v>99</v>
      </c>
    </row>
    <row r="50" spans="1:6">
      <c r="A50" s="16" t="s">
        <v>14536</v>
      </c>
      <c r="B50" s="16" t="s">
        <v>14528</v>
      </c>
      <c r="C50" s="30" t="s">
        <v>14583</v>
      </c>
      <c r="D50" s="16" t="s">
        <v>14535</v>
      </c>
      <c r="E50" s="31">
        <v>2</v>
      </c>
      <c r="F50" s="16" t="s">
        <v>14554</v>
      </c>
    </row>
    <row r="51" spans="1:5">
      <c r="A51" s="30" t="s">
        <v>644</v>
      </c>
      <c r="B51" s="30" t="s">
        <v>45</v>
      </c>
      <c r="C51" s="30" t="s">
        <v>14584</v>
      </c>
      <c r="D51" s="30" t="s">
        <v>14524</v>
      </c>
      <c r="E51" s="31">
        <v>6</v>
      </c>
    </row>
    <row r="52" spans="5:5">
      <c r="E52" s="31" t="s"/>
    </row>
    <row r="53" spans="5:5">
      <c r="E53" s="31" t="s"/>
    </row>
    <row r="54" spans="5:5">
      <c r="E54" s="31" t="s"/>
    </row>
    <row r="55" spans="5:5">
      <c r="E55" s="31" t="s"/>
    </row>
    <row r="56" spans="5:5">
      <c r="E56" s="31" t="s"/>
    </row>
    <row r="57" spans="5:5">
      <c r="E57" s="31" t="s"/>
    </row>
    <row r="58" spans="5:5">
      <c r="E58" s="31" t="s"/>
    </row>
    <row r="59" spans="5:5">
      <c r="E59" s="31" t="s"/>
    </row>
    <row r="60" spans="5:5">
      <c r="E60" s="31" t="s"/>
    </row>
    <row r="61" spans="5:5">
      <c r="E61" s="31" t="s"/>
    </row>
    <row r="62" spans="5:5">
      <c r="E62" s="31" t="s"/>
    </row>
    <row r="63" spans="5:5">
      <c r="E63" s="31" t="s"/>
    </row>
    <row r="64" spans="5:5">
      <c r="E64" s="31" t="s"/>
    </row>
    <row r="65" spans="5:5">
      <c r="E65" s="31" t="s"/>
    </row>
    <row r="66" spans="5:5">
      <c r="E66" s="31" t="s"/>
    </row>
    <row r="67" spans="5:5">
      <c r="E67" s="31" t="s"/>
    </row>
    <row r="68" spans="5:5">
      <c r="E68" s="31" t="s"/>
    </row>
    <row r="69" spans="5:5">
      <c r="E69" s="31" t="s"/>
    </row>
    <row r="70" spans="5:5">
      <c r="E70" s="31" t="s"/>
    </row>
    <row r="71" spans="5:5">
      <c r="E71" s="31" t="s"/>
    </row>
    <row r="72" spans="5:5">
      <c r="E72" s="31" t="s"/>
    </row>
    <row r="73" spans="5:5">
      <c r="E73" s="31" t="s"/>
    </row>
    <row r="74" spans="5:5">
      <c r="E74" s="31" t="s"/>
    </row>
    <row r="75" spans="5:5">
      <c r="E75" s="31" t="s"/>
    </row>
    <row r="76" spans="5:5">
      <c r="E76" s="31" t="s"/>
    </row>
    <row r="77" spans="5:5">
      <c r="E77" s="31" t="s"/>
    </row>
    <row r="78" spans="5:5">
      <c r="E78" s="31" t="s"/>
    </row>
    <row r="79" spans="5:5">
      <c r="E79" s="31" t="s"/>
    </row>
    <row r="80" spans="5:5">
      <c r="E80" s="31" t="s"/>
    </row>
    <row r="81" spans="5:5">
      <c r="E81" s="31" t="s"/>
    </row>
    <row r="82" spans="5:5">
      <c r="E82" s="31" t="s"/>
    </row>
    <row r="83" spans="5:5">
      <c r="E83" s="31" t="s"/>
    </row>
    <row r="84" spans="5:5">
      <c r="E84" s="31" t="s"/>
    </row>
    <row r="85" spans="5:5">
      <c r="E85" s="31" t="s"/>
    </row>
    <row r="86" spans="5:5">
      <c r="E86" s="31" t="s"/>
    </row>
    <row r="87" spans="5:5">
      <c r="E87" s="31" t="s"/>
    </row>
    <row r="88" spans="5:5">
      <c r="E88" s="31" t="s"/>
    </row>
    <row r="89" spans="5:5">
      <c r="E89" s="31" t="s"/>
    </row>
    <row r="90" spans="5:5">
      <c r="E90" s="31" t="s"/>
    </row>
    <row r="91" spans="5:5">
      <c r="E91" s="31" t="s"/>
    </row>
    <row r="92" spans="5:5">
      <c r="E92" s="31" t="s"/>
    </row>
    <row r="93" spans="5:5">
      <c r="E93" s="31" t="s"/>
    </row>
    <row r="94" spans="5:5">
      <c r="E94" s="31" t="s"/>
    </row>
    <row r="95" spans="5:5">
      <c r="E95" s="31" t="s"/>
    </row>
    <row r="96" spans="5:5">
      <c r="E96" s="31" t="s"/>
    </row>
    <row r="97" spans="5:5">
      <c r="E97" s="31" t="s"/>
    </row>
    <row r="98" spans="5:5">
      <c r="E98" s="31" t="s"/>
    </row>
    <row r="99" spans="5:5">
      <c r="E99" s="31" t="s"/>
    </row>
    <row r="100" spans="5:5">
      <c r="E100" s="31" t="s"/>
    </row>
    <row r="101" spans="5:5">
      <c r="E101" s="31" t="s"/>
    </row>
    <row r="102" spans="5:5">
      <c r="E102" s="31" t="s"/>
    </row>
    <row r="103" spans="5:5">
      <c r="E103" s="31" t="s"/>
    </row>
    <row r="104" spans="5:5">
      <c r="E104" s="31" t="s"/>
    </row>
    <row r="105" spans="5:5">
      <c r="E105" s="31" t="s"/>
    </row>
    <row r="106" spans="5:5">
      <c r="E106" s="31" t="s"/>
    </row>
    <row r="107" spans="5:5">
      <c r="E107" s="31" t="s"/>
    </row>
    <row r="108" spans="5:5">
      <c r="E108" s="31" t="s"/>
    </row>
    <row r="109" spans="5:5">
      <c r="E109" s="31" t="s"/>
    </row>
    <row r="110" spans="5:5">
      <c r="E110" s="31" t="s"/>
    </row>
    <row r="111" spans="5:5">
      <c r="E111" s="31" t="s"/>
    </row>
    <row r="112" spans="5:5">
      <c r="E112" s="31" t="s"/>
    </row>
    <row r="113" spans="5:5">
      <c r="E113" s="31" t="s"/>
    </row>
    <row r="114" spans="5:5">
      <c r="E114" s="31" t="s"/>
    </row>
    <row r="115" spans="5:5">
      <c r="E115" s="31" t="s"/>
    </row>
    <row r="116" spans="5:5">
      <c r="E116" s="31" t="s"/>
    </row>
    <row r="117" spans="5:5">
      <c r="E117" s="31" t="s"/>
    </row>
    <row r="118" spans="5:5">
      <c r="E118" s="31" t="s"/>
    </row>
    <row r="119" spans="5:5">
      <c r="E119" s="31" t="s"/>
    </row>
    <row r="120" spans="5:5">
      <c r="E120" s="31" t="s"/>
    </row>
    <row r="121" spans="5:5">
      <c r="E121" s="31" t="s"/>
    </row>
    <row r="122" spans="5:5">
      <c r="E122" s="31" t="s"/>
    </row>
    <row r="123" spans="5:5">
      <c r="E123" s="31" t="s"/>
    </row>
    <row r="124" spans="5:5">
      <c r="E124" s="31" t="s"/>
    </row>
    <row r="125" spans="5:5">
      <c r="E125" s="31" t="s"/>
    </row>
    <row r="126" spans="5:5">
      <c r="E126" s="31" t="s"/>
    </row>
    <row r="127" spans="5:5">
      <c r="E127" s="31" t="s"/>
    </row>
    <row r="128" spans="5:5">
      <c r="E128" s="31" t="s"/>
    </row>
    <row r="129" spans="5:5">
      <c r="E129" s="31" t="s"/>
    </row>
    <row r="130" spans="5:5">
      <c r="E130" s="31" t="s"/>
    </row>
    <row r="131" spans="5:5">
      <c r="E131" s="31" t="s"/>
    </row>
    <row r="132" spans="5:5">
      <c r="E132" s="31" t="s"/>
    </row>
    <row r="133" spans="5:5">
      <c r="E133" s="31" t="s"/>
    </row>
    <row r="134" spans="5:5">
      <c r="E134" s="31" t="s"/>
    </row>
    <row r="135" spans="5:5">
      <c r="E135" s="31" t="s"/>
    </row>
    <row r="136" spans="5:5">
      <c r="E136" s="31" t="s"/>
    </row>
    <row r="137" spans="5:5">
      <c r="E137" s="31" t="s"/>
    </row>
    <row r="138" spans="5:5">
      <c r="E138" s="31" t="s"/>
    </row>
    <row r="139" spans="5:5">
      <c r="E139" s="31" t="s"/>
    </row>
    <row r="140" spans="5:5">
      <c r="E140" s="31" t="s"/>
    </row>
    <row r="141" spans="5:5">
      <c r="E141" s="31" t="s"/>
    </row>
    <row r="142" spans="5:5">
      <c r="E142" s="31" t="s"/>
    </row>
    <row r="143" spans="5:5">
      <c r="E143" s="31" t="s"/>
    </row>
    <row r="144" spans="5:5">
      <c r="E144" s="31" t="s"/>
    </row>
    <row r="145" spans="5:5">
      <c r="E145" s="31" t="s"/>
    </row>
    <row r="146" spans="5:5">
      <c r="E146" s="31" t="s"/>
    </row>
    <row r="147" spans="5:5">
      <c r="E147" s="31" t="s"/>
    </row>
    <row r="148" spans="5:5">
      <c r="E148" s="31" t="s"/>
    </row>
    <row r="149" spans="5:5">
      <c r="E149" s="31" t="s"/>
    </row>
    <row r="150" spans="5:5">
      <c r="E150" s="31" t="s"/>
    </row>
    <row r="151" spans="5:5">
      <c r="E151" s="31" t="s"/>
    </row>
    <row r="152" spans="5:5">
      <c r="E152" s="31" t="s"/>
    </row>
    <row r="153" spans="5:5">
      <c r="E153" s="31" t="s"/>
    </row>
    <row r="154" spans="5:5">
      <c r="E154" s="31" t="s"/>
    </row>
    <row r="155" spans="5:5">
      <c r="E155" s="31" t="s"/>
    </row>
    <row r="156" spans="5:5">
      <c r="E156" s="31" t="s"/>
    </row>
    <row r="157" spans="5:5">
      <c r="E157" s="31" t="s"/>
    </row>
    <row r="158" spans="5:5">
      <c r="E158" s="31" t="s"/>
    </row>
    <row r="159" spans="5:5">
      <c r="E159" s="31" t="s"/>
    </row>
    <row r="160" spans="5:5">
      <c r="E160" s="31" t="s"/>
    </row>
    <row r="161" spans="5:5">
      <c r="E161" s="31" t="s"/>
    </row>
    <row r="162" spans="5:5">
      <c r="E162" s="31" t="s"/>
    </row>
    <row r="163" spans="5:5">
      <c r="E163" s="31" t="s"/>
    </row>
    <row r="164" spans="5:5">
      <c r="E164" s="31" t="s"/>
    </row>
    <row r="165" spans="5:5">
      <c r="E165" s="31" t="s"/>
    </row>
    <row r="166" spans="5:5">
      <c r="E166" s="31" t="s"/>
    </row>
    <row r="167" spans="5:5">
      <c r="E167" s="31" t="s"/>
    </row>
    <row r="168" spans="5:5">
      <c r="E168" s="31" t="s"/>
    </row>
    <row r="169" spans="5:5">
      <c r="E169" s="31" t="s"/>
    </row>
    <row r="170" spans="5:5">
      <c r="E170" s="31" t="s"/>
    </row>
    <row r="171" spans="5:5">
      <c r="E171" s="31" t="s"/>
    </row>
    <row r="172" spans="5:5">
      <c r="E172" s="31" t="s"/>
    </row>
    <row r="173" spans="5:5">
      <c r="E173" s="31" t="s"/>
    </row>
    <row r="174" spans="5:5">
      <c r="E174" s="31" t="s"/>
    </row>
    <row r="175" spans="5:5">
      <c r="E175" s="31" t="s"/>
    </row>
    <row r="176" spans="5:5">
      <c r="E176" s="31" t="s"/>
    </row>
    <row r="177" spans="5:5">
      <c r="E177" s="31" t="s"/>
    </row>
    <row r="178" spans="5:5">
      <c r="E178" s="31" t="s"/>
    </row>
    <row r="179" spans="5:5">
      <c r="E179" s="31" t="s"/>
    </row>
    <row r="180" spans="5:5">
      <c r="E180" s="31" t="s"/>
    </row>
    <row r="181" spans="5:5">
      <c r="E181" s="31" t="s"/>
    </row>
    <row r="182" spans="5:5">
      <c r="E182" s="31" t="s"/>
    </row>
    <row r="183" spans="5:5">
      <c r="E183" s="31" t="s"/>
    </row>
    <row r="184" spans="5:5">
      <c r="E184" s="31" t="s"/>
    </row>
    <row r="185" spans="5:5">
      <c r="E185" s="31" t="s"/>
    </row>
    <row r="186" spans="5:5">
      <c r="E186" s="31" t="s"/>
    </row>
    <row r="187" spans="5:5">
      <c r="E187" s="31" t="s"/>
    </row>
    <row r="188" spans="5:5">
      <c r="E188" s="31" t="s"/>
    </row>
    <row r="189" spans="5:5">
      <c r="E189" s="31" t="s"/>
    </row>
    <row r="190" spans="5:5">
      <c r="E190" s="31" t="s"/>
    </row>
    <row r="191" spans="5:5">
      <c r="E191" s="31" t="s"/>
    </row>
    <row r="192" spans="5:5">
      <c r="E192" s="31" t="s"/>
    </row>
    <row r="193" spans="5:5">
      <c r="E193" s="31" t="s"/>
    </row>
    <row r="194" spans="5:5">
      <c r="E194" s="31" t="s"/>
    </row>
    <row r="195" spans="5:5">
      <c r="E195" s="31" t="s"/>
    </row>
    <row r="196" spans="5:5">
      <c r="E196" s="31" t="s"/>
    </row>
    <row r="197" spans="5:5">
      <c r="E197" s="31" t="s"/>
    </row>
    <row r="198" spans="5:5">
      <c r="E198" s="31" t="s"/>
    </row>
    <row r="199" spans="5:5">
      <c r="E199" s="31" t="s"/>
    </row>
    <row r="200" spans="5:5">
      <c r="E200" s="31" t="s"/>
    </row>
    <row r="201" spans="5:5">
      <c r="E201" s="31" t="s"/>
    </row>
    <row r="202" spans="5:5">
      <c r="E202" s="31" t="s"/>
    </row>
    <row r="203" spans="5:5">
      <c r="E203" s="31" t="s"/>
    </row>
  </sheetData>
</worksheet>
</file>

<file path=xl/worksheets/sheet26.xml><?xml version="1.0" encoding="utf-8"?>
<worksheet xmlns="http://schemas.openxmlformats.org/spreadsheetml/2006/main">
  <sheetPr codeName="敌人属性（1.3版本）">
    <tabColor/>
  </sheetPr>
  <dimension ref="AM240"/>
  <sheetViews>
    <sheetView showGridLines="1" workbookViewId="0">
      <pane xSplit="1" ySplit="1" topLeftCell="B2" state="frozen"/>
    </sheetView>
  </sheetViews>
  <sheetFormatPr baseColWidth="13" defaultRowHeight="18" customHeight="1"/>
  <cols>
    <col min="1" max="1" width="31.3711" style="16" customWidth="1"/>
    <col min="2" max="2" width="27.8008" style="16" customWidth="1"/>
    <col min="3" max="3" width="44.3125" style="16" customWidth="1"/>
    <col min="4" max="4" width="10.2344" style="16" customWidth="1"/>
    <col min="5" max="5" width="10.2812" style="16" customWidth="1"/>
    <col min="6" max="8" width="10.1133" style="16" customWidth="1"/>
    <col min="9" max="9" width="12.0938" style="83" customWidth="1"/>
    <col min="10" max="10" width="14.0625" style="16" customWidth="1"/>
    <col min="11" max="11" width="12.0938" style="16" customWidth="1"/>
    <col min="12" max="12" width="18.0234" style="83" customWidth="1"/>
    <col min="13" max="13" width="21.9727" style="42" customWidth="1"/>
    <col min="14" max="14" width="20.0039" style="83" customWidth="1"/>
    <col min="15" max="15" width="20.0039" style="42" customWidth="1"/>
    <col min="16" max="16" width="16.043" style="83" customWidth="1"/>
    <col min="17" max="17" width="14.0625" style="16" customWidth="1"/>
    <col min="18" max="18" width="18.0234" style="16" customWidth="1"/>
    <col min="19" max="19" width="16.043" style="83" customWidth="1"/>
    <col min="20" max="22" width="14.0625" style="16" customWidth="1"/>
    <col min="23" max="24" width="16.043" style="16" customWidth="1"/>
    <col min="25" max="27" width="14.0625" style="16" customWidth="1"/>
    <col min="28" max="29" width="16.043" style="16" customWidth="1"/>
    <col min="30" max="32" width="14.0625" style="16" customWidth="1"/>
    <col min="33" max="34" width="16.043" style="16" customWidth="1"/>
    <col min="35" max="35" width="14.0625" style="16" customWidth="1"/>
    <col min="36" max="37" width="18.0508" style="16" customWidth="1"/>
    <col min="38" max="38" width="22.0039" style="16" customWidth="1"/>
    <col min="39" max="39" width="20.0234" style="16" customWidth="1"/>
  </cols>
  <sheetData>
    <row r="1" spans="1:39" s="82" ht="20" customHeight="1">
      <c r="A1" s="16" t="s">
        <v>1082</v>
      </c>
      <c r="B1" s="16" t="s">
        <v>1084</v>
      </c>
      <c r="C1" s="16" t="s">
        <v>1085</v>
      </c>
      <c r="D1" s="16" t="s">
        <v>1996</v>
      </c>
      <c r="E1" s="16" t="s">
        <v>1083</v>
      </c>
      <c r="F1" s="16" t="s">
        <v>963</v>
      </c>
      <c r="G1" s="16" t="s">
        <v>965</v>
      </c>
      <c r="H1" s="16" t="s">
        <v>967</v>
      </c>
      <c r="I1" s="22" t="s">
        <v>970</v>
      </c>
      <c r="J1" s="16" t="s">
        <v>1086</v>
      </c>
      <c r="K1" s="16" t="s">
        <v>1087</v>
      </c>
      <c r="L1" s="22" t="s">
        <v>1088</v>
      </c>
      <c r="M1" s="42" t="s">
        <v>1089</v>
      </c>
      <c r="N1" s="22" t="s">
        <v>1090</v>
      </c>
      <c r="O1" s="42" t="s">
        <v>1091</v>
      </c>
      <c r="P1" s="22" t="s">
        <v>1092</v>
      </c>
      <c r="Q1" s="16" t="s">
        <v>1093</v>
      </c>
      <c r="R1" s="16" t="s">
        <v>1094</v>
      </c>
      <c r="S1" s="22" t="s">
        <v>1095</v>
      </c>
      <c r="T1" s="16" t="s">
        <v>1096</v>
      </c>
      <c r="U1" s="16" t="s">
        <v>1097</v>
      </c>
      <c r="V1" s="16" t="s">
        <v>1098</v>
      </c>
      <c r="W1" s="16" t="s">
        <v>1099</v>
      </c>
      <c r="X1" s="16" t="s">
        <v>1100</v>
      </c>
      <c r="Y1" s="26" t="s">
        <v>1101</v>
      </c>
      <c r="Z1" s="26" t="s">
        <v>1102</v>
      </c>
      <c r="AA1" s="26" t="s">
        <v>1103</v>
      </c>
      <c r="AB1" s="26" t="s">
        <v>1104</v>
      </c>
      <c r="AC1" s="26" t="s">
        <v>1105</v>
      </c>
      <c r="AD1" s="26" t="s">
        <v>1106</v>
      </c>
      <c r="AE1" s="26" t="s">
        <v>1107</v>
      </c>
      <c r="AF1" s="26" t="s">
        <v>1108</v>
      </c>
      <c r="AG1" s="26" t="s">
        <v>1109</v>
      </c>
      <c r="AH1" s="26" t="s">
        <v>1110</v>
      </c>
      <c r="AI1" s="44" t="s">
        <v>1117</v>
      </c>
      <c r="AJ1" s="20" t="s">
        <v>1120</v>
      </c>
      <c r="AK1" s="20" t="s">
        <v>1121</v>
      </c>
      <c r="AL1" s="20" t="s">
        <v>1122</v>
      </c>
      <c r="AM1" s="20" t="s">
        <v>1123</v>
      </c>
    </row>
    <row r="2" spans="1:39">
      <c r="A2" s="24" t="s">
        <v>1124</v>
      </c>
      <c r="B2" s="24" t="s">
        <v>1125</v>
      </c>
      <c r="C2" s="24" t="s">
        <v>1126</v>
      </c>
      <c r="D2" s="24">
        <v>900011011</v>
      </c>
      <c r="E2" s="24">
        <v>11011</v>
      </c>
      <c r="F2" s="24">
        <v>1123</v>
      </c>
      <c r="G2" s="24">
        <v>60</v>
      </c>
      <c r="H2" s="24">
        <v>40</v>
      </c>
      <c r="I2" s="25">
        <v>0.5</v>
      </c>
      <c r="J2" s="24">
        <v>600</v>
      </c>
      <c r="K2" s="24" t="b">
        <v>1</v>
      </c>
      <c r="L2" s="25">
        <v>0</v>
      </c>
      <c r="M2" s="47">
        <v>0</v>
      </c>
      <c r="N2" s="25">
        <v>0.1538</v>
      </c>
      <c r="O2" s="47">
        <v>6.501951</v>
      </c>
      <c r="P2" s="25">
        <v>0.5</v>
      </c>
      <c r="Q2" s="24">
        <v>1</v>
      </c>
      <c r="R2" s="24">
        <v>1</v>
      </c>
      <c r="S2" s="25">
        <v>0</v>
      </c>
      <c r="T2" s="24">
        <v>0</v>
      </c>
      <c r="U2" s="24">
        <v>-0.2</v>
      </c>
      <c r="V2" s="24">
        <v>0</v>
      </c>
      <c r="W2" s="24">
        <v>-0.2</v>
      </c>
      <c r="X2" s="24">
        <v>0</v>
      </c>
      <c r="Y2" s="24">
        <v>0</v>
      </c>
      <c r="Z2" s="24">
        <v>-0.2</v>
      </c>
      <c r="AA2" s="24">
        <v>0</v>
      </c>
      <c r="AB2" s="24">
        <v>-0.2</v>
      </c>
      <c r="AC2" s="24">
        <v>0</v>
      </c>
      <c r="AD2" s="24">
        <v>0</v>
      </c>
      <c r="AE2" s="24">
        <v>-0.2</v>
      </c>
      <c r="AF2" s="24">
        <v>0</v>
      </c>
      <c r="AG2" s="24">
        <v>-0.2</v>
      </c>
      <c r="AH2" s="24">
        <v>0</v>
      </c>
      <c r="AI2" s="16" t="s"/>
      <c r="AJ2" s="72">
        <f>=F2*247.95</f>
        <v>278447.85</v>
      </c>
      <c r="AK2" s="72">
        <f>=G2*32.6061</f>
        <v>1956.366</v>
      </c>
      <c r="AL2" s="72">
        <f>=J2*2.35</f>
        <v>1410</v>
      </c>
      <c r="AM2" s="72">
        <f>=H2*15.88</f>
        <v>635.2</v>
      </c>
    </row>
    <row r="3" spans="1:39">
      <c r="A3" s="24" t="s">
        <v>1124</v>
      </c>
      <c r="B3" s="24" t="s">
        <v>1125</v>
      </c>
      <c r="C3" s="24" t="s">
        <v>1126</v>
      </c>
      <c r="D3" s="24">
        <v>900011012</v>
      </c>
      <c r="E3" s="24">
        <v>11012</v>
      </c>
      <c r="F3" s="24">
        <v>1373</v>
      </c>
      <c r="G3" s="24">
        <v>60</v>
      </c>
      <c r="H3" s="24">
        <v>40</v>
      </c>
      <c r="I3" s="25">
        <v>0.5</v>
      </c>
      <c r="J3" s="24">
        <v>900</v>
      </c>
      <c r="K3" s="24" t="b">
        <v>1</v>
      </c>
      <c r="L3" s="25">
        <v>0</v>
      </c>
      <c r="M3" s="47">
        <v>0</v>
      </c>
      <c r="N3" s="25">
        <v>0.1538</v>
      </c>
      <c r="O3" s="47">
        <v>6.501951</v>
      </c>
      <c r="P3" s="25">
        <v>0.5</v>
      </c>
      <c r="Q3" s="24">
        <v>1</v>
      </c>
      <c r="R3" s="24">
        <v>1</v>
      </c>
      <c r="S3" s="25">
        <v>0</v>
      </c>
      <c r="T3" s="24">
        <v>0</v>
      </c>
      <c r="U3" s="24">
        <v>-0.2</v>
      </c>
      <c r="V3" s="24">
        <v>0</v>
      </c>
      <c r="W3" s="24">
        <v>-0.2</v>
      </c>
      <c r="X3" s="24">
        <v>0</v>
      </c>
      <c r="Y3" s="24">
        <v>0</v>
      </c>
      <c r="Z3" s="24">
        <v>-0.2</v>
      </c>
      <c r="AA3" s="24">
        <v>0</v>
      </c>
      <c r="AB3" s="24">
        <v>-0.2</v>
      </c>
      <c r="AC3" s="24">
        <v>0</v>
      </c>
      <c r="AD3" s="24">
        <v>0</v>
      </c>
      <c r="AE3" s="24">
        <v>-0.2</v>
      </c>
      <c r="AF3" s="24">
        <v>0</v>
      </c>
      <c r="AG3" s="24">
        <v>-0.2</v>
      </c>
      <c r="AH3" s="24">
        <v>0</v>
      </c>
      <c r="AI3" s="16" t="s"/>
      <c r="AJ3" s="72">
        <f>=F3*247.95</f>
        <v>340435.35</v>
      </c>
      <c r="AK3" s="72">
        <f>=G3*32.6061</f>
        <v>1956.366</v>
      </c>
      <c r="AL3" s="72">
        <f>=J3*2.35</f>
        <v>2115</v>
      </c>
      <c r="AM3" s="72">
        <f>=H3*15.88</f>
        <v>635.2</v>
      </c>
    </row>
    <row r="4" spans="1:39">
      <c r="A4" s="24" t="s">
        <v>1140</v>
      </c>
      <c r="B4" s="24" t="s">
        <v>1141</v>
      </c>
      <c r="C4" s="24" t="s">
        <v>1142</v>
      </c>
      <c r="D4" s="24">
        <v>900011021</v>
      </c>
      <c r="E4" s="24">
        <v>11021</v>
      </c>
      <c r="F4" s="24">
        <v>923</v>
      </c>
      <c r="G4" s="24">
        <v>54</v>
      </c>
      <c r="H4" s="24">
        <v>40</v>
      </c>
      <c r="I4" s="25">
        <v>0.5</v>
      </c>
      <c r="J4" s="24">
        <v>360</v>
      </c>
      <c r="K4" s="24" t="b">
        <v>1</v>
      </c>
      <c r="L4" s="25">
        <v>0</v>
      </c>
      <c r="M4" s="47">
        <v>0</v>
      </c>
      <c r="N4" s="25">
        <v>0.1538</v>
      </c>
      <c r="O4" s="47">
        <v>6.501951</v>
      </c>
      <c r="P4" s="25">
        <v>0.5</v>
      </c>
      <c r="Q4" s="24">
        <v>1</v>
      </c>
      <c r="R4" s="24">
        <v>1</v>
      </c>
      <c r="S4" s="25">
        <v>0</v>
      </c>
      <c r="T4" s="24">
        <v>0</v>
      </c>
      <c r="U4" s="24">
        <v>-0.2</v>
      </c>
      <c r="V4" s="24">
        <v>0</v>
      </c>
      <c r="W4" s="24">
        <v>-0.2</v>
      </c>
      <c r="X4" s="24">
        <v>0</v>
      </c>
      <c r="Y4" s="24">
        <v>0</v>
      </c>
      <c r="Z4" s="24">
        <v>-0.2</v>
      </c>
      <c r="AA4" s="24">
        <v>0</v>
      </c>
      <c r="AB4" s="24">
        <v>-0.2</v>
      </c>
      <c r="AC4" s="24">
        <v>0</v>
      </c>
      <c r="AD4" s="24">
        <v>0</v>
      </c>
      <c r="AE4" s="24">
        <v>-0.2</v>
      </c>
      <c r="AF4" s="24">
        <v>0</v>
      </c>
      <c r="AG4" s="24">
        <v>-0.2</v>
      </c>
      <c r="AH4" s="24">
        <v>0</v>
      </c>
      <c r="AI4" s="16" t="s"/>
      <c r="AJ4" s="72">
        <f>=F4*247.95</f>
        <v>228857.85</v>
      </c>
      <c r="AK4" s="72">
        <f>=G4*32.6061</f>
        <v>1760.7294</v>
      </c>
      <c r="AL4" s="72">
        <f>=J4*2.35</f>
        <v>846</v>
      </c>
      <c r="AM4" s="72">
        <f>=H4*15.88</f>
        <v>635.2</v>
      </c>
    </row>
    <row r="5" spans="1:39">
      <c r="A5" s="24" t="s">
        <v>1140</v>
      </c>
      <c r="B5" s="24" t="s">
        <v>1141</v>
      </c>
      <c r="C5" s="24" t="s">
        <v>1142</v>
      </c>
      <c r="D5" s="24">
        <v>900011022</v>
      </c>
      <c r="E5" s="24">
        <v>11022</v>
      </c>
      <c r="F5" s="24">
        <v>1073</v>
      </c>
      <c r="G5" s="24">
        <v>54</v>
      </c>
      <c r="H5" s="24">
        <v>40</v>
      </c>
      <c r="I5" s="25">
        <v>0.5</v>
      </c>
      <c r="J5" s="24">
        <v>540</v>
      </c>
      <c r="K5" s="24" t="b">
        <v>1</v>
      </c>
      <c r="L5" s="25">
        <v>0</v>
      </c>
      <c r="M5" s="47">
        <v>0</v>
      </c>
      <c r="N5" s="25">
        <v>0.1538</v>
      </c>
      <c r="O5" s="47">
        <v>6.501951</v>
      </c>
      <c r="P5" s="25">
        <v>0.5</v>
      </c>
      <c r="Q5" s="24">
        <v>1</v>
      </c>
      <c r="R5" s="24">
        <v>1</v>
      </c>
      <c r="S5" s="25">
        <v>0</v>
      </c>
      <c r="T5" s="24">
        <v>0</v>
      </c>
      <c r="U5" s="24">
        <v>-0.2</v>
      </c>
      <c r="V5" s="24">
        <v>0</v>
      </c>
      <c r="W5" s="24">
        <v>-0.2</v>
      </c>
      <c r="X5" s="24">
        <v>0</v>
      </c>
      <c r="Y5" s="24">
        <v>0</v>
      </c>
      <c r="Z5" s="24">
        <v>-0.2</v>
      </c>
      <c r="AA5" s="24">
        <v>0</v>
      </c>
      <c r="AB5" s="24">
        <v>-0.2</v>
      </c>
      <c r="AC5" s="24">
        <v>0</v>
      </c>
      <c r="AD5" s="24">
        <v>0</v>
      </c>
      <c r="AE5" s="24">
        <v>-0.2</v>
      </c>
      <c r="AF5" s="24">
        <v>0</v>
      </c>
      <c r="AG5" s="24">
        <v>-0.2</v>
      </c>
      <c r="AH5" s="24">
        <v>0</v>
      </c>
      <c r="AI5" s="16" t="s"/>
      <c r="AJ5" s="72">
        <f>=F5*247.95</f>
        <v>266050.35</v>
      </c>
      <c r="AK5" s="72">
        <f>=G5*32.6061</f>
        <v>1760.7294</v>
      </c>
      <c r="AL5" s="72">
        <f>=J5*2.35</f>
        <v>1269</v>
      </c>
      <c r="AM5" s="72">
        <f>=H5*15.88</f>
        <v>635.2</v>
      </c>
    </row>
    <row r="6" spans="1:39">
      <c r="A6" s="24" t="s">
        <v>1178</v>
      </c>
      <c r="B6" s="24" t="s">
        <v>1179</v>
      </c>
      <c r="C6" s="24" t="s">
        <v>1180</v>
      </c>
      <c r="D6" s="24">
        <v>900011031</v>
      </c>
      <c r="E6" s="24">
        <v>11031</v>
      </c>
      <c r="F6" s="24">
        <v>1123</v>
      </c>
      <c r="G6" s="24">
        <v>60</v>
      </c>
      <c r="H6" s="24">
        <v>46</v>
      </c>
      <c r="I6" s="25">
        <v>0.5</v>
      </c>
      <c r="J6" s="24">
        <v>600</v>
      </c>
      <c r="K6" s="24" t="b">
        <v>1</v>
      </c>
      <c r="L6" s="25">
        <v>0</v>
      </c>
      <c r="M6" s="47">
        <v>0</v>
      </c>
      <c r="N6" s="25">
        <v>0.1538</v>
      </c>
      <c r="O6" s="47">
        <v>6.501951</v>
      </c>
      <c r="P6" s="25">
        <v>0.25</v>
      </c>
      <c r="Q6" s="24">
        <v>1</v>
      </c>
      <c r="R6" s="24">
        <v>1</v>
      </c>
      <c r="S6" s="25">
        <v>0</v>
      </c>
      <c r="T6" s="24">
        <v>0</v>
      </c>
      <c r="U6" s="24">
        <v>-0.2</v>
      </c>
      <c r="V6" s="24">
        <v>0</v>
      </c>
      <c r="W6" s="24">
        <v>-0.2</v>
      </c>
      <c r="X6" s="24">
        <v>0</v>
      </c>
      <c r="Y6" s="24">
        <v>0</v>
      </c>
      <c r="Z6" s="24">
        <v>-0.2</v>
      </c>
      <c r="AA6" s="24">
        <v>0</v>
      </c>
      <c r="AB6" s="24">
        <v>-0.2</v>
      </c>
      <c r="AC6" s="24">
        <v>0</v>
      </c>
      <c r="AD6" s="24">
        <v>0</v>
      </c>
      <c r="AE6" s="24">
        <v>-0.2</v>
      </c>
      <c r="AF6" s="24">
        <v>0</v>
      </c>
      <c r="AG6" s="24">
        <v>-0.2</v>
      </c>
      <c r="AH6" s="24">
        <v>0</v>
      </c>
      <c r="AI6" s="16" t="s"/>
      <c r="AJ6" s="72">
        <f>=F6*247.95</f>
        <v>278447.85</v>
      </c>
      <c r="AK6" s="72">
        <f>=G6*32.6061</f>
        <v>1956.366</v>
      </c>
      <c r="AL6" s="72">
        <f>=J6*2.35</f>
        <v>1410</v>
      </c>
      <c r="AM6" s="72">
        <f>=H6*15.88</f>
        <v>730.48</v>
      </c>
    </row>
    <row r="7" spans="1:39">
      <c r="A7" s="24" t="s">
        <v>1178</v>
      </c>
      <c r="B7" s="24" t="s">
        <v>1179</v>
      </c>
      <c r="C7" s="24" t="s">
        <v>1180</v>
      </c>
      <c r="D7" s="24">
        <v>900011032</v>
      </c>
      <c r="E7" s="24">
        <v>11032</v>
      </c>
      <c r="F7" s="24">
        <v>1373</v>
      </c>
      <c r="G7" s="24">
        <v>60</v>
      </c>
      <c r="H7" s="24">
        <v>46</v>
      </c>
      <c r="I7" s="25">
        <v>0.5</v>
      </c>
      <c r="J7" s="24">
        <v>900</v>
      </c>
      <c r="K7" s="24" t="b">
        <v>1</v>
      </c>
      <c r="L7" s="25">
        <v>0</v>
      </c>
      <c r="M7" s="47">
        <v>0</v>
      </c>
      <c r="N7" s="25">
        <v>0.1538</v>
      </c>
      <c r="O7" s="47">
        <v>6.501951</v>
      </c>
      <c r="P7" s="25">
        <v>0.25</v>
      </c>
      <c r="Q7" s="24">
        <v>1</v>
      </c>
      <c r="R7" s="24">
        <v>1</v>
      </c>
      <c r="S7" s="25">
        <v>0</v>
      </c>
      <c r="T7" s="24">
        <v>0</v>
      </c>
      <c r="U7" s="24">
        <v>-0.2</v>
      </c>
      <c r="V7" s="24">
        <v>0</v>
      </c>
      <c r="W7" s="24">
        <v>-0.2</v>
      </c>
      <c r="X7" s="24">
        <v>0</v>
      </c>
      <c r="Y7" s="24">
        <v>0</v>
      </c>
      <c r="Z7" s="24">
        <v>-0.2</v>
      </c>
      <c r="AA7" s="24">
        <v>0</v>
      </c>
      <c r="AB7" s="24">
        <v>-0.2</v>
      </c>
      <c r="AC7" s="24">
        <v>0</v>
      </c>
      <c r="AD7" s="24">
        <v>0</v>
      </c>
      <c r="AE7" s="24">
        <v>-0.2</v>
      </c>
      <c r="AF7" s="24">
        <v>0</v>
      </c>
      <c r="AG7" s="24">
        <v>-0.2</v>
      </c>
      <c r="AH7" s="24">
        <v>0</v>
      </c>
      <c r="AJ7" s="72">
        <f>=F7*247.95</f>
        <v>340435.35</v>
      </c>
      <c r="AK7" s="72">
        <f>=G7*32.6061</f>
        <v>1956.366</v>
      </c>
      <c r="AL7" s="72">
        <f>=J7*2.35</f>
        <v>2115</v>
      </c>
      <c r="AM7" s="72">
        <f>=H7*15.88</f>
        <v>730.48</v>
      </c>
    </row>
    <row r="8" spans="1:39">
      <c r="A8" s="24" t="s">
        <v>1151</v>
      </c>
      <c r="B8" s="24" t="s">
        <v>1152</v>
      </c>
      <c r="C8" s="24" t="s">
        <v>1153</v>
      </c>
      <c r="D8" s="24">
        <v>900011041</v>
      </c>
      <c r="E8" s="24">
        <v>11041</v>
      </c>
      <c r="F8" s="24">
        <v>6422</v>
      </c>
      <c r="G8" s="24">
        <v>84</v>
      </c>
      <c r="H8" s="24">
        <v>54</v>
      </c>
      <c r="I8" s="25">
        <v>0.5</v>
      </c>
      <c r="J8" s="24">
        <v>2817</v>
      </c>
      <c r="K8" s="24" t="b">
        <v>1</v>
      </c>
      <c r="L8" s="25">
        <v>0</v>
      </c>
      <c r="M8" s="47">
        <v>0</v>
      </c>
      <c r="N8" s="25">
        <v>0.1</v>
      </c>
      <c r="O8" s="47">
        <v>10</v>
      </c>
      <c r="P8" s="25">
        <v>0.5</v>
      </c>
      <c r="Q8" s="24">
        <v>2</v>
      </c>
      <c r="R8" s="24">
        <v>3</v>
      </c>
      <c r="S8" s="25">
        <v>0.5</v>
      </c>
      <c r="T8" s="24">
        <v>0</v>
      </c>
      <c r="U8" s="24">
        <v>0</v>
      </c>
      <c r="V8" s="24">
        <v>-0.2</v>
      </c>
      <c r="W8" s="24">
        <v>0.2</v>
      </c>
      <c r="X8" s="24">
        <v>0</v>
      </c>
      <c r="Y8" s="24">
        <v>0</v>
      </c>
      <c r="Z8" s="24">
        <v>0</v>
      </c>
      <c r="AA8" s="24">
        <v>-0.2</v>
      </c>
      <c r="AB8" s="24">
        <v>0.2</v>
      </c>
      <c r="AC8" s="24">
        <v>0</v>
      </c>
      <c r="AD8" s="24">
        <v>0</v>
      </c>
      <c r="AE8" s="24">
        <v>0</v>
      </c>
      <c r="AF8" s="24">
        <v>-0.2</v>
      </c>
      <c r="AG8" s="24">
        <v>0.2</v>
      </c>
      <c r="AH8" s="24">
        <v>0</v>
      </c>
      <c r="AI8" s="16">
        <v>3</v>
      </c>
      <c r="AJ8" s="72">
        <f>=F8*247.95</f>
        <v>1592334.9</v>
      </c>
      <c r="AK8" s="72">
        <f>=G8*32.6061</f>
        <v>2738.9124</v>
      </c>
      <c r="AL8" s="72">
        <f>=J8*2.35</f>
        <v>6619.95</v>
      </c>
      <c r="AM8" s="72">
        <f>=H8*15.88</f>
        <v>857.52</v>
      </c>
    </row>
    <row r="9" spans="1:39">
      <c r="A9" s="24" t="s">
        <v>1151</v>
      </c>
      <c r="B9" s="24" t="s">
        <v>1152</v>
      </c>
      <c r="C9" s="24" t="s">
        <v>1153</v>
      </c>
      <c r="D9" s="24">
        <v>900011044</v>
      </c>
      <c r="E9" s="24">
        <v>11044</v>
      </c>
      <c r="F9" s="24">
        <v>6663</v>
      </c>
      <c r="G9" s="24">
        <v>96</v>
      </c>
      <c r="H9" s="24">
        <v>54</v>
      </c>
      <c r="I9" s="25">
        <v>0.5</v>
      </c>
      <c r="J9" s="24">
        <v>3266</v>
      </c>
      <c r="K9" s="24" t="b">
        <v>1</v>
      </c>
      <c r="L9" s="25">
        <v>0</v>
      </c>
      <c r="M9" s="47">
        <v>0</v>
      </c>
      <c r="N9" s="25">
        <v>0.1</v>
      </c>
      <c r="O9" s="47">
        <v>10</v>
      </c>
      <c r="P9" s="25">
        <v>0.5</v>
      </c>
      <c r="Q9" s="24">
        <v>2</v>
      </c>
      <c r="R9" s="24">
        <v>5</v>
      </c>
      <c r="S9" s="25">
        <v>0.5</v>
      </c>
      <c r="T9" s="24">
        <v>0</v>
      </c>
      <c r="U9" s="24">
        <v>0</v>
      </c>
      <c r="V9" s="24">
        <v>-0.2</v>
      </c>
      <c r="W9" s="24">
        <v>0.2</v>
      </c>
      <c r="X9" s="24">
        <v>0</v>
      </c>
      <c r="Y9" s="24">
        <v>0</v>
      </c>
      <c r="Z9" s="24">
        <v>0</v>
      </c>
      <c r="AA9" s="24">
        <v>-0.2</v>
      </c>
      <c r="AB9" s="24">
        <v>0.2</v>
      </c>
      <c r="AC9" s="24">
        <v>0</v>
      </c>
      <c r="AD9" s="24">
        <v>0</v>
      </c>
      <c r="AE9" s="24">
        <v>0</v>
      </c>
      <c r="AF9" s="24">
        <v>-0.2</v>
      </c>
      <c r="AG9" s="24">
        <v>0.2</v>
      </c>
      <c r="AH9" s="24">
        <v>0</v>
      </c>
      <c r="AI9" s="16">
        <v>3</v>
      </c>
      <c r="AJ9" s="72">
        <f>=F9*247.95</f>
        <v>1652090.85</v>
      </c>
      <c r="AK9" s="72">
        <f>=G9*32.6061</f>
        <v>3130.1856</v>
      </c>
      <c r="AL9" s="72">
        <f>=J9*2.35</f>
        <v>7675.1</v>
      </c>
      <c r="AM9" s="72">
        <f>=H9*15.88</f>
        <v>857.52</v>
      </c>
    </row>
    <row r="10" spans="1:39">
      <c r="A10" s="24" t="s">
        <v>1184</v>
      </c>
      <c r="B10" s="24" t="s">
        <v>1185</v>
      </c>
      <c r="C10" s="24" t="s">
        <v>1186</v>
      </c>
      <c r="D10" s="24">
        <v>900011045</v>
      </c>
      <c r="E10" s="24">
        <v>11045</v>
      </c>
      <c r="F10" s="24">
        <v>6663</v>
      </c>
      <c r="G10" s="24">
        <v>96</v>
      </c>
      <c r="H10" s="24">
        <v>54</v>
      </c>
      <c r="I10" s="25">
        <v>0.5</v>
      </c>
      <c r="J10" s="24">
        <v>3266</v>
      </c>
      <c r="K10" s="24" t="b">
        <v>1</v>
      </c>
      <c r="L10" s="25">
        <v>0</v>
      </c>
      <c r="M10" s="47">
        <v>0</v>
      </c>
      <c r="N10" s="25">
        <v>0.1</v>
      </c>
      <c r="O10" s="47">
        <v>10</v>
      </c>
      <c r="P10" s="25">
        <v>0.5</v>
      </c>
      <c r="Q10" s="24">
        <v>2</v>
      </c>
      <c r="R10" s="24">
        <v>5</v>
      </c>
      <c r="S10" s="25">
        <v>0.5</v>
      </c>
      <c r="T10" s="24">
        <v>0</v>
      </c>
      <c r="U10" s="24">
        <v>0</v>
      </c>
      <c r="V10" s="24">
        <v>-0.2</v>
      </c>
      <c r="W10" s="24">
        <v>0.2</v>
      </c>
      <c r="X10" s="24">
        <v>0</v>
      </c>
      <c r="Y10" s="24">
        <v>0</v>
      </c>
      <c r="Z10" s="24">
        <v>0</v>
      </c>
      <c r="AA10" s="24">
        <v>-0.2</v>
      </c>
      <c r="AB10" s="24">
        <v>0.2</v>
      </c>
      <c r="AC10" s="24">
        <v>0</v>
      </c>
      <c r="AD10" s="24">
        <v>0</v>
      </c>
      <c r="AE10" s="24">
        <v>0</v>
      </c>
      <c r="AF10" s="24">
        <v>-0.2</v>
      </c>
      <c r="AG10" s="24">
        <v>0.2</v>
      </c>
      <c r="AH10" s="24">
        <v>0</v>
      </c>
      <c r="AI10" s="16">
        <v>3</v>
      </c>
      <c r="AJ10" s="72">
        <f>=F10*247.95</f>
        <v>1652090.85</v>
      </c>
      <c r="AK10" s="72">
        <f>=G10*32.6061</f>
        <v>3130.1856</v>
      </c>
      <c r="AL10" s="72">
        <f>=J10*2.35</f>
        <v>7675.1</v>
      </c>
      <c r="AM10" s="72">
        <f>=H10*15.88</f>
        <v>857.52</v>
      </c>
    </row>
    <row r="11" spans="1:39">
      <c r="A11" s="24" t="s">
        <v>1184</v>
      </c>
      <c r="B11" s="24" t="s">
        <v>1185</v>
      </c>
      <c r="C11" s="24" t="s">
        <v>1186</v>
      </c>
      <c r="D11" s="24">
        <v>900011046</v>
      </c>
      <c r="E11" s="24">
        <v>11046</v>
      </c>
      <c r="F11" s="24">
        <v>6422</v>
      </c>
      <c r="G11" s="24">
        <v>84</v>
      </c>
      <c r="H11" s="24">
        <v>54</v>
      </c>
      <c r="I11" s="25">
        <v>0.5</v>
      </c>
      <c r="J11" s="24">
        <v>2817</v>
      </c>
      <c r="K11" s="24" t="b">
        <v>1</v>
      </c>
      <c r="L11" s="25">
        <v>0</v>
      </c>
      <c r="M11" s="47">
        <v>0</v>
      </c>
      <c r="N11" s="25">
        <v>0.1</v>
      </c>
      <c r="O11" s="47">
        <v>10</v>
      </c>
      <c r="P11" s="25">
        <v>0.5</v>
      </c>
      <c r="Q11" s="24">
        <v>2</v>
      </c>
      <c r="R11" s="24">
        <v>3</v>
      </c>
      <c r="S11" s="25">
        <v>0.5</v>
      </c>
      <c r="T11" s="24">
        <v>0</v>
      </c>
      <c r="U11" s="24">
        <v>0</v>
      </c>
      <c r="V11" s="24">
        <v>-0.2</v>
      </c>
      <c r="W11" s="24">
        <v>0.2</v>
      </c>
      <c r="X11" s="24">
        <v>0</v>
      </c>
      <c r="Y11" s="24">
        <v>0</v>
      </c>
      <c r="Z11" s="24">
        <v>0</v>
      </c>
      <c r="AA11" s="24">
        <v>-0.2</v>
      </c>
      <c r="AB11" s="24">
        <v>0.2</v>
      </c>
      <c r="AC11" s="24">
        <v>0</v>
      </c>
      <c r="AD11" s="24">
        <v>0</v>
      </c>
      <c r="AE11" s="24">
        <v>0</v>
      </c>
      <c r="AF11" s="24">
        <v>-0.2</v>
      </c>
      <c r="AG11" s="24">
        <v>0.2</v>
      </c>
      <c r="AH11" s="24">
        <v>0</v>
      </c>
      <c r="AI11" s="16">
        <v>3</v>
      </c>
      <c r="AJ11" s="72">
        <f>=F11*247.95</f>
        <v>1592334.9</v>
      </c>
      <c r="AK11" s="72">
        <f>=G11*32.6061</f>
        <v>2738.9124</v>
      </c>
      <c r="AL11" s="72">
        <f>=J11*2.35</f>
        <v>6619.95</v>
      </c>
      <c r="AM11" s="72">
        <f>=H11*15.88</f>
        <v>857.52</v>
      </c>
    </row>
    <row r="12" spans="1:39">
      <c r="A12" s="24" t="s">
        <v>1189</v>
      </c>
      <c r="B12" s="24" t="s">
        <v>1190</v>
      </c>
      <c r="C12" s="24" t="s">
        <v>1191</v>
      </c>
      <c r="D12" s="24">
        <v>900011051</v>
      </c>
      <c r="E12" s="24">
        <v>11051</v>
      </c>
      <c r="F12" s="24">
        <v>8045</v>
      </c>
      <c r="G12" s="24">
        <v>92</v>
      </c>
      <c r="H12" s="24">
        <v>54</v>
      </c>
      <c r="I12" s="25">
        <v>0.5</v>
      </c>
      <c r="J12" s="24">
        <v>3593</v>
      </c>
      <c r="K12" s="24" t="b">
        <v>1</v>
      </c>
      <c r="L12" s="25">
        <v>0</v>
      </c>
      <c r="M12" s="47">
        <v>0</v>
      </c>
      <c r="N12" s="25">
        <v>0.0769</v>
      </c>
      <c r="O12" s="47">
        <v>13.0039</v>
      </c>
      <c r="P12" s="25">
        <v>0.5</v>
      </c>
      <c r="Q12" s="24">
        <v>2</v>
      </c>
      <c r="R12" s="24">
        <v>5</v>
      </c>
      <c r="S12" s="25">
        <v>0.5</v>
      </c>
      <c r="T12" s="24">
        <v>0</v>
      </c>
      <c r="U12" s="24">
        <v>0.2</v>
      </c>
      <c r="V12" s="24">
        <v>-0.2</v>
      </c>
      <c r="W12" s="24">
        <v>0</v>
      </c>
      <c r="X12" s="24">
        <v>0</v>
      </c>
      <c r="Y12" s="24">
        <v>0</v>
      </c>
      <c r="Z12" s="24">
        <v>0.2</v>
      </c>
      <c r="AA12" s="24">
        <v>-0.2</v>
      </c>
      <c r="AB12" s="24">
        <v>0</v>
      </c>
      <c r="AC12" s="24">
        <v>0</v>
      </c>
      <c r="AD12" s="24">
        <v>0</v>
      </c>
      <c r="AE12" s="24">
        <v>0.2</v>
      </c>
      <c r="AF12" s="24">
        <v>-0.2</v>
      </c>
      <c r="AG12" s="24">
        <v>0</v>
      </c>
      <c r="AH12" s="24">
        <v>0</v>
      </c>
      <c r="AI12" s="16">
        <v>3</v>
      </c>
      <c r="AJ12" s="72">
        <f>=F12*247.95</f>
        <v>1994757.75</v>
      </c>
      <c r="AK12" s="72">
        <f>=G12*32.6061</f>
        <v>2999.7612</v>
      </c>
      <c r="AL12" s="72">
        <f>=J12*2.35</f>
        <v>8443.55</v>
      </c>
      <c r="AM12" s="72">
        <f>=H12*15.88</f>
        <v>857.52</v>
      </c>
    </row>
    <row r="13" spans="1:39">
      <c r="A13" s="24" t="s">
        <v>1189</v>
      </c>
      <c r="B13" s="24" t="s">
        <v>1190</v>
      </c>
      <c r="C13" s="24" t="s">
        <v>1191</v>
      </c>
      <c r="D13" s="24">
        <v>900011052</v>
      </c>
      <c r="E13" s="24">
        <v>11052</v>
      </c>
      <c r="F13" s="24">
        <v>8364</v>
      </c>
      <c r="G13" s="24">
        <v>106</v>
      </c>
      <c r="H13" s="24">
        <v>54</v>
      </c>
      <c r="I13" s="25">
        <v>0.5</v>
      </c>
      <c r="J13" s="24">
        <v>4184</v>
      </c>
      <c r="K13" s="24" t="b">
        <v>1</v>
      </c>
      <c r="L13" s="25">
        <v>0</v>
      </c>
      <c r="M13" s="47">
        <v>0</v>
      </c>
      <c r="N13" s="25">
        <v>0.0769</v>
      </c>
      <c r="O13" s="47">
        <v>13.0039</v>
      </c>
      <c r="P13" s="25">
        <v>0.5</v>
      </c>
      <c r="Q13" s="24">
        <v>2</v>
      </c>
      <c r="R13" s="24">
        <v>5</v>
      </c>
      <c r="S13" s="25">
        <v>0.5</v>
      </c>
      <c r="T13" s="24">
        <v>0</v>
      </c>
      <c r="U13" s="24">
        <v>0.2</v>
      </c>
      <c r="V13" s="24">
        <v>-0.2</v>
      </c>
      <c r="W13" s="24">
        <v>0</v>
      </c>
      <c r="X13" s="24">
        <v>0</v>
      </c>
      <c r="Y13" s="24">
        <v>0</v>
      </c>
      <c r="Z13" s="24">
        <v>0.2</v>
      </c>
      <c r="AA13" s="24">
        <v>-0.2</v>
      </c>
      <c r="AB13" s="24">
        <v>0</v>
      </c>
      <c r="AC13" s="24">
        <v>0</v>
      </c>
      <c r="AD13" s="24">
        <v>0</v>
      </c>
      <c r="AE13" s="24">
        <v>0.2</v>
      </c>
      <c r="AF13" s="24">
        <v>-0.2</v>
      </c>
      <c r="AG13" s="24">
        <v>0</v>
      </c>
      <c r="AH13" s="24">
        <v>0</v>
      </c>
      <c r="AI13" s="16">
        <v>3</v>
      </c>
      <c r="AJ13" s="72">
        <f>=F13*247.95</f>
        <v>2073853.8</v>
      </c>
      <c r="AK13" s="72">
        <f>=G13*32.6061</f>
        <v>3456.2466</v>
      </c>
      <c r="AL13" s="72">
        <f>=J13*2.35</f>
        <v>9832.4</v>
      </c>
      <c r="AM13" s="72">
        <f>=H13*15.88</f>
        <v>857.52</v>
      </c>
    </row>
    <row r="14" spans="1:39">
      <c r="A14" s="24" t="s">
        <v>1189</v>
      </c>
      <c r="B14" s="24" t="s">
        <v>1190</v>
      </c>
      <c r="C14" s="24" t="s">
        <v>1191</v>
      </c>
      <c r="D14" s="24">
        <v>900011054</v>
      </c>
      <c r="E14" s="24">
        <v>11054</v>
      </c>
      <c r="F14" s="24">
        <v>8045</v>
      </c>
      <c r="G14" s="24">
        <v>92</v>
      </c>
      <c r="H14" s="24">
        <v>54</v>
      </c>
      <c r="I14" s="25">
        <v>0.5</v>
      </c>
      <c r="J14" s="24">
        <v>3593</v>
      </c>
      <c r="K14" s="24" t="b">
        <v>1</v>
      </c>
      <c r="L14" s="25">
        <v>0</v>
      </c>
      <c r="M14" s="47">
        <v>0</v>
      </c>
      <c r="N14" s="25">
        <v>0.0769</v>
      </c>
      <c r="O14" s="47">
        <v>13.0039</v>
      </c>
      <c r="P14" s="25">
        <v>0.5</v>
      </c>
      <c r="Q14" s="24">
        <v>2</v>
      </c>
      <c r="R14" s="24">
        <v>5</v>
      </c>
      <c r="S14" s="25">
        <v>0.5</v>
      </c>
      <c r="T14" s="24">
        <v>0</v>
      </c>
      <c r="U14" s="24">
        <v>0.2</v>
      </c>
      <c r="V14" s="24">
        <v>-0.2</v>
      </c>
      <c r="W14" s="24">
        <v>0</v>
      </c>
      <c r="X14" s="24">
        <v>0</v>
      </c>
      <c r="Y14" s="24">
        <v>0</v>
      </c>
      <c r="Z14" s="24">
        <v>0.2</v>
      </c>
      <c r="AA14" s="24">
        <v>-0.2</v>
      </c>
      <c r="AB14" s="24">
        <v>0</v>
      </c>
      <c r="AC14" s="24">
        <v>0</v>
      </c>
      <c r="AD14" s="24">
        <v>0</v>
      </c>
      <c r="AE14" s="24">
        <v>0.2</v>
      </c>
      <c r="AF14" s="24">
        <v>-0.2</v>
      </c>
      <c r="AG14" s="24">
        <v>0</v>
      </c>
      <c r="AH14" s="24">
        <v>0</v>
      </c>
      <c r="AI14" s="16">
        <v>3</v>
      </c>
      <c r="AJ14" s="72">
        <f>=F14*247.95</f>
        <v>1994757.75</v>
      </c>
      <c r="AK14" s="72">
        <f>=G14*32.6061</f>
        <v>2999.7612</v>
      </c>
      <c r="AL14" s="72">
        <f>=J14*2.35</f>
        <v>8443.55</v>
      </c>
      <c r="AM14" s="72">
        <f>=H14*15.88</f>
        <v>857.52</v>
      </c>
    </row>
    <row r="15" spans="1:39">
      <c r="A15" s="24" t="s">
        <v>1189</v>
      </c>
      <c r="B15" s="24" t="s">
        <v>1190</v>
      </c>
      <c r="C15" s="24" t="s">
        <v>1191</v>
      </c>
      <c r="D15" s="24">
        <v>900011056</v>
      </c>
      <c r="E15" s="24">
        <v>11056</v>
      </c>
      <c r="F15" s="24">
        <v>8045</v>
      </c>
      <c r="G15" s="24">
        <v>92</v>
      </c>
      <c r="H15" s="24">
        <v>54</v>
      </c>
      <c r="I15" s="25">
        <v>0.5</v>
      </c>
      <c r="J15" s="24">
        <v>3593</v>
      </c>
      <c r="K15" s="24" t="b">
        <v>1</v>
      </c>
      <c r="L15" s="25">
        <v>0</v>
      </c>
      <c r="M15" s="47">
        <v>0</v>
      </c>
      <c r="N15" s="25">
        <v>0.0769</v>
      </c>
      <c r="O15" s="47">
        <v>13.0039</v>
      </c>
      <c r="P15" s="25">
        <v>0.5</v>
      </c>
      <c r="Q15" s="24">
        <v>2</v>
      </c>
      <c r="R15" s="24">
        <v>5</v>
      </c>
      <c r="S15" s="25">
        <v>0.5</v>
      </c>
      <c r="T15" s="24">
        <v>0</v>
      </c>
      <c r="U15" s="24">
        <v>0.2</v>
      </c>
      <c r="V15" s="24">
        <v>-0.2</v>
      </c>
      <c r="W15" s="24">
        <v>0</v>
      </c>
      <c r="X15" s="24">
        <v>0</v>
      </c>
      <c r="Y15" s="24">
        <v>0</v>
      </c>
      <c r="Z15" s="24">
        <v>0.2</v>
      </c>
      <c r="AA15" s="24">
        <v>-0.2</v>
      </c>
      <c r="AB15" s="24">
        <v>0</v>
      </c>
      <c r="AC15" s="24">
        <v>0</v>
      </c>
      <c r="AD15" s="24">
        <v>0</v>
      </c>
      <c r="AE15" s="24">
        <v>0.2</v>
      </c>
      <c r="AF15" s="24">
        <v>-0.2</v>
      </c>
      <c r="AG15" s="24">
        <v>0</v>
      </c>
      <c r="AH15" s="24">
        <v>0</v>
      </c>
      <c r="AI15" s="16">
        <v>3</v>
      </c>
      <c r="AJ15" s="72">
        <f>=F15*247.95</f>
        <v>1994757.75</v>
      </c>
      <c r="AK15" s="72">
        <f>=G15*32.6061</f>
        <v>2999.7612</v>
      </c>
      <c r="AL15" s="72">
        <f>=J15*2.35</f>
        <v>8443.55</v>
      </c>
      <c r="AM15" s="72">
        <f>=H15*15.88</f>
        <v>857.52</v>
      </c>
    </row>
    <row r="16" spans="1:39">
      <c r="A16" s="24" t="s">
        <v>1195</v>
      </c>
      <c r="B16" s="24" t="s">
        <v>1196</v>
      </c>
      <c r="C16" s="24" t="s">
        <v>1197</v>
      </c>
      <c r="D16" s="24">
        <v>900011057</v>
      </c>
      <c r="E16" s="24">
        <v>11057</v>
      </c>
      <c r="F16" s="24">
        <v>15990</v>
      </c>
      <c r="G16" s="24">
        <v>120</v>
      </c>
      <c r="H16" s="24">
        <v>60</v>
      </c>
      <c r="I16" s="25">
        <v>0.5</v>
      </c>
      <c r="J16" s="24">
        <v>4956</v>
      </c>
      <c r="K16" s="24" t="b">
        <v>1</v>
      </c>
      <c r="L16" s="25">
        <v>0</v>
      </c>
      <c r="M16" s="47">
        <v>0</v>
      </c>
      <c r="N16" s="25">
        <v>0.0833</v>
      </c>
      <c r="O16" s="47">
        <v>12.0048</v>
      </c>
      <c r="P16" s="25">
        <v>0.5</v>
      </c>
      <c r="Q16" s="24">
        <v>3</v>
      </c>
      <c r="R16" s="24">
        <v>5</v>
      </c>
      <c r="S16" s="25">
        <v>0.75</v>
      </c>
      <c r="T16" s="24">
        <v>0</v>
      </c>
      <c r="U16" s="24">
        <v>0.2</v>
      </c>
      <c r="V16" s="24">
        <v>-0.2</v>
      </c>
      <c r="W16" s="24">
        <v>0</v>
      </c>
      <c r="X16" s="24">
        <v>0</v>
      </c>
      <c r="Y16" s="24">
        <v>0</v>
      </c>
      <c r="Z16" s="24">
        <v>0.2</v>
      </c>
      <c r="AA16" s="24">
        <v>-0.2</v>
      </c>
      <c r="AB16" s="24">
        <v>0</v>
      </c>
      <c r="AC16" s="24">
        <v>0</v>
      </c>
      <c r="AD16" s="24">
        <v>0</v>
      </c>
      <c r="AE16" s="24">
        <v>0.2</v>
      </c>
      <c r="AF16" s="24">
        <v>-0.2</v>
      </c>
      <c r="AG16" s="24">
        <v>0</v>
      </c>
      <c r="AH16" s="24">
        <v>0</v>
      </c>
      <c r="AI16" s="16">
        <v>5</v>
      </c>
      <c r="AJ16" s="72">
        <f>=F16*247.95</f>
        <v>3964720.5</v>
      </c>
      <c r="AK16" s="72">
        <f>=G16*32.6061</f>
        <v>3912.732</v>
      </c>
      <c r="AL16" s="72">
        <f>=J16*2.35</f>
        <v>11646.6</v>
      </c>
      <c r="AM16" s="72">
        <f>=H16*15.88</f>
        <v>952.8</v>
      </c>
    </row>
    <row r="17" spans="1:39">
      <c r="A17" s="24" t="s">
        <v>1199</v>
      </c>
      <c r="B17" s="24" t="s">
        <v>1200</v>
      </c>
      <c r="C17" s="24" t="s">
        <v>1201</v>
      </c>
      <c r="D17" s="24">
        <v>900011058</v>
      </c>
      <c r="E17" s="24">
        <v>11058</v>
      </c>
      <c r="F17" s="24">
        <v>8045</v>
      </c>
      <c r="G17" s="24">
        <v>92</v>
      </c>
      <c r="H17" s="24">
        <v>54</v>
      </c>
      <c r="I17" s="25">
        <v>0.5</v>
      </c>
      <c r="J17" s="24">
        <v>3593</v>
      </c>
      <c r="K17" s="24" t="b">
        <v>1</v>
      </c>
      <c r="L17" s="25">
        <v>0</v>
      </c>
      <c r="M17" s="47">
        <v>0</v>
      </c>
      <c r="N17" s="25">
        <v>0.0769</v>
      </c>
      <c r="O17" s="47">
        <v>13.0039</v>
      </c>
      <c r="P17" s="25">
        <v>0.5</v>
      </c>
      <c r="Q17" s="24">
        <v>2</v>
      </c>
      <c r="R17" s="24">
        <v>5</v>
      </c>
      <c r="S17" s="25">
        <v>0.5</v>
      </c>
      <c r="T17" s="24">
        <v>0</v>
      </c>
      <c r="U17" s="24">
        <v>-0.2</v>
      </c>
      <c r="V17" s="24">
        <v>0</v>
      </c>
      <c r="W17" s="24">
        <v>-0.2</v>
      </c>
      <c r="X17" s="24">
        <v>0.2</v>
      </c>
      <c r="Y17" s="24">
        <v>0</v>
      </c>
      <c r="Z17" s="24">
        <v>-0.2</v>
      </c>
      <c r="AA17" s="24">
        <v>0</v>
      </c>
      <c r="AB17" s="24">
        <v>-0.2</v>
      </c>
      <c r="AC17" s="24">
        <v>0.2</v>
      </c>
      <c r="AD17" s="24">
        <v>0</v>
      </c>
      <c r="AE17" s="24">
        <v>-0.2</v>
      </c>
      <c r="AF17" s="24">
        <v>0</v>
      </c>
      <c r="AG17" s="24">
        <v>-0.2</v>
      </c>
      <c r="AH17" s="24">
        <v>0.2</v>
      </c>
      <c r="AI17" s="16">
        <v>3</v>
      </c>
      <c r="AJ17" s="72">
        <f>=F17*247.95</f>
        <v>1994757.75</v>
      </c>
      <c r="AK17" s="72">
        <f>=G17*32.6061</f>
        <v>2999.7612</v>
      </c>
      <c r="AL17" s="72">
        <f>=J17*2.35</f>
        <v>8443.55</v>
      </c>
      <c r="AM17" s="72">
        <f>=H17*15.88</f>
        <v>857.52</v>
      </c>
    </row>
    <row r="18" spans="1:39">
      <c r="A18" s="24" t="s">
        <v>1199</v>
      </c>
      <c r="B18" s="24" t="s">
        <v>1200</v>
      </c>
      <c r="C18" s="24" t="s">
        <v>1201</v>
      </c>
      <c r="D18" s="24">
        <v>900011059</v>
      </c>
      <c r="E18" s="24">
        <v>11059</v>
      </c>
      <c r="F18" s="24">
        <v>8364</v>
      </c>
      <c r="G18" s="24">
        <v>106</v>
      </c>
      <c r="H18" s="24">
        <v>54</v>
      </c>
      <c r="I18" s="25">
        <v>0.5</v>
      </c>
      <c r="J18" s="24">
        <v>4184</v>
      </c>
      <c r="K18" s="24" t="b">
        <v>1</v>
      </c>
      <c r="L18" s="25">
        <v>0</v>
      </c>
      <c r="M18" s="47">
        <v>0</v>
      </c>
      <c r="N18" s="25">
        <v>0.0769</v>
      </c>
      <c r="O18" s="47">
        <v>13.0039</v>
      </c>
      <c r="P18" s="25">
        <v>0.5</v>
      </c>
      <c r="Q18" s="24">
        <v>2</v>
      </c>
      <c r="R18" s="24">
        <v>5</v>
      </c>
      <c r="S18" s="25">
        <v>0.5</v>
      </c>
      <c r="T18" s="24">
        <v>0</v>
      </c>
      <c r="U18" s="24">
        <v>-0.2</v>
      </c>
      <c r="V18" s="24">
        <v>0</v>
      </c>
      <c r="W18" s="24">
        <v>-0.2</v>
      </c>
      <c r="X18" s="24">
        <v>0.2</v>
      </c>
      <c r="Y18" s="24">
        <v>0</v>
      </c>
      <c r="Z18" s="24">
        <v>-0.2</v>
      </c>
      <c r="AA18" s="24">
        <v>0</v>
      </c>
      <c r="AB18" s="24">
        <v>-0.2</v>
      </c>
      <c r="AC18" s="24">
        <v>0.2</v>
      </c>
      <c r="AD18" s="24">
        <v>0</v>
      </c>
      <c r="AE18" s="24">
        <v>-0.2</v>
      </c>
      <c r="AF18" s="24">
        <v>0</v>
      </c>
      <c r="AG18" s="24">
        <v>-0.2</v>
      </c>
      <c r="AH18" s="24">
        <v>0.2</v>
      </c>
      <c r="AI18" s="16">
        <v>3</v>
      </c>
      <c r="AJ18" s="72">
        <f>=F18*247.95</f>
        <v>2073853.8</v>
      </c>
      <c r="AK18" s="72">
        <f>=G18*32.6061</f>
        <v>3456.2466</v>
      </c>
      <c r="AL18" s="72">
        <f>=J18*2.35</f>
        <v>9832.4</v>
      </c>
      <c r="AM18" s="72">
        <f>=H18*15.88</f>
        <v>857.52</v>
      </c>
    </row>
    <row r="19" spans="1:39">
      <c r="A19" s="24" t="s">
        <v>1204</v>
      </c>
      <c r="B19" s="24" t="s">
        <v>1205</v>
      </c>
      <c r="C19" s="24" t="s">
        <v>1206</v>
      </c>
      <c r="D19" s="24">
        <v>900011061</v>
      </c>
      <c r="E19" s="24">
        <v>11061</v>
      </c>
      <c r="F19" s="24">
        <v>15551</v>
      </c>
      <c r="G19" s="24">
        <v>132</v>
      </c>
      <c r="H19" s="24">
        <v>60</v>
      </c>
      <c r="I19" s="25">
        <v>0.5</v>
      </c>
      <c r="J19" s="24">
        <v>4508</v>
      </c>
      <c r="K19" s="24" t="b">
        <v>1</v>
      </c>
      <c r="L19" s="25">
        <v>0</v>
      </c>
      <c r="M19" s="47">
        <v>0</v>
      </c>
      <c r="N19" s="25">
        <v>0.0833</v>
      </c>
      <c r="O19" s="47">
        <v>12.0048</v>
      </c>
      <c r="P19" s="25">
        <v>0.5</v>
      </c>
      <c r="Q19" s="24">
        <v>3</v>
      </c>
      <c r="R19" s="24">
        <v>5</v>
      </c>
      <c r="S19" s="25">
        <v>0.75</v>
      </c>
      <c r="T19" s="24">
        <v>0</v>
      </c>
      <c r="U19" s="24">
        <v>0.2</v>
      </c>
      <c r="V19" s="24">
        <v>-0.2</v>
      </c>
      <c r="W19" s="24">
        <v>0</v>
      </c>
      <c r="X19" s="24">
        <v>0</v>
      </c>
      <c r="Y19" s="24">
        <v>0</v>
      </c>
      <c r="Z19" s="24">
        <v>0.2</v>
      </c>
      <c r="AA19" s="24">
        <v>-0.2</v>
      </c>
      <c r="AB19" s="24">
        <v>0</v>
      </c>
      <c r="AC19" s="24">
        <v>0</v>
      </c>
      <c r="AD19" s="24">
        <v>0</v>
      </c>
      <c r="AE19" s="24">
        <v>0.2</v>
      </c>
      <c r="AF19" s="24">
        <v>-0.2</v>
      </c>
      <c r="AG19" s="24">
        <v>0</v>
      </c>
      <c r="AH19" s="24">
        <v>0</v>
      </c>
      <c r="AI19" s="16">
        <v>5</v>
      </c>
      <c r="AJ19" s="72">
        <f>=F19*247.95</f>
        <v>3855870.45</v>
      </c>
      <c r="AK19" s="72">
        <f>=G19*32.6061</f>
        <v>4304.0052</v>
      </c>
      <c r="AL19" s="72">
        <f>=J19*2.35</f>
        <v>10593.8</v>
      </c>
      <c r="AM19" s="72">
        <f>=H19*15.88</f>
        <v>952.8</v>
      </c>
    </row>
    <row r="20" spans="1:39">
      <c r="A20" s="24" t="s">
        <v>1204</v>
      </c>
      <c r="B20" s="24" t="s">
        <v>1205</v>
      </c>
      <c r="C20" s="24" t="s">
        <v>1206</v>
      </c>
      <c r="D20" s="24">
        <v>900011062</v>
      </c>
      <c r="E20" s="24">
        <v>11062</v>
      </c>
      <c r="F20" s="24">
        <v>15551</v>
      </c>
      <c r="G20" s="24">
        <v>132</v>
      </c>
      <c r="H20" s="24">
        <v>60</v>
      </c>
      <c r="I20" s="25">
        <v>0.5</v>
      </c>
      <c r="J20" s="24">
        <v>4508</v>
      </c>
      <c r="K20" s="24" t="b">
        <v>1</v>
      </c>
      <c r="L20" s="25">
        <v>0</v>
      </c>
      <c r="M20" s="47">
        <v>0</v>
      </c>
      <c r="N20" s="25">
        <v>0.0833</v>
      </c>
      <c r="O20" s="47">
        <v>12.0048</v>
      </c>
      <c r="P20" s="25">
        <v>0.5</v>
      </c>
      <c r="Q20" s="24">
        <v>3</v>
      </c>
      <c r="R20" s="24">
        <v>5</v>
      </c>
      <c r="S20" s="25">
        <v>0.75</v>
      </c>
      <c r="T20" s="24">
        <v>0</v>
      </c>
      <c r="U20" s="24">
        <v>0.2</v>
      </c>
      <c r="V20" s="24">
        <v>-0.2</v>
      </c>
      <c r="W20" s="24">
        <v>0</v>
      </c>
      <c r="X20" s="24">
        <v>0</v>
      </c>
      <c r="Y20" s="24">
        <v>0</v>
      </c>
      <c r="Z20" s="24">
        <v>0.2</v>
      </c>
      <c r="AA20" s="24">
        <v>-0.2</v>
      </c>
      <c r="AB20" s="24">
        <v>0</v>
      </c>
      <c r="AC20" s="24">
        <v>0</v>
      </c>
      <c r="AD20" s="24">
        <v>0</v>
      </c>
      <c r="AE20" s="24">
        <v>0.2</v>
      </c>
      <c r="AF20" s="24">
        <v>-0.2</v>
      </c>
      <c r="AG20" s="24">
        <v>0</v>
      </c>
      <c r="AH20" s="24">
        <v>0</v>
      </c>
      <c r="AI20" s="16">
        <v>5</v>
      </c>
      <c r="AJ20" s="72">
        <f>=F20*247.95</f>
        <v>3855870.45</v>
      </c>
      <c r="AK20" s="72">
        <f>=G20*32.6061</f>
        <v>4304.0052</v>
      </c>
      <c r="AL20" s="72">
        <f>=J20*2.35</f>
        <v>10593.8</v>
      </c>
      <c r="AM20" s="72">
        <f>=H20*15.88</f>
        <v>952.8</v>
      </c>
    </row>
    <row r="21" spans="1:39">
      <c r="A21" s="24" t="s">
        <v>1208</v>
      </c>
      <c r="B21" s="24" t="s">
        <v>1209</v>
      </c>
      <c r="C21" s="24" t="s">
        <v>1210</v>
      </c>
      <c r="D21" s="24">
        <v>900011063</v>
      </c>
      <c r="E21" s="24">
        <v>11063</v>
      </c>
      <c r="F21" s="24">
        <v>15551</v>
      </c>
      <c r="G21" s="24">
        <v>132</v>
      </c>
      <c r="H21" s="24">
        <v>60</v>
      </c>
      <c r="I21" s="25">
        <v>0.5</v>
      </c>
      <c r="J21" s="24">
        <v>4508</v>
      </c>
      <c r="K21" s="24" t="b">
        <v>1</v>
      </c>
      <c r="L21" s="25">
        <v>0</v>
      </c>
      <c r="M21" s="47">
        <v>0</v>
      </c>
      <c r="N21" s="25">
        <v>0.0833</v>
      </c>
      <c r="O21" s="47">
        <v>12.0048</v>
      </c>
      <c r="P21" s="25">
        <v>0.5</v>
      </c>
      <c r="Q21" s="24">
        <v>3</v>
      </c>
      <c r="R21" s="24">
        <v>5</v>
      </c>
      <c r="S21" s="25">
        <v>0.75</v>
      </c>
      <c r="T21" s="24">
        <v>0</v>
      </c>
      <c r="U21" s="24">
        <v>-0.2</v>
      </c>
      <c r="V21" s="24">
        <v>0</v>
      </c>
      <c r="W21" s="24">
        <v>-0.2</v>
      </c>
      <c r="X21" s="24">
        <v>0.2</v>
      </c>
      <c r="Y21" s="24">
        <v>0</v>
      </c>
      <c r="Z21" s="24">
        <v>-0.2</v>
      </c>
      <c r="AA21" s="24">
        <v>0</v>
      </c>
      <c r="AB21" s="24">
        <v>-0.2</v>
      </c>
      <c r="AC21" s="24">
        <v>0.2</v>
      </c>
      <c r="AD21" s="24">
        <v>0</v>
      </c>
      <c r="AE21" s="24">
        <v>-0.2</v>
      </c>
      <c r="AF21" s="24">
        <v>0</v>
      </c>
      <c r="AG21" s="24">
        <v>-0.2</v>
      </c>
      <c r="AH21" s="24">
        <v>0.2</v>
      </c>
      <c r="AI21" s="16">
        <v>5</v>
      </c>
      <c r="AJ21" s="72">
        <f>=F21*247.95</f>
        <v>3855870.45</v>
      </c>
      <c r="AK21" s="72">
        <f>=G21*32.6061</f>
        <v>4304.0052</v>
      </c>
      <c r="AL21" s="72">
        <f>=J21*2.35</f>
        <v>10593.8</v>
      </c>
      <c r="AM21" s="72">
        <f>=H21*15.88</f>
        <v>952.8</v>
      </c>
    </row>
    <row r="22" spans="1:39">
      <c r="A22" s="24" t="s">
        <v>1208</v>
      </c>
      <c r="B22" s="24" t="s">
        <v>1209</v>
      </c>
      <c r="C22" s="24" t="s">
        <v>1210</v>
      </c>
      <c r="D22" s="24">
        <v>900011064</v>
      </c>
      <c r="E22" s="24">
        <v>11064</v>
      </c>
      <c r="F22" s="24">
        <v>15551</v>
      </c>
      <c r="G22" s="24">
        <v>132</v>
      </c>
      <c r="H22" s="24">
        <v>60</v>
      </c>
      <c r="I22" s="25">
        <v>0.5</v>
      </c>
      <c r="J22" s="24">
        <v>4508</v>
      </c>
      <c r="K22" s="24" t="b">
        <v>1</v>
      </c>
      <c r="L22" s="25">
        <v>0</v>
      </c>
      <c r="M22" s="47">
        <v>0</v>
      </c>
      <c r="N22" s="25">
        <v>0.0833</v>
      </c>
      <c r="O22" s="47">
        <v>12.0048</v>
      </c>
      <c r="P22" s="25">
        <v>0.5</v>
      </c>
      <c r="Q22" s="24">
        <v>3</v>
      </c>
      <c r="R22" s="24">
        <v>5</v>
      </c>
      <c r="S22" s="25">
        <v>0.75</v>
      </c>
      <c r="T22" s="24">
        <v>0</v>
      </c>
      <c r="U22" s="24">
        <v>-0.2</v>
      </c>
      <c r="V22" s="24">
        <v>0</v>
      </c>
      <c r="W22" s="24">
        <v>-0.2</v>
      </c>
      <c r="X22" s="24">
        <v>0.2</v>
      </c>
      <c r="Y22" s="24">
        <v>0</v>
      </c>
      <c r="Z22" s="24">
        <v>-0.2</v>
      </c>
      <c r="AA22" s="24">
        <v>0</v>
      </c>
      <c r="AB22" s="24">
        <v>-0.2</v>
      </c>
      <c r="AC22" s="24">
        <v>0.2</v>
      </c>
      <c r="AD22" s="24">
        <v>0</v>
      </c>
      <c r="AE22" s="24">
        <v>-0.2</v>
      </c>
      <c r="AF22" s="24">
        <v>0</v>
      </c>
      <c r="AG22" s="24">
        <v>-0.2</v>
      </c>
      <c r="AH22" s="24">
        <v>0.2</v>
      </c>
      <c r="AI22" s="16">
        <v>5</v>
      </c>
      <c r="AJ22" s="72">
        <f>=F22*247.95</f>
        <v>3855870.45</v>
      </c>
      <c r="AK22" s="72">
        <f>=G22*32.6061</f>
        <v>4304.0052</v>
      </c>
      <c r="AL22" s="72">
        <f>=J22*2.35</f>
        <v>10593.8</v>
      </c>
      <c r="AM22" s="72">
        <f>=H22*15.88</f>
        <v>952.8</v>
      </c>
    </row>
    <row r="23" spans="1:39">
      <c r="A23" s="24" t="s">
        <v>1212</v>
      </c>
      <c r="B23" s="24" t="s">
        <v>1213</v>
      </c>
      <c r="C23" s="24" t="s">
        <v>1214</v>
      </c>
      <c r="D23" s="24">
        <v>900011083</v>
      </c>
      <c r="E23" s="24">
        <v>11083</v>
      </c>
      <c r="F23" s="24">
        <v>462</v>
      </c>
      <c r="G23" s="24">
        <v>44</v>
      </c>
      <c r="H23" s="24">
        <v>43</v>
      </c>
      <c r="I23" s="25">
        <v>0.5</v>
      </c>
      <c r="J23" s="24">
        <v>180</v>
      </c>
      <c r="K23" s="24" t="b">
        <v>1</v>
      </c>
      <c r="L23" s="25">
        <v>0</v>
      </c>
      <c r="M23" s="47">
        <v>0</v>
      </c>
      <c r="N23" s="25">
        <v>0.1538</v>
      </c>
      <c r="O23" s="47">
        <v>6.501951</v>
      </c>
      <c r="P23" s="25">
        <v>0.5</v>
      </c>
      <c r="Q23" s="24">
        <v>1</v>
      </c>
      <c r="R23" s="24">
        <v>1</v>
      </c>
      <c r="S23" s="25">
        <v>0</v>
      </c>
      <c r="T23" s="24">
        <v>-0.2</v>
      </c>
      <c r="U23" s="24">
        <v>0</v>
      </c>
      <c r="V23" s="24">
        <v>0</v>
      </c>
      <c r="W23" s="24">
        <v>0</v>
      </c>
      <c r="X23" s="24">
        <v>-0.2</v>
      </c>
      <c r="Y23" s="24">
        <v>-0.2</v>
      </c>
      <c r="Z23" s="24">
        <v>0</v>
      </c>
      <c r="AA23" s="24">
        <v>0</v>
      </c>
      <c r="AB23" s="24">
        <v>0</v>
      </c>
      <c r="AC23" s="24">
        <v>-0.2</v>
      </c>
      <c r="AD23" s="24">
        <v>-0.2</v>
      </c>
      <c r="AE23" s="24">
        <v>0</v>
      </c>
      <c r="AF23" s="24">
        <v>0</v>
      </c>
      <c r="AG23" s="24">
        <v>0</v>
      </c>
      <c r="AH23" s="24">
        <v>-0.2</v>
      </c>
      <c r="AI23" s="16" t="s"/>
      <c r="AJ23" s="72">
        <f>=F23*247.95</f>
        <v>114552.9</v>
      </c>
      <c r="AK23" s="72">
        <f>=G23*32.6061</f>
        <v>1434.6684</v>
      </c>
      <c r="AL23" s="72">
        <f>=J23*2.35</f>
        <v>423</v>
      </c>
      <c r="AM23" s="72">
        <f>=H23*15.88</f>
        <v>682.84</v>
      </c>
    </row>
    <row r="24" spans="1:39">
      <c r="A24" s="24" t="s">
        <v>1212</v>
      </c>
      <c r="B24" s="24" t="s">
        <v>1213</v>
      </c>
      <c r="C24" s="24" t="s">
        <v>1214</v>
      </c>
      <c r="D24" s="24">
        <v>900011084</v>
      </c>
      <c r="E24" s="24">
        <v>11084</v>
      </c>
      <c r="F24" s="24">
        <v>537</v>
      </c>
      <c r="G24" s="24">
        <v>44</v>
      </c>
      <c r="H24" s="24">
        <v>43</v>
      </c>
      <c r="I24" s="25">
        <v>0.5</v>
      </c>
      <c r="J24" s="24">
        <v>270</v>
      </c>
      <c r="K24" s="24" t="b">
        <v>1</v>
      </c>
      <c r="L24" s="25">
        <v>0</v>
      </c>
      <c r="M24" s="47">
        <v>0</v>
      </c>
      <c r="N24" s="25">
        <v>0.1538</v>
      </c>
      <c r="O24" s="47">
        <v>6.501951</v>
      </c>
      <c r="P24" s="25">
        <v>0.5</v>
      </c>
      <c r="Q24" s="24">
        <v>1</v>
      </c>
      <c r="R24" s="24">
        <v>1</v>
      </c>
      <c r="S24" s="25">
        <v>0</v>
      </c>
      <c r="T24" s="24">
        <v>-0.2</v>
      </c>
      <c r="U24" s="24">
        <v>0</v>
      </c>
      <c r="V24" s="24">
        <v>0</v>
      </c>
      <c r="W24" s="24">
        <v>0</v>
      </c>
      <c r="X24" s="24">
        <v>-0.2</v>
      </c>
      <c r="Y24" s="24">
        <v>-0.2</v>
      </c>
      <c r="Z24" s="24">
        <v>0</v>
      </c>
      <c r="AA24" s="24">
        <v>0</v>
      </c>
      <c r="AB24" s="24">
        <v>0</v>
      </c>
      <c r="AC24" s="24">
        <v>-0.2</v>
      </c>
      <c r="AD24" s="24">
        <v>-0.2</v>
      </c>
      <c r="AE24" s="24">
        <v>0</v>
      </c>
      <c r="AF24" s="24">
        <v>0</v>
      </c>
      <c r="AG24" s="24">
        <v>0</v>
      </c>
      <c r="AH24" s="24">
        <v>-0.2</v>
      </c>
      <c r="AI24" s="16" t="s"/>
      <c r="AJ24" s="72">
        <f>=F24*247.95</f>
        <v>133149.15</v>
      </c>
      <c r="AK24" s="72">
        <f>=G24*32.6061</f>
        <v>1434.6684</v>
      </c>
      <c r="AL24" s="72">
        <f>=J24*2.35</f>
        <v>634.5</v>
      </c>
      <c r="AM24" s="72">
        <f>=H24*15.88</f>
        <v>682.84</v>
      </c>
    </row>
    <row r="25" spans="1:39">
      <c r="A25" s="24" t="s">
        <v>1216</v>
      </c>
      <c r="B25" s="24" t="s">
        <v>1217</v>
      </c>
      <c r="C25" s="24" t="s">
        <v>1218</v>
      </c>
      <c r="D25" s="24">
        <v>900011085</v>
      </c>
      <c r="E25" s="24">
        <v>11085</v>
      </c>
      <c r="F25" s="24">
        <v>462</v>
      </c>
      <c r="G25" s="24">
        <v>44</v>
      </c>
      <c r="H25" s="24">
        <v>43</v>
      </c>
      <c r="I25" s="25">
        <v>0.5</v>
      </c>
      <c r="J25" s="24">
        <v>180</v>
      </c>
      <c r="K25" s="24" t="b">
        <v>1</v>
      </c>
      <c r="L25" s="25">
        <v>0</v>
      </c>
      <c r="M25" s="47">
        <v>0</v>
      </c>
      <c r="N25" s="25">
        <v>0.1538</v>
      </c>
      <c r="O25" s="47">
        <v>6.501951</v>
      </c>
      <c r="P25" s="25">
        <v>0.5</v>
      </c>
      <c r="Q25" s="24">
        <v>1</v>
      </c>
      <c r="R25" s="24">
        <v>1</v>
      </c>
      <c r="S25" s="25">
        <v>0</v>
      </c>
      <c r="T25" s="24">
        <v>0</v>
      </c>
      <c r="U25" s="24">
        <v>-0.2</v>
      </c>
      <c r="V25" s="24">
        <v>0</v>
      </c>
      <c r="W25" s="24">
        <v>0</v>
      </c>
      <c r="X25" s="24">
        <v>0</v>
      </c>
      <c r="Y25" s="24">
        <v>0</v>
      </c>
      <c r="Z25" s="24">
        <v>-0.2</v>
      </c>
      <c r="AA25" s="24">
        <v>0</v>
      </c>
      <c r="AB25" s="24">
        <v>0</v>
      </c>
      <c r="AC25" s="24">
        <v>0</v>
      </c>
      <c r="AD25" s="24">
        <v>0</v>
      </c>
      <c r="AE25" s="24">
        <v>-0.2</v>
      </c>
      <c r="AF25" s="24">
        <v>0</v>
      </c>
      <c r="AG25" s="24">
        <v>0</v>
      </c>
      <c r="AH25" s="24">
        <v>0</v>
      </c>
      <c r="AI25" s="16" t="s"/>
      <c r="AJ25" s="72">
        <f>=F25*247.95</f>
        <v>114552.9</v>
      </c>
      <c r="AK25" s="72">
        <f>=G25*32.6061</f>
        <v>1434.6684</v>
      </c>
      <c r="AL25" s="72">
        <f>=J25*2.35</f>
        <v>423</v>
      </c>
      <c r="AM25" s="72">
        <f>=H25*15.88</f>
        <v>682.84</v>
      </c>
    </row>
    <row r="26" spans="1:39">
      <c r="A26" s="24" t="s">
        <v>1216</v>
      </c>
      <c r="B26" s="24" t="s">
        <v>1217</v>
      </c>
      <c r="C26" s="24" t="s">
        <v>1218</v>
      </c>
      <c r="D26" s="24">
        <v>900011086</v>
      </c>
      <c r="E26" s="24">
        <v>11086</v>
      </c>
      <c r="F26" s="24">
        <v>537</v>
      </c>
      <c r="G26" s="24">
        <v>44</v>
      </c>
      <c r="H26" s="24">
        <v>43</v>
      </c>
      <c r="I26" s="25">
        <v>0.5</v>
      </c>
      <c r="J26" s="24">
        <v>270</v>
      </c>
      <c r="K26" s="24" t="b">
        <v>1</v>
      </c>
      <c r="L26" s="25">
        <v>0</v>
      </c>
      <c r="M26" s="47">
        <v>0</v>
      </c>
      <c r="N26" s="25">
        <v>0.1538</v>
      </c>
      <c r="O26" s="47">
        <v>6.501951</v>
      </c>
      <c r="P26" s="25">
        <v>0.5</v>
      </c>
      <c r="Q26" s="24">
        <v>1</v>
      </c>
      <c r="R26" s="24">
        <v>1</v>
      </c>
      <c r="S26" s="25">
        <v>0</v>
      </c>
      <c r="T26" s="24">
        <v>0</v>
      </c>
      <c r="U26" s="24">
        <v>-0.2</v>
      </c>
      <c r="V26" s="24">
        <v>0</v>
      </c>
      <c r="W26" s="24">
        <v>0</v>
      </c>
      <c r="X26" s="24">
        <v>0</v>
      </c>
      <c r="Y26" s="24">
        <v>0</v>
      </c>
      <c r="Z26" s="24">
        <v>-0.2</v>
      </c>
      <c r="AA26" s="24">
        <v>0</v>
      </c>
      <c r="AB26" s="24">
        <v>0</v>
      </c>
      <c r="AC26" s="24">
        <v>0</v>
      </c>
      <c r="AD26" s="24">
        <v>0</v>
      </c>
      <c r="AE26" s="24">
        <v>-0.2</v>
      </c>
      <c r="AF26" s="24">
        <v>0</v>
      </c>
      <c r="AG26" s="24">
        <v>0</v>
      </c>
      <c r="AH26" s="24">
        <v>0</v>
      </c>
      <c r="AI26" s="16" t="s"/>
      <c r="AJ26" s="72">
        <f>=F26*247.95</f>
        <v>133149.15</v>
      </c>
      <c r="AK26" s="72">
        <f>=G26*32.6061</f>
        <v>1434.6684</v>
      </c>
      <c r="AL26" s="72">
        <f>=J26*2.35</f>
        <v>634.5</v>
      </c>
      <c r="AM26" s="72">
        <f>=H26*15.88</f>
        <v>682.84</v>
      </c>
    </row>
    <row r="27" spans="1:39">
      <c r="A27" s="24" t="s">
        <v>1144</v>
      </c>
      <c r="B27" s="24" t="s">
        <v>1145</v>
      </c>
      <c r="C27" s="24" t="s">
        <v>1146</v>
      </c>
      <c r="D27" s="24">
        <v>900011096</v>
      </c>
      <c r="E27" s="24">
        <v>11096</v>
      </c>
      <c r="F27" s="24">
        <v>1123</v>
      </c>
      <c r="G27" s="24">
        <v>66</v>
      </c>
      <c r="H27" s="24">
        <v>36</v>
      </c>
      <c r="I27" s="25">
        <v>0.5</v>
      </c>
      <c r="J27" s="24">
        <v>600</v>
      </c>
      <c r="K27" s="24" t="b">
        <v>1</v>
      </c>
      <c r="L27" s="25">
        <v>0</v>
      </c>
      <c r="M27" s="47">
        <v>0</v>
      </c>
      <c r="N27" s="25">
        <v>0.1538</v>
      </c>
      <c r="O27" s="47">
        <v>6.501951</v>
      </c>
      <c r="P27" s="25">
        <v>0.5</v>
      </c>
      <c r="Q27" s="24">
        <v>1</v>
      </c>
      <c r="R27" s="24">
        <v>1</v>
      </c>
      <c r="S27" s="25">
        <v>0</v>
      </c>
      <c r="T27" s="24">
        <v>-0.2</v>
      </c>
      <c r="U27" s="24">
        <v>0</v>
      </c>
      <c r="V27" s="24">
        <v>0</v>
      </c>
      <c r="W27" s="24">
        <v>0</v>
      </c>
      <c r="X27" s="24">
        <v>-0.2</v>
      </c>
      <c r="Y27" s="24">
        <v>-0.2</v>
      </c>
      <c r="Z27" s="24">
        <v>0</v>
      </c>
      <c r="AA27" s="24">
        <v>0</v>
      </c>
      <c r="AB27" s="24">
        <v>0</v>
      </c>
      <c r="AC27" s="24">
        <v>-0.2</v>
      </c>
      <c r="AD27" s="24">
        <v>-0.2</v>
      </c>
      <c r="AE27" s="24">
        <v>0</v>
      </c>
      <c r="AF27" s="24">
        <v>0</v>
      </c>
      <c r="AG27" s="24">
        <v>0</v>
      </c>
      <c r="AH27" s="24">
        <v>-0.2</v>
      </c>
      <c r="AI27" s="16" t="s"/>
      <c r="AJ27" s="72">
        <f>=F27*247.95</f>
        <v>278447.85</v>
      </c>
      <c r="AK27" s="72">
        <f>=G27*32.6061</f>
        <v>2152.0026</v>
      </c>
      <c r="AL27" s="72">
        <f>=J27*2.35</f>
        <v>1410</v>
      </c>
      <c r="AM27" s="72">
        <f>=H27*15.88</f>
        <v>571.68</v>
      </c>
    </row>
    <row r="28" spans="1:39">
      <c r="A28" s="24" t="s">
        <v>1144</v>
      </c>
      <c r="B28" s="24" t="s">
        <v>1145</v>
      </c>
      <c r="C28" s="24" t="s">
        <v>1146</v>
      </c>
      <c r="D28" s="24">
        <v>900011097</v>
      </c>
      <c r="E28" s="24">
        <v>11097</v>
      </c>
      <c r="F28" s="24">
        <v>1373</v>
      </c>
      <c r="G28" s="24">
        <v>66</v>
      </c>
      <c r="H28" s="24">
        <v>36</v>
      </c>
      <c r="I28" s="25">
        <v>0.5</v>
      </c>
      <c r="J28" s="24">
        <v>900</v>
      </c>
      <c r="K28" s="24" t="b">
        <v>1</v>
      </c>
      <c r="L28" s="25">
        <v>0</v>
      </c>
      <c r="M28" s="47">
        <v>0</v>
      </c>
      <c r="N28" s="25">
        <v>0.1538</v>
      </c>
      <c r="O28" s="47">
        <v>6.501951</v>
      </c>
      <c r="P28" s="25">
        <v>0.5</v>
      </c>
      <c r="Q28" s="24">
        <v>1</v>
      </c>
      <c r="R28" s="24">
        <v>1</v>
      </c>
      <c r="S28" s="25">
        <v>0</v>
      </c>
      <c r="T28" s="24">
        <v>-0.2</v>
      </c>
      <c r="U28" s="24">
        <v>0</v>
      </c>
      <c r="V28" s="24">
        <v>0</v>
      </c>
      <c r="W28" s="24">
        <v>0</v>
      </c>
      <c r="X28" s="24">
        <v>-0.2</v>
      </c>
      <c r="Y28" s="24">
        <v>-0.2</v>
      </c>
      <c r="Z28" s="24">
        <v>0</v>
      </c>
      <c r="AA28" s="24">
        <v>0</v>
      </c>
      <c r="AB28" s="24">
        <v>0</v>
      </c>
      <c r="AC28" s="24">
        <v>-0.2</v>
      </c>
      <c r="AD28" s="24">
        <v>-0.2</v>
      </c>
      <c r="AE28" s="24">
        <v>0</v>
      </c>
      <c r="AF28" s="24">
        <v>0</v>
      </c>
      <c r="AG28" s="24">
        <v>0</v>
      </c>
      <c r="AH28" s="24">
        <v>-0.2</v>
      </c>
      <c r="AI28" s="16" t="s"/>
      <c r="AJ28" s="72">
        <f>=F28*247.95</f>
        <v>340435.35</v>
      </c>
      <c r="AK28" s="72">
        <f>=G28*32.6061</f>
        <v>2152.0026</v>
      </c>
      <c r="AL28" s="72">
        <f>=J28*2.35</f>
        <v>2115</v>
      </c>
      <c r="AM28" s="72">
        <f>=H28*15.88</f>
        <v>571.68</v>
      </c>
    </row>
    <row r="29" spans="1:39">
      <c r="A29" s="24" t="s">
        <v>1221</v>
      </c>
      <c r="B29" s="24" t="s">
        <v>1222</v>
      </c>
      <c r="C29" s="24" t="s">
        <v>1223</v>
      </c>
      <c r="D29" s="24">
        <v>900011098</v>
      </c>
      <c r="E29" s="24">
        <v>11098</v>
      </c>
      <c r="F29" s="24">
        <v>1123</v>
      </c>
      <c r="G29" s="24">
        <v>66</v>
      </c>
      <c r="H29" s="24">
        <v>36</v>
      </c>
      <c r="I29" s="25">
        <v>0.5</v>
      </c>
      <c r="J29" s="24">
        <v>600</v>
      </c>
      <c r="K29" s="24" t="b">
        <v>1</v>
      </c>
      <c r="L29" s="25">
        <v>0</v>
      </c>
      <c r="M29" s="47">
        <v>0</v>
      </c>
      <c r="N29" s="25">
        <v>0.1538</v>
      </c>
      <c r="O29" s="47">
        <v>6.501951</v>
      </c>
      <c r="P29" s="25">
        <v>0.5</v>
      </c>
      <c r="Q29" s="24">
        <v>1</v>
      </c>
      <c r="R29" s="24">
        <v>1</v>
      </c>
      <c r="S29" s="25">
        <v>0</v>
      </c>
      <c r="T29" s="24">
        <v>0</v>
      </c>
      <c r="U29" s="24">
        <v>-0.2</v>
      </c>
      <c r="V29" s="24">
        <v>0</v>
      </c>
      <c r="W29" s="24">
        <v>0</v>
      </c>
      <c r="X29" s="24">
        <v>0</v>
      </c>
      <c r="Y29" s="24">
        <v>0</v>
      </c>
      <c r="Z29" s="24">
        <v>-0.2</v>
      </c>
      <c r="AA29" s="24">
        <v>0</v>
      </c>
      <c r="AB29" s="24">
        <v>0</v>
      </c>
      <c r="AC29" s="24">
        <v>0</v>
      </c>
      <c r="AD29" s="24">
        <v>0</v>
      </c>
      <c r="AE29" s="24">
        <v>-0.2</v>
      </c>
      <c r="AF29" s="24">
        <v>0</v>
      </c>
      <c r="AG29" s="24">
        <v>0</v>
      </c>
      <c r="AH29" s="24">
        <v>0</v>
      </c>
      <c r="AI29" s="16" t="s"/>
      <c r="AJ29" s="72">
        <f>=F29*247.95</f>
        <v>278447.85</v>
      </c>
      <c r="AK29" s="72">
        <f>=G29*32.6061</f>
        <v>2152.0026</v>
      </c>
      <c r="AL29" s="72">
        <f>=J29*2.35</f>
        <v>1410</v>
      </c>
      <c r="AM29" s="72">
        <f>=H29*15.88</f>
        <v>571.68</v>
      </c>
    </row>
    <row r="30" spans="1:39">
      <c r="A30" s="24" t="s">
        <v>1221</v>
      </c>
      <c r="B30" s="24" t="s">
        <v>1222</v>
      </c>
      <c r="C30" s="24" t="s">
        <v>1223</v>
      </c>
      <c r="D30" s="24">
        <v>900011099</v>
      </c>
      <c r="E30" s="24">
        <v>11099</v>
      </c>
      <c r="F30" s="24">
        <v>1373</v>
      </c>
      <c r="G30" s="24">
        <v>66</v>
      </c>
      <c r="H30" s="24">
        <v>36</v>
      </c>
      <c r="I30" s="25">
        <v>0.5</v>
      </c>
      <c r="J30" s="24">
        <v>900</v>
      </c>
      <c r="K30" s="24" t="b">
        <v>1</v>
      </c>
      <c r="L30" s="25">
        <v>0</v>
      </c>
      <c r="M30" s="47">
        <v>0</v>
      </c>
      <c r="N30" s="25">
        <v>0.1538</v>
      </c>
      <c r="O30" s="47">
        <v>6.501951</v>
      </c>
      <c r="P30" s="25">
        <v>0.5</v>
      </c>
      <c r="Q30" s="24">
        <v>1</v>
      </c>
      <c r="R30" s="24">
        <v>1</v>
      </c>
      <c r="S30" s="25">
        <v>0</v>
      </c>
      <c r="T30" s="24">
        <v>0</v>
      </c>
      <c r="U30" s="24">
        <v>-0.2</v>
      </c>
      <c r="V30" s="24">
        <v>0</v>
      </c>
      <c r="W30" s="24">
        <v>0</v>
      </c>
      <c r="X30" s="24">
        <v>0</v>
      </c>
      <c r="Y30" s="24">
        <v>0</v>
      </c>
      <c r="Z30" s="24">
        <v>-0.2</v>
      </c>
      <c r="AA30" s="24">
        <v>0</v>
      </c>
      <c r="AB30" s="24">
        <v>0</v>
      </c>
      <c r="AC30" s="24">
        <v>0</v>
      </c>
      <c r="AD30" s="24">
        <v>0</v>
      </c>
      <c r="AE30" s="24">
        <v>-0.2</v>
      </c>
      <c r="AF30" s="24">
        <v>0</v>
      </c>
      <c r="AG30" s="24">
        <v>0</v>
      </c>
      <c r="AH30" s="24">
        <v>0</v>
      </c>
      <c r="AI30" s="16" t="s"/>
      <c r="AJ30" s="72">
        <f>=F30*247.95</f>
        <v>340435.35</v>
      </c>
      <c r="AK30" s="72">
        <f>=G30*32.6061</f>
        <v>2152.0026</v>
      </c>
      <c r="AL30" s="72">
        <f>=J30*2.35</f>
        <v>2115</v>
      </c>
      <c r="AM30" s="72">
        <f>=H30*15.88</f>
        <v>571.68</v>
      </c>
    </row>
    <row r="31" spans="1:39">
      <c r="A31" s="24" t="s">
        <v>1148</v>
      </c>
      <c r="B31" s="24" t="s">
        <v>1149</v>
      </c>
      <c r="C31" s="24" t="s">
        <v>1150</v>
      </c>
      <c r="D31" s="24">
        <v>900011103</v>
      </c>
      <c r="E31" s="24">
        <v>11103</v>
      </c>
      <c r="F31" s="24">
        <v>1123</v>
      </c>
      <c r="G31" s="24">
        <v>54</v>
      </c>
      <c r="H31" s="24">
        <v>36</v>
      </c>
      <c r="I31" s="25">
        <v>0.5</v>
      </c>
      <c r="J31" s="24">
        <v>600</v>
      </c>
      <c r="K31" s="24" t="b">
        <v>1</v>
      </c>
      <c r="L31" s="25">
        <v>0</v>
      </c>
      <c r="M31" s="47">
        <v>0</v>
      </c>
      <c r="N31" s="25">
        <v>0.1538</v>
      </c>
      <c r="O31" s="47">
        <v>6.501951</v>
      </c>
      <c r="P31" s="25">
        <v>0.5</v>
      </c>
      <c r="Q31" s="24">
        <v>1</v>
      </c>
      <c r="R31" s="24">
        <v>1</v>
      </c>
      <c r="S31" s="25">
        <v>0</v>
      </c>
      <c r="T31" s="24">
        <v>-0.2</v>
      </c>
      <c r="U31" s="24">
        <v>0</v>
      </c>
      <c r="V31" s="24">
        <v>0</v>
      </c>
      <c r="W31" s="24">
        <v>0</v>
      </c>
      <c r="X31" s="24">
        <v>-0.2</v>
      </c>
      <c r="Y31" s="24">
        <v>-0.2</v>
      </c>
      <c r="Z31" s="24">
        <v>0</v>
      </c>
      <c r="AA31" s="24">
        <v>0</v>
      </c>
      <c r="AB31" s="24">
        <v>0</v>
      </c>
      <c r="AC31" s="24">
        <v>-0.2</v>
      </c>
      <c r="AD31" s="24">
        <v>-0.2</v>
      </c>
      <c r="AE31" s="24">
        <v>0</v>
      </c>
      <c r="AF31" s="24">
        <v>0</v>
      </c>
      <c r="AG31" s="24">
        <v>0</v>
      </c>
      <c r="AH31" s="24">
        <v>-0.2</v>
      </c>
      <c r="AI31" s="16" t="s"/>
      <c r="AJ31" s="72">
        <f>=F31*247.95</f>
        <v>278447.85</v>
      </c>
      <c r="AK31" s="72">
        <f>=G31*32.6061</f>
        <v>1760.7294</v>
      </c>
      <c r="AL31" s="72">
        <f>=J31*2.35</f>
        <v>1410</v>
      </c>
      <c r="AM31" s="72">
        <f>=H31*15.88</f>
        <v>571.68</v>
      </c>
    </row>
    <row r="32" spans="1:39">
      <c r="A32" s="24" t="s">
        <v>1148</v>
      </c>
      <c r="B32" s="24" t="s">
        <v>1149</v>
      </c>
      <c r="C32" s="24" t="s">
        <v>1150</v>
      </c>
      <c r="D32" s="24">
        <v>900011104</v>
      </c>
      <c r="E32" s="24">
        <v>11104</v>
      </c>
      <c r="F32" s="24">
        <v>1373</v>
      </c>
      <c r="G32" s="24">
        <v>54</v>
      </c>
      <c r="H32" s="24">
        <v>36</v>
      </c>
      <c r="I32" s="25">
        <v>0.5</v>
      </c>
      <c r="J32" s="24">
        <v>900</v>
      </c>
      <c r="K32" s="24" t="b">
        <v>1</v>
      </c>
      <c r="L32" s="25">
        <v>0</v>
      </c>
      <c r="M32" s="47">
        <v>0</v>
      </c>
      <c r="N32" s="25">
        <v>0.1538</v>
      </c>
      <c r="O32" s="47">
        <v>6.501951</v>
      </c>
      <c r="P32" s="25">
        <v>0.5</v>
      </c>
      <c r="Q32" s="24">
        <v>1</v>
      </c>
      <c r="R32" s="24">
        <v>1</v>
      </c>
      <c r="S32" s="25">
        <v>0</v>
      </c>
      <c r="T32" s="24">
        <v>-0.2</v>
      </c>
      <c r="U32" s="24">
        <v>0</v>
      </c>
      <c r="V32" s="24">
        <v>0</v>
      </c>
      <c r="W32" s="24">
        <v>0</v>
      </c>
      <c r="X32" s="24">
        <v>-0.2</v>
      </c>
      <c r="Y32" s="24">
        <v>-0.2</v>
      </c>
      <c r="Z32" s="24">
        <v>0</v>
      </c>
      <c r="AA32" s="24">
        <v>0</v>
      </c>
      <c r="AB32" s="24">
        <v>0</v>
      </c>
      <c r="AC32" s="24">
        <v>-0.2</v>
      </c>
      <c r="AD32" s="24">
        <v>-0.2</v>
      </c>
      <c r="AE32" s="24">
        <v>0</v>
      </c>
      <c r="AF32" s="24">
        <v>0</v>
      </c>
      <c r="AG32" s="24">
        <v>0</v>
      </c>
      <c r="AH32" s="24">
        <v>-0.2</v>
      </c>
      <c r="AI32" s="16" t="s"/>
      <c r="AJ32" s="72">
        <f>=F32*247.95</f>
        <v>340435.35</v>
      </c>
      <c r="AK32" s="72">
        <f>=G32*32.6061</f>
        <v>1760.7294</v>
      </c>
      <c r="AL32" s="72">
        <f>=J32*2.35</f>
        <v>2115</v>
      </c>
      <c r="AM32" s="72">
        <f>=H32*15.88</f>
        <v>571.68</v>
      </c>
    </row>
    <row r="33" spans="1:39">
      <c r="A33" s="24" t="s">
        <v>1224</v>
      </c>
      <c r="B33" s="24" t="s">
        <v>1225</v>
      </c>
      <c r="C33" s="24" t="s">
        <v>1226</v>
      </c>
      <c r="D33" s="24">
        <v>900011105</v>
      </c>
      <c r="E33" s="24">
        <v>11105</v>
      </c>
      <c r="F33" s="24">
        <v>1123</v>
      </c>
      <c r="G33" s="24">
        <v>54</v>
      </c>
      <c r="H33" s="24">
        <v>36</v>
      </c>
      <c r="I33" s="25">
        <v>0.5</v>
      </c>
      <c r="J33" s="24">
        <v>600</v>
      </c>
      <c r="K33" s="24" t="b">
        <v>1</v>
      </c>
      <c r="L33" s="25">
        <v>0</v>
      </c>
      <c r="M33" s="47">
        <v>0</v>
      </c>
      <c r="N33" s="25">
        <v>0.1538</v>
      </c>
      <c r="O33" s="47">
        <v>6.501951</v>
      </c>
      <c r="P33" s="25">
        <v>0.5</v>
      </c>
      <c r="Q33" s="24">
        <v>1</v>
      </c>
      <c r="R33" s="24">
        <v>1</v>
      </c>
      <c r="S33" s="25">
        <v>0</v>
      </c>
      <c r="T33" s="24">
        <v>0</v>
      </c>
      <c r="U33" s="24">
        <v>-0.2</v>
      </c>
      <c r="V33" s="24">
        <v>0</v>
      </c>
      <c r="W33" s="24">
        <v>0</v>
      </c>
      <c r="X33" s="24">
        <v>0</v>
      </c>
      <c r="Y33" s="24">
        <v>0</v>
      </c>
      <c r="Z33" s="24">
        <v>-0.2</v>
      </c>
      <c r="AA33" s="24">
        <v>0</v>
      </c>
      <c r="AB33" s="24">
        <v>0</v>
      </c>
      <c r="AC33" s="24">
        <v>0</v>
      </c>
      <c r="AD33" s="24">
        <v>0</v>
      </c>
      <c r="AE33" s="24">
        <v>-0.2</v>
      </c>
      <c r="AF33" s="24">
        <v>0</v>
      </c>
      <c r="AG33" s="24">
        <v>0</v>
      </c>
      <c r="AH33" s="24">
        <v>0</v>
      </c>
      <c r="AI33" s="16" t="s"/>
      <c r="AJ33" s="72">
        <f>=F33*247.95</f>
        <v>278447.85</v>
      </c>
      <c r="AK33" s="72">
        <f>=G33*32.6061</f>
        <v>1760.7294</v>
      </c>
      <c r="AL33" s="72">
        <f>=J33*2.35</f>
        <v>1410</v>
      </c>
      <c r="AM33" s="72">
        <f>=H33*15.88</f>
        <v>571.68</v>
      </c>
    </row>
    <row r="34" spans="1:39">
      <c r="A34" s="24" t="s">
        <v>1224</v>
      </c>
      <c r="B34" s="24" t="s">
        <v>1225</v>
      </c>
      <c r="C34" s="24" t="s">
        <v>1226</v>
      </c>
      <c r="D34" s="24">
        <v>900011106</v>
      </c>
      <c r="E34" s="24">
        <v>11106</v>
      </c>
      <c r="F34" s="24">
        <v>1373</v>
      </c>
      <c r="G34" s="24">
        <v>54</v>
      </c>
      <c r="H34" s="24">
        <v>36</v>
      </c>
      <c r="I34" s="25">
        <v>0.5</v>
      </c>
      <c r="J34" s="24">
        <v>900</v>
      </c>
      <c r="K34" s="24" t="b">
        <v>1</v>
      </c>
      <c r="L34" s="25">
        <v>0</v>
      </c>
      <c r="M34" s="47">
        <v>0</v>
      </c>
      <c r="N34" s="25">
        <v>0.1538</v>
      </c>
      <c r="O34" s="47">
        <v>6.501951</v>
      </c>
      <c r="P34" s="25">
        <v>0.5</v>
      </c>
      <c r="Q34" s="24">
        <v>1</v>
      </c>
      <c r="R34" s="24">
        <v>1</v>
      </c>
      <c r="S34" s="25">
        <v>0</v>
      </c>
      <c r="T34" s="24">
        <v>0</v>
      </c>
      <c r="U34" s="24">
        <v>-0.2</v>
      </c>
      <c r="V34" s="24">
        <v>0</v>
      </c>
      <c r="W34" s="24">
        <v>0</v>
      </c>
      <c r="X34" s="24">
        <v>0</v>
      </c>
      <c r="Y34" s="24">
        <v>0</v>
      </c>
      <c r="Z34" s="24">
        <v>-0.2</v>
      </c>
      <c r="AA34" s="24">
        <v>0</v>
      </c>
      <c r="AB34" s="24">
        <v>0</v>
      </c>
      <c r="AC34" s="24">
        <v>0</v>
      </c>
      <c r="AD34" s="24">
        <v>0</v>
      </c>
      <c r="AE34" s="24">
        <v>-0.2</v>
      </c>
      <c r="AF34" s="24">
        <v>0</v>
      </c>
      <c r="AG34" s="24">
        <v>0</v>
      </c>
      <c r="AH34" s="24">
        <v>0</v>
      </c>
      <c r="AI34" s="16" t="s"/>
      <c r="AJ34" s="72">
        <f>=F34*247.95</f>
        <v>340435.35</v>
      </c>
      <c r="AK34" s="72">
        <f>=G34*32.6061</f>
        <v>1760.7294</v>
      </c>
      <c r="AL34" s="72">
        <f>=J34*2.35</f>
        <v>2115</v>
      </c>
      <c r="AM34" s="72">
        <f>=H34*15.88</f>
        <v>571.68</v>
      </c>
    </row>
    <row r="35" spans="1:39">
      <c r="A35" s="24" t="s">
        <v>1227</v>
      </c>
      <c r="B35" s="24" t="s">
        <v>1228</v>
      </c>
      <c r="C35" s="24" t="s">
        <v>1229</v>
      </c>
      <c r="D35" s="24">
        <v>900011114</v>
      </c>
      <c r="E35" s="24">
        <v>11114</v>
      </c>
      <c r="F35" s="24">
        <v>8045</v>
      </c>
      <c r="G35" s="24">
        <v>92</v>
      </c>
      <c r="H35" s="24">
        <v>54</v>
      </c>
      <c r="I35" s="25">
        <v>0.5</v>
      </c>
      <c r="J35" s="24">
        <v>3593</v>
      </c>
      <c r="K35" s="24" t="b">
        <v>1</v>
      </c>
      <c r="L35" s="25">
        <v>0</v>
      </c>
      <c r="M35" s="47">
        <v>0</v>
      </c>
      <c r="N35" s="25">
        <v>0.0769</v>
      </c>
      <c r="O35" s="47">
        <v>13.0039</v>
      </c>
      <c r="P35" s="25">
        <v>0.5</v>
      </c>
      <c r="Q35" s="24">
        <v>2</v>
      </c>
      <c r="R35" s="24">
        <v>5</v>
      </c>
      <c r="S35" s="25">
        <v>0.5</v>
      </c>
      <c r="T35" s="24">
        <v>-0.2</v>
      </c>
      <c r="U35" s="24">
        <v>0</v>
      </c>
      <c r="V35" s="24">
        <v>0</v>
      </c>
      <c r="W35" s="24">
        <v>0</v>
      </c>
      <c r="X35" s="24">
        <v>-0.2</v>
      </c>
      <c r="Y35" s="24">
        <v>-0.2</v>
      </c>
      <c r="Z35" s="24">
        <v>0</v>
      </c>
      <c r="AA35" s="24">
        <v>0</v>
      </c>
      <c r="AB35" s="24">
        <v>0</v>
      </c>
      <c r="AC35" s="24">
        <v>-0.2</v>
      </c>
      <c r="AD35" s="24">
        <v>-0.2</v>
      </c>
      <c r="AE35" s="24">
        <v>0</v>
      </c>
      <c r="AF35" s="24">
        <v>0</v>
      </c>
      <c r="AG35" s="24">
        <v>0</v>
      </c>
      <c r="AH35" s="24">
        <v>-0.2</v>
      </c>
      <c r="AI35" s="16">
        <v>3</v>
      </c>
      <c r="AJ35" s="72">
        <f>=F35*247.95</f>
        <v>1994757.75</v>
      </c>
      <c r="AK35" s="72">
        <f>=G35*32.6061</f>
        <v>2999.7612</v>
      </c>
      <c r="AL35" s="72">
        <f>=J35*2.35</f>
        <v>8443.55</v>
      </c>
      <c r="AM35" s="72">
        <f>=H35*15.88</f>
        <v>857.52</v>
      </c>
    </row>
    <row r="36" spans="1:39">
      <c r="A36" s="24" t="s">
        <v>1227</v>
      </c>
      <c r="B36" s="24" t="s">
        <v>1228</v>
      </c>
      <c r="C36" s="24" t="s">
        <v>1229</v>
      </c>
      <c r="D36" s="24">
        <v>900011115</v>
      </c>
      <c r="E36" s="24">
        <v>11115</v>
      </c>
      <c r="F36" s="24">
        <v>8364</v>
      </c>
      <c r="G36" s="24">
        <v>106</v>
      </c>
      <c r="H36" s="24">
        <v>54</v>
      </c>
      <c r="I36" s="25">
        <v>0.5</v>
      </c>
      <c r="J36" s="24">
        <v>4184</v>
      </c>
      <c r="K36" s="24" t="b">
        <v>1</v>
      </c>
      <c r="L36" s="25">
        <v>0</v>
      </c>
      <c r="M36" s="47">
        <v>0</v>
      </c>
      <c r="N36" s="25">
        <v>0.0769</v>
      </c>
      <c r="O36" s="47">
        <v>13.0039</v>
      </c>
      <c r="P36" s="25">
        <v>0.5</v>
      </c>
      <c r="Q36" s="24">
        <v>2</v>
      </c>
      <c r="R36" s="24">
        <v>5</v>
      </c>
      <c r="S36" s="25">
        <v>0.5</v>
      </c>
      <c r="T36" s="24">
        <v>-0.2</v>
      </c>
      <c r="U36" s="24">
        <v>0</v>
      </c>
      <c r="V36" s="24">
        <v>0</v>
      </c>
      <c r="W36" s="24">
        <v>0</v>
      </c>
      <c r="X36" s="24">
        <v>-0.2</v>
      </c>
      <c r="Y36" s="24">
        <v>-0.2</v>
      </c>
      <c r="Z36" s="24">
        <v>0</v>
      </c>
      <c r="AA36" s="24">
        <v>0</v>
      </c>
      <c r="AB36" s="24">
        <v>0</v>
      </c>
      <c r="AC36" s="24">
        <v>-0.2</v>
      </c>
      <c r="AD36" s="24">
        <v>-0.2</v>
      </c>
      <c r="AE36" s="24">
        <v>0</v>
      </c>
      <c r="AF36" s="24">
        <v>0</v>
      </c>
      <c r="AG36" s="24">
        <v>0</v>
      </c>
      <c r="AH36" s="24">
        <v>-0.2</v>
      </c>
      <c r="AI36" s="16">
        <v>3</v>
      </c>
      <c r="AJ36" s="72">
        <f>=F36*247.95</f>
        <v>2073853.8</v>
      </c>
      <c r="AK36" s="72">
        <f>=G36*32.6061</f>
        <v>3456.2466</v>
      </c>
      <c r="AL36" s="72">
        <f>=J36*2.35</f>
        <v>9832.4</v>
      </c>
      <c r="AM36" s="72">
        <f>=H36*15.88</f>
        <v>857.52</v>
      </c>
    </row>
    <row r="37" spans="1:39">
      <c r="A37" s="24" t="s">
        <v>1232</v>
      </c>
      <c r="B37" s="24" t="s">
        <v>1233</v>
      </c>
      <c r="C37" s="24" t="s">
        <v>1234</v>
      </c>
      <c r="D37" s="24">
        <v>900011116</v>
      </c>
      <c r="E37" s="24">
        <v>11116</v>
      </c>
      <c r="F37" s="24">
        <v>8045</v>
      </c>
      <c r="G37" s="24">
        <v>92</v>
      </c>
      <c r="H37" s="24">
        <v>54</v>
      </c>
      <c r="I37" s="25">
        <v>0.5</v>
      </c>
      <c r="J37" s="24">
        <v>3593</v>
      </c>
      <c r="K37" s="24" t="b">
        <v>1</v>
      </c>
      <c r="L37" s="25">
        <v>0</v>
      </c>
      <c r="M37" s="47">
        <v>0</v>
      </c>
      <c r="N37" s="25">
        <v>0.0769</v>
      </c>
      <c r="O37" s="47">
        <v>13.0039</v>
      </c>
      <c r="P37" s="25">
        <v>0.5</v>
      </c>
      <c r="Q37" s="24">
        <v>2</v>
      </c>
      <c r="R37" s="24">
        <v>5</v>
      </c>
      <c r="S37" s="25">
        <v>0.5</v>
      </c>
      <c r="T37" s="24">
        <v>0</v>
      </c>
      <c r="U37" s="24">
        <v>-0.2</v>
      </c>
      <c r="V37" s="24">
        <v>0.2</v>
      </c>
      <c r="W37" s="24">
        <v>0</v>
      </c>
      <c r="X37" s="24">
        <v>0</v>
      </c>
      <c r="Y37" s="24">
        <v>0</v>
      </c>
      <c r="Z37" s="24">
        <v>-0.2</v>
      </c>
      <c r="AA37" s="24">
        <v>0.2</v>
      </c>
      <c r="AB37" s="24">
        <v>0</v>
      </c>
      <c r="AC37" s="24">
        <v>0</v>
      </c>
      <c r="AD37" s="24">
        <v>0</v>
      </c>
      <c r="AE37" s="24">
        <v>-0.2</v>
      </c>
      <c r="AF37" s="24">
        <v>0.2</v>
      </c>
      <c r="AG37" s="24">
        <v>0</v>
      </c>
      <c r="AH37" s="24">
        <v>0</v>
      </c>
      <c r="AI37" s="16">
        <v>3</v>
      </c>
      <c r="AJ37" s="72">
        <f>=F37*247.95</f>
        <v>1994757.75</v>
      </c>
      <c r="AK37" s="72">
        <f>=G37*32.6061</f>
        <v>2999.7612</v>
      </c>
      <c r="AL37" s="72">
        <f>=J37*2.35</f>
        <v>8443.55</v>
      </c>
      <c r="AM37" s="72">
        <f>=H37*15.88</f>
        <v>857.52</v>
      </c>
    </row>
    <row r="38" spans="1:39">
      <c r="A38" s="24" t="s">
        <v>1232</v>
      </c>
      <c r="B38" s="24" t="s">
        <v>1233</v>
      </c>
      <c r="C38" s="24" t="s">
        <v>1234</v>
      </c>
      <c r="D38" s="24">
        <v>900011117</v>
      </c>
      <c r="E38" s="24">
        <v>11117</v>
      </c>
      <c r="F38" s="24">
        <v>8364</v>
      </c>
      <c r="G38" s="24">
        <v>106</v>
      </c>
      <c r="H38" s="24">
        <v>54</v>
      </c>
      <c r="I38" s="25">
        <v>0.5</v>
      </c>
      <c r="J38" s="24">
        <v>4184</v>
      </c>
      <c r="K38" s="24" t="b">
        <v>1</v>
      </c>
      <c r="L38" s="25">
        <v>0</v>
      </c>
      <c r="M38" s="47">
        <v>0</v>
      </c>
      <c r="N38" s="25">
        <v>0.0769</v>
      </c>
      <c r="O38" s="47">
        <v>13.0039</v>
      </c>
      <c r="P38" s="25">
        <v>0.5</v>
      </c>
      <c r="Q38" s="24">
        <v>2</v>
      </c>
      <c r="R38" s="24">
        <v>5</v>
      </c>
      <c r="S38" s="25">
        <v>0.5</v>
      </c>
      <c r="T38" s="24">
        <v>0</v>
      </c>
      <c r="U38" s="24">
        <v>-0.2</v>
      </c>
      <c r="V38" s="24">
        <v>0.2</v>
      </c>
      <c r="W38" s="24">
        <v>0</v>
      </c>
      <c r="X38" s="24">
        <v>0</v>
      </c>
      <c r="Y38" s="24">
        <v>0</v>
      </c>
      <c r="Z38" s="24">
        <v>-0.2</v>
      </c>
      <c r="AA38" s="24">
        <v>0.2</v>
      </c>
      <c r="AB38" s="24">
        <v>0</v>
      </c>
      <c r="AC38" s="24">
        <v>0</v>
      </c>
      <c r="AD38" s="24">
        <v>0</v>
      </c>
      <c r="AE38" s="24">
        <v>-0.2</v>
      </c>
      <c r="AF38" s="24">
        <v>0.2</v>
      </c>
      <c r="AG38" s="24">
        <v>0</v>
      </c>
      <c r="AH38" s="24">
        <v>0</v>
      </c>
      <c r="AI38" s="16">
        <v>3</v>
      </c>
      <c r="AJ38" s="72">
        <f>=F38*247.95</f>
        <v>2073853.8</v>
      </c>
      <c r="AK38" s="72">
        <f>=G38*32.6061</f>
        <v>3456.2466</v>
      </c>
      <c r="AL38" s="72">
        <f>=J38*2.35</f>
        <v>9832.4</v>
      </c>
      <c r="AM38" s="72">
        <f>=H38*15.88</f>
        <v>857.52</v>
      </c>
    </row>
    <row r="39" spans="1:39">
      <c r="A39" s="24" t="s">
        <v>1237</v>
      </c>
      <c r="B39" s="24" t="s">
        <v>1238</v>
      </c>
      <c r="C39" s="24" t="s">
        <v>1239</v>
      </c>
      <c r="D39" s="24">
        <v>900011123</v>
      </c>
      <c r="E39" s="24">
        <v>11123</v>
      </c>
      <c r="F39" s="24">
        <v>5653</v>
      </c>
      <c r="G39" s="24">
        <v>92</v>
      </c>
      <c r="H39" s="24">
        <v>54</v>
      </c>
      <c r="I39" s="25">
        <v>0.5</v>
      </c>
      <c r="J39" s="24">
        <v>1831</v>
      </c>
      <c r="K39" s="24" t="b">
        <v>1</v>
      </c>
      <c r="L39" s="25">
        <v>0</v>
      </c>
      <c r="M39" s="47">
        <v>0</v>
      </c>
      <c r="N39" s="25">
        <v>0.1</v>
      </c>
      <c r="O39" s="47">
        <v>10</v>
      </c>
      <c r="P39" s="25">
        <v>1</v>
      </c>
      <c r="Q39" s="24">
        <v>2</v>
      </c>
      <c r="R39" s="24">
        <v>3</v>
      </c>
      <c r="S39" s="25">
        <v>0.5</v>
      </c>
      <c r="T39" s="24">
        <v>-0.2</v>
      </c>
      <c r="U39" s="24">
        <v>0</v>
      </c>
      <c r="V39" s="24">
        <v>0</v>
      </c>
      <c r="W39" s="24">
        <v>0</v>
      </c>
      <c r="X39" s="24">
        <v>-0.2</v>
      </c>
      <c r="Y39" s="24">
        <v>-0.2</v>
      </c>
      <c r="Z39" s="24">
        <v>0</v>
      </c>
      <c r="AA39" s="24">
        <v>0</v>
      </c>
      <c r="AB39" s="24">
        <v>0</v>
      </c>
      <c r="AC39" s="24">
        <v>-0.2</v>
      </c>
      <c r="AD39" s="24">
        <v>-0.2</v>
      </c>
      <c r="AE39" s="24">
        <v>0</v>
      </c>
      <c r="AF39" s="24">
        <v>0</v>
      </c>
      <c r="AG39" s="24">
        <v>0</v>
      </c>
      <c r="AH39" s="24">
        <v>-0.2</v>
      </c>
      <c r="AI39" s="16">
        <v>3</v>
      </c>
      <c r="AJ39" s="72">
        <f>=F39*247.95</f>
        <v>1401661.35</v>
      </c>
      <c r="AK39" s="72">
        <f>=G39*32.6061</f>
        <v>2999.7612</v>
      </c>
      <c r="AL39" s="72">
        <f>=J39*2.35</f>
        <v>4302.85</v>
      </c>
      <c r="AM39" s="72">
        <f>=H39*15.88</f>
        <v>857.52</v>
      </c>
    </row>
    <row r="40" spans="1:39">
      <c r="A40" s="24" t="s">
        <v>1237</v>
      </c>
      <c r="B40" s="24" t="s">
        <v>1238</v>
      </c>
      <c r="C40" s="24" t="s">
        <v>1239</v>
      </c>
      <c r="D40" s="24">
        <v>900011124</v>
      </c>
      <c r="E40" s="24">
        <v>11124</v>
      </c>
      <c r="F40" s="24">
        <v>5823</v>
      </c>
      <c r="G40" s="24">
        <v>106</v>
      </c>
      <c r="H40" s="24">
        <v>54</v>
      </c>
      <c r="I40" s="25">
        <v>0.5</v>
      </c>
      <c r="J40" s="24">
        <v>2123</v>
      </c>
      <c r="K40" s="24" t="b">
        <v>1</v>
      </c>
      <c r="L40" s="25">
        <v>0</v>
      </c>
      <c r="M40" s="47">
        <v>0</v>
      </c>
      <c r="N40" s="25">
        <v>0.1</v>
      </c>
      <c r="O40" s="47">
        <v>10</v>
      </c>
      <c r="P40" s="25">
        <v>1</v>
      </c>
      <c r="Q40" s="24">
        <v>2</v>
      </c>
      <c r="R40" s="24">
        <v>3</v>
      </c>
      <c r="S40" s="25">
        <v>0.5</v>
      </c>
      <c r="T40" s="24">
        <v>-0.2</v>
      </c>
      <c r="U40" s="24">
        <v>0</v>
      </c>
      <c r="V40" s="24">
        <v>0</v>
      </c>
      <c r="W40" s="24">
        <v>0</v>
      </c>
      <c r="X40" s="24">
        <v>-0.2</v>
      </c>
      <c r="Y40" s="24">
        <v>-0.2</v>
      </c>
      <c r="Z40" s="24">
        <v>0</v>
      </c>
      <c r="AA40" s="24">
        <v>0</v>
      </c>
      <c r="AB40" s="24">
        <v>0</v>
      </c>
      <c r="AC40" s="24">
        <v>-0.2</v>
      </c>
      <c r="AD40" s="24">
        <v>-0.2</v>
      </c>
      <c r="AE40" s="24">
        <v>0</v>
      </c>
      <c r="AF40" s="24">
        <v>0</v>
      </c>
      <c r="AG40" s="24">
        <v>0</v>
      </c>
      <c r="AH40" s="24">
        <v>-0.2</v>
      </c>
      <c r="AI40" s="16">
        <v>3</v>
      </c>
      <c r="AJ40" s="72">
        <f>=F40*247.95</f>
        <v>1443812.85</v>
      </c>
      <c r="AK40" s="72">
        <f>=G40*32.6061</f>
        <v>3456.2466</v>
      </c>
      <c r="AL40" s="72">
        <f>=J40*2.35</f>
        <v>4989.05</v>
      </c>
      <c r="AM40" s="72">
        <f>=H40*15.88</f>
        <v>857.52</v>
      </c>
    </row>
    <row r="41" spans="1:39">
      <c r="A41" s="24" t="s">
        <v>1242</v>
      </c>
      <c r="B41" s="24" t="s">
        <v>1243</v>
      </c>
      <c r="C41" s="24" t="s">
        <v>1244</v>
      </c>
      <c r="D41" s="24">
        <v>900011125</v>
      </c>
      <c r="E41" s="24">
        <v>11125</v>
      </c>
      <c r="F41" s="24">
        <v>5653</v>
      </c>
      <c r="G41" s="24">
        <v>92</v>
      </c>
      <c r="H41" s="24">
        <v>54</v>
      </c>
      <c r="I41" s="25">
        <v>0.5</v>
      </c>
      <c r="J41" s="24">
        <v>1831</v>
      </c>
      <c r="K41" s="24" t="b">
        <v>1</v>
      </c>
      <c r="L41" s="25">
        <v>0</v>
      </c>
      <c r="M41" s="47">
        <v>0</v>
      </c>
      <c r="N41" s="25">
        <v>0.1</v>
      </c>
      <c r="O41" s="47">
        <v>10</v>
      </c>
      <c r="P41" s="25">
        <v>1</v>
      </c>
      <c r="Q41" s="24">
        <v>2</v>
      </c>
      <c r="R41" s="24">
        <v>3</v>
      </c>
      <c r="S41" s="25">
        <v>0.5</v>
      </c>
      <c r="T41" s="24">
        <v>0</v>
      </c>
      <c r="U41" s="24">
        <v>-0.2</v>
      </c>
      <c r="V41" s="24">
        <v>0.2</v>
      </c>
      <c r="W41" s="24">
        <v>0</v>
      </c>
      <c r="X41" s="24">
        <v>0</v>
      </c>
      <c r="Y41" s="24">
        <v>0</v>
      </c>
      <c r="Z41" s="24">
        <v>-0.2</v>
      </c>
      <c r="AA41" s="24">
        <v>0.2</v>
      </c>
      <c r="AB41" s="24">
        <v>0</v>
      </c>
      <c r="AC41" s="24">
        <v>0</v>
      </c>
      <c r="AD41" s="24">
        <v>0</v>
      </c>
      <c r="AE41" s="24">
        <v>-0.2</v>
      </c>
      <c r="AF41" s="24">
        <v>0.2</v>
      </c>
      <c r="AG41" s="24">
        <v>0</v>
      </c>
      <c r="AH41" s="24">
        <v>0</v>
      </c>
      <c r="AI41" s="16">
        <v>3</v>
      </c>
      <c r="AJ41" s="72">
        <f>=F41*247.95</f>
        <v>1401661.35</v>
      </c>
      <c r="AK41" s="72">
        <f>=G41*32.6061</f>
        <v>2999.7612</v>
      </c>
      <c r="AL41" s="72">
        <f>=J41*2.35</f>
        <v>4302.85</v>
      </c>
      <c r="AM41" s="72">
        <f>=H41*15.88</f>
        <v>857.52</v>
      </c>
    </row>
    <row r="42" spans="1:39">
      <c r="A42" s="24" t="s">
        <v>1242</v>
      </c>
      <c r="B42" s="24" t="s">
        <v>1243</v>
      </c>
      <c r="C42" s="24" t="s">
        <v>1244</v>
      </c>
      <c r="D42" s="24">
        <v>900011126</v>
      </c>
      <c r="E42" s="24">
        <v>11126</v>
      </c>
      <c r="F42" s="24">
        <v>5823</v>
      </c>
      <c r="G42" s="24">
        <v>106</v>
      </c>
      <c r="H42" s="24">
        <v>54</v>
      </c>
      <c r="I42" s="25">
        <v>0.5</v>
      </c>
      <c r="J42" s="24">
        <v>2123</v>
      </c>
      <c r="K42" s="24" t="b">
        <v>1</v>
      </c>
      <c r="L42" s="25">
        <v>0</v>
      </c>
      <c r="M42" s="47">
        <v>0</v>
      </c>
      <c r="N42" s="25">
        <v>0.1</v>
      </c>
      <c r="O42" s="47">
        <v>10</v>
      </c>
      <c r="P42" s="25">
        <v>1</v>
      </c>
      <c r="Q42" s="24">
        <v>2</v>
      </c>
      <c r="R42" s="24">
        <v>3</v>
      </c>
      <c r="S42" s="25">
        <v>0.5</v>
      </c>
      <c r="T42" s="24">
        <v>0</v>
      </c>
      <c r="U42" s="24">
        <v>-0.2</v>
      </c>
      <c r="V42" s="24">
        <v>0.2</v>
      </c>
      <c r="W42" s="24">
        <v>0</v>
      </c>
      <c r="X42" s="24">
        <v>0</v>
      </c>
      <c r="Y42" s="24">
        <v>0</v>
      </c>
      <c r="Z42" s="24">
        <v>-0.2</v>
      </c>
      <c r="AA42" s="24">
        <v>0.2</v>
      </c>
      <c r="AB42" s="24">
        <v>0</v>
      </c>
      <c r="AC42" s="24">
        <v>0</v>
      </c>
      <c r="AD42" s="24">
        <v>0</v>
      </c>
      <c r="AE42" s="24">
        <v>-0.2</v>
      </c>
      <c r="AF42" s="24">
        <v>0.2</v>
      </c>
      <c r="AG42" s="24">
        <v>0</v>
      </c>
      <c r="AH42" s="24">
        <v>0</v>
      </c>
      <c r="AI42" s="16">
        <v>3</v>
      </c>
      <c r="AJ42" s="72">
        <f>=F42*247.95</f>
        <v>1443812.85</v>
      </c>
      <c r="AK42" s="72">
        <f>=G42*32.6061</f>
        <v>3456.2466</v>
      </c>
      <c r="AL42" s="72">
        <f>=J42*2.35</f>
        <v>4989.05</v>
      </c>
      <c r="AM42" s="72">
        <f>=H42*15.88</f>
        <v>857.52</v>
      </c>
    </row>
    <row r="43" spans="1:39">
      <c r="A43" s="24" t="s">
        <v>1247</v>
      </c>
      <c r="B43" s="24" t="s">
        <v>1248</v>
      </c>
      <c r="C43" s="24" t="s">
        <v>1249</v>
      </c>
      <c r="D43" s="24">
        <v>900011127</v>
      </c>
      <c r="E43" s="24">
        <v>11127</v>
      </c>
      <c r="F43" s="24">
        <v>19321</v>
      </c>
      <c r="G43" s="24">
        <v>132</v>
      </c>
      <c r="H43" s="24">
        <v>60</v>
      </c>
      <c r="I43" s="25">
        <v>0.5</v>
      </c>
      <c r="J43" s="24">
        <v>4508</v>
      </c>
      <c r="K43" s="24" t="b">
        <v>1</v>
      </c>
      <c r="L43" s="25">
        <v>0</v>
      </c>
      <c r="M43" s="47">
        <v>0</v>
      </c>
      <c r="N43" s="25">
        <v>0.0833</v>
      </c>
      <c r="O43" s="47">
        <v>12.0048</v>
      </c>
      <c r="P43" s="25">
        <v>0.5</v>
      </c>
      <c r="Q43" s="24">
        <v>3</v>
      </c>
      <c r="R43" s="24">
        <v>5</v>
      </c>
      <c r="S43" s="25">
        <v>0.75</v>
      </c>
      <c r="T43" s="24">
        <v>0</v>
      </c>
      <c r="U43" s="24">
        <v>-0.2</v>
      </c>
      <c r="V43" s="24">
        <v>0.2</v>
      </c>
      <c r="W43" s="24">
        <v>0</v>
      </c>
      <c r="X43" s="24">
        <v>0</v>
      </c>
      <c r="Y43" s="24">
        <v>0</v>
      </c>
      <c r="Z43" s="24">
        <v>-0.2</v>
      </c>
      <c r="AA43" s="24">
        <v>0.2</v>
      </c>
      <c r="AB43" s="24">
        <v>0</v>
      </c>
      <c r="AC43" s="24">
        <v>0</v>
      </c>
      <c r="AD43" s="24">
        <v>0</v>
      </c>
      <c r="AE43" s="24">
        <v>-0.2</v>
      </c>
      <c r="AF43" s="24">
        <v>0.2</v>
      </c>
      <c r="AG43" s="24">
        <v>0</v>
      </c>
      <c r="AH43" s="24">
        <v>0</v>
      </c>
      <c r="AI43" s="16">
        <v>5</v>
      </c>
      <c r="AJ43" s="72">
        <f>=F43*247.95</f>
        <v>4790641.95</v>
      </c>
      <c r="AK43" s="72">
        <f>=G43*32.6061</f>
        <v>4304.0052</v>
      </c>
      <c r="AL43" s="72">
        <f>=J43*2.35</f>
        <v>10593.8</v>
      </c>
      <c r="AM43" s="72">
        <f>=H43*15.88</f>
        <v>952.8</v>
      </c>
    </row>
    <row r="44" spans="1:39">
      <c r="A44" s="24" t="s">
        <v>1252</v>
      </c>
      <c r="B44" s="24" t="s">
        <v>1253</v>
      </c>
      <c r="C44" s="24" t="s">
        <v>1254</v>
      </c>
      <c r="D44" s="24">
        <v>900011141</v>
      </c>
      <c r="E44" s="24">
        <v>11141</v>
      </c>
      <c r="F44" s="24">
        <v>1123</v>
      </c>
      <c r="G44" s="24">
        <v>66</v>
      </c>
      <c r="H44" s="24">
        <v>36</v>
      </c>
      <c r="I44" s="25">
        <v>0.5</v>
      </c>
      <c r="J44" s="24">
        <v>600</v>
      </c>
      <c r="K44" s="24" t="b">
        <v>1</v>
      </c>
      <c r="L44" s="25">
        <v>0</v>
      </c>
      <c r="M44" s="47">
        <v>0</v>
      </c>
      <c r="N44" s="25">
        <v>0.1538</v>
      </c>
      <c r="O44" s="47">
        <v>6.501951</v>
      </c>
      <c r="P44" s="25">
        <v>0.5</v>
      </c>
      <c r="Q44" s="24">
        <v>1</v>
      </c>
      <c r="R44" s="24">
        <v>1</v>
      </c>
      <c r="S44" s="25">
        <v>0</v>
      </c>
      <c r="T44" s="24">
        <v>-0.2</v>
      </c>
      <c r="U44" s="24">
        <v>0</v>
      </c>
      <c r="V44" s="24">
        <v>0</v>
      </c>
      <c r="W44" s="24">
        <v>0</v>
      </c>
      <c r="X44" s="24">
        <v>-0.2</v>
      </c>
      <c r="Y44" s="24">
        <v>-0.2</v>
      </c>
      <c r="Z44" s="24">
        <v>0</v>
      </c>
      <c r="AA44" s="24">
        <v>0</v>
      </c>
      <c r="AB44" s="24">
        <v>0</v>
      </c>
      <c r="AC44" s="24">
        <v>-0.2</v>
      </c>
      <c r="AD44" s="24">
        <v>-0.2</v>
      </c>
      <c r="AE44" s="24">
        <v>0</v>
      </c>
      <c r="AF44" s="24">
        <v>0</v>
      </c>
      <c r="AG44" s="24">
        <v>0</v>
      </c>
      <c r="AH44" s="24">
        <v>-0.2</v>
      </c>
      <c r="AI44" s="16" t="s"/>
      <c r="AJ44" s="72">
        <f>=F44*247.95</f>
        <v>278447.85</v>
      </c>
      <c r="AK44" s="72">
        <f>=G44*32.6061</f>
        <v>2152.0026</v>
      </c>
      <c r="AL44" s="72">
        <f>=J44*2.35</f>
        <v>1410</v>
      </c>
      <c r="AM44" s="72">
        <f>=H44*15.88</f>
        <v>571.68</v>
      </c>
    </row>
    <row r="45" spans="1:39">
      <c r="A45" s="24" t="s">
        <v>1252</v>
      </c>
      <c r="B45" s="24" t="s">
        <v>1253</v>
      </c>
      <c r="C45" s="24" t="s">
        <v>1254</v>
      </c>
      <c r="D45" s="24">
        <v>900011142</v>
      </c>
      <c r="E45" s="24">
        <v>11142</v>
      </c>
      <c r="F45" s="24">
        <v>1373</v>
      </c>
      <c r="G45" s="24">
        <v>66</v>
      </c>
      <c r="H45" s="24">
        <v>36</v>
      </c>
      <c r="I45" s="25">
        <v>0.5</v>
      </c>
      <c r="J45" s="24">
        <v>900</v>
      </c>
      <c r="K45" s="24" t="b">
        <v>1</v>
      </c>
      <c r="L45" s="25">
        <v>0</v>
      </c>
      <c r="M45" s="47">
        <v>0</v>
      </c>
      <c r="N45" s="25">
        <v>0.1538</v>
      </c>
      <c r="O45" s="47">
        <v>6.501951</v>
      </c>
      <c r="P45" s="25">
        <v>0.5</v>
      </c>
      <c r="Q45" s="24">
        <v>1</v>
      </c>
      <c r="R45" s="24">
        <v>1</v>
      </c>
      <c r="S45" s="25">
        <v>0</v>
      </c>
      <c r="T45" s="24">
        <v>-0.2</v>
      </c>
      <c r="U45" s="24">
        <v>0</v>
      </c>
      <c r="V45" s="24">
        <v>0</v>
      </c>
      <c r="W45" s="24">
        <v>0</v>
      </c>
      <c r="X45" s="24">
        <v>-0.2</v>
      </c>
      <c r="Y45" s="24">
        <v>-0.2</v>
      </c>
      <c r="Z45" s="24">
        <v>0</v>
      </c>
      <c r="AA45" s="24">
        <v>0</v>
      </c>
      <c r="AB45" s="24">
        <v>0</v>
      </c>
      <c r="AC45" s="24">
        <v>-0.2</v>
      </c>
      <c r="AD45" s="24">
        <v>-0.2</v>
      </c>
      <c r="AE45" s="24">
        <v>0</v>
      </c>
      <c r="AF45" s="24">
        <v>0</v>
      </c>
      <c r="AG45" s="24">
        <v>0</v>
      </c>
      <c r="AH45" s="24">
        <v>-0.2</v>
      </c>
      <c r="AI45" s="16" t="s"/>
      <c r="AJ45" s="72">
        <f>=F45*247.95</f>
        <v>340435.35</v>
      </c>
      <c r="AK45" s="72">
        <f>=G45*32.6061</f>
        <v>2152.0026</v>
      </c>
      <c r="AL45" s="72">
        <f>=J45*2.35</f>
        <v>2115</v>
      </c>
      <c r="AM45" s="72">
        <f>=H45*15.88</f>
        <v>571.68</v>
      </c>
    </row>
    <row r="46" spans="1:39">
      <c r="A46" s="24" t="s">
        <v>1257</v>
      </c>
      <c r="B46" s="24" t="s">
        <v>1258</v>
      </c>
      <c r="C46" s="24" t="s">
        <v>1259</v>
      </c>
      <c r="D46" s="24">
        <v>900011143</v>
      </c>
      <c r="E46" s="24">
        <v>11143</v>
      </c>
      <c r="F46" s="24">
        <v>1123</v>
      </c>
      <c r="G46" s="24">
        <v>66</v>
      </c>
      <c r="H46" s="24">
        <v>36</v>
      </c>
      <c r="I46" s="25">
        <v>0.5</v>
      </c>
      <c r="J46" s="24">
        <v>600</v>
      </c>
      <c r="K46" s="24" t="b">
        <v>1</v>
      </c>
      <c r="L46" s="25">
        <v>0</v>
      </c>
      <c r="M46" s="47">
        <v>0</v>
      </c>
      <c r="N46" s="25">
        <v>0.1538</v>
      </c>
      <c r="O46" s="47">
        <v>6.501951</v>
      </c>
      <c r="P46" s="25">
        <v>0.5</v>
      </c>
      <c r="Q46" s="24">
        <v>1</v>
      </c>
      <c r="R46" s="24">
        <v>1</v>
      </c>
      <c r="S46" s="25">
        <v>0</v>
      </c>
      <c r="T46" s="24">
        <v>0</v>
      </c>
      <c r="U46" s="24">
        <v>-0.2</v>
      </c>
      <c r="V46" s="24">
        <v>0</v>
      </c>
      <c r="W46" s="24">
        <v>0</v>
      </c>
      <c r="X46" s="24">
        <v>0</v>
      </c>
      <c r="Y46" s="24">
        <v>0</v>
      </c>
      <c r="Z46" s="24">
        <v>-0.2</v>
      </c>
      <c r="AA46" s="24">
        <v>0</v>
      </c>
      <c r="AB46" s="24">
        <v>0</v>
      </c>
      <c r="AC46" s="24">
        <v>0</v>
      </c>
      <c r="AD46" s="24">
        <v>0</v>
      </c>
      <c r="AE46" s="24">
        <v>-0.2</v>
      </c>
      <c r="AF46" s="24">
        <v>0</v>
      </c>
      <c r="AG46" s="24">
        <v>0</v>
      </c>
      <c r="AH46" s="24">
        <v>0</v>
      </c>
      <c r="AI46" s="16" t="s"/>
      <c r="AJ46" s="72">
        <f>=F46*247.95</f>
        <v>278447.85</v>
      </c>
      <c r="AK46" s="72">
        <f>=G46*32.6061</f>
        <v>2152.0026</v>
      </c>
      <c r="AL46" s="72">
        <f>=J46*2.35</f>
        <v>1410</v>
      </c>
      <c r="AM46" s="72">
        <f>=H46*15.88</f>
        <v>571.68</v>
      </c>
    </row>
    <row r="47" spans="1:39">
      <c r="A47" s="24" t="s">
        <v>1257</v>
      </c>
      <c r="B47" s="24" t="s">
        <v>1258</v>
      </c>
      <c r="C47" s="24" t="s">
        <v>1259</v>
      </c>
      <c r="D47" s="24">
        <v>900011144</v>
      </c>
      <c r="E47" s="24">
        <v>11144</v>
      </c>
      <c r="F47" s="24">
        <v>1373</v>
      </c>
      <c r="G47" s="24">
        <v>66</v>
      </c>
      <c r="H47" s="24">
        <v>36</v>
      </c>
      <c r="I47" s="25">
        <v>0.5</v>
      </c>
      <c r="J47" s="24">
        <v>900</v>
      </c>
      <c r="K47" s="24" t="b">
        <v>1</v>
      </c>
      <c r="L47" s="25">
        <v>0</v>
      </c>
      <c r="M47" s="47">
        <v>0</v>
      </c>
      <c r="N47" s="25">
        <v>0.1538</v>
      </c>
      <c r="O47" s="47">
        <v>6.501951</v>
      </c>
      <c r="P47" s="25">
        <v>0.5</v>
      </c>
      <c r="Q47" s="24">
        <v>1</v>
      </c>
      <c r="R47" s="24">
        <v>1</v>
      </c>
      <c r="S47" s="25">
        <v>0</v>
      </c>
      <c r="T47" s="24">
        <v>0</v>
      </c>
      <c r="U47" s="24">
        <v>-0.2</v>
      </c>
      <c r="V47" s="24">
        <v>0</v>
      </c>
      <c r="W47" s="24">
        <v>0</v>
      </c>
      <c r="X47" s="24">
        <v>0</v>
      </c>
      <c r="Y47" s="24">
        <v>0</v>
      </c>
      <c r="Z47" s="24">
        <v>-0.2</v>
      </c>
      <c r="AA47" s="24">
        <v>0</v>
      </c>
      <c r="AB47" s="24">
        <v>0</v>
      </c>
      <c r="AC47" s="24">
        <v>0</v>
      </c>
      <c r="AD47" s="24">
        <v>0</v>
      </c>
      <c r="AE47" s="24">
        <v>-0.2</v>
      </c>
      <c r="AF47" s="24">
        <v>0</v>
      </c>
      <c r="AG47" s="24">
        <v>0</v>
      </c>
      <c r="AH47" s="24">
        <v>0</v>
      </c>
      <c r="AI47" s="16" t="s"/>
      <c r="AJ47" s="72">
        <f>=F47*247.95</f>
        <v>340435.35</v>
      </c>
      <c r="AK47" s="72">
        <f>=G47*32.6061</f>
        <v>2152.0026</v>
      </c>
      <c r="AL47" s="72">
        <f>=J47*2.35</f>
        <v>2115</v>
      </c>
      <c r="AM47" s="72">
        <f>=H47*15.88</f>
        <v>571.68</v>
      </c>
    </row>
    <row r="48" spans="1:39">
      <c r="A48" s="24" t="s">
        <v>1260</v>
      </c>
      <c r="B48" s="24" t="s">
        <v>1261</v>
      </c>
      <c r="C48" s="24" t="s">
        <v>1262</v>
      </c>
      <c r="D48" s="24">
        <v>900011152</v>
      </c>
      <c r="E48" s="24">
        <v>11152</v>
      </c>
      <c r="F48" s="24">
        <v>15551</v>
      </c>
      <c r="G48" s="24">
        <v>120</v>
      </c>
      <c r="H48" s="24">
        <v>60</v>
      </c>
      <c r="I48" s="25">
        <v>0.5</v>
      </c>
      <c r="J48" s="24">
        <v>4508</v>
      </c>
      <c r="K48" s="24" t="b">
        <v>1</v>
      </c>
      <c r="L48" s="25">
        <v>0</v>
      </c>
      <c r="M48" s="47">
        <v>0</v>
      </c>
      <c r="N48" s="25">
        <v>0.0833</v>
      </c>
      <c r="O48" s="47">
        <v>12.0048</v>
      </c>
      <c r="P48" s="25">
        <v>0.5</v>
      </c>
      <c r="Q48" s="24">
        <v>3</v>
      </c>
      <c r="R48" s="24">
        <v>5</v>
      </c>
      <c r="S48" s="25">
        <v>0.75</v>
      </c>
      <c r="T48" s="24">
        <v>-0.2</v>
      </c>
      <c r="U48" s="24">
        <v>0</v>
      </c>
      <c r="V48" s="24">
        <v>0</v>
      </c>
      <c r="W48" s="24">
        <v>0</v>
      </c>
      <c r="X48" s="24">
        <v>-0.2</v>
      </c>
      <c r="Y48" s="24">
        <v>-0.2</v>
      </c>
      <c r="Z48" s="24">
        <v>0</v>
      </c>
      <c r="AA48" s="24">
        <v>0</v>
      </c>
      <c r="AB48" s="24">
        <v>0</v>
      </c>
      <c r="AC48" s="24">
        <v>-0.2</v>
      </c>
      <c r="AD48" s="24">
        <v>-0.2</v>
      </c>
      <c r="AE48" s="24">
        <v>0</v>
      </c>
      <c r="AF48" s="24">
        <v>0</v>
      </c>
      <c r="AG48" s="24">
        <v>0</v>
      </c>
      <c r="AH48" s="24">
        <v>-0.2</v>
      </c>
      <c r="AI48" s="16">
        <v>5</v>
      </c>
      <c r="AJ48" s="72">
        <f>=F48*247.95</f>
        <v>3855870.45</v>
      </c>
      <c r="AK48" s="72">
        <f>=G48*32.6061</f>
        <v>3912.732</v>
      </c>
      <c r="AL48" s="72">
        <f>=J48*2.35</f>
        <v>10593.8</v>
      </c>
      <c r="AM48" s="72">
        <f>=H48*15.88</f>
        <v>952.8</v>
      </c>
    </row>
    <row r="49" spans="1:39">
      <c r="A49" s="24" t="s">
        <v>1264</v>
      </c>
      <c r="B49" s="24" t="s">
        <v>1265</v>
      </c>
      <c r="C49" s="24" t="s">
        <v>1266</v>
      </c>
      <c r="D49" s="24">
        <v>900011154</v>
      </c>
      <c r="E49" s="24">
        <v>11154</v>
      </c>
      <c r="F49" s="24">
        <v>6743</v>
      </c>
      <c r="G49" s="24">
        <v>97</v>
      </c>
      <c r="H49" s="24">
        <v>58</v>
      </c>
      <c r="I49" s="25">
        <v>0.5</v>
      </c>
      <c r="J49" s="24">
        <v>2958</v>
      </c>
      <c r="K49" s="24" t="b">
        <v>1</v>
      </c>
      <c r="L49" s="25">
        <v>0</v>
      </c>
      <c r="M49" s="47">
        <v>0</v>
      </c>
      <c r="N49" s="25">
        <v>0.1</v>
      </c>
      <c r="O49" s="47">
        <v>10</v>
      </c>
      <c r="P49" s="25">
        <v>0.5</v>
      </c>
      <c r="Q49" s="24">
        <v>2</v>
      </c>
      <c r="R49" s="24">
        <v>3</v>
      </c>
      <c r="S49" s="25">
        <v>0.5</v>
      </c>
      <c r="T49" s="24">
        <v>-0.2</v>
      </c>
      <c r="U49" s="24">
        <v>0</v>
      </c>
      <c r="V49" s="24">
        <v>0</v>
      </c>
      <c r="W49" s="24">
        <v>0</v>
      </c>
      <c r="X49" s="24">
        <v>-0.2</v>
      </c>
      <c r="Y49" s="24">
        <v>-0.2</v>
      </c>
      <c r="Z49" s="24">
        <v>0</v>
      </c>
      <c r="AA49" s="24">
        <v>0</v>
      </c>
      <c r="AB49" s="24">
        <v>0</v>
      </c>
      <c r="AC49" s="24">
        <v>-0.2</v>
      </c>
      <c r="AD49" s="24">
        <v>-0.2</v>
      </c>
      <c r="AE49" s="24">
        <v>0</v>
      </c>
      <c r="AF49" s="24">
        <v>0</v>
      </c>
      <c r="AG49" s="24">
        <v>0</v>
      </c>
      <c r="AH49" s="24">
        <v>-0.2</v>
      </c>
      <c r="AI49" s="16">
        <v>3</v>
      </c>
      <c r="AJ49" s="72">
        <f>=F49*247.95</f>
        <v>1671926.85</v>
      </c>
      <c r="AK49" s="72">
        <f>=G49*32.6061</f>
        <v>3162.7917</v>
      </c>
      <c r="AL49" s="72">
        <f>=J49*2.35</f>
        <v>6951.3</v>
      </c>
      <c r="AM49" s="72">
        <f>=H49*15.88</f>
        <v>921.04</v>
      </c>
    </row>
    <row r="50" spans="1:39">
      <c r="A50" s="24" t="s">
        <v>1264</v>
      </c>
      <c r="B50" s="24" t="s">
        <v>1265</v>
      </c>
      <c r="C50" s="24" t="s">
        <v>1266</v>
      </c>
      <c r="D50" s="24">
        <v>900011155</v>
      </c>
      <c r="E50" s="24">
        <v>11155</v>
      </c>
      <c r="F50" s="24">
        <v>6996</v>
      </c>
      <c r="G50" s="24">
        <v>111</v>
      </c>
      <c r="H50" s="24">
        <v>58</v>
      </c>
      <c r="I50" s="25">
        <v>0.5</v>
      </c>
      <c r="J50" s="24">
        <v>3429</v>
      </c>
      <c r="K50" s="24" t="b">
        <v>1</v>
      </c>
      <c r="L50" s="25">
        <v>0</v>
      </c>
      <c r="M50" s="47">
        <v>0</v>
      </c>
      <c r="N50" s="25">
        <v>0.1</v>
      </c>
      <c r="O50" s="47">
        <v>10</v>
      </c>
      <c r="P50" s="25">
        <v>0.5</v>
      </c>
      <c r="Q50" s="24">
        <v>2</v>
      </c>
      <c r="R50" s="24">
        <v>5</v>
      </c>
      <c r="S50" s="25">
        <v>0.5</v>
      </c>
      <c r="T50" s="24">
        <v>-0.2</v>
      </c>
      <c r="U50" s="24">
        <v>0</v>
      </c>
      <c r="V50" s="24">
        <v>0</v>
      </c>
      <c r="W50" s="24">
        <v>0</v>
      </c>
      <c r="X50" s="24">
        <v>-0.2</v>
      </c>
      <c r="Y50" s="24">
        <v>-0.2</v>
      </c>
      <c r="Z50" s="24">
        <v>0</v>
      </c>
      <c r="AA50" s="24">
        <v>0</v>
      </c>
      <c r="AB50" s="24">
        <v>0</v>
      </c>
      <c r="AC50" s="24">
        <v>-0.2</v>
      </c>
      <c r="AD50" s="24">
        <v>-0.2</v>
      </c>
      <c r="AE50" s="24">
        <v>0</v>
      </c>
      <c r="AF50" s="24">
        <v>0</v>
      </c>
      <c r="AG50" s="24">
        <v>0</v>
      </c>
      <c r="AH50" s="24">
        <v>-0.2</v>
      </c>
      <c r="AI50" s="16">
        <v>3</v>
      </c>
      <c r="AJ50" s="72">
        <f>=F50*247.95</f>
        <v>1734658.2</v>
      </c>
      <c r="AK50" s="72">
        <f>=G50*32.6061</f>
        <v>3619.2771</v>
      </c>
      <c r="AL50" s="72">
        <f>=J50*2.35</f>
        <v>8058.15</v>
      </c>
      <c r="AM50" s="72">
        <f>=H50*15.88</f>
        <v>921.04</v>
      </c>
    </row>
    <row r="51" spans="1:39">
      <c r="A51" s="24" t="s">
        <v>1132</v>
      </c>
      <c r="B51" s="24" t="s">
        <v>1133</v>
      </c>
      <c r="C51" s="24" t="s">
        <v>1134</v>
      </c>
      <c r="D51" s="24">
        <v>900011156</v>
      </c>
      <c r="E51" s="24">
        <v>11156</v>
      </c>
      <c r="F51" s="24">
        <v>15551</v>
      </c>
      <c r="G51" s="24">
        <v>120</v>
      </c>
      <c r="H51" s="24">
        <v>60</v>
      </c>
      <c r="I51" s="25">
        <v>0.5</v>
      </c>
      <c r="J51" s="24">
        <v>4508</v>
      </c>
      <c r="K51" s="24" t="b">
        <v>1</v>
      </c>
      <c r="L51" s="25">
        <v>0</v>
      </c>
      <c r="M51" s="47">
        <v>0</v>
      </c>
      <c r="N51" s="25">
        <v>0.0833</v>
      </c>
      <c r="O51" s="47">
        <v>12.0048</v>
      </c>
      <c r="P51" s="25">
        <v>0.5</v>
      </c>
      <c r="Q51" s="24">
        <v>3</v>
      </c>
      <c r="R51" s="24">
        <v>5</v>
      </c>
      <c r="S51" s="25">
        <v>0.75</v>
      </c>
      <c r="T51" s="24">
        <v>-0.2</v>
      </c>
      <c r="U51" s="24">
        <v>0</v>
      </c>
      <c r="V51" s="24">
        <v>0</v>
      </c>
      <c r="W51" s="24">
        <v>0</v>
      </c>
      <c r="X51" s="24">
        <v>-0.2</v>
      </c>
      <c r="Y51" s="24">
        <v>-0.2</v>
      </c>
      <c r="Z51" s="24">
        <v>0</v>
      </c>
      <c r="AA51" s="24">
        <v>0</v>
      </c>
      <c r="AB51" s="24">
        <v>0</v>
      </c>
      <c r="AC51" s="24">
        <v>-0.2</v>
      </c>
      <c r="AD51" s="24">
        <v>-0.2</v>
      </c>
      <c r="AE51" s="24">
        <v>0</v>
      </c>
      <c r="AF51" s="24">
        <v>0</v>
      </c>
      <c r="AG51" s="24">
        <v>0</v>
      </c>
      <c r="AH51" s="24">
        <v>-0.2</v>
      </c>
      <c r="AI51" s="16">
        <v>5</v>
      </c>
      <c r="AJ51" s="72">
        <f>=F51*247.95</f>
        <v>3855870.45</v>
      </c>
      <c r="AK51" s="72">
        <f>=G51*32.6061</f>
        <v>3912.732</v>
      </c>
      <c r="AL51" s="72">
        <f>=J51*2.35</f>
        <v>10593.8</v>
      </c>
      <c r="AM51" s="72">
        <f>=H51*15.88</f>
        <v>952.8</v>
      </c>
    </row>
    <row r="52" spans="1:39">
      <c r="A52" s="24" t="s">
        <v>1269</v>
      </c>
      <c r="B52" s="24" t="s">
        <v>1270</v>
      </c>
      <c r="C52" s="24" t="s">
        <v>1271</v>
      </c>
      <c r="D52" s="24">
        <v>900011157</v>
      </c>
      <c r="E52" s="24">
        <v>11157</v>
      </c>
      <c r="F52" s="24">
        <v>6743</v>
      </c>
      <c r="G52" s="24">
        <v>97</v>
      </c>
      <c r="H52" s="24">
        <v>58</v>
      </c>
      <c r="I52" s="25">
        <v>0.5</v>
      </c>
      <c r="J52" s="24">
        <v>2958</v>
      </c>
      <c r="K52" s="24" t="b">
        <v>1</v>
      </c>
      <c r="L52" s="25">
        <v>0</v>
      </c>
      <c r="M52" s="47">
        <v>0</v>
      </c>
      <c r="N52" s="25">
        <v>0.1</v>
      </c>
      <c r="O52" s="47">
        <v>10</v>
      </c>
      <c r="P52" s="25">
        <v>0.5</v>
      </c>
      <c r="Q52" s="24">
        <v>2</v>
      </c>
      <c r="R52" s="24">
        <v>3</v>
      </c>
      <c r="S52" s="25">
        <v>0.5</v>
      </c>
      <c r="T52" s="24">
        <v>0</v>
      </c>
      <c r="U52" s="24">
        <v>-0.2</v>
      </c>
      <c r="V52" s="24">
        <v>0.2</v>
      </c>
      <c r="W52" s="24">
        <v>0</v>
      </c>
      <c r="X52" s="24">
        <v>0</v>
      </c>
      <c r="Y52" s="24">
        <v>0</v>
      </c>
      <c r="Z52" s="24">
        <v>-0.2</v>
      </c>
      <c r="AA52" s="24">
        <v>0.2</v>
      </c>
      <c r="AB52" s="24">
        <v>0</v>
      </c>
      <c r="AC52" s="24">
        <v>0</v>
      </c>
      <c r="AD52" s="24">
        <v>0</v>
      </c>
      <c r="AE52" s="24">
        <v>-0.2</v>
      </c>
      <c r="AF52" s="24">
        <v>0.2</v>
      </c>
      <c r="AG52" s="24">
        <v>0</v>
      </c>
      <c r="AH52" s="24">
        <v>0</v>
      </c>
      <c r="AI52" s="16">
        <v>3</v>
      </c>
      <c r="AJ52" s="72">
        <f>=F52*247.95</f>
        <v>1671926.85</v>
      </c>
      <c r="AK52" s="72">
        <f>=G52*32.6061</f>
        <v>3162.7917</v>
      </c>
      <c r="AL52" s="72">
        <f>=J52*2.35</f>
        <v>6951.3</v>
      </c>
      <c r="AM52" s="72">
        <f>=H52*15.88</f>
        <v>921.04</v>
      </c>
    </row>
    <row r="53" spans="1:39">
      <c r="A53" s="24" t="s">
        <v>1269</v>
      </c>
      <c r="B53" s="24" t="s">
        <v>1270</v>
      </c>
      <c r="C53" s="24" t="s">
        <v>1271</v>
      </c>
      <c r="D53" s="24">
        <v>900011158</v>
      </c>
      <c r="E53" s="24">
        <v>11158</v>
      </c>
      <c r="F53" s="24">
        <v>6996</v>
      </c>
      <c r="G53" s="24">
        <v>111</v>
      </c>
      <c r="H53" s="24">
        <v>58</v>
      </c>
      <c r="I53" s="25">
        <v>0.5</v>
      </c>
      <c r="J53" s="24">
        <v>3429</v>
      </c>
      <c r="K53" s="24" t="b">
        <v>1</v>
      </c>
      <c r="L53" s="25">
        <v>0</v>
      </c>
      <c r="M53" s="47">
        <v>0</v>
      </c>
      <c r="N53" s="25">
        <v>0.1</v>
      </c>
      <c r="O53" s="47">
        <v>10</v>
      </c>
      <c r="P53" s="25">
        <v>0.5</v>
      </c>
      <c r="Q53" s="24">
        <v>2</v>
      </c>
      <c r="R53" s="24">
        <v>5</v>
      </c>
      <c r="S53" s="25">
        <v>0.5</v>
      </c>
      <c r="T53" s="24">
        <v>0</v>
      </c>
      <c r="U53" s="24">
        <v>-0.2</v>
      </c>
      <c r="V53" s="24">
        <v>0.2</v>
      </c>
      <c r="W53" s="24">
        <v>0</v>
      </c>
      <c r="X53" s="24">
        <v>0</v>
      </c>
      <c r="Y53" s="24">
        <v>0</v>
      </c>
      <c r="Z53" s="24">
        <v>-0.2</v>
      </c>
      <c r="AA53" s="24">
        <v>0.2</v>
      </c>
      <c r="AB53" s="24">
        <v>0</v>
      </c>
      <c r="AC53" s="24">
        <v>0</v>
      </c>
      <c r="AD53" s="24">
        <v>0</v>
      </c>
      <c r="AE53" s="24">
        <v>-0.2</v>
      </c>
      <c r="AF53" s="24">
        <v>0.2</v>
      </c>
      <c r="AG53" s="24">
        <v>0</v>
      </c>
      <c r="AH53" s="24">
        <v>0</v>
      </c>
      <c r="AI53" s="16">
        <v>3</v>
      </c>
      <c r="AJ53" s="72">
        <f>=F53*247.95</f>
        <v>1734658.2</v>
      </c>
      <c r="AK53" s="72">
        <f>=G53*32.6061</f>
        <v>3619.2771</v>
      </c>
      <c r="AL53" s="72">
        <f>=J53*2.35</f>
        <v>8058.15</v>
      </c>
      <c r="AM53" s="72">
        <f>=H53*15.88</f>
        <v>921.04</v>
      </c>
    </row>
    <row r="54" spans="1:39">
      <c r="A54" s="24" t="s">
        <v>1274</v>
      </c>
      <c r="B54" s="24" t="s">
        <v>1275</v>
      </c>
      <c r="C54" s="24" t="s">
        <v>1276</v>
      </c>
      <c r="D54" s="24">
        <v>900011161</v>
      </c>
      <c r="E54" s="24">
        <v>11161</v>
      </c>
      <c r="F54" s="24">
        <v>1240</v>
      </c>
      <c r="G54" s="24">
        <v>66</v>
      </c>
      <c r="H54" s="24">
        <v>40</v>
      </c>
      <c r="I54" s="25">
        <v>0.5</v>
      </c>
      <c r="J54" s="24">
        <v>600</v>
      </c>
      <c r="K54" s="24" t="b">
        <v>1</v>
      </c>
      <c r="L54" s="25">
        <v>0</v>
      </c>
      <c r="M54" s="47">
        <v>0</v>
      </c>
      <c r="N54" s="25">
        <v>0.5</v>
      </c>
      <c r="O54" s="47">
        <v>2</v>
      </c>
      <c r="P54" s="25">
        <v>1</v>
      </c>
      <c r="Q54" s="24">
        <v>1</v>
      </c>
      <c r="R54" s="24">
        <v>1</v>
      </c>
      <c r="S54" s="25">
        <v>0</v>
      </c>
      <c r="T54" s="24">
        <v>0</v>
      </c>
      <c r="U54" s="24">
        <v>0</v>
      </c>
      <c r="V54" s="24">
        <v>-0.2</v>
      </c>
      <c r="W54" s="24">
        <v>0</v>
      </c>
      <c r="X54" s="24">
        <v>0</v>
      </c>
      <c r="Y54" s="24">
        <v>0</v>
      </c>
      <c r="Z54" s="24">
        <v>0</v>
      </c>
      <c r="AA54" s="24">
        <v>-0.2</v>
      </c>
      <c r="AB54" s="24">
        <v>0</v>
      </c>
      <c r="AC54" s="24">
        <v>0</v>
      </c>
      <c r="AD54" s="24">
        <v>0</v>
      </c>
      <c r="AE54" s="24">
        <v>0</v>
      </c>
      <c r="AF54" s="24">
        <v>-0.2</v>
      </c>
      <c r="AG54" s="24">
        <v>0</v>
      </c>
      <c r="AH54" s="24">
        <v>0</v>
      </c>
      <c r="AI54" s="16" t="s"/>
      <c r="AJ54" s="72">
        <f>=F54*247.95</f>
        <v>307458</v>
      </c>
      <c r="AK54" s="72">
        <f>=G54*32.6061</f>
        <v>2152.0026</v>
      </c>
      <c r="AL54" s="72">
        <f>=J54*2.35</f>
        <v>1410</v>
      </c>
      <c r="AM54" s="72">
        <f>=H54*15.88</f>
        <v>635.2</v>
      </c>
    </row>
    <row r="55" spans="1:39">
      <c r="A55" s="24" t="s">
        <v>1274</v>
      </c>
      <c r="B55" s="24" t="s">
        <v>1275</v>
      </c>
      <c r="C55" s="24" t="s">
        <v>1276</v>
      </c>
      <c r="D55" s="24">
        <v>900011162</v>
      </c>
      <c r="E55" s="24">
        <v>11162</v>
      </c>
      <c r="F55" s="24">
        <v>1615</v>
      </c>
      <c r="G55" s="24">
        <v>66</v>
      </c>
      <c r="H55" s="24">
        <v>40</v>
      </c>
      <c r="I55" s="25">
        <v>0.5</v>
      </c>
      <c r="J55" s="24">
        <v>900</v>
      </c>
      <c r="K55" s="24" t="b">
        <v>1</v>
      </c>
      <c r="L55" s="25">
        <v>0</v>
      </c>
      <c r="M55" s="47">
        <v>0</v>
      </c>
      <c r="N55" s="25">
        <v>0.5</v>
      </c>
      <c r="O55" s="47">
        <v>2</v>
      </c>
      <c r="P55" s="25">
        <v>1</v>
      </c>
      <c r="Q55" s="24">
        <v>1</v>
      </c>
      <c r="R55" s="24">
        <v>1</v>
      </c>
      <c r="S55" s="25">
        <v>0</v>
      </c>
      <c r="T55" s="24">
        <v>0</v>
      </c>
      <c r="U55" s="24">
        <v>0</v>
      </c>
      <c r="V55" s="24">
        <v>-0.2</v>
      </c>
      <c r="W55" s="24">
        <v>0</v>
      </c>
      <c r="X55" s="24">
        <v>0</v>
      </c>
      <c r="Y55" s="24">
        <v>0</v>
      </c>
      <c r="Z55" s="24">
        <v>0</v>
      </c>
      <c r="AA55" s="24">
        <v>-0.2</v>
      </c>
      <c r="AB55" s="24">
        <v>0</v>
      </c>
      <c r="AC55" s="24">
        <v>0</v>
      </c>
      <c r="AD55" s="24">
        <v>0</v>
      </c>
      <c r="AE55" s="24">
        <v>0</v>
      </c>
      <c r="AF55" s="24">
        <v>-0.2</v>
      </c>
      <c r="AG55" s="24">
        <v>0</v>
      </c>
      <c r="AH55" s="24">
        <v>0</v>
      </c>
      <c r="AI55" s="16" t="s"/>
      <c r="AJ55" s="72">
        <f>=F55*247.95</f>
        <v>400439.25</v>
      </c>
      <c r="AK55" s="72">
        <f>=G55*32.6061</f>
        <v>2152.0026</v>
      </c>
      <c r="AL55" s="72">
        <f>=J55*2.35</f>
        <v>2115</v>
      </c>
      <c r="AM55" s="72">
        <f>=H55*15.88</f>
        <v>635.2</v>
      </c>
    </row>
    <row r="56" spans="1:39">
      <c r="A56" s="24" t="s">
        <v>1164</v>
      </c>
      <c r="B56" s="24" t="s">
        <v>1165</v>
      </c>
      <c r="C56" s="24" t="s">
        <v>1166</v>
      </c>
      <c r="D56" s="24">
        <v>900011163</v>
      </c>
      <c r="E56" s="24">
        <v>11163</v>
      </c>
      <c r="F56" s="24">
        <v>1240</v>
      </c>
      <c r="G56" s="24">
        <v>66</v>
      </c>
      <c r="H56" s="24">
        <v>40</v>
      </c>
      <c r="I56" s="25">
        <v>0.5</v>
      </c>
      <c r="J56" s="24">
        <v>600</v>
      </c>
      <c r="K56" s="24" t="b">
        <v>1</v>
      </c>
      <c r="L56" s="25">
        <v>0</v>
      </c>
      <c r="M56" s="47">
        <v>0</v>
      </c>
      <c r="N56" s="25">
        <v>0.5</v>
      </c>
      <c r="O56" s="47">
        <v>2</v>
      </c>
      <c r="P56" s="25">
        <v>1</v>
      </c>
      <c r="Q56" s="24">
        <v>1</v>
      </c>
      <c r="R56" s="24">
        <v>1</v>
      </c>
      <c r="S56" s="25">
        <v>0</v>
      </c>
      <c r="T56" s="24">
        <v>0</v>
      </c>
      <c r="U56" s="24">
        <v>-0.2</v>
      </c>
      <c r="V56" s="24">
        <v>0</v>
      </c>
      <c r="W56" s="24">
        <v>-0.2</v>
      </c>
      <c r="X56" s="24">
        <v>0</v>
      </c>
      <c r="Y56" s="24">
        <v>0</v>
      </c>
      <c r="Z56" s="24">
        <v>-0.2</v>
      </c>
      <c r="AA56" s="24">
        <v>0</v>
      </c>
      <c r="AB56" s="24">
        <v>-0.2</v>
      </c>
      <c r="AC56" s="24">
        <v>0</v>
      </c>
      <c r="AD56" s="24">
        <v>0</v>
      </c>
      <c r="AE56" s="24">
        <v>-0.2</v>
      </c>
      <c r="AF56" s="24">
        <v>0</v>
      </c>
      <c r="AG56" s="24">
        <v>-0.2</v>
      </c>
      <c r="AH56" s="24">
        <v>0</v>
      </c>
      <c r="AI56" s="16" t="s"/>
      <c r="AJ56" s="72">
        <f>=F56*247.95</f>
        <v>307458</v>
      </c>
      <c r="AK56" s="72">
        <f>=G56*32.6061</f>
        <v>2152.0026</v>
      </c>
      <c r="AL56" s="72">
        <f>=J56*2.35</f>
        <v>1410</v>
      </c>
      <c r="AM56" s="72">
        <f>=H56*15.88</f>
        <v>635.2</v>
      </c>
    </row>
    <row r="57" spans="1:39">
      <c r="A57" s="24" t="s">
        <v>1164</v>
      </c>
      <c r="B57" s="24" t="s">
        <v>1165</v>
      </c>
      <c r="C57" s="24" t="s">
        <v>1166</v>
      </c>
      <c r="D57" s="24">
        <v>900011164</v>
      </c>
      <c r="E57" s="24">
        <v>11164</v>
      </c>
      <c r="F57" s="24">
        <v>1615</v>
      </c>
      <c r="G57" s="24">
        <v>66</v>
      </c>
      <c r="H57" s="24">
        <v>40</v>
      </c>
      <c r="I57" s="25">
        <v>0.5</v>
      </c>
      <c r="J57" s="24">
        <v>900</v>
      </c>
      <c r="K57" s="24" t="b">
        <v>1</v>
      </c>
      <c r="L57" s="25">
        <v>0</v>
      </c>
      <c r="M57" s="47">
        <v>0</v>
      </c>
      <c r="N57" s="25">
        <v>0.5</v>
      </c>
      <c r="O57" s="47">
        <v>2</v>
      </c>
      <c r="P57" s="25">
        <v>1</v>
      </c>
      <c r="Q57" s="24">
        <v>1</v>
      </c>
      <c r="R57" s="24">
        <v>1</v>
      </c>
      <c r="S57" s="25">
        <v>0</v>
      </c>
      <c r="T57" s="24">
        <v>0</v>
      </c>
      <c r="U57" s="24">
        <v>-0.2</v>
      </c>
      <c r="V57" s="24">
        <v>0</v>
      </c>
      <c r="W57" s="24">
        <v>-0.2</v>
      </c>
      <c r="X57" s="24">
        <v>0</v>
      </c>
      <c r="Y57" s="24">
        <v>0</v>
      </c>
      <c r="Z57" s="24">
        <v>-0.2</v>
      </c>
      <c r="AA57" s="24">
        <v>0</v>
      </c>
      <c r="AB57" s="24">
        <v>-0.2</v>
      </c>
      <c r="AC57" s="24">
        <v>0</v>
      </c>
      <c r="AD57" s="24">
        <v>0</v>
      </c>
      <c r="AE57" s="24">
        <v>-0.2</v>
      </c>
      <c r="AF57" s="24">
        <v>0</v>
      </c>
      <c r="AG57" s="24">
        <v>-0.2</v>
      </c>
      <c r="AH57" s="24">
        <v>0</v>
      </c>
      <c r="AI57" s="16" t="s"/>
      <c r="AJ57" s="72">
        <f>=F57*247.95</f>
        <v>400439.25</v>
      </c>
      <c r="AK57" s="72">
        <f>=G57*32.6061</f>
        <v>2152.0026</v>
      </c>
      <c r="AL57" s="72">
        <f>=J57*2.35</f>
        <v>2115</v>
      </c>
      <c r="AM57" s="72">
        <f>=H57*15.88</f>
        <v>635.2</v>
      </c>
    </row>
    <row r="58" spans="1:39">
      <c r="A58" s="24" t="s">
        <v>1280</v>
      </c>
      <c r="B58" s="24" t="s">
        <v>1281</v>
      </c>
      <c r="C58" s="24" t="s">
        <v>1282</v>
      </c>
      <c r="D58" s="24">
        <v>900011181</v>
      </c>
      <c r="E58" s="24">
        <v>11181</v>
      </c>
      <c r="F58" s="24">
        <v>17389</v>
      </c>
      <c r="G58" s="24">
        <v>120</v>
      </c>
      <c r="H58" s="24">
        <v>60</v>
      </c>
      <c r="I58" s="25">
        <v>0.5</v>
      </c>
      <c r="J58" s="24">
        <v>3156</v>
      </c>
      <c r="K58" s="24" t="b">
        <v>1</v>
      </c>
      <c r="L58" s="25">
        <v>0</v>
      </c>
      <c r="M58" s="47">
        <v>0</v>
      </c>
      <c r="N58" s="25">
        <v>0.0833</v>
      </c>
      <c r="O58" s="47">
        <v>12.0048</v>
      </c>
      <c r="P58" s="25">
        <v>0.5</v>
      </c>
      <c r="Q58" s="24">
        <v>3</v>
      </c>
      <c r="R58" s="24">
        <v>5</v>
      </c>
      <c r="S58" s="25">
        <v>0.75</v>
      </c>
      <c r="T58" s="24">
        <v>-0.2</v>
      </c>
      <c r="U58" s="24">
        <v>0</v>
      </c>
      <c r="V58" s="24">
        <v>0</v>
      </c>
      <c r="W58" s="24">
        <v>0</v>
      </c>
      <c r="X58" s="24">
        <v>-0.2</v>
      </c>
      <c r="Y58" s="24">
        <v>-0.2</v>
      </c>
      <c r="Z58" s="24">
        <v>0</v>
      </c>
      <c r="AA58" s="24">
        <v>0</v>
      </c>
      <c r="AB58" s="24">
        <v>0</v>
      </c>
      <c r="AC58" s="24">
        <v>-0.2</v>
      </c>
      <c r="AD58" s="24">
        <v>-0.2</v>
      </c>
      <c r="AE58" s="24">
        <v>0</v>
      </c>
      <c r="AF58" s="24">
        <v>0</v>
      </c>
      <c r="AG58" s="24">
        <v>0</v>
      </c>
      <c r="AH58" s="24">
        <v>-0.2</v>
      </c>
      <c r="AI58" s="16">
        <v>5</v>
      </c>
      <c r="AJ58" s="72">
        <f>=F58*247.95</f>
        <v>4311602.55</v>
      </c>
      <c r="AK58" s="72">
        <f>=G58*32.6061</f>
        <v>3912.732</v>
      </c>
      <c r="AL58" s="72">
        <f>=J58*2.35</f>
        <v>7416.6</v>
      </c>
      <c r="AM58" s="72">
        <f>=H58*15.88</f>
        <v>952.8</v>
      </c>
    </row>
    <row r="59" spans="1:39">
      <c r="A59" s="24" t="s">
        <v>1283</v>
      </c>
      <c r="B59" s="24" t="s">
        <v>1284</v>
      </c>
      <c r="C59" s="24" t="s">
        <v>1285</v>
      </c>
      <c r="D59" s="24">
        <v>900011184</v>
      </c>
      <c r="E59" s="24">
        <v>11184</v>
      </c>
      <c r="F59" s="24">
        <v>7632</v>
      </c>
      <c r="G59" s="24">
        <v>97</v>
      </c>
      <c r="H59" s="24">
        <v>45</v>
      </c>
      <c r="I59" s="25">
        <v>0.5</v>
      </c>
      <c r="J59" s="24">
        <v>2070</v>
      </c>
      <c r="K59" s="24" t="b">
        <v>1</v>
      </c>
      <c r="L59" s="25">
        <v>0</v>
      </c>
      <c r="M59" s="47">
        <v>0</v>
      </c>
      <c r="N59" s="25">
        <v>0.1</v>
      </c>
      <c r="O59" s="47">
        <v>10</v>
      </c>
      <c r="P59" s="25">
        <v>1</v>
      </c>
      <c r="Q59" s="24">
        <v>2</v>
      </c>
      <c r="R59" s="24">
        <v>3</v>
      </c>
      <c r="S59" s="25">
        <v>0.5</v>
      </c>
      <c r="T59" s="24">
        <v>-0.2</v>
      </c>
      <c r="U59" s="24">
        <v>0</v>
      </c>
      <c r="V59" s="24">
        <v>0</v>
      </c>
      <c r="W59" s="24">
        <v>0</v>
      </c>
      <c r="X59" s="24">
        <v>-0.2</v>
      </c>
      <c r="Y59" s="24">
        <v>-0.2</v>
      </c>
      <c r="Z59" s="24">
        <v>0</v>
      </c>
      <c r="AA59" s="24">
        <v>0</v>
      </c>
      <c r="AB59" s="24">
        <v>0</v>
      </c>
      <c r="AC59" s="24">
        <v>-0.2</v>
      </c>
      <c r="AD59" s="24">
        <v>-0.2</v>
      </c>
      <c r="AE59" s="24">
        <v>0</v>
      </c>
      <c r="AF59" s="24">
        <v>0</v>
      </c>
      <c r="AG59" s="24">
        <v>0</v>
      </c>
      <c r="AH59" s="24">
        <v>-0.2</v>
      </c>
      <c r="AI59" s="16">
        <v>3</v>
      </c>
      <c r="AJ59" s="72">
        <f>=F59*247.95</f>
        <v>1892354.4</v>
      </c>
      <c r="AK59" s="72">
        <f>=G59*32.6061</f>
        <v>3162.7917</v>
      </c>
      <c r="AL59" s="72">
        <f>=J59*2.35</f>
        <v>4864.5</v>
      </c>
      <c r="AM59" s="72">
        <f>=H59*15.88</f>
        <v>714.6</v>
      </c>
    </row>
    <row r="60" spans="1:39">
      <c r="A60" s="24" t="s">
        <v>1283</v>
      </c>
      <c r="B60" s="24" t="s">
        <v>1284</v>
      </c>
      <c r="C60" s="24" t="s">
        <v>1285</v>
      </c>
      <c r="D60" s="24">
        <v>900011185</v>
      </c>
      <c r="E60" s="24">
        <v>11185</v>
      </c>
      <c r="F60" s="24">
        <v>7861</v>
      </c>
      <c r="G60" s="24">
        <v>101</v>
      </c>
      <c r="H60" s="24">
        <v>54</v>
      </c>
      <c r="I60" s="25">
        <v>0.5</v>
      </c>
      <c r="J60" s="24">
        <v>2401</v>
      </c>
      <c r="K60" s="24" t="b">
        <v>1</v>
      </c>
      <c r="L60" s="25">
        <v>0</v>
      </c>
      <c r="M60" s="47">
        <v>0</v>
      </c>
      <c r="N60" s="25">
        <v>0.1</v>
      </c>
      <c r="O60" s="47">
        <v>10</v>
      </c>
      <c r="P60" s="25">
        <v>1</v>
      </c>
      <c r="Q60" s="24">
        <v>2</v>
      </c>
      <c r="R60" s="24">
        <v>5</v>
      </c>
      <c r="S60" s="25">
        <v>0.5</v>
      </c>
      <c r="T60" s="24">
        <v>-0.2</v>
      </c>
      <c r="U60" s="24">
        <v>0</v>
      </c>
      <c r="V60" s="24">
        <v>0</v>
      </c>
      <c r="W60" s="24">
        <v>0</v>
      </c>
      <c r="X60" s="24">
        <v>-0.2</v>
      </c>
      <c r="Y60" s="24">
        <v>-0.2</v>
      </c>
      <c r="Z60" s="24">
        <v>0</v>
      </c>
      <c r="AA60" s="24">
        <v>0</v>
      </c>
      <c r="AB60" s="24">
        <v>0</v>
      </c>
      <c r="AC60" s="24">
        <v>-0.2</v>
      </c>
      <c r="AD60" s="24">
        <v>-0.2</v>
      </c>
      <c r="AE60" s="24">
        <v>0</v>
      </c>
      <c r="AF60" s="24">
        <v>0</v>
      </c>
      <c r="AG60" s="24">
        <v>0</v>
      </c>
      <c r="AH60" s="24">
        <v>-0.2</v>
      </c>
      <c r="AI60" s="16">
        <v>3</v>
      </c>
      <c r="AJ60" s="72">
        <f>=F60*247.95</f>
        <v>1949134.95</v>
      </c>
      <c r="AK60" s="72">
        <f>=G60*32.6061</f>
        <v>3293.2161</v>
      </c>
      <c r="AL60" s="72">
        <f>=J60*2.35</f>
        <v>5642.35</v>
      </c>
      <c r="AM60" s="72">
        <f>=H60*15.88</f>
        <v>857.52</v>
      </c>
    </row>
    <row r="61" spans="1:39">
      <c r="A61" s="24" t="s">
        <v>1286</v>
      </c>
      <c r="B61" s="24" t="s">
        <v>1287</v>
      </c>
      <c r="C61" s="24" t="s">
        <v>1288</v>
      </c>
      <c r="D61" s="24">
        <v>900011186</v>
      </c>
      <c r="E61" s="24">
        <v>11186</v>
      </c>
      <c r="F61" s="24">
        <v>7632</v>
      </c>
      <c r="G61" s="24">
        <v>88</v>
      </c>
      <c r="H61" s="24">
        <v>54</v>
      </c>
      <c r="I61" s="25">
        <v>0.5</v>
      </c>
      <c r="J61" s="24">
        <v>2070</v>
      </c>
      <c r="K61" s="24" t="b">
        <v>1</v>
      </c>
      <c r="L61" s="25">
        <v>0</v>
      </c>
      <c r="M61" s="47">
        <v>0</v>
      </c>
      <c r="N61" s="25">
        <v>0.1</v>
      </c>
      <c r="O61" s="47">
        <v>10</v>
      </c>
      <c r="P61" s="25">
        <v>1</v>
      </c>
      <c r="Q61" s="24">
        <v>2</v>
      </c>
      <c r="R61" s="24">
        <v>3</v>
      </c>
      <c r="S61" s="25">
        <v>0.5</v>
      </c>
      <c r="T61" s="24">
        <v>0</v>
      </c>
      <c r="U61" s="24">
        <v>-0.2</v>
      </c>
      <c r="V61" s="24">
        <v>0.2</v>
      </c>
      <c r="W61" s="24">
        <v>0</v>
      </c>
      <c r="X61" s="24">
        <v>0</v>
      </c>
      <c r="Y61" s="24">
        <v>0</v>
      </c>
      <c r="Z61" s="24">
        <v>-0.2</v>
      </c>
      <c r="AA61" s="24">
        <v>0.2</v>
      </c>
      <c r="AB61" s="24">
        <v>0</v>
      </c>
      <c r="AC61" s="24">
        <v>0</v>
      </c>
      <c r="AD61" s="24">
        <v>0</v>
      </c>
      <c r="AE61" s="24">
        <v>-0.2</v>
      </c>
      <c r="AF61" s="24">
        <v>0.2</v>
      </c>
      <c r="AG61" s="24">
        <v>0</v>
      </c>
      <c r="AH61" s="24">
        <v>0</v>
      </c>
      <c r="AI61" s="16">
        <v>3</v>
      </c>
      <c r="AJ61" s="72">
        <f>=F61*247.95</f>
        <v>1892354.4</v>
      </c>
      <c r="AK61" s="72">
        <f>=G61*32.6061</f>
        <v>2869.3368</v>
      </c>
      <c r="AL61" s="72">
        <f>=J61*2.35</f>
        <v>4864.5</v>
      </c>
      <c r="AM61" s="72">
        <f>=H61*15.88</f>
        <v>857.52</v>
      </c>
    </row>
    <row r="62" spans="1:39">
      <c r="A62" s="24" t="s">
        <v>1286</v>
      </c>
      <c r="B62" s="24" t="s">
        <v>1287</v>
      </c>
      <c r="C62" s="24" t="s">
        <v>1288</v>
      </c>
      <c r="D62" s="24">
        <v>900011187</v>
      </c>
      <c r="E62" s="24">
        <v>11187</v>
      </c>
      <c r="F62" s="24">
        <v>7861</v>
      </c>
      <c r="G62" s="24">
        <v>101</v>
      </c>
      <c r="H62" s="24">
        <v>54</v>
      </c>
      <c r="I62" s="25">
        <v>0.5</v>
      </c>
      <c r="J62" s="24">
        <v>2401</v>
      </c>
      <c r="K62" s="24" t="b">
        <v>1</v>
      </c>
      <c r="L62" s="25">
        <v>0</v>
      </c>
      <c r="M62" s="47">
        <v>0</v>
      </c>
      <c r="N62" s="25">
        <v>0.1</v>
      </c>
      <c r="O62" s="47">
        <v>10</v>
      </c>
      <c r="P62" s="25">
        <v>1</v>
      </c>
      <c r="Q62" s="24">
        <v>2</v>
      </c>
      <c r="R62" s="24">
        <v>5</v>
      </c>
      <c r="S62" s="25">
        <v>0.5</v>
      </c>
      <c r="T62" s="24">
        <v>0</v>
      </c>
      <c r="U62" s="24">
        <v>-0.2</v>
      </c>
      <c r="V62" s="24">
        <v>0.2</v>
      </c>
      <c r="W62" s="24">
        <v>0</v>
      </c>
      <c r="X62" s="24">
        <v>0</v>
      </c>
      <c r="Y62" s="24">
        <v>0</v>
      </c>
      <c r="Z62" s="24">
        <v>-0.2</v>
      </c>
      <c r="AA62" s="24">
        <v>0.2</v>
      </c>
      <c r="AB62" s="24">
        <v>0</v>
      </c>
      <c r="AC62" s="24">
        <v>0</v>
      </c>
      <c r="AD62" s="24">
        <v>0</v>
      </c>
      <c r="AE62" s="24">
        <v>-0.2</v>
      </c>
      <c r="AF62" s="24">
        <v>0.2</v>
      </c>
      <c r="AG62" s="24">
        <v>0</v>
      </c>
      <c r="AH62" s="24">
        <v>0</v>
      </c>
      <c r="AI62" s="16">
        <v>3</v>
      </c>
      <c r="AJ62" s="72">
        <f>=F62*247.95</f>
        <v>1949134.95</v>
      </c>
      <c r="AK62" s="72">
        <f>=G62*32.6061</f>
        <v>3293.2161</v>
      </c>
      <c r="AL62" s="72">
        <f>=J62*2.35</f>
        <v>5642.35</v>
      </c>
      <c r="AM62" s="72">
        <f>=H62*15.88</f>
        <v>857.52</v>
      </c>
    </row>
    <row r="63" spans="1:39">
      <c r="A63" s="24" t="s">
        <v>1289</v>
      </c>
      <c r="B63" s="24" t="s">
        <v>1290</v>
      </c>
      <c r="C63" s="24" t="s">
        <v>1291</v>
      </c>
      <c r="D63" s="24">
        <v>900011192</v>
      </c>
      <c r="E63" s="24">
        <v>11192</v>
      </c>
      <c r="F63" s="24">
        <v>6239</v>
      </c>
      <c r="G63" s="24">
        <v>116</v>
      </c>
      <c r="H63" s="24">
        <v>54</v>
      </c>
      <c r="I63" s="25">
        <v>0.5</v>
      </c>
      <c r="J63" s="24">
        <v>2286</v>
      </c>
      <c r="K63" s="24" t="b">
        <v>1</v>
      </c>
      <c r="L63" s="25">
        <v>0</v>
      </c>
      <c r="M63" s="47">
        <v>0</v>
      </c>
      <c r="N63" s="25">
        <v>0.1</v>
      </c>
      <c r="O63" s="47">
        <v>10</v>
      </c>
      <c r="P63" s="25">
        <v>1</v>
      </c>
      <c r="Q63" s="24">
        <v>2</v>
      </c>
      <c r="R63" s="24">
        <v>3</v>
      </c>
      <c r="S63" s="25">
        <v>0.5</v>
      </c>
      <c r="T63" s="24">
        <v>-0.2</v>
      </c>
      <c r="U63" s="24">
        <v>0</v>
      </c>
      <c r="V63" s="24">
        <v>0</v>
      </c>
      <c r="W63" s="24">
        <v>0</v>
      </c>
      <c r="X63" s="24">
        <v>-0.2</v>
      </c>
      <c r="Y63" s="24">
        <v>-0.2</v>
      </c>
      <c r="Z63" s="24">
        <v>0</v>
      </c>
      <c r="AA63" s="24">
        <v>0</v>
      </c>
      <c r="AB63" s="24">
        <v>0</v>
      </c>
      <c r="AC63" s="24">
        <v>-0.2</v>
      </c>
      <c r="AD63" s="24">
        <v>-0.2</v>
      </c>
      <c r="AE63" s="24">
        <v>0</v>
      </c>
      <c r="AF63" s="24">
        <v>0</v>
      </c>
      <c r="AG63" s="24">
        <v>0</v>
      </c>
      <c r="AH63" s="24">
        <v>-0.2</v>
      </c>
      <c r="AI63" s="16">
        <v>3</v>
      </c>
      <c r="AJ63" s="72">
        <f>=F63*247.95</f>
        <v>1546960.05</v>
      </c>
      <c r="AK63" s="72">
        <f>=G63*32.6061</f>
        <v>3782.3076</v>
      </c>
      <c r="AL63" s="72">
        <f>=J63*2.35</f>
        <v>5372.1</v>
      </c>
      <c r="AM63" s="72">
        <f>=H63*15.88</f>
        <v>857.52</v>
      </c>
    </row>
    <row r="64" spans="1:39">
      <c r="A64" s="24" t="s">
        <v>1289</v>
      </c>
      <c r="B64" s="24" t="s">
        <v>1290</v>
      </c>
      <c r="C64" s="24" t="s">
        <v>1291</v>
      </c>
      <c r="D64" s="24">
        <v>900011194</v>
      </c>
      <c r="E64" s="24">
        <v>11194</v>
      </c>
      <c r="F64" s="24">
        <v>6239</v>
      </c>
      <c r="G64" s="24">
        <v>116</v>
      </c>
      <c r="H64" s="24">
        <v>54</v>
      </c>
      <c r="I64" s="25">
        <v>0.5</v>
      </c>
      <c r="J64" s="24">
        <v>2286</v>
      </c>
      <c r="K64" s="24" t="b">
        <v>1</v>
      </c>
      <c r="L64" s="25">
        <v>0</v>
      </c>
      <c r="M64" s="47">
        <v>0</v>
      </c>
      <c r="N64" s="25">
        <v>0.1</v>
      </c>
      <c r="O64" s="47">
        <v>10</v>
      </c>
      <c r="P64" s="25">
        <v>1</v>
      </c>
      <c r="Q64" s="24">
        <v>2</v>
      </c>
      <c r="R64" s="24">
        <v>5</v>
      </c>
      <c r="S64" s="25">
        <v>0.5</v>
      </c>
      <c r="T64" s="24">
        <v>-0.2</v>
      </c>
      <c r="U64" s="24">
        <v>0</v>
      </c>
      <c r="V64" s="24">
        <v>0</v>
      </c>
      <c r="W64" s="24">
        <v>0</v>
      </c>
      <c r="X64" s="24">
        <v>-0.2</v>
      </c>
      <c r="Y64" s="24">
        <v>-0.2</v>
      </c>
      <c r="Z64" s="24">
        <v>0</v>
      </c>
      <c r="AA64" s="24">
        <v>0</v>
      </c>
      <c r="AB64" s="24">
        <v>0</v>
      </c>
      <c r="AC64" s="24">
        <v>-0.2</v>
      </c>
      <c r="AD64" s="24">
        <v>-0.2</v>
      </c>
      <c r="AE64" s="24">
        <v>0</v>
      </c>
      <c r="AF64" s="24">
        <v>0</v>
      </c>
      <c r="AG64" s="24">
        <v>0</v>
      </c>
      <c r="AH64" s="24">
        <v>-0.2</v>
      </c>
      <c r="AI64" s="16">
        <v>3</v>
      </c>
      <c r="AJ64" s="72">
        <f>=F64*247.95</f>
        <v>1546960.05</v>
      </c>
      <c r="AK64" s="72">
        <f>=G64*32.6061</f>
        <v>3782.3076</v>
      </c>
      <c r="AL64" s="72">
        <f>=J64*2.35</f>
        <v>5372.1</v>
      </c>
      <c r="AM64" s="72">
        <f>=H64*15.88</f>
        <v>857.52</v>
      </c>
    </row>
    <row r="65" spans="1:39">
      <c r="A65" s="24" t="s">
        <v>1294</v>
      </c>
      <c r="B65" s="24" t="s">
        <v>1295</v>
      </c>
      <c r="C65" s="24" t="s">
        <v>1296</v>
      </c>
      <c r="D65" s="24">
        <v>900011195</v>
      </c>
      <c r="E65" s="24">
        <v>11195</v>
      </c>
      <c r="F65" s="24">
        <v>14491</v>
      </c>
      <c r="G65" s="24">
        <v>120</v>
      </c>
      <c r="H65" s="24">
        <v>60</v>
      </c>
      <c r="I65" s="25">
        <v>0.5</v>
      </c>
      <c r="J65" s="24">
        <v>3156</v>
      </c>
      <c r="K65" s="24" t="b">
        <v>1</v>
      </c>
      <c r="L65" s="25">
        <v>0</v>
      </c>
      <c r="M65" s="47">
        <v>0</v>
      </c>
      <c r="N65" s="25">
        <v>0.0833</v>
      </c>
      <c r="O65" s="47">
        <v>12.0048</v>
      </c>
      <c r="P65" s="25">
        <v>0.5</v>
      </c>
      <c r="Q65" s="24">
        <v>3</v>
      </c>
      <c r="R65" s="24">
        <v>5</v>
      </c>
      <c r="S65" s="25">
        <v>0.75</v>
      </c>
      <c r="T65" s="24">
        <v>-0.2</v>
      </c>
      <c r="U65" s="24">
        <v>0</v>
      </c>
      <c r="V65" s="24">
        <v>0</v>
      </c>
      <c r="W65" s="24">
        <v>0</v>
      </c>
      <c r="X65" s="24">
        <v>-0.2</v>
      </c>
      <c r="Y65" s="24">
        <v>-0.2</v>
      </c>
      <c r="Z65" s="24">
        <v>0</v>
      </c>
      <c r="AA65" s="24">
        <v>0</v>
      </c>
      <c r="AB65" s="24">
        <v>0</v>
      </c>
      <c r="AC65" s="24">
        <v>-0.2</v>
      </c>
      <c r="AD65" s="24">
        <v>-0.2</v>
      </c>
      <c r="AE65" s="24">
        <v>0</v>
      </c>
      <c r="AF65" s="24">
        <v>0</v>
      </c>
      <c r="AG65" s="24">
        <v>0</v>
      </c>
      <c r="AH65" s="24">
        <v>-0.2</v>
      </c>
      <c r="AI65" s="16">
        <v>5</v>
      </c>
      <c r="AJ65" s="72">
        <f>=F65*247.95</f>
        <v>3593043.45</v>
      </c>
      <c r="AK65" s="72">
        <f>=G65*32.6061</f>
        <v>3912.732</v>
      </c>
      <c r="AL65" s="72">
        <f>=J65*2.35</f>
        <v>7416.6</v>
      </c>
      <c r="AM65" s="72">
        <f>=H65*15.88</f>
        <v>952.8</v>
      </c>
    </row>
    <row r="66" spans="1:39">
      <c r="A66" s="24" t="s">
        <v>1298</v>
      </c>
      <c r="B66" s="24" t="s">
        <v>1299</v>
      </c>
      <c r="C66" s="24" t="s">
        <v>1300</v>
      </c>
      <c r="D66" s="24">
        <v>900011196</v>
      </c>
      <c r="E66" s="24">
        <v>11196</v>
      </c>
      <c r="F66" s="24">
        <v>6057</v>
      </c>
      <c r="G66" s="24">
        <v>102</v>
      </c>
      <c r="H66" s="24">
        <v>54</v>
      </c>
      <c r="I66" s="25">
        <v>0.5</v>
      </c>
      <c r="J66" s="24">
        <v>1972</v>
      </c>
      <c r="K66" s="24" t="b">
        <v>1</v>
      </c>
      <c r="L66" s="25">
        <v>0</v>
      </c>
      <c r="M66" s="47">
        <v>0</v>
      </c>
      <c r="N66" s="25">
        <v>0.1</v>
      </c>
      <c r="O66" s="47">
        <v>10</v>
      </c>
      <c r="P66" s="25">
        <v>1</v>
      </c>
      <c r="Q66" s="24">
        <v>2</v>
      </c>
      <c r="R66" s="24">
        <v>3</v>
      </c>
      <c r="S66" s="25">
        <v>0.5</v>
      </c>
      <c r="T66" s="24">
        <v>0</v>
      </c>
      <c r="U66" s="24">
        <v>-0.2</v>
      </c>
      <c r="V66" s="24">
        <v>0.2</v>
      </c>
      <c r="W66" s="24">
        <v>0</v>
      </c>
      <c r="X66" s="24">
        <v>0</v>
      </c>
      <c r="Y66" s="24">
        <v>0</v>
      </c>
      <c r="Z66" s="24">
        <v>-0.2</v>
      </c>
      <c r="AA66" s="24">
        <v>0.2</v>
      </c>
      <c r="AB66" s="24">
        <v>0</v>
      </c>
      <c r="AC66" s="24">
        <v>0</v>
      </c>
      <c r="AD66" s="24">
        <v>0</v>
      </c>
      <c r="AE66" s="24">
        <v>-0.2</v>
      </c>
      <c r="AF66" s="24">
        <v>0.2</v>
      </c>
      <c r="AG66" s="24">
        <v>0</v>
      </c>
      <c r="AH66" s="24">
        <v>0</v>
      </c>
      <c r="AI66" s="16">
        <v>3</v>
      </c>
      <c r="AJ66" s="72">
        <f>=F66*247.95</f>
        <v>1501833.15</v>
      </c>
      <c r="AK66" s="72">
        <f>=G66*32.6061</f>
        <v>3325.8222</v>
      </c>
      <c r="AL66" s="72">
        <f>=J66*2.35</f>
        <v>4634.2</v>
      </c>
      <c r="AM66" s="72">
        <f>=H66*15.88</f>
        <v>857.52</v>
      </c>
    </row>
    <row r="67" spans="1:39">
      <c r="A67" s="24" t="s">
        <v>1298</v>
      </c>
      <c r="B67" s="24" t="s">
        <v>1299</v>
      </c>
      <c r="C67" s="24" t="s">
        <v>1300</v>
      </c>
      <c r="D67" s="24">
        <v>900011197</v>
      </c>
      <c r="E67" s="24">
        <v>11197</v>
      </c>
      <c r="F67" s="24">
        <v>6239</v>
      </c>
      <c r="G67" s="24">
        <v>116</v>
      </c>
      <c r="H67" s="24">
        <v>54</v>
      </c>
      <c r="I67" s="25">
        <v>0.5</v>
      </c>
      <c r="J67" s="24">
        <v>2286</v>
      </c>
      <c r="K67" s="24" t="b">
        <v>1</v>
      </c>
      <c r="L67" s="25">
        <v>0</v>
      </c>
      <c r="M67" s="47">
        <v>0</v>
      </c>
      <c r="N67" s="25">
        <v>0.1</v>
      </c>
      <c r="O67" s="47">
        <v>10</v>
      </c>
      <c r="P67" s="25">
        <v>1</v>
      </c>
      <c r="Q67" s="24">
        <v>2</v>
      </c>
      <c r="R67" s="24">
        <v>5</v>
      </c>
      <c r="S67" s="25">
        <v>0.5</v>
      </c>
      <c r="T67" s="24">
        <v>0</v>
      </c>
      <c r="U67" s="24">
        <v>-0.2</v>
      </c>
      <c r="V67" s="24">
        <v>0.2</v>
      </c>
      <c r="W67" s="24">
        <v>0</v>
      </c>
      <c r="X67" s="24">
        <v>0</v>
      </c>
      <c r="Y67" s="24">
        <v>0</v>
      </c>
      <c r="Z67" s="24">
        <v>-0.2</v>
      </c>
      <c r="AA67" s="24">
        <v>0.2</v>
      </c>
      <c r="AB67" s="24">
        <v>0</v>
      </c>
      <c r="AC67" s="24">
        <v>0</v>
      </c>
      <c r="AD67" s="24">
        <v>0</v>
      </c>
      <c r="AE67" s="24">
        <v>-0.2</v>
      </c>
      <c r="AF67" s="24">
        <v>0.2</v>
      </c>
      <c r="AG67" s="24">
        <v>0</v>
      </c>
      <c r="AH67" s="24">
        <v>0</v>
      </c>
      <c r="AI67" s="16">
        <v>3</v>
      </c>
      <c r="AJ67" s="72">
        <f>=F67*247.95</f>
        <v>1546960.05</v>
      </c>
      <c r="AK67" s="72">
        <f>=G67*32.6061</f>
        <v>3782.3076</v>
      </c>
      <c r="AL67" s="72">
        <f>=J67*2.35</f>
        <v>5372.1</v>
      </c>
      <c r="AM67" s="72">
        <f>=H67*15.88</f>
        <v>857.52</v>
      </c>
    </row>
    <row r="68" spans="1:39">
      <c r="A68" s="24" t="s">
        <v>1303</v>
      </c>
      <c r="B68" s="24" t="s">
        <v>1304</v>
      </c>
      <c r="C68" s="24" t="s">
        <v>1305</v>
      </c>
      <c r="D68" s="24">
        <v>900011203</v>
      </c>
      <c r="E68" s="24">
        <v>11203</v>
      </c>
      <c r="F68" s="24">
        <v>1123</v>
      </c>
      <c r="G68" s="24">
        <v>60</v>
      </c>
      <c r="H68" s="24">
        <v>46</v>
      </c>
      <c r="I68" s="25">
        <v>0.5</v>
      </c>
      <c r="J68" s="24">
        <v>600</v>
      </c>
      <c r="K68" s="24" t="b">
        <v>1</v>
      </c>
      <c r="L68" s="25">
        <v>0</v>
      </c>
      <c r="M68" s="47">
        <v>0</v>
      </c>
      <c r="N68" s="25">
        <v>0.1538</v>
      </c>
      <c r="O68" s="47">
        <v>6.501951</v>
      </c>
      <c r="P68" s="25">
        <v>0.25</v>
      </c>
      <c r="Q68" s="24">
        <v>1</v>
      </c>
      <c r="R68" s="24">
        <v>1</v>
      </c>
      <c r="S68" s="25">
        <v>0</v>
      </c>
      <c r="T68" s="24">
        <v>-0.2</v>
      </c>
      <c r="U68" s="24">
        <v>0</v>
      </c>
      <c r="V68" s="24">
        <v>0</v>
      </c>
      <c r="W68" s="24">
        <v>0</v>
      </c>
      <c r="X68" s="24">
        <v>-0.2</v>
      </c>
      <c r="Y68" s="24">
        <v>-0.2</v>
      </c>
      <c r="Z68" s="24">
        <v>0</v>
      </c>
      <c r="AA68" s="24">
        <v>0</v>
      </c>
      <c r="AB68" s="24">
        <v>0</v>
      </c>
      <c r="AC68" s="24">
        <v>-0.2</v>
      </c>
      <c r="AD68" s="24">
        <v>-0.2</v>
      </c>
      <c r="AE68" s="24">
        <v>0</v>
      </c>
      <c r="AF68" s="24">
        <v>0</v>
      </c>
      <c r="AG68" s="24">
        <v>0</v>
      </c>
      <c r="AH68" s="24">
        <v>-0.2</v>
      </c>
      <c r="AI68" s="16" t="s"/>
      <c r="AJ68" s="72">
        <f>=F68*247.95</f>
        <v>278447.85</v>
      </c>
      <c r="AK68" s="72">
        <f>=G68*32.6061</f>
        <v>1956.366</v>
      </c>
      <c r="AL68" s="72">
        <f>=J68*2.35</f>
        <v>1410</v>
      </c>
      <c r="AM68" s="72">
        <f>=H68*15.88</f>
        <v>730.48</v>
      </c>
    </row>
    <row r="69" spans="1:39">
      <c r="A69" s="24" t="s">
        <v>1303</v>
      </c>
      <c r="B69" s="24" t="s">
        <v>1304</v>
      </c>
      <c r="C69" s="24" t="s">
        <v>1305</v>
      </c>
      <c r="D69" s="24">
        <v>900011204</v>
      </c>
      <c r="E69" s="24">
        <v>11204</v>
      </c>
      <c r="F69" s="24">
        <v>1373</v>
      </c>
      <c r="G69" s="24">
        <v>60</v>
      </c>
      <c r="H69" s="24">
        <v>46</v>
      </c>
      <c r="I69" s="25">
        <v>0.5</v>
      </c>
      <c r="J69" s="24">
        <v>900</v>
      </c>
      <c r="K69" s="24" t="b">
        <v>1</v>
      </c>
      <c r="L69" s="25">
        <v>0</v>
      </c>
      <c r="M69" s="47">
        <v>0</v>
      </c>
      <c r="N69" s="25">
        <v>0.1538</v>
      </c>
      <c r="O69" s="47">
        <v>6.501951</v>
      </c>
      <c r="P69" s="25">
        <v>0.25</v>
      </c>
      <c r="Q69" s="24">
        <v>1</v>
      </c>
      <c r="R69" s="24">
        <v>1</v>
      </c>
      <c r="S69" s="25">
        <v>0</v>
      </c>
      <c r="T69" s="24">
        <v>-0.2</v>
      </c>
      <c r="U69" s="24">
        <v>0</v>
      </c>
      <c r="V69" s="24">
        <v>0</v>
      </c>
      <c r="W69" s="24">
        <v>0</v>
      </c>
      <c r="X69" s="24">
        <v>-0.2</v>
      </c>
      <c r="Y69" s="24">
        <v>-0.2</v>
      </c>
      <c r="Z69" s="24">
        <v>0</v>
      </c>
      <c r="AA69" s="24">
        <v>0</v>
      </c>
      <c r="AB69" s="24">
        <v>0</v>
      </c>
      <c r="AC69" s="24">
        <v>-0.2</v>
      </c>
      <c r="AD69" s="24">
        <v>-0.2</v>
      </c>
      <c r="AE69" s="24">
        <v>0</v>
      </c>
      <c r="AF69" s="24">
        <v>0</v>
      </c>
      <c r="AG69" s="24">
        <v>0</v>
      </c>
      <c r="AH69" s="24">
        <v>-0.2</v>
      </c>
      <c r="AI69" s="16" t="s"/>
      <c r="AJ69" s="72">
        <f>=F69*247.95</f>
        <v>340435.35</v>
      </c>
      <c r="AK69" s="72">
        <f>=G69*32.6061</f>
        <v>1956.366</v>
      </c>
      <c r="AL69" s="72">
        <f>=J69*2.35</f>
        <v>2115</v>
      </c>
      <c r="AM69" s="72">
        <f>=H69*15.88</f>
        <v>730.48</v>
      </c>
    </row>
    <row r="70" spans="1:39">
      <c r="A70" s="24" t="s">
        <v>1306</v>
      </c>
      <c r="B70" s="24" t="s">
        <v>1307</v>
      </c>
      <c r="C70" s="24" t="s">
        <v>1308</v>
      </c>
      <c r="D70" s="24">
        <v>900011205</v>
      </c>
      <c r="E70" s="24">
        <v>11205</v>
      </c>
      <c r="F70" s="24">
        <v>1123</v>
      </c>
      <c r="G70" s="24">
        <v>60</v>
      </c>
      <c r="H70" s="24">
        <v>46</v>
      </c>
      <c r="I70" s="25">
        <v>0.5</v>
      </c>
      <c r="J70" s="24">
        <v>600</v>
      </c>
      <c r="K70" s="24" t="b">
        <v>1</v>
      </c>
      <c r="L70" s="25">
        <v>0</v>
      </c>
      <c r="M70" s="47">
        <v>0</v>
      </c>
      <c r="N70" s="25">
        <v>0.1538</v>
      </c>
      <c r="O70" s="47">
        <v>6.501951</v>
      </c>
      <c r="P70" s="25">
        <v>0.25</v>
      </c>
      <c r="Q70" s="24">
        <v>1</v>
      </c>
      <c r="R70" s="24">
        <v>1</v>
      </c>
      <c r="S70" s="25">
        <v>0</v>
      </c>
      <c r="T70" s="24">
        <v>0</v>
      </c>
      <c r="U70" s="24">
        <v>-0.2</v>
      </c>
      <c r="V70" s="24">
        <v>0</v>
      </c>
      <c r="W70" s="24">
        <v>0</v>
      </c>
      <c r="X70" s="24">
        <v>0</v>
      </c>
      <c r="Y70" s="24">
        <v>0</v>
      </c>
      <c r="Z70" s="24">
        <v>-0.2</v>
      </c>
      <c r="AA70" s="24">
        <v>0</v>
      </c>
      <c r="AB70" s="24">
        <v>0</v>
      </c>
      <c r="AC70" s="24">
        <v>0</v>
      </c>
      <c r="AD70" s="24">
        <v>0</v>
      </c>
      <c r="AE70" s="24">
        <v>-0.2</v>
      </c>
      <c r="AF70" s="24">
        <v>0</v>
      </c>
      <c r="AG70" s="24">
        <v>0</v>
      </c>
      <c r="AH70" s="24">
        <v>0</v>
      </c>
      <c r="AI70" s="16" t="s"/>
      <c r="AJ70" s="72">
        <f>=F70*247.95</f>
        <v>278447.85</v>
      </c>
      <c r="AK70" s="72">
        <f>=G70*32.6061</f>
        <v>1956.366</v>
      </c>
      <c r="AL70" s="72">
        <f>=J70*2.35</f>
        <v>1410</v>
      </c>
      <c r="AM70" s="72">
        <f>=H70*15.88</f>
        <v>730.48</v>
      </c>
    </row>
    <row r="71" spans="1:39">
      <c r="A71" s="24" t="s">
        <v>1306</v>
      </c>
      <c r="B71" s="24" t="s">
        <v>1307</v>
      </c>
      <c r="C71" s="24" t="s">
        <v>1308</v>
      </c>
      <c r="D71" s="24">
        <v>900011206</v>
      </c>
      <c r="E71" s="24">
        <v>11206</v>
      </c>
      <c r="F71" s="24">
        <v>1373</v>
      </c>
      <c r="G71" s="24">
        <v>60</v>
      </c>
      <c r="H71" s="24">
        <v>46</v>
      </c>
      <c r="I71" s="25">
        <v>0.5</v>
      </c>
      <c r="J71" s="24">
        <v>900</v>
      </c>
      <c r="K71" s="24" t="b">
        <v>1</v>
      </c>
      <c r="L71" s="25">
        <v>0</v>
      </c>
      <c r="M71" s="47">
        <v>0</v>
      </c>
      <c r="N71" s="25">
        <v>0.1538</v>
      </c>
      <c r="O71" s="47">
        <v>6.501951</v>
      </c>
      <c r="P71" s="25">
        <v>0.25</v>
      </c>
      <c r="Q71" s="24">
        <v>1</v>
      </c>
      <c r="R71" s="24">
        <v>1</v>
      </c>
      <c r="S71" s="25">
        <v>0</v>
      </c>
      <c r="T71" s="24">
        <v>0</v>
      </c>
      <c r="U71" s="24">
        <v>-0.2</v>
      </c>
      <c r="V71" s="24">
        <v>0</v>
      </c>
      <c r="W71" s="24">
        <v>0</v>
      </c>
      <c r="X71" s="24">
        <v>0</v>
      </c>
      <c r="Y71" s="24">
        <v>0</v>
      </c>
      <c r="Z71" s="24">
        <v>-0.2</v>
      </c>
      <c r="AA71" s="24">
        <v>0</v>
      </c>
      <c r="AB71" s="24">
        <v>0</v>
      </c>
      <c r="AC71" s="24">
        <v>0</v>
      </c>
      <c r="AD71" s="24">
        <v>0</v>
      </c>
      <c r="AE71" s="24">
        <v>-0.2</v>
      </c>
      <c r="AF71" s="24">
        <v>0</v>
      </c>
      <c r="AG71" s="24">
        <v>0</v>
      </c>
      <c r="AH71" s="24">
        <v>0</v>
      </c>
      <c r="AI71" s="16" t="s"/>
      <c r="AJ71" s="72">
        <f>=F71*247.95</f>
        <v>340435.35</v>
      </c>
      <c r="AK71" s="72">
        <f>=G71*32.6061</f>
        <v>1956.366</v>
      </c>
      <c r="AL71" s="72">
        <f>=J71*2.35</f>
        <v>2115</v>
      </c>
      <c r="AM71" s="72">
        <f>=H71*15.88</f>
        <v>730.48</v>
      </c>
    </row>
    <row r="72" spans="1:39">
      <c r="A72" s="24" t="s">
        <v>1309</v>
      </c>
      <c r="B72" s="24" t="s">
        <v>1310</v>
      </c>
      <c r="C72" s="24" t="s">
        <v>1311</v>
      </c>
      <c r="D72" s="24">
        <v>900011213</v>
      </c>
      <c r="E72" s="24">
        <v>11213</v>
      </c>
      <c r="F72" s="24">
        <v>4685</v>
      </c>
      <c r="G72" s="24">
        <v>53</v>
      </c>
      <c r="H72" s="24">
        <v>45</v>
      </c>
      <c r="I72" s="25">
        <v>0.5</v>
      </c>
      <c r="J72" s="24">
        <v>1972</v>
      </c>
      <c r="K72" s="24" t="b">
        <v>1</v>
      </c>
      <c r="L72" s="25">
        <v>0</v>
      </c>
      <c r="M72" s="47">
        <v>0</v>
      </c>
      <c r="N72" s="25">
        <v>0.1428</v>
      </c>
      <c r="O72" s="47">
        <v>7.002801</v>
      </c>
      <c r="P72" s="25">
        <v>1</v>
      </c>
      <c r="Q72" s="24">
        <v>2</v>
      </c>
      <c r="R72" s="24">
        <v>3</v>
      </c>
      <c r="S72" s="25">
        <v>0.5</v>
      </c>
      <c r="T72" s="24">
        <v>-0.2</v>
      </c>
      <c r="U72" s="24">
        <v>0</v>
      </c>
      <c r="V72" s="24">
        <v>0</v>
      </c>
      <c r="W72" s="24">
        <v>0</v>
      </c>
      <c r="X72" s="24">
        <v>-0.2</v>
      </c>
      <c r="Y72" s="24">
        <v>-0.2</v>
      </c>
      <c r="Z72" s="24">
        <v>0</v>
      </c>
      <c r="AA72" s="24">
        <v>0</v>
      </c>
      <c r="AB72" s="24">
        <v>0</v>
      </c>
      <c r="AC72" s="24">
        <v>-0.2</v>
      </c>
      <c r="AD72" s="24">
        <v>-0.2</v>
      </c>
      <c r="AE72" s="24">
        <v>0</v>
      </c>
      <c r="AF72" s="24">
        <v>0</v>
      </c>
      <c r="AG72" s="24">
        <v>0</v>
      </c>
      <c r="AH72" s="24">
        <v>-0.2</v>
      </c>
      <c r="AI72" s="16">
        <v>3</v>
      </c>
      <c r="AJ72" s="72">
        <f>=F72*247.95</f>
        <v>1161645.75</v>
      </c>
      <c r="AK72" s="72">
        <f>=G72*32.6061</f>
        <v>1728.1233</v>
      </c>
      <c r="AL72" s="72">
        <f>=J72*2.35</f>
        <v>4634.2</v>
      </c>
      <c r="AM72" s="72">
        <f>=H72*15.88</f>
        <v>714.6</v>
      </c>
    </row>
    <row r="73" spans="1:39">
      <c r="A73" s="24" t="s">
        <v>1309</v>
      </c>
      <c r="B73" s="24" t="s">
        <v>1310</v>
      </c>
      <c r="C73" s="24" t="s">
        <v>1311</v>
      </c>
      <c r="D73" s="24">
        <v>900011214</v>
      </c>
      <c r="E73" s="24">
        <v>11214</v>
      </c>
      <c r="F73" s="24">
        <v>4843</v>
      </c>
      <c r="G73" s="24">
        <v>60</v>
      </c>
      <c r="H73" s="24">
        <v>45</v>
      </c>
      <c r="I73" s="25">
        <v>0.5</v>
      </c>
      <c r="J73" s="24">
        <v>2286</v>
      </c>
      <c r="K73" s="24" t="b">
        <v>1</v>
      </c>
      <c r="L73" s="25">
        <v>0</v>
      </c>
      <c r="M73" s="47">
        <v>0</v>
      </c>
      <c r="N73" s="25">
        <v>0.1428</v>
      </c>
      <c r="O73" s="47">
        <v>7.002801</v>
      </c>
      <c r="P73" s="25">
        <v>1</v>
      </c>
      <c r="Q73" s="24">
        <v>2</v>
      </c>
      <c r="R73" s="24">
        <v>5</v>
      </c>
      <c r="S73" s="25">
        <v>0.5</v>
      </c>
      <c r="T73" s="24">
        <v>-0.2</v>
      </c>
      <c r="U73" s="24">
        <v>0</v>
      </c>
      <c r="V73" s="24">
        <v>0</v>
      </c>
      <c r="W73" s="24">
        <v>0</v>
      </c>
      <c r="X73" s="24">
        <v>-0.2</v>
      </c>
      <c r="Y73" s="24">
        <v>-0.2</v>
      </c>
      <c r="Z73" s="24">
        <v>0</v>
      </c>
      <c r="AA73" s="24">
        <v>0</v>
      </c>
      <c r="AB73" s="24">
        <v>0</v>
      </c>
      <c r="AC73" s="24">
        <v>-0.2</v>
      </c>
      <c r="AD73" s="24">
        <v>-0.2</v>
      </c>
      <c r="AE73" s="24">
        <v>0</v>
      </c>
      <c r="AF73" s="24">
        <v>0</v>
      </c>
      <c r="AG73" s="24">
        <v>0</v>
      </c>
      <c r="AH73" s="24">
        <v>-0.2</v>
      </c>
      <c r="AI73" s="16">
        <v>3</v>
      </c>
      <c r="AJ73" s="72">
        <f>=F73*247.95</f>
        <v>1200821.85</v>
      </c>
      <c r="AK73" s="72">
        <f>=G73*32.6061</f>
        <v>1956.366</v>
      </c>
      <c r="AL73" s="72">
        <f>=J73*2.35</f>
        <v>5372.1</v>
      </c>
      <c r="AM73" s="72">
        <f>=H73*15.88</f>
        <v>714.6</v>
      </c>
    </row>
    <row r="74" spans="1:39">
      <c r="A74" s="24" t="s">
        <v>1312</v>
      </c>
      <c r="B74" s="24" t="s">
        <v>1313</v>
      </c>
      <c r="C74" s="24" t="s">
        <v>1314</v>
      </c>
      <c r="D74" s="24">
        <v>900011215</v>
      </c>
      <c r="E74" s="24">
        <v>11215</v>
      </c>
      <c r="F74" s="24">
        <v>4685</v>
      </c>
      <c r="G74" s="24">
        <v>53</v>
      </c>
      <c r="H74" s="24">
        <v>45</v>
      </c>
      <c r="I74" s="25">
        <v>0.5</v>
      </c>
      <c r="J74" s="24">
        <v>1972</v>
      </c>
      <c r="K74" s="24" t="b">
        <v>1</v>
      </c>
      <c r="L74" s="25">
        <v>0</v>
      </c>
      <c r="M74" s="47">
        <v>0</v>
      </c>
      <c r="N74" s="25">
        <v>0.1428</v>
      </c>
      <c r="O74" s="47">
        <v>7.002801</v>
      </c>
      <c r="P74" s="25">
        <v>1</v>
      </c>
      <c r="Q74" s="24">
        <v>2</v>
      </c>
      <c r="R74" s="24">
        <v>3</v>
      </c>
      <c r="S74" s="25">
        <v>0.5</v>
      </c>
      <c r="T74" s="24">
        <v>0</v>
      </c>
      <c r="U74" s="24">
        <v>-0.2</v>
      </c>
      <c r="V74" s="24">
        <v>0.2</v>
      </c>
      <c r="W74" s="24">
        <v>0</v>
      </c>
      <c r="X74" s="24">
        <v>0</v>
      </c>
      <c r="Y74" s="24">
        <v>0</v>
      </c>
      <c r="Z74" s="24">
        <v>-0.2</v>
      </c>
      <c r="AA74" s="24">
        <v>0.2</v>
      </c>
      <c r="AB74" s="24">
        <v>0</v>
      </c>
      <c r="AC74" s="24">
        <v>0</v>
      </c>
      <c r="AD74" s="24">
        <v>0</v>
      </c>
      <c r="AE74" s="24">
        <v>-0.2</v>
      </c>
      <c r="AF74" s="24">
        <v>0.2</v>
      </c>
      <c r="AG74" s="24">
        <v>0</v>
      </c>
      <c r="AH74" s="24">
        <v>0</v>
      </c>
      <c r="AI74" s="16">
        <v>3</v>
      </c>
      <c r="AJ74" s="72">
        <f>=F74*247.95</f>
        <v>1161645.75</v>
      </c>
      <c r="AK74" s="72">
        <f>=G74*32.6061</f>
        <v>1728.1233</v>
      </c>
      <c r="AL74" s="72">
        <f>=J74*2.35</f>
        <v>4634.2</v>
      </c>
      <c r="AM74" s="72">
        <f>=H74*15.88</f>
        <v>714.6</v>
      </c>
    </row>
    <row r="75" spans="1:39">
      <c r="A75" s="24" t="s">
        <v>1312</v>
      </c>
      <c r="B75" s="24" t="s">
        <v>1313</v>
      </c>
      <c r="C75" s="24" t="s">
        <v>1314</v>
      </c>
      <c r="D75" s="24">
        <v>900011216</v>
      </c>
      <c r="E75" s="24">
        <v>11216</v>
      </c>
      <c r="F75" s="24">
        <v>4843</v>
      </c>
      <c r="G75" s="24">
        <v>60</v>
      </c>
      <c r="H75" s="24">
        <v>45</v>
      </c>
      <c r="I75" s="25">
        <v>0.5</v>
      </c>
      <c r="J75" s="24">
        <v>2286</v>
      </c>
      <c r="K75" s="24" t="b">
        <v>1</v>
      </c>
      <c r="L75" s="25">
        <v>0</v>
      </c>
      <c r="M75" s="47">
        <v>0</v>
      </c>
      <c r="N75" s="25">
        <v>0.1428</v>
      </c>
      <c r="O75" s="47">
        <v>7.002801</v>
      </c>
      <c r="P75" s="25">
        <v>1</v>
      </c>
      <c r="Q75" s="24">
        <v>2</v>
      </c>
      <c r="R75" s="24">
        <v>5</v>
      </c>
      <c r="S75" s="25">
        <v>0.5</v>
      </c>
      <c r="T75" s="24">
        <v>0</v>
      </c>
      <c r="U75" s="24">
        <v>-0.2</v>
      </c>
      <c r="V75" s="24">
        <v>0.2</v>
      </c>
      <c r="W75" s="24">
        <v>0</v>
      </c>
      <c r="X75" s="24">
        <v>0</v>
      </c>
      <c r="Y75" s="24">
        <v>0</v>
      </c>
      <c r="Z75" s="24">
        <v>-0.2</v>
      </c>
      <c r="AA75" s="24">
        <v>0.2</v>
      </c>
      <c r="AB75" s="24">
        <v>0</v>
      </c>
      <c r="AC75" s="24">
        <v>0</v>
      </c>
      <c r="AD75" s="24">
        <v>0</v>
      </c>
      <c r="AE75" s="24">
        <v>-0.2</v>
      </c>
      <c r="AF75" s="24">
        <v>0.2</v>
      </c>
      <c r="AG75" s="24">
        <v>0</v>
      </c>
      <c r="AH75" s="24">
        <v>0</v>
      </c>
      <c r="AI75" s="16">
        <v>3</v>
      </c>
      <c r="AJ75" s="72">
        <f>=F75*247.95</f>
        <v>1200821.85</v>
      </c>
      <c r="AK75" s="72">
        <f>=G75*32.6061</f>
        <v>1956.366</v>
      </c>
      <c r="AL75" s="72">
        <f>=J75*2.35</f>
        <v>5372.1</v>
      </c>
      <c r="AM75" s="72">
        <f>=H75*15.88</f>
        <v>714.6</v>
      </c>
    </row>
    <row r="76" spans="1:39">
      <c r="A76" s="24" t="s">
        <v>1315</v>
      </c>
      <c r="B76" s="24" t="s">
        <v>1316</v>
      </c>
      <c r="C76" s="24" t="s">
        <v>1317</v>
      </c>
      <c r="D76" s="24">
        <v>900011222</v>
      </c>
      <c r="E76" s="24">
        <v>11222</v>
      </c>
      <c r="F76" s="24">
        <v>6743</v>
      </c>
      <c r="G76" s="24">
        <v>97</v>
      </c>
      <c r="H76" s="24">
        <v>45</v>
      </c>
      <c r="I76" s="25">
        <v>0.5</v>
      </c>
      <c r="J76" s="24">
        <v>2958</v>
      </c>
      <c r="K76" s="24" t="b">
        <v>1</v>
      </c>
      <c r="L76" s="25">
        <v>0</v>
      </c>
      <c r="M76" s="47">
        <v>0</v>
      </c>
      <c r="N76" s="25">
        <v>0.1</v>
      </c>
      <c r="O76" s="47">
        <v>10</v>
      </c>
      <c r="P76" s="25">
        <v>0.5</v>
      </c>
      <c r="Q76" s="24">
        <v>2</v>
      </c>
      <c r="R76" s="24">
        <v>3</v>
      </c>
      <c r="S76" s="25">
        <v>0.5</v>
      </c>
      <c r="T76" s="24">
        <v>-0.2</v>
      </c>
      <c r="U76" s="24">
        <v>0</v>
      </c>
      <c r="V76" s="24">
        <v>0</v>
      </c>
      <c r="W76" s="24">
        <v>0</v>
      </c>
      <c r="X76" s="24">
        <v>-0.2</v>
      </c>
      <c r="Y76" s="24">
        <v>-0.2</v>
      </c>
      <c r="Z76" s="24">
        <v>0</v>
      </c>
      <c r="AA76" s="24">
        <v>0</v>
      </c>
      <c r="AB76" s="24">
        <v>0</v>
      </c>
      <c r="AC76" s="24">
        <v>-0.2</v>
      </c>
      <c r="AD76" s="24">
        <v>-0.2</v>
      </c>
      <c r="AE76" s="24">
        <v>0</v>
      </c>
      <c r="AF76" s="24">
        <v>0</v>
      </c>
      <c r="AG76" s="24">
        <v>0</v>
      </c>
      <c r="AH76" s="24">
        <v>-0.2</v>
      </c>
      <c r="AI76" s="16">
        <v>3</v>
      </c>
      <c r="AJ76" s="72">
        <f>=F76*247.95</f>
        <v>1671926.85</v>
      </c>
      <c r="AK76" s="72">
        <f>=G76*32.6061</f>
        <v>3162.7917</v>
      </c>
      <c r="AL76" s="72">
        <f>=J76*2.35</f>
        <v>6951.3</v>
      </c>
      <c r="AM76" s="72">
        <f>=H76*15.88</f>
        <v>714.6</v>
      </c>
    </row>
    <row r="77" spans="1:39">
      <c r="A77" s="24" t="s">
        <v>1315</v>
      </c>
      <c r="B77" s="24" t="s">
        <v>1316</v>
      </c>
      <c r="C77" s="24" t="s">
        <v>1317</v>
      </c>
      <c r="D77" s="24">
        <v>900011224</v>
      </c>
      <c r="E77" s="24">
        <v>11224</v>
      </c>
      <c r="F77" s="24">
        <v>6996</v>
      </c>
      <c r="G77" s="24">
        <v>111</v>
      </c>
      <c r="H77" s="24">
        <v>45</v>
      </c>
      <c r="I77" s="25">
        <v>0.5</v>
      </c>
      <c r="J77" s="24">
        <v>3429</v>
      </c>
      <c r="K77" s="24" t="b">
        <v>1</v>
      </c>
      <c r="L77" s="25">
        <v>0</v>
      </c>
      <c r="M77" s="47">
        <v>0</v>
      </c>
      <c r="N77" s="25">
        <v>0.1</v>
      </c>
      <c r="O77" s="47">
        <v>10</v>
      </c>
      <c r="P77" s="25">
        <v>0.5</v>
      </c>
      <c r="Q77" s="24">
        <v>2</v>
      </c>
      <c r="R77" s="24">
        <v>5</v>
      </c>
      <c r="S77" s="25">
        <v>0.5</v>
      </c>
      <c r="T77" s="24">
        <v>-0.2</v>
      </c>
      <c r="U77" s="24">
        <v>0</v>
      </c>
      <c r="V77" s="24">
        <v>0</v>
      </c>
      <c r="W77" s="24">
        <v>0</v>
      </c>
      <c r="X77" s="24">
        <v>-0.2</v>
      </c>
      <c r="Y77" s="24">
        <v>-0.2</v>
      </c>
      <c r="Z77" s="24">
        <v>0</v>
      </c>
      <c r="AA77" s="24">
        <v>0</v>
      </c>
      <c r="AB77" s="24">
        <v>0</v>
      </c>
      <c r="AC77" s="24">
        <v>-0.2</v>
      </c>
      <c r="AD77" s="24">
        <v>-0.2</v>
      </c>
      <c r="AE77" s="24">
        <v>0</v>
      </c>
      <c r="AF77" s="24">
        <v>0</v>
      </c>
      <c r="AG77" s="24">
        <v>0</v>
      </c>
      <c r="AH77" s="24">
        <v>-0.2</v>
      </c>
      <c r="AI77" s="16">
        <v>3</v>
      </c>
      <c r="AJ77" s="72">
        <f>=F77*247.95</f>
        <v>1734658.2</v>
      </c>
      <c r="AK77" s="72">
        <f>=G77*32.6061</f>
        <v>3619.2771</v>
      </c>
      <c r="AL77" s="72">
        <f>=J77*2.35</f>
        <v>8058.15</v>
      </c>
      <c r="AM77" s="72">
        <f>=H77*15.88</f>
        <v>714.6</v>
      </c>
    </row>
    <row r="78" spans="1:39">
      <c r="A78" s="24" t="s">
        <v>1320</v>
      </c>
      <c r="B78" s="24" t="s">
        <v>1321</v>
      </c>
      <c r="C78" s="24" t="s">
        <v>1322</v>
      </c>
      <c r="D78" s="24">
        <v>900011225</v>
      </c>
      <c r="E78" s="24">
        <v>11225</v>
      </c>
      <c r="F78" s="24">
        <v>6743</v>
      </c>
      <c r="G78" s="24">
        <v>97</v>
      </c>
      <c r="H78" s="24">
        <v>45</v>
      </c>
      <c r="I78" s="25">
        <v>0.5</v>
      </c>
      <c r="J78" s="24">
        <v>2958</v>
      </c>
      <c r="K78" s="24" t="b">
        <v>1</v>
      </c>
      <c r="L78" s="25">
        <v>0</v>
      </c>
      <c r="M78" s="47">
        <v>0</v>
      </c>
      <c r="N78" s="25">
        <v>0.1</v>
      </c>
      <c r="O78" s="47">
        <v>10</v>
      </c>
      <c r="P78" s="25">
        <v>0.5</v>
      </c>
      <c r="Q78" s="24">
        <v>2</v>
      </c>
      <c r="R78" s="24">
        <v>3</v>
      </c>
      <c r="S78" s="25">
        <v>0.5</v>
      </c>
      <c r="T78" s="24">
        <v>-0.2</v>
      </c>
      <c r="U78" s="24">
        <v>0</v>
      </c>
      <c r="V78" s="24">
        <v>0</v>
      </c>
      <c r="W78" s="24">
        <v>0</v>
      </c>
      <c r="X78" s="24">
        <v>-0.2</v>
      </c>
      <c r="Y78" s="24">
        <v>-0.2</v>
      </c>
      <c r="Z78" s="24">
        <v>0</v>
      </c>
      <c r="AA78" s="24">
        <v>0</v>
      </c>
      <c r="AB78" s="24">
        <v>0</v>
      </c>
      <c r="AC78" s="24">
        <v>-0.2</v>
      </c>
      <c r="AD78" s="24">
        <v>-0.2</v>
      </c>
      <c r="AE78" s="24">
        <v>0</v>
      </c>
      <c r="AF78" s="24">
        <v>0</v>
      </c>
      <c r="AG78" s="24">
        <v>0</v>
      </c>
      <c r="AH78" s="24">
        <v>-0.2</v>
      </c>
      <c r="AI78" s="16">
        <v>3</v>
      </c>
      <c r="AJ78" s="72">
        <f>=F78*247.95</f>
        <v>1671926.85</v>
      </c>
      <c r="AK78" s="72">
        <f>=G78*32.6061</f>
        <v>3162.7917</v>
      </c>
      <c r="AL78" s="72">
        <f>=J78*2.35</f>
        <v>6951.3</v>
      </c>
      <c r="AM78" s="72">
        <f>=H78*15.88</f>
        <v>714.6</v>
      </c>
    </row>
    <row r="79" spans="1:39">
      <c r="A79" s="24" t="s">
        <v>1320</v>
      </c>
      <c r="B79" s="24" t="s">
        <v>1321</v>
      </c>
      <c r="C79" s="24" t="s">
        <v>1322</v>
      </c>
      <c r="D79" s="24">
        <v>900011226</v>
      </c>
      <c r="E79" s="24">
        <v>11226</v>
      </c>
      <c r="F79" s="24">
        <v>6996</v>
      </c>
      <c r="G79" s="24">
        <v>111</v>
      </c>
      <c r="H79" s="24">
        <v>45</v>
      </c>
      <c r="I79" s="25">
        <v>0.5</v>
      </c>
      <c r="J79" s="24">
        <v>3429</v>
      </c>
      <c r="K79" s="24" t="b">
        <v>1</v>
      </c>
      <c r="L79" s="25">
        <v>0</v>
      </c>
      <c r="M79" s="47">
        <v>0</v>
      </c>
      <c r="N79" s="25">
        <v>0.1</v>
      </c>
      <c r="O79" s="47">
        <v>10</v>
      </c>
      <c r="P79" s="25">
        <v>0.5</v>
      </c>
      <c r="Q79" s="24">
        <v>2</v>
      </c>
      <c r="R79" s="24">
        <v>5</v>
      </c>
      <c r="S79" s="25">
        <v>0.5</v>
      </c>
      <c r="T79" s="24">
        <v>-0.2</v>
      </c>
      <c r="U79" s="24">
        <v>0</v>
      </c>
      <c r="V79" s="24">
        <v>0</v>
      </c>
      <c r="W79" s="24">
        <v>0</v>
      </c>
      <c r="X79" s="24">
        <v>-0.2</v>
      </c>
      <c r="Y79" s="24">
        <v>-0.2</v>
      </c>
      <c r="Z79" s="24">
        <v>0</v>
      </c>
      <c r="AA79" s="24">
        <v>0</v>
      </c>
      <c r="AB79" s="24">
        <v>0</v>
      </c>
      <c r="AC79" s="24">
        <v>-0.2</v>
      </c>
      <c r="AD79" s="24">
        <v>-0.2</v>
      </c>
      <c r="AE79" s="24">
        <v>0</v>
      </c>
      <c r="AF79" s="24">
        <v>0</v>
      </c>
      <c r="AG79" s="24">
        <v>0</v>
      </c>
      <c r="AH79" s="24">
        <v>-0.2</v>
      </c>
      <c r="AI79" s="16">
        <v>3</v>
      </c>
      <c r="AJ79" s="72">
        <f>=F79*247.95</f>
        <v>1734658.2</v>
      </c>
      <c r="AK79" s="72">
        <f>=G79*32.6061</f>
        <v>3619.2771</v>
      </c>
      <c r="AL79" s="72">
        <f>=J79*2.35</f>
        <v>8058.15</v>
      </c>
      <c r="AM79" s="72">
        <f>=H79*15.88</f>
        <v>714.6</v>
      </c>
    </row>
    <row r="80" spans="1:39">
      <c r="A80" s="24" t="s">
        <v>1128</v>
      </c>
      <c r="B80" s="24" t="s">
        <v>1129</v>
      </c>
      <c r="C80" s="24" t="s">
        <v>1130</v>
      </c>
      <c r="D80" s="24">
        <v>900011233</v>
      </c>
      <c r="E80" s="24">
        <v>11233</v>
      </c>
      <c r="F80" s="24">
        <v>9165</v>
      </c>
      <c r="G80" s="24">
        <v>120</v>
      </c>
      <c r="H80" s="24">
        <v>60</v>
      </c>
      <c r="I80" s="25">
        <v>0.5</v>
      </c>
      <c r="J80" s="24">
        <v>4956</v>
      </c>
      <c r="K80" s="24" t="b">
        <v>1</v>
      </c>
      <c r="L80" s="25">
        <v>0</v>
      </c>
      <c r="M80" s="47">
        <v>0</v>
      </c>
      <c r="N80" s="25">
        <v>0.0833</v>
      </c>
      <c r="O80" s="47">
        <v>12.0048</v>
      </c>
      <c r="P80" s="25">
        <v>0.5</v>
      </c>
      <c r="Q80" s="24">
        <v>3</v>
      </c>
      <c r="R80" s="24">
        <v>5</v>
      </c>
      <c r="S80" s="25">
        <v>0.75</v>
      </c>
      <c r="T80" s="24">
        <v>-0.2</v>
      </c>
      <c r="U80" s="24">
        <v>0</v>
      </c>
      <c r="V80" s="24">
        <v>0</v>
      </c>
      <c r="W80" s="24">
        <v>0</v>
      </c>
      <c r="X80" s="24">
        <v>-0.2</v>
      </c>
      <c r="Y80" s="24">
        <v>-0.2</v>
      </c>
      <c r="Z80" s="24">
        <v>0</v>
      </c>
      <c r="AA80" s="24">
        <v>0</v>
      </c>
      <c r="AB80" s="24">
        <v>0</v>
      </c>
      <c r="AC80" s="24">
        <v>-0.2</v>
      </c>
      <c r="AD80" s="24">
        <v>-0.2</v>
      </c>
      <c r="AE80" s="24">
        <v>0</v>
      </c>
      <c r="AF80" s="24">
        <v>0</v>
      </c>
      <c r="AG80" s="24">
        <v>0</v>
      </c>
      <c r="AH80" s="24">
        <v>-0.2</v>
      </c>
      <c r="AI80" s="16">
        <v>5</v>
      </c>
      <c r="AJ80" s="72">
        <f>=F80*247.95</f>
        <v>2272461.75</v>
      </c>
      <c r="AK80" s="72">
        <f>=G80*32.6061</f>
        <v>3912.732</v>
      </c>
      <c r="AL80" s="72">
        <f>=J80*2.35</f>
        <v>11646.6</v>
      </c>
      <c r="AM80" s="72">
        <f>=H80*15.88</f>
        <v>952.8</v>
      </c>
    </row>
    <row r="81" spans="1:39">
      <c r="A81" s="24" t="s">
        <v>1128</v>
      </c>
      <c r="B81" s="24" t="s">
        <v>1129</v>
      </c>
      <c r="C81" s="24" t="s">
        <v>1130</v>
      </c>
      <c r="D81" s="24">
        <v>900011234</v>
      </c>
      <c r="E81" s="24">
        <v>11234</v>
      </c>
      <c r="F81" s="24">
        <v>15551</v>
      </c>
      <c r="G81" s="24">
        <v>120</v>
      </c>
      <c r="H81" s="24">
        <v>60</v>
      </c>
      <c r="I81" s="25">
        <v>0.5</v>
      </c>
      <c r="J81" s="24">
        <v>4508</v>
      </c>
      <c r="K81" s="24" t="b">
        <v>1</v>
      </c>
      <c r="L81" s="25">
        <v>0</v>
      </c>
      <c r="M81" s="47">
        <v>0</v>
      </c>
      <c r="N81" s="25">
        <v>0.0833</v>
      </c>
      <c r="O81" s="47">
        <v>12.0048</v>
      </c>
      <c r="P81" s="25">
        <v>0.5</v>
      </c>
      <c r="Q81" s="24">
        <v>3</v>
      </c>
      <c r="R81" s="24">
        <v>5</v>
      </c>
      <c r="S81" s="25">
        <v>0.75</v>
      </c>
      <c r="T81" s="24">
        <v>-0.2</v>
      </c>
      <c r="U81" s="24">
        <v>0</v>
      </c>
      <c r="V81" s="24">
        <v>0</v>
      </c>
      <c r="W81" s="24">
        <v>0</v>
      </c>
      <c r="X81" s="24">
        <v>-0.2</v>
      </c>
      <c r="Y81" s="24">
        <v>-0.2</v>
      </c>
      <c r="Z81" s="24">
        <v>0</v>
      </c>
      <c r="AA81" s="24">
        <v>0</v>
      </c>
      <c r="AB81" s="24">
        <v>0</v>
      </c>
      <c r="AC81" s="24">
        <v>-0.2</v>
      </c>
      <c r="AD81" s="24">
        <v>-0.2</v>
      </c>
      <c r="AE81" s="24">
        <v>0</v>
      </c>
      <c r="AF81" s="24">
        <v>0</v>
      </c>
      <c r="AG81" s="24">
        <v>0</v>
      </c>
      <c r="AH81" s="24">
        <v>-0.2</v>
      </c>
      <c r="AI81" s="16">
        <v>5</v>
      </c>
      <c r="AJ81" s="72">
        <f>=F81*247.95</f>
        <v>3855870.45</v>
      </c>
      <c r="AK81" s="72">
        <f>=G81*32.6061</f>
        <v>3912.732</v>
      </c>
      <c r="AL81" s="72">
        <f>=J81*2.35</f>
        <v>10593.8</v>
      </c>
      <c r="AM81" s="72">
        <f>=H81*15.88</f>
        <v>952.8</v>
      </c>
    </row>
    <row r="82" spans="1:39">
      <c r="A82" s="24" t="s">
        <v>1136</v>
      </c>
      <c r="B82" s="24" t="s">
        <v>1137</v>
      </c>
      <c r="C82" s="24" t="s">
        <v>1138</v>
      </c>
      <c r="D82" s="24">
        <v>900011235</v>
      </c>
      <c r="E82" s="24">
        <v>11235</v>
      </c>
      <c r="F82" s="24">
        <v>9165</v>
      </c>
      <c r="G82" s="24">
        <v>120</v>
      </c>
      <c r="H82" s="24">
        <v>60</v>
      </c>
      <c r="I82" s="25">
        <v>0.5</v>
      </c>
      <c r="J82" s="24">
        <v>4956</v>
      </c>
      <c r="K82" s="24" t="b">
        <v>1</v>
      </c>
      <c r="L82" s="25">
        <v>0</v>
      </c>
      <c r="M82" s="47">
        <v>0</v>
      </c>
      <c r="N82" s="25">
        <v>0.0833</v>
      </c>
      <c r="O82" s="47">
        <v>12.0048</v>
      </c>
      <c r="P82" s="25">
        <v>0.5</v>
      </c>
      <c r="Q82" s="24">
        <v>3</v>
      </c>
      <c r="R82" s="24">
        <v>5</v>
      </c>
      <c r="S82" s="25">
        <v>0.75</v>
      </c>
      <c r="T82" s="24">
        <v>-0.2</v>
      </c>
      <c r="U82" s="24">
        <v>0</v>
      </c>
      <c r="V82" s="24">
        <v>0</v>
      </c>
      <c r="W82" s="24">
        <v>0</v>
      </c>
      <c r="X82" s="24">
        <v>-0.2</v>
      </c>
      <c r="Y82" s="24">
        <v>-0.2</v>
      </c>
      <c r="Z82" s="24">
        <v>0</v>
      </c>
      <c r="AA82" s="24">
        <v>0</v>
      </c>
      <c r="AB82" s="24">
        <v>0</v>
      </c>
      <c r="AC82" s="24">
        <v>-0.2</v>
      </c>
      <c r="AD82" s="24">
        <v>-0.2</v>
      </c>
      <c r="AE82" s="24">
        <v>0</v>
      </c>
      <c r="AF82" s="24">
        <v>0</v>
      </c>
      <c r="AG82" s="24">
        <v>0</v>
      </c>
      <c r="AH82" s="24">
        <v>-0.2</v>
      </c>
      <c r="AI82" s="16">
        <v>5</v>
      </c>
      <c r="AJ82" s="72">
        <f>=F82*247.95</f>
        <v>2272461.75</v>
      </c>
      <c r="AK82" s="72">
        <f>=G82*32.6061</f>
        <v>3912.732</v>
      </c>
      <c r="AL82" s="72">
        <f>=J82*2.35</f>
        <v>11646.6</v>
      </c>
      <c r="AM82" s="72">
        <f>=H82*15.88</f>
        <v>952.8</v>
      </c>
    </row>
    <row r="83" spans="1:39">
      <c r="A83" s="24" t="s">
        <v>1136</v>
      </c>
      <c r="B83" s="24" t="s">
        <v>1137</v>
      </c>
      <c r="C83" s="24" t="s">
        <v>1138</v>
      </c>
      <c r="D83" s="24">
        <v>900011236</v>
      </c>
      <c r="E83" s="24">
        <v>11236</v>
      </c>
      <c r="F83" s="24">
        <v>15551</v>
      </c>
      <c r="G83" s="24">
        <v>120</v>
      </c>
      <c r="H83" s="24">
        <v>60</v>
      </c>
      <c r="I83" s="25">
        <v>0.5</v>
      </c>
      <c r="J83" s="24">
        <v>4508</v>
      </c>
      <c r="K83" s="24" t="b">
        <v>1</v>
      </c>
      <c r="L83" s="25">
        <v>0</v>
      </c>
      <c r="M83" s="47">
        <v>0</v>
      </c>
      <c r="N83" s="25">
        <v>0.0833</v>
      </c>
      <c r="O83" s="47">
        <v>12.0048</v>
      </c>
      <c r="P83" s="25">
        <v>0.5</v>
      </c>
      <c r="Q83" s="24">
        <v>3</v>
      </c>
      <c r="R83" s="24">
        <v>5</v>
      </c>
      <c r="S83" s="25">
        <v>0.75</v>
      </c>
      <c r="T83" s="24">
        <v>-0.2</v>
      </c>
      <c r="U83" s="24">
        <v>0</v>
      </c>
      <c r="V83" s="24">
        <v>0</v>
      </c>
      <c r="W83" s="24">
        <v>0</v>
      </c>
      <c r="X83" s="24">
        <v>-0.2</v>
      </c>
      <c r="Y83" s="24">
        <v>-0.2</v>
      </c>
      <c r="Z83" s="24">
        <v>0</v>
      </c>
      <c r="AA83" s="24">
        <v>0</v>
      </c>
      <c r="AB83" s="24">
        <v>0</v>
      </c>
      <c r="AC83" s="24">
        <v>-0.2</v>
      </c>
      <c r="AD83" s="24">
        <v>-0.2</v>
      </c>
      <c r="AE83" s="24">
        <v>0</v>
      </c>
      <c r="AF83" s="24">
        <v>0</v>
      </c>
      <c r="AG83" s="24">
        <v>0</v>
      </c>
      <c r="AH83" s="24">
        <v>-0.2</v>
      </c>
      <c r="AI83" s="16">
        <v>5</v>
      </c>
      <c r="AJ83" s="72">
        <f>=F83*247.95</f>
        <v>3855870.45</v>
      </c>
      <c r="AK83" s="72">
        <f>=G83*32.6061</f>
        <v>3912.732</v>
      </c>
      <c r="AL83" s="72">
        <f>=J83*2.35</f>
        <v>10593.8</v>
      </c>
      <c r="AM83" s="72">
        <f>=H83*15.88</f>
        <v>952.8</v>
      </c>
    </row>
    <row r="84" spans="1:39">
      <c r="A84" s="24" t="s">
        <v>1128</v>
      </c>
      <c r="B84" s="24" t="s">
        <v>1129</v>
      </c>
      <c r="C84" s="24" t="s">
        <v>1130</v>
      </c>
      <c r="D84" s="24">
        <v>900011237</v>
      </c>
      <c r="E84" s="24">
        <v>11237</v>
      </c>
      <c r="F84" s="24">
        <v>15990</v>
      </c>
      <c r="G84" s="24">
        <v>120</v>
      </c>
      <c r="H84" s="24">
        <v>60</v>
      </c>
      <c r="I84" s="25">
        <v>0.5</v>
      </c>
      <c r="J84" s="24">
        <v>4956</v>
      </c>
      <c r="K84" s="24" t="b">
        <v>1</v>
      </c>
      <c r="L84" s="25">
        <v>0</v>
      </c>
      <c r="M84" s="47">
        <v>0</v>
      </c>
      <c r="N84" s="25">
        <v>0.0833</v>
      </c>
      <c r="O84" s="47">
        <v>12.0048</v>
      </c>
      <c r="P84" s="25">
        <v>0.5</v>
      </c>
      <c r="Q84" s="24">
        <v>3</v>
      </c>
      <c r="R84" s="24">
        <v>5</v>
      </c>
      <c r="S84" s="25">
        <v>0.75</v>
      </c>
      <c r="T84" s="24">
        <v>-0.2</v>
      </c>
      <c r="U84" s="24">
        <v>0</v>
      </c>
      <c r="V84" s="24">
        <v>0</v>
      </c>
      <c r="W84" s="24">
        <v>0</v>
      </c>
      <c r="X84" s="24">
        <v>-0.2</v>
      </c>
      <c r="Y84" s="24">
        <v>-0.2</v>
      </c>
      <c r="Z84" s="24">
        <v>0</v>
      </c>
      <c r="AA84" s="24">
        <v>0</v>
      </c>
      <c r="AB84" s="24">
        <v>0</v>
      </c>
      <c r="AC84" s="24">
        <v>-0.2</v>
      </c>
      <c r="AD84" s="24">
        <v>-0.2</v>
      </c>
      <c r="AE84" s="24">
        <v>0</v>
      </c>
      <c r="AF84" s="24">
        <v>0</v>
      </c>
      <c r="AG84" s="24">
        <v>0</v>
      </c>
      <c r="AH84" s="24">
        <v>-0.2</v>
      </c>
      <c r="AI84" s="16">
        <v>5</v>
      </c>
      <c r="AJ84" s="72">
        <f>=F84*247.95</f>
        <v>3964720.5</v>
      </c>
      <c r="AK84" s="72">
        <f>=G84*32.6061</f>
        <v>3912.732</v>
      </c>
      <c r="AL84" s="72">
        <f>=J84*2.35</f>
        <v>11646.6</v>
      </c>
      <c r="AM84" s="72">
        <f>=H84*15.88</f>
        <v>952.8</v>
      </c>
    </row>
    <row r="85" spans="1:39">
      <c r="A85" s="24" t="s">
        <v>1136</v>
      </c>
      <c r="B85" s="24" t="s">
        <v>1137</v>
      </c>
      <c r="C85" s="24" t="s">
        <v>1138</v>
      </c>
      <c r="D85" s="24">
        <v>900011238</v>
      </c>
      <c r="E85" s="24">
        <v>11238</v>
      </c>
      <c r="F85" s="24">
        <v>15990</v>
      </c>
      <c r="G85" s="24">
        <v>120</v>
      </c>
      <c r="H85" s="24">
        <v>60</v>
      </c>
      <c r="I85" s="25">
        <v>0.5</v>
      </c>
      <c r="J85" s="24">
        <v>4956</v>
      </c>
      <c r="K85" s="24" t="b">
        <v>1</v>
      </c>
      <c r="L85" s="25">
        <v>0</v>
      </c>
      <c r="M85" s="47">
        <v>0</v>
      </c>
      <c r="N85" s="25">
        <v>0.0833</v>
      </c>
      <c r="O85" s="47">
        <v>12.0048</v>
      </c>
      <c r="P85" s="25">
        <v>0.5</v>
      </c>
      <c r="Q85" s="24">
        <v>3</v>
      </c>
      <c r="R85" s="24">
        <v>5</v>
      </c>
      <c r="S85" s="25">
        <v>0.75</v>
      </c>
      <c r="T85" s="24">
        <v>-0.2</v>
      </c>
      <c r="U85" s="24">
        <v>0</v>
      </c>
      <c r="V85" s="24">
        <v>0</v>
      </c>
      <c r="W85" s="24">
        <v>0</v>
      </c>
      <c r="X85" s="24">
        <v>-0.2</v>
      </c>
      <c r="Y85" s="24">
        <v>-0.2</v>
      </c>
      <c r="Z85" s="24">
        <v>0</v>
      </c>
      <c r="AA85" s="24">
        <v>0</v>
      </c>
      <c r="AB85" s="24">
        <v>0</v>
      </c>
      <c r="AC85" s="24">
        <v>-0.2</v>
      </c>
      <c r="AD85" s="24">
        <v>-0.2</v>
      </c>
      <c r="AE85" s="24">
        <v>0</v>
      </c>
      <c r="AF85" s="24">
        <v>0</v>
      </c>
      <c r="AG85" s="24">
        <v>0</v>
      </c>
      <c r="AH85" s="24">
        <v>-0.2</v>
      </c>
      <c r="AI85" s="16">
        <v>5</v>
      </c>
      <c r="AJ85" s="72">
        <f>=F85*247.95</f>
        <v>3964720.5</v>
      </c>
      <c r="AK85" s="72">
        <f>=G85*32.6061</f>
        <v>3912.732</v>
      </c>
      <c r="AL85" s="72">
        <f>=J85*2.35</f>
        <v>11646.6</v>
      </c>
      <c r="AM85" s="72">
        <f>=H85*15.88</f>
        <v>952.8</v>
      </c>
    </row>
    <row r="86" spans="1:39">
      <c r="A86" s="24" t="s">
        <v>1155</v>
      </c>
      <c r="B86" s="24" t="s">
        <v>1156</v>
      </c>
      <c r="C86" s="24" t="s">
        <v>1157</v>
      </c>
      <c r="D86" s="24">
        <v>900011241</v>
      </c>
      <c r="E86" s="24">
        <v>11241</v>
      </c>
      <c r="F86" s="24">
        <v>2569</v>
      </c>
      <c r="G86" s="24">
        <v>34</v>
      </c>
      <c r="H86" s="24">
        <v>45</v>
      </c>
      <c r="I86" s="25">
        <v>0.5</v>
      </c>
      <c r="J86" s="24">
        <v>1127</v>
      </c>
      <c r="K86" s="24" t="b">
        <v>1</v>
      </c>
      <c r="L86" s="25">
        <v>0</v>
      </c>
      <c r="M86" s="47">
        <v>0</v>
      </c>
      <c r="N86" s="25">
        <v>0.1</v>
      </c>
      <c r="O86" s="47">
        <v>10</v>
      </c>
      <c r="P86" s="25">
        <v>0.5</v>
      </c>
      <c r="Q86" s="24">
        <v>2</v>
      </c>
      <c r="R86" s="24">
        <v>1</v>
      </c>
      <c r="S86" s="25">
        <v>0.5</v>
      </c>
      <c r="T86" s="24">
        <v>0</v>
      </c>
      <c r="U86" s="24">
        <v>0</v>
      </c>
      <c r="V86" s="24">
        <v>-0.2</v>
      </c>
      <c r="W86" s="24">
        <v>0.2</v>
      </c>
      <c r="X86" s="24">
        <v>0</v>
      </c>
      <c r="Y86" s="24">
        <v>0</v>
      </c>
      <c r="Z86" s="24">
        <v>0</v>
      </c>
      <c r="AA86" s="24">
        <v>-0.2</v>
      </c>
      <c r="AB86" s="24">
        <v>0.2</v>
      </c>
      <c r="AC86" s="24">
        <v>0</v>
      </c>
      <c r="AD86" s="24">
        <v>0</v>
      </c>
      <c r="AE86" s="24">
        <v>0</v>
      </c>
      <c r="AF86" s="24">
        <v>-0.2</v>
      </c>
      <c r="AG86" s="24">
        <v>0.2</v>
      </c>
      <c r="AH86" s="24">
        <v>0</v>
      </c>
      <c r="AI86" s="16">
        <v>3</v>
      </c>
      <c r="AJ86" s="72">
        <f>=F86*247.95</f>
        <v>636983.55</v>
      </c>
      <c r="AK86" s="72">
        <f>=G86*32.6061</f>
        <v>1108.6074</v>
      </c>
      <c r="AL86" s="72">
        <f>=J86*2.35</f>
        <v>2648.45</v>
      </c>
      <c r="AM86" s="72">
        <f>=H86*15.88</f>
        <v>714.6</v>
      </c>
    </row>
    <row r="87" spans="1:39">
      <c r="A87" s="24" t="s">
        <v>1155</v>
      </c>
      <c r="B87" s="24" t="s">
        <v>1156</v>
      </c>
      <c r="C87" s="24" t="s">
        <v>1157</v>
      </c>
      <c r="D87" s="24">
        <v>900011242</v>
      </c>
      <c r="E87" s="24">
        <v>11242</v>
      </c>
      <c r="F87" s="24">
        <v>2569</v>
      </c>
      <c r="G87" s="24">
        <v>34</v>
      </c>
      <c r="H87" s="24">
        <v>45</v>
      </c>
      <c r="I87" s="25">
        <v>0.5</v>
      </c>
      <c r="J87" s="24">
        <v>1127</v>
      </c>
      <c r="K87" s="24" t="b">
        <v>1</v>
      </c>
      <c r="L87" s="25">
        <v>0</v>
      </c>
      <c r="M87" s="47">
        <v>0</v>
      </c>
      <c r="N87" s="25">
        <v>0.1</v>
      </c>
      <c r="O87" s="47">
        <v>10</v>
      </c>
      <c r="P87" s="25">
        <v>0.5</v>
      </c>
      <c r="Q87" s="24">
        <v>2</v>
      </c>
      <c r="R87" s="24">
        <v>5</v>
      </c>
      <c r="S87" s="25">
        <v>0.5</v>
      </c>
      <c r="T87" s="24">
        <v>0</v>
      </c>
      <c r="U87" s="24">
        <v>0</v>
      </c>
      <c r="V87" s="24">
        <v>-0.2</v>
      </c>
      <c r="W87" s="24">
        <v>0.2</v>
      </c>
      <c r="X87" s="24">
        <v>0</v>
      </c>
      <c r="Y87" s="24">
        <v>0</v>
      </c>
      <c r="Z87" s="24">
        <v>0</v>
      </c>
      <c r="AA87" s="24">
        <v>-0.2</v>
      </c>
      <c r="AB87" s="24">
        <v>0.2</v>
      </c>
      <c r="AC87" s="24">
        <v>0</v>
      </c>
      <c r="AD87" s="24">
        <v>0</v>
      </c>
      <c r="AE87" s="24">
        <v>0</v>
      </c>
      <c r="AF87" s="24">
        <v>-0.2</v>
      </c>
      <c r="AG87" s="24">
        <v>0.2</v>
      </c>
      <c r="AH87" s="24">
        <v>0</v>
      </c>
      <c r="AI87" s="16">
        <v>3</v>
      </c>
      <c r="AJ87" s="72">
        <f>=F87*247.95</f>
        <v>636983.55</v>
      </c>
      <c r="AK87" s="72">
        <f>=G87*32.6061</f>
        <v>1108.6074</v>
      </c>
      <c r="AL87" s="72">
        <f>=J87*2.35</f>
        <v>2648.45</v>
      </c>
      <c r="AM87" s="72">
        <f>=H87*15.88</f>
        <v>714.6</v>
      </c>
    </row>
    <row r="88" spans="1:39">
      <c r="A88" s="24" t="s">
        <v>1159</v>
      </c>
      <c r="B88" s="24" t="s">
        <v>1160</v>
      </c>
      <c r="C88" s="24" t="s">
        <v>1161</v>
      </c>
      <c r="D88" s="24">
        <v>900011245</v>
      </c>
      <c r="E88" s="24">
        <v>11245</v>
      </c>
      <c r="F88" s="24">
        <v>2569</v>
      </c>
      <c r="G88" s="24">
        <v>34</v>
      </c>
      <c r="H88" s="24">
        <v>45</v>
      </c>
      <c r="I88" s="25">
        <v>0.5</v>
      </c>
      <c r="J88" s="24">
        <v>1127</v>
      </c>
      <c r="K88" s="24" t="b">
        <v>1</v>
      </c>
      <c r="L88" s="25">
        <v>0</v>
      </c>
      <c r="M88" s="47">
        <v>0</v>
      </c>
      <c r="N88" s="25">
        <v>0.1</v>
      </c>
      <c r="O88" s="47">
        <v>10</v>
      </c>
      <c r="P88" s="25">
        <v>0.5</v>
      </c>
      <c r="Q88" s="24">
        <v>2</v>
      </c>
      <c r="R88" s="24">
        <v>1</v>
      </c>
      <c r="S88" s="25">
        <v>0.5</v>
      </c>
      <c r="T88" s="24">
        <v>0</v>
      </c>
      <c r="U88" s="24">
        <v>0</v>
      </c>
      <c r="V88" s="24">
        <v>-0.2</v>
      </c>
      <c r="W88" s="24">
        <v>0.2</v>
      </c>
      <c r="X88" s="24">
        <v>0</v>
      </c>
      <c r="Y88" s="24">
        <v>0</v>
      </c>
      <c r="Z88" s="24">
        <v>0</v>
      </c>
      <c r="AA88" s="24">
        <v>-0.2</v>
      </c>
      <c r="AB88" s="24">
        <v>0.2</v>
      </c>
      <c r="AC88" s="24">
        <v>0</v>
      </c>
      <c r="AD88" s="24">
        <v>0</v>
      </c>
      <c r="AE88" s="24">
        <v>0</v>
      </c>
      <c r="AF88" s="24">
        <v>-0.2</v>
      </c>
      <c r="AG88" s="24">
        <v>0.2</v>
      </c>
      <c r="AH88" s="24">
        <v>0</v>
      </c>
      <c r="AI88" s="16">
        <v>3</v>
      </c>
      <c r="AJ88" s="72">
        <f>=F88*247.95</f>
        <v>636983.55</v>
      </c>
      <c r="AK88" s="72">
        <f>=G88*32.6061</f>
        <v>1108.6074</v>
      </c>
      <c r="AL88" s="72">
        <f>=J88*2.35</f>
        <v>2648.45</v>
      </c>
      <c r="AM88" s="72">
        <f>=H88*15.88</f>
        <v>714.6</v>
      </c>
    </row>
    <row r="89" spans="1:39">
      <c r="A89" s="24" t="s">
        <v>1330</v>
      </c>
      <c r="B89" s="24" t="s">
        <v>1331</v>
      </c>
      <c r="C89" s="24" t="s">
        <v>1332</v>
      </c>
      <c r="D89" s="24">
        <v>900011251</v>
      </c>
      <c r="E89" s="24">
        <v>11251</v>
      </c>
      <c r="F89" s="24">
        <v>1123</v>
      </c>
      <c r="G89" s="24">
        <v>66</v>
      </c>
      <c r="H89" s="24">
        <v>40</v>
      </c>
      <c r="I89" s="25">
        <v>0.5</v>
      </c>
      <c r="J89" s="24">
        <v>600</v>
      </c>
      <c r="K89" s="24" t="b">
        <v>1</v>
      </c>
      <c r="L89" s="25">
        <v>0</v>
      </c>
      <c r="M89" s="47">
        <v>0</v>
      </c>
      <c r="N89" s="25">
        <v>0.1538</v>
      </c>
      <c r="O89" s="47">
        <v>6.501951</v>
      </c>
      <c r="P89" s="25">
        <v>0.5</v>
      </c>
      <c r="Q89" s="24">
        <v>1</v>
      </c>
      <c r="R89" s="24">
        <v>1</v>
      </c>
      <c r="S89" s="25">
        <v>0</v>
      </c>
      <c r="T89" s="24">
        <v>0</v>
      </c>
      <c r="U89" s="24">
        <v>0</v>
      </c>
      <c r="V89" s="24">
        <v>-0.2</v>
      </c>
      <c r="W89" s="24">
        <v>0</v>
      </c>
      <c r="X89" s="24">
        <v>0</v>
      </c>
      <c r="Y89" s="24">
        <v>0</v>
      </c>
      <c r="Z89" s="24">
        <v>0</v>
      </c>
      <c r="AA89" s="24">
        <v>-0.2</v>
      </c>
      <c r="AB89" s="24">
        <v>0</v>
      </c>
      <c r="AC89" s="24">
        <v>0</v>
      </c>
      <c r="AD89" s="24">
        <v>0</v>
      </c>
      <c r="AE89" s="24">
        <v>0</v>
      </c>
      <c r="AF89" s="24">
        <v>-0.2</v>
      </c>
      <c r="AG89" s="24">
        <v>0</v>
      </c>
      <c r="AH89" s="24">
        <v>0</v>
      </c>
      <c r="AI89" s="16" t="s"/>
      <c r="AJ89" s="72">
        <f>=F89*247.95</f>
        <v>278447.85</v>
      </c>
      <c r="AK89" s="72">
        <f>=G89*32.6061</f>
        <v>2152.0026</v>
      </c>
      <c r="AL89" s="72">
        <f>=J89*2.35</f>
        <v>1410</v>
      </c>
      <c r="AM89" s="72">
        <f>=H89*15.88</f>
        <v>635.2</v>
      </c>
    </row>
    <row r="90" spans="1:39">
      <c r="A90" s="24" t="s">
        <v>1330</v>
      </c>
      <c r="B90" s="24" t="s">
        <v>1331</v>
      </c>
      <c r="C90" s="24" t="s">
        <v>1332</v>
      </c>
      <c r="D90" s="24">
        <v>900011252</v>
      </c>
      <c r="E90" s="24">
        <v>11252</v>
      </c>
      <c r="F90" s="24">
        <v>1373</v>
      </c>
      <c r="G90" s="24">
        <v>66</v>
      </c>
      <c r="H90" s="24">
        <v>40</v>
      </c>
      <c r="I90" s="25">
        <v>0.5</v>
      </c>
      <c r="J90" s="24">
        <v>900</v>
      </c>
      <c r="K90" s="24" t="b">
        <v>1</v>
      </c>
      <c r="L90" s="25">
        <v>0</v>
      </c>
      <c r="M90" s="47">
        <v>0</v>
      </c>
      <c r="N90" s="25">
        <v>0.1538</v>
      </c>
      <c r="O90" s="47">
        <v>6.501951</v>
      </c>
      <c r="P90" s="25">
        <v>0.5</v>
      </c>
      <c r="Q90" s="24">
        <v>1</v>
      </c>
      <c r="R90" s="24">
        <v>1</v>
      </c>
      <c r="S90" s="25">
        <v>0</v>
      </c>
      <c r="T90" s="24">
        <v>0</v>
      </c>
      <c r="U90" s="24">
        <v>0</v>
      </c>
      <c r="V90" s="24">
        <v>-0.2</v>
      </c>
      <c r="W90" s="24">
        <v>0</v>
      </c>
      <c r="X90" s="24">
        <v>0</v>
      </c>
      <c r="Y90" s="24">
        <v>0</v>
      </c>
      <c r="Z90" s="24">
        <v>0</v>
      </c>
      <c r="AA90" s="24">
        <v>-0.2</v>
      </c>
      <c r="AB90" s="24">
        <v>0</v>
      </c>
      <c r="AC90" s="24">
        <v>0</v>
      </c>
      <c r="AD90" s="24">
        <v>0</v>
      </c>
      <c r="AE90" s="24">
        <v>0</v>
      </c>
      <c r="AF90" s="24">
        <v>-0.2</v>
      </c>
      <c r="AG90" s="24">
        <v>0</v>
      </c>
      <c r="AH90" s="24">
        <v>0</v>
      </c>
      <c r="AI90" s="16" t="s"/>
      <c r="AJ90" s="72">
        <f>=F90*247.95</f>
        <v>340435.35</v>
      </c>
      <c r="AK90" s="72">
        <f>=G90*32.6061</f>
        <v>2152.0026</v>
      </c>
      <c r="AL90" s="72">
        <f>=J90*2.35</f>
        <v>2115</v>
      </c>
      <c r="AM90" s="72">
        <f>=H90*15.88</f>
        <v>635.2</v>
      </c>
    </row>
    <row r="91" spans="1:39">
      <c r="A91" s="24" t="s">
        <v>1335</v>
      </c>
      <c r="B91" s="24" t="s">
        <v>1336</v>
      </c>
      <c r="C91" s="24" t="s">
        <v>1337</v>
      </c>
      <c r="D91" s="24">
        <v>900011253</v>
      </c>
      <c r="E91" s="24">
        <v>11253</v>
      </c>
      <c r="F91" s="24">
        <v>1123</v>
      </c>
      <c r="G91" s="24">
        <v>66</v>
      </c>
      <c r="H91" s="24">
        <v>40</v>
      </c>
      <c r="I91" s="25">
        <v>0.5</v>
      </c>
      <c r="J91" s="24">
        <v>600</v>
      </c>
      <c r="K91" s="24" t="b">
        <v>1</v>
      </c>
      <c r="L91" s="25">
        <v>0</v>
      </c>
      <c r="M91" s="47">
        <v>0</v>
      </c>
      <c r="N91" s="25">
        <v>0.1538</v>
      </c>
      <c r="O91" s="47">
        <v>6.501951</v>
      </c>
      <c r="P91" s="25">
        <v>0.5</v>
      </c>
      <c r="Q91" s="24">
        <v>1</v>
      </c>
      <c r="R91" s="24">
        <v>1</v>
      </c>
      <c r="S91" s="25">
        <v>0</v>
      </c>
      <c r="T91" s="24">
        <v>0</v>
      </c>
      <c r="U91" s="24">
        <v>-0.2</v>
      </c>
      <c r="V91" s="24">
        <v>0</v>
      </c>
      <c r="W91" s="24">
        <v>-0.2</v>
      </c>
      <c r="X91" s="24">
        <v>0</v>
      </c>
      <c r="Y91" s="24">
        <v>0</v>
      </c>
      <c r="Z91" s="24">
        <v>-0.2</v>
      </c>
      <c r="AA91" s="24">
        <v>0</v>
      </c>
      <c r="AB91" s="24">
        <v>-0.2</v>
      </c>
      <c r="AC91" s="24">
        <v>0</v>
      </c>
      <c r="AD91" s="24">
        <v>0</v>
      </c>
      <c r="AE91" s="24">
        <v>-0.2</v>
      </c>
      <c r="AF91" s="24">
        <v>0</v>
      </c>
      <c r="AG91" s="24">
        <v>-0.2</v>
      </c>
      <c r="AH91" s="24">
        <v>0</v>
      </c>
      <c r="AI91" s="16" t="s"/>
      <c r="AJ91" s="72">
        <f>=F91*247.95</f>
        <v>278447.85</v>
      </c>
      <c r="AK91" s="72">
        <f>=G91*32.6061</f>
        <v>2152.0026</v>
      </c>
      <c r="AL91" s="72">
        <f>=J91*2.35</f>
        <v>1410</v>
      </c>
      <c r="AM91" s="72">
        <f>=H91*15.88</f>
        <v>635.2</v>
      </c>
    </row>
    <row r="92" spans="1:39">
      <c r="A92" s="24" t="s">
        <v>1335</v>
      </c>
      <c r="B92" s="24" t="s">
        <v>1336</v>
      </c>
      <c r="C92" s="24" t="s">
        <v>1337</v>
      </c>
      <c r="D92" s="24">
        <v>900011254</v>
      </c>
      <c r="E92" s="24">
        <v>11254</v>
      </c>
      <c r="F92" s="24">
        <v>1373</v>
      </c>
      <c r="G92" s="24">
        <v>66</v>
      </c>
      <c r="H92" s="24">
        <v>40</v>
      </c>
      <c r="I92" s="25">
        <v>0.5</v>
      </c>
      <c r="J92" s="24">
        <v>900</v>
      </c>
      <c r="K92" s="24" t="b">
        <v>1</v>
      </c>
      <c r="L92" s="25">
        <v>0</v>
      </c>
      <c r="M92" s="47">
        <v>0</v>
      </c>
      <c r="N92" s="25">
        <v>0.1538</v>
      </c>
      <c r="O92" s="47">
        <v>6.501951</v>
      </c>
      <c r="P92" s="25">
        <v>0.5</v>
      </c>
      <c r="Q92" s="24">
        <v>1</v>
      </c>
      <c r="R92" s="24">
        <v>1</v>
      </c>
      <c r="S92" s="25">
        <v>0</v>
      </c>
      <c r="T92" s="24">
        <v>0</v>
      </c>
      <c r="U92" s="24">
        <v>-0.2</v>
      </c>
      <c r="V92" s="24">
        <v>0</v>
      </c>
      <c r="W92" s="24">
        <v>-0.2</v>
      </c>
      <c r="X92" s="24">
        <v>0</v>
      </c>
      <c r="Y92" s="24">
        <v>0</v>
      </c>
      <c r="Z92" s="24">
        <v>-0.2</v>
      </c>
      <c r="AA92" s="24">
        <v>0</v>
      </c>
      <c r="AB92" s="24">
        <v>-0.2</v>
      </c>
      <c r="AC92" s="24">
        <v>0</v>
      </c>
      <c r="AD92" s="24">
        <v>0</v>
      </c>
      <c r="AE92" s="24">
        <v>-0.2</v>
      </c>
      <c r="AF92" s="24">
        <v>0</v>
      </c>
      <c r="AG92" s="24">
        <v>-0.2</v>
      </c>
      <c r="AH92" s="24">
        <v>0</v>
      </c>
      <c r="AI92" s="16" t="s"/>
      <c r="AJ92" s="72">
        <f>=F92*247.95</f>
        <v>340435.35</v>
      </c>
      <c r="AK92" s="72">
        <f>=G92*32.6061</f>
        <v>2152.0026</v>
      </c>
      <c r="AL92" s="72">
        <f>=J92*2.35</f>
        <v>2115</v>
      </c>
      <c r="AM92" s="72">
        <f>=H92*15.88</f>
        <v>635.2</v>
      </c>
    </row>
    <row r="93" spans="1:39">
      <c r="A93" s="24" t="s">
        <v>1341</v>
      </c>
      <c r="B93" s="24" t="s">
        <v>1342</v>
      </c>
      <c r="C93" s="24" t="s">
        <v>1343</v>
      </c>
      <c r="D93" s="24">
        <v>900011261</v>
      </c>
      <c r="E93" s="24">
        <v>11261</v>
      </c>
      <c r="F93" s="24">
        <v>6286</v>
      </c>
      <c r="G93" s="24">
        <v>93</v>
      </c>
      <c r="H93" s="24">
        <v>54</v>
      </c>
      <c r="I93" s="25">
        <v>0.5</v>
      </c>
      <c r="J93" s="24">
        <v>2111</v>
      </c>
      <c r="K93" s="24" t="b">
        <v>1</v>
      </c>
      <c r="L93" s="25">
        <v>0.01</v>
      </c>
      <c r="M93" s="47">
        <v>0</v>
      </c>
      <c r="N93" s="25">
        <v>0.1</v>
      </c>
      <c r="O93" s="47">
        <v>10</v>
      </c>
      <c r="P93" s="25">
        <v>0.5</v>
      </c>
      <c r="Q93" s="24">
        <v>2</v>
      </c>
      <c r="R93" s="24">
        <v>3</v>
      </c>
      <c r="S93" s="25">
        <v>0.5</v>
      </c>
      <c r="T93" s="24">
        <v>0</v>
      </c>
      <c r="U93" s="24">
        <v>0.2</v>
      </c>
      <c r="V93" s="24">
        <v>-0.2</v>
      </c>
      <c r="W93" s="24">
        <v>0</v>
      </c>
      <c r="X93" s="24">
        <v>0</v>
      </c>
      <c r="Y93" s="24">
        <v>0</v>
      </c>
      <c r="Z93" s="24">
        <v>0.2</v>
      </c>
      <c r="AA93" s="24">
        <v>-0.2</v>
      </c>
      <c r="AB93" s="24">
        <v>0</v>
      </c>
      <c r="AC93" s="24">
        <v>0</v>
      </c>
      <c r="AD93" s="24">
        <v>0</v>
      </c>
      <c r="AE93" s="24">
        <v>0.2</v>
      </c>
      <c r="AF93" s="24">
        <v>-0.2</v>
      </c>
      <c r="AG93" s="24">
        <v>0</v>
      </c>
      <c r="AH93" s="24">
        <v>0</v>
      </c>
      <c r="AI93" s="16">
        <v>3</v>
      </c>
      <c r="AJ93" s="72">
        <f>=F93*247.95</f>
        <v>1558613.7</v>
      </c>
      <c r="AK93" s="72">
        <f>=G93*32.6061</f>
        <v>3032.3673</v>
      </c>
      <c r="AL93" s="72">
        <f>=J93*2.35</f>
        <v>4960.85</v>
      </c>
      <c r="AM93" s="72">
        <f>=H93*15.88</f>
        <v>857.52</v>
      </c>
    </row>
    <row r="94" spans="1:39">
      <c r="A94" s="24" t="s">
        <v>1341</v>
      </c>
      <c r="B94" s="24" t="s">
        <v>1342</v>
      </c>
      <c r="C94" s="24" t="s">
        <v>1343</v>
      </c>
      <c r="D94" s="24">
        <v>900011262</v>
      </c>
      <c r="E94" s="24">
        <v>11262</v>
      </c>
      <c r="F94" s="24">
        <v>6489</v>
      </c>
      <c r="G94" s="24">
        <v>106</v>
      </c>
      <c r="H94" s="24">
        <v>54</v>
      </c>
      <c r="I94" s="25">
        <v>0.5</v>
      </c>
      <c r="J94" s="24">
        <v>2487</v>
      </c>
      <c r="K94" s="24" t="b">
        <v>1</v>
      </c>
      <c r="L94" s="25">
        <v>0.01</v>
      </c>
      <c r="M94" s="47">
        <v>0</v>
      </c>
      <c r="N94" s="25">
        <v>0.1</v>
      </c>
      <c r="O94" s="47">
        <v>10</v>
      </c>
      <c r="P94" s="25">
        <v>0.5</v>
      </c>
      <c r="Q94" s="24">
        <v>2</v>
      </c>
      <c r="R94" s="24">
        <v>5</v>
      </c>
      <c r="S94" s="25">
        <v>0.5</v>
      </c>
      <c r="T94" s="24">
        <v>0</v>
      </c>
      <c r="U94" s="24">
        <v>0.2</v>
      </c>
      <c r="V94" s="24">
        <v>-0.2</v>
      </c>
      <c r="W94" s="24">
        <v>0</v>
      </c>
      <c r="X94" s="24">
        <v>0</v>
      </c>
      <c r="Y94" s="24">
        <v>0</v>
      </c>
      <c r="Z94" s="24">
        <v>0.2</v>
      </c>
      <c r="AA94" s="24">
        <v>-0.2</v>
      </c>
      <c r="AB94" s="24">
        <v>0</v>
      </c>
      <c r="AC94" s="24">
        <v>0</v>
      </c>
      <c r="AD94" s="24">
        <v>0</v>
      </c>
      <c r="AE94" s="24">
        <v>0.2</v>
      </c>
      <c r="AF94" s="24">
        <v>-0.2</v>
      </c>
      <c r="AG94" s="24">
        <v>0</v>
      </c>
      <c r="AH94" s="24">
        <v>0</v>
      </c>
      <c r="AI94" s="16">
        <v>3</v>
      </c>
      <c r="AJ94" s="72">
        <f>=F94*247.95</f>
        <v>1608947.55</v>
      </c>
      <c r="AK94" s="72">
        <f>=G94*32.6061</f>
        <v>3456.2466</v>
      </c>
      <c r="AL94" s="72">
        <f>=J94*2.35</f>
        <v>5844.45</v>
      </c>
      <c r="AM94" s="72">
        <f>=H94*15.88</f>
        <v>857.52</v>
      </c>
    </row>
    <row r="95" spans="1:39">
      <c r="A95" s="24" t="s">
        <v>1346</v>
      </c>
      <c r="B95" s="24" t="s">
        <v>1347</v>
      </c>
      <c r="C95" s="24" t="s">
        <v>1348</v>
      </c>
      <c r="D95" s="24">
        <v>900011263</v>
      </c>
      <c r="E95" s="24">
        <v>11263</v>
      </c>
      <c r="F95" s="24">
        <v>6286</v>
      </c>
      <c r="G95" s="24">
        <v>93</v>
      </c>
      <c r="H95" s="24">
        <v>54</v>
      </c>
      <c r="I95" s="25">
        <v>0.5</v>
      </c>
      <c r="J95" s="24">
        <v>2111</v>
      </c>
      <c r="K95" s="24" t="b">
        <v>1</v>
      </c>
      <c r="L95" s="25">
        <v>0.01</v>
      </c>
      <c r="M95" s="47">
        <v>0</v>
      </c>
      <c r="N95" s="25">
        <v>0.1</v>
      </c>
      <c r="O95" s="47">
        <v>10</v>
      </c>
      <c r="P95" s="25">
        <v>0.5</v>
      </c>
      <c r="Q95" s="24">
        <v>2</v>
      </c>
      <c r="R95" s="24">
        <v>3</v>
      </c>
      <c r="S95" s="25">
        <v>0.5</v>
      </c>
      <c r="T95" s="24">
        <v>0</v>
      </c>
      <c r="U95" s="24">
        <v>-0.2</v>
      </c>
      <c r="V95" s="24">
        <v>0</v>
      </c>
      <c r="W95" s="24">
        <v>-0.2</v>
      </c>
      <c r="X95" s="24">
        <v>0.2</v>
      </c>
      <c r="Y95" s="24">
        <v>0</v>
      </c>
      <c r="Z95" s="24">
        <v>-0.2</v>
      </c>
      <c r="AA95" s="24">
        <v>0</v>
      </c>
      <c r="AB95" s="24">
        <v>-0.2</v>
      </c>
      <c r="AC95" s="24">
        <v>0.2</v>
      </c>
      <c r="AD95" s="24">
        <v>0</v>
      </c>
      <c r="AE95" s="24">
        <v>-0.2</v>
      </c>
      <c r="AF95" s="24">
        <v>0</v>
      </c>
      <c r="AG95" s="24">
        <v>-0.2</v>
      </c>
      <c r="AH95" s="24">
        <v>0.2</v>
      </c>
      <c r="AI95" s="16">
        <v>3</v>
      </c>
      <c r="AJ95" s="72">
        <f>=F95*247.95</f>
        <v>1558613.7</v>
      </c>
      <c r="AK95" s="72">
        <f>=G95*32.6061</f>
        <v>3032.3673</v>
      </c>
      <c r="AL95" s="72">
        <f>=J95*2.35</f>
        <v>4960.85</v>
      </c>
      <c r="AM95" s="72">
        <f>=H95*15.88</f>
        <v>857.52</v>
      </c>
    </row>
    <row r="96" spans="1:39">
      <c r="A96" s="24" t="s">
        <v>1346</v>
      </c>
      <c r="B96" s="24" t="s">
        <v>1347</v>
      </c>
      <c r="C96" s="24" t="s">
        <v>1348</v>
      </c>
      <c r="D96" s="24">
        <v>900011264</v>
      </c>
      <c r="E96" s="24">
        <v>11264</v>
      </c>
      <c r="F96" s="24">
        <v>6489</v>
      </c>
      <c r="G96" s="24">
        <v>106</v>
      </c>
      <c r="H96" s="24">
        <v>54</v>
      </c>
      <c r="I96" s="25">
        <v>0.5</v>
      </c>
      <c r="J96" s="24">
        <v>2487</v>
      </c>
      <c r="K96" s="24" t="b">
        <v>1</v>
      </c>
      <c r="L96" s="25">
        <v>0.01</v>
      </c>
      <c r="M96" s="47">
        <v>0</v>
      </c>
      <c r="N96" s="25">
        <v>0.1</v>
      </c>
      <c r="O96" s="47">
        <v>10</v>
      </c>
      <c r="P96" s="25">
        <v>0.5</v>
      </c>
      <c r="Q96" s="24">
        <v>2</v>
      </c>
      <c r="R96" s="24">
        <v>5</v>
      </c>
      <c r="S96" s="25">
        <v>0.5</v>
      </c>
      <c r="T96" s="24">
        <v>0</v>
      </c>
      <c r="U96" s="24">
        <v>-0.2</v>
      </c>
      <c r="V96" s="24">
        <v>0</v>
      </c>
      <c r="W96" s="24">
        <v>-0.2</v>
      </c>
      <c r="X96" s="24">
        <v>0.2</v>
      </c>
      <c r="Y96" s="24">
        <v>0</v>
      </c>
      <c r="Z96" s="24">
        <v>-0.2</v>
      </c>
      <c r="AA96" s="24">
        <v>0</v>
      </c>
      <c r="AB96" s="24">
        <v>-0.2</v>
      </c>
      <c r="AC96" s="24">
        <v>0.2</v>
      </c>
      <c r="AD96" s="24">
        <v>0</v>
      </c>
      <c r="AE96" s="24">
        <v>-0.2</v>
      </c>
      <c r="AF96" s="24">
        <v>0</v>
      </c>
      <c r="AG96" s="24">
        <v>-0.2</v>
      </c>
      <c r="AH96" s="24">
        <v>0.2</v>
      </c>
      <c r="AI96" s="16">
        <v>3</v>
      </c>
      <c r="AJ96" s="72">
        <f>=F96*247.95</f>
        <v>1608947.55</v>
      </c>
      <c r="AK96" s="72">
        <f>=G96*32.6061</f>
        <v>3456.2466</v>
      </c>
      <c r="AL96" s="72">
        <f>=J96*2.35</f>
        <v>5844.45</v>
      </c>
      <c r="AM96" s="72">
        <f>=H96*15.88</f>
        <v>857.52</v>
      </c>
    </row>
    <row r="97" spans="1:39">
      <c r="A97" s="24" t="s">
        <v>1352</v>
      </c>
      <c r="B97" s="24" t="s">
        <v>1353</v>
      </c>
      <c r="C97" s="24" t="s">
        <v>1354</v>
      </c>
      <c r="D97" s="24">
        <v>900011271</v>
      </c>
      <c r="E97" s="24">
        <v>11271</v>
      </c>
      <c r="F97" s="24">
        <v>1123</v>
      </c>
      <c r="G97" s="24">
        <v>66</v>
      </c>
      <c r="H97" s="24">
        <v>40</v>
      </c>
      <c r="I97" s="25">
        <v>0.5</v>
      </c>
      <c r="J97" s="24">
        <v>600</v>
      </c>
      <c r="K97" s="24" t="b">
        <v>1</v>
      </c>
      <c r="L97" s="25">
        <v>0</v>
      </c>
      <c r="M97" s="47">
        <v>0</v>
      </c>
      <c r="N97" s="25">
        <v>0.1538</v>
      </c>
      <c r="O97" s="47">
        <v>6.501951</v>
      </c>
      <c r="P97" s="25">
        <v>0.5</v>
      </c>
      <c r="Q97" s="24">
        <v>1</v>
      </c>
      <c r="R97" s="24">
        <v>1</v>
      </c>
      <c r="S97" s="25">
        <v>0</v>
      </c>
      <c r="T97" s="24">
        <v>0</v>
      </c>
      <c r="U97" s="24">
        <v>0</v>
      </c>
      <c r="V97" s="24">
        <v>-0.2</v>
      </c>
      <c r="W97" s="24">
        <v>0</v>
      </c>
      <c r="X97" s="24">
        <v>0</v>
      </c>
      <c r="Y97" s="24">
        <v>0</v>
      </c>
      <c r="Z97" s="24">
        <v>0</v>
      </c>
      <c r="AA97" s="24">
        <v>-0.2</v>
      </c>
      <c r="AB97" s="24">
        <v>0</v>
      </c>
      <c r="AC97" s="24">
        <v>0</v>
      </c>
      <c r="AD97" s="24">
        <v>0</v>
      </c>
      <c r="AE97" s="24">
        <v>0</v>
      </c>
      <c r="AF97" s="24">
        <v>-0.2</v>
      </c>
      <c r="AG97" s="24">
        <v>0</v>
      </c>
      <c r="AH97" s="24">
        <v>0</v>
      </c>
      <c r="AI97" s="16" t="s"/>
      <c r="AJ97" s="72">
        <f>=F97*247.95</f>
        <v>278447.85</v>
      </c>
      <c r="AK97" s="72">
        <f>=G97*32.6061</f>
        <v>2152.0026</v>
      </c>
      <c r="AL97" s="72">
        <f>=J97*2.35</f>
        <v>1410</v>
      </c>
      <c r="AM97" s="72">
        <f>=H97*15.88</f>
        <v>635.2</v>
      </c>
    </row>
    <row r="98" spans="1:39">
      <c r="A98" s="24" t="s">
        <v>1352</v>
      </c>
      <c r="B98" s="24" t="s">
        <v>1353</v>
      </c>
      <c r="C98" s="24" t="s">
        <v>1354</v>
      </c>
      <c r="D98" s="24">
        <v>900011272</v>
      </c>
      <c r="E98" s="24">
        <v>11272</v>
      </c>
      <c r="F98" s="24">
        <v>1373</v>
      </c>
      <c r="G98" s="24">
        <v>66</v>
      </c>
      <c r="H98" s="24">
        <v>40</v>
      </c>
      <c r="I98" s="25">
        <v>0.5</v>
      </c>
      <c r="J98" s="24">
        <v>900</v>
      </c>
      <c r="K98" s="24" t="b">
        <v>1</v>
      </c>
      <c r="L98" s="25">
        <v>0</v>
      </c>
      <c r="M98" s="47">
        <v>0</v>
      </c>
      <c r="N98" s="25">
        <v>0.1538</v>
      </c>
      <c r="O98" s="47">
        <v>6.501951</v>
      </c>
      <c r="P98" s="25">
        <v>0.5</v>
      </c>
      <c r="Q98" s="24">
        <v>1</v>
      </c>
      <c r="R98" s="24">
        <v>1</v>
      </c>
      <c r="S98" s="25">
        <v>0</v>
      </c>
      <c r="T98" s="24">
        <v>0</v>
      </c>
      <c r="U98" s="24">
        <v>0</v>
      </c>
      <c r="V98" s="24">
        <v>-0.2</v>
      </c>
      <c r="W98" s="24">
        <v>0</v>
      </c>
      <c r="X98" s="24">
        <v>0</v>
      </c>
      <c r="Y98" s="24">
        <v>0</v>
      </c>
      <c r="Z98" s="24">
        <v>0</v>
      </c>
      <c r="AA98" s="24">
        <v>-0.2</v>
      </c>
      <c r="AB98" s="24">
        <v>0</v>
      </c>
      <c r="AC98" s="24">
        <v>0</v>
      </c>
      <c r="AD98" s="24">
        <v>0</v>
      </c>
      <c r="AE98" s="24">
        <v>0</v>
      </c>
      <c r="AF98" s="24">
        <v>-0.2</v>
      </c>
      <c r="AG98" s="24">
        <v>0</v>
      </c>
      <c r="AH98" s="24">
        <v>0</v>
      </c>
      <c r="AI98" s="16" t="s"/>
      <c r="AJ98" s="72">
        <f>=F98*247.95</f>
        <v>340435.35</v>
      </c>
      <c r="AK98" s="72">
        <f>=G98*32.6061</f>
        <v>2152.0026</v>
      </c>
      <c r="AL98" s="72">
        <f>=J98*2.35</f>
        <v>2115</v>
      </c>
      <c r="AM98" s="72">
        <f>=H98*15.88</f>
        <v>635.2</v>
      </c>
    </row>
    <row r="99" spans="1:39">
      <c r="A99" s="24" t="s">
        <v>1357</v>
      </c>
      <c r="B99" s="24" t="s">
        <v>1358</v>
      </c>
      <c r="C99" s="24" t="s">
        <v>1359</v>
      </c>
      <c r="D99" s="24">
        <v>900011273</v>
      </c>
      <c r="E99" s="24">
        <v>11273</v>
      </c>
      <c r="F99" s="24">
        <v>1123</v>
      </c>
      <c r="G99" s="24">
        <v>66</v>
      </c>
      <c r="H99" s="24">
        <v>40</v>
      </c>
      <c r="I99" s="25">
        <v>0.5</v>
      </c>
      <c r="J99" s="24">
        <v>600</v>
      </c>
      <c r="K99" s="24" t="b">
        <v>1</v>
      </c>
      <c r="L99" s="25">
        <v>0</v>
      </c>
      <c r="M99" s="47">
        <v>0</v>
      </c>
      <c r="N99" s="25">
        <v>0.1538</v>
      </c>
      <c r="O99" s="47">
        <v>6.501951</v>
      </c>
      <c r="P99" s="25">
        <v>0.5</v>
      </c>
      <c r="Q99" s="24">
        <v>1</v>
      </c>
      <c r="R99" s="24">
        <v>1</v>
      </c>
      <c r="S99" s="25">
        <v>0</v>
      </c>
      <c r="T99" s="24">
        <v>0</v>
      </c>
      <c r="U99" s="24">
        <v>-0.2</v>
      </c>
      <c r="V99" s="24">
        <v>0</v>
      </c>
      <c r="W99" s="24">
        <v>-0.2</v>
      </c>
      <c r="X99" s="24">
        <v>0</v>
      </c>
      <c r="Y99" s="24">
        <v>0</v>
      </c>
      <c r="Z99" s="24">
        <v>-0.2</v>
      </c>
      <c r="AA99" s="24">
        <v>0</v>
      </c>
      <c r="AB99" s="24">
        <v>-0.2</v>
      </c>
      <c r="AC99" s="24">
        <v>0</v>
      </c>
      <c r="AD99" s="24">
        <v>0</v>
      </c>
      <c r="AE99" s="24">
        <v>-0.2</v>
      </c>
      <c r="AF99" s="24">
        <v>0</v>
      </c>
      <c r="AG99" s="24">
        <v>-0.2</v>
      </c>
      <c r="AH99" s="24">
        <v>0</v>
      </c>
      <c r="AI99" s="16" t="s"/>
      <c r="AJ99" s="72">
        <f>=F99*247.95</f>
        <v>278447.85</v>
      </c>
      <c r="AK99" s="72">
        <f>=G99*32.6061</f>
        <v>2152.0026</v>
      </c>
      <c r="AL99" s="72">
        <f>=J99*2.35</f>
        <v>1410</v>
      </c>
      <c r="AM99" s="72">
        <f>=H99*15.88</f>
        <v>635.2</v>
      </c>
    </row>
    <row r="100" spans="1:39">
      <c r="A100" s="24" t="s">
        <v>1357</v>
      </c>
      <c r="B100" s="24" t="s">
        <v>1358</v>
      </c>
      <c r="C100" s="24" t="s">
        <v>1359</v>
      </c>
      <c r="D100" s="24">
        <v>900011274</v>
      </c>
      <c r="E100" s="24">
        <v>11274</v>
      </c>
      <c r="F100" s="24">
        <v>1373</v>
      </c>
      <c r="G100" s="24">
        <v>66</v>
      </c>
      <c r="H100" s="24">
        <v>40</v>
      </c>
      <c r="I100" s="25">
        <v>0.5</v>
      </c>
      <c r="J100" s="24">
        <v>900</v>
      </c>
      <c r="K100" s="24" t="b">
        <v>1</v>
      </c>
      <c r="L100" s="25">
        <v>0</v>
      </c>
      <c r="M100" s="47">
        <v>0</v>
      </c>
      <c r="N100" s="25">
        <v>0.1538</v>
      </c>
      <c r="O100" s="47">
        <v>6.501951</v>
      </c>
      <c r="P100" s="25">
        <v>0.5</v>
      </c>
      <c r="Q100" s="24">
        <v>1</v>
      </c>
      <c r="R100" s="24">
        <v>1</v>
      </c>
      <c r="S100" s="25">
        <v>0</v>
      </c>
      <c r="T100" s="24">
        <v>0</v>
      </c>
      <c r="U100" s="24">
        <v>-0.2</v>
      </c>
      <c r="V100" s="24">
        <v>0</v>
      </c>
      <c r="W100" s="24">
        <v>-0.2</v>
      </c>
      <c r="X100" s="24">
        <v>0</v>
      </c>
      <c r="Y100" s="24">
        <v>0</v>
      </c>
      <c r="Z100" s="24">
        <v>-0.2</v>
      </c>
      <c r="AA100" s="24">
        <v>0</v>
      </c>
      <c r="AB100" s="24">
        <v>-0.2</v>
      </c>
      <c r="AC100" s="24">
        <v>0</v>
      </c>
      <c r="AD100" s="24">
        <v>0</v>
      </c>
      <c r="AE100" s="24">
        <v>-0.2</v>
      </c>
      <c r="AF100" s="24">
        <v>0</v>
      </c>
      <c r="AG100" s="24">
        <v>-0.2</v>
      </c>
      <c r="AH100" s="24">
        <v>0</v>
      </c>
      <c r="AI100" s="16" t="s"/>
      <c r="AJ100" s="72">
        <f>=F100*247.95</f>
        <v>340435.35</v>
      </c>
      <c r="AK100" s="72">
        <f>=G100*32.6061</f>
        <v>2152.0026</v>
      </c>
      <c r="AL100" s="72">
        <f>=J100*2.35</f>
        <v>2115</v>
      </c>
      <c r="AM100" s="72">
        <f>=H100*15.88</f>
        <v>635.2</v>
      </c>
    </row>
    <row r="101" spans="1:39">
      <c r="A101" s="24" t="s">
        <v>1362</v>
      </c>
      <c r="B101" s="24" t="s">
        <v>1363</v>
      </c>
      <c r="C101" s="24" t="s">
        <v>1364</v>
      </c>
      <c r="D101" s="24">
        <v>900011281</v>
      </c>
      <c r="E101" s="24">
        <v>11281</v>
      </c>
      <c r="F101" s="24">
        <v>1123</v>
      </c>
      <c r="G101" s="24">
        <v>60</v>
      </c>
      <c r="H101" s="24">
        <v>46</v>
      </c>
      <c r="I101" s="25">
        <v>0.5</v>
      </c>
      <c r="J101" s="24">
        <v>600</v>
      </c>
      <c r="K101" s="24" t="b">
        <v>1</v>
      </c>
      <c r="L101" s="25">
        <v>0</v>
      </c>
      <c r="M101" s="47">
        <v>0</v>
      </c>
      <c r="N101" s="25">
        <v>0.1538</v>
      </c>
      <c r="O101" s="47">
        <v>6.501951</v>
      </c>
      <c r="P101" s="25">
        <v>0.25</v>
      </c>
      <c r="Q101" s="24">
        <v>1</v>
      </c>
      <c r="R101" s="24">
        <v>1</v>
      </c>
      <c r="S101" s="25">
        <v>0</v>
      </c>
      <c r="T101" s="24">
        <v>0</v>
      </c>
      <c r="U101" s="24">
        <v>0</v>
      </c>
      <c r="V101" s="24">
        <v>-0.2</v>
      </c>
      <c r="W101" s="24">
        <v>0</v>
      </c>
      <c r="X101" s="24">
        <v>0</v>
      </c>
      <c r="Y101" s="24">
        <v>0</v>
      </c>
      <c r="Z101" s="24">
        <v>0</v>
      </c>
      <c r="AA101" s="24">
        <v>-0.2</v>
      </c>
      <c r="AB101" s="24">
        <v>0</v>
      </c>
      <c r="AC101" s="24">
        <v>0</v>
      </c>
      <c r="AD101" s="24">
        <v>0</v>
      </c>
      <c r="AE101" s="24">
        <v>0</v>
      </c>
      <c r="AF101" s="24">
        <v>-0.2</v>
      </c>
      <c r="AG101" s="24">
        <v>0</v>
      </c>
      <c r="AH101" s="24">
        <v>0</v>
      </c>
      <c r="AI101" s="16" t="s"/>
      <c r="AJ101" s="72">
        <f>=F101*247.95</f>
        <v>278447.85</v>
      </c>
      <c r="AK101" s="72">
        <f>=G101*32.6061</f>
        <v>1956.366</v>
      </c>
      <c r="AL101" s="72">
        <f>=J101*2.35</f>
        <v>1410</v>
      </c>
      <c r="AM101" s="72">
        <f>=H101*15.88</f>
        <v>730.48</v>
      </c>
    </row>
    <row r="102" spans="1:39">
      <c r="A102" s="24" t="s">
        <v>1362</v>
      </c>
      <c r="B102" s="24" t="s">
        <v>1363</v>
      </c>
      <c r="C102" s="24" t="s">
        <v>1364</v>
      </c>
      <c r="D102" s="24">
        <v>900011282</v>
      </c>
      <c r="E102" s="24">
        <v>11282</v>
      </c>
      <c r="F102" s="24">
        <v>1373</v>
      </c>
      <c r="G102" s="24">
        <v>60</v>
      </c>
      <c r="H102" s="24">
        <v>46</v>
      </c>
      <c r="I102" s="25">
        <v>0.5</v>
      </c>
      <c r="J102" s="24">
        <v>900</v>
      </c>
      <c r="K102" s="24" t="b">
        <v>1</v>
      </c>
      <c r="L102" s="25">
        <v>0</v>
      </c>
      <c r="M102" s="47">
        <v>0</v>
      </c>
      <c r="N102" s="25">
        <v>0.1538</v>
      </c>
      <c r="O102" s="47">
        <v>6.501951</v>
      </c>
      <c r="P102" s="25">
        <v>0.25</v>
      </c>
      <c r="Q102" s="24">
        <v>1</v>
      </c>
      <c r="R102" s="24">
        <v>1</v>
      </c>
      <c r="S102" s="25">
        <v>0</v>
      </c>
      <c r="T102" s="24">
        <v>0</v>
      </c>
      <c r="U102" s="24">
        <v>0</v>
      </c>
      <c r="V102" s="24">
        <v>-0.2</v>
      </c>
      <c r="W102" s="24">
        <v>0</v>
      </c>
      <c r="X102" s="24">
        <v>0</v>
      </c>
      <c r="Y102" s="24">
        <v>0</v>
      </c>
      <c r="Z102" s="24">
        <v>0</v>
      </c>
      <c r="AA102" s="24">
        <v>-0.2</v>
      </c>
      <c r="AB102" s="24">
        <v>0</v>
      </c>
      <c r="AC102" s="24">
        <v>0</v>
      </c>
      <c r="AD102" s="24">
        <v>0</v>
      </c>
      <c r="AE102" s="24">
        <v>0</v>
      </c>
      <c r="AF102" s="24">
        <v>-0.2</v>
      </c>
      <c r="AG102" s="24">
        <v>0</v>
      </c>
      <c r="AH102" s="24">
        <v>0</v>
      </c>
      <c r="AI102" s="16" t="s"/>
      <c r="AJ102" s="72">
        <f>=F102*247.95</f>
        <v>340435.35</v>
      </c>
      <c r="AK102" s="72">
        <f>=G102*32.6061</f>
        <v>1956.366</v>
      </c>
      <c r="AL102" s="72">
        <f>=J102*2.35</f>
        <v>2115</v>
      </c>
      <c r="AM102" s="72">
        <f>=H102*15.88</f>
        <v>730.48</v>
      </c>
    </row>
    <row r="103" spans="1:39">
      <c r="A103" s="24" t="s">
        <v>1367</v>
      </c>
      <c r="B103" s="24" t="s">
        <v>1368</v>
      </c>
      <c r="C103" s="24" t="s">
        <v>1369</v>
      </c>
      <c r="D103" s="24">
        <v>900011283</v>
      </c>
      <c r="E103" s="24">
        <v>11283</v>
      </c>
      <c r="F103" s="24">
        <v>1123</v>
      </c>
      <c r="G103" s="24">
        <v>60</v>
      </c>
      <c r="H103" s="24">
        <v>46</v>
      </c>
      <c r="I103" s="25">
        <v>0.5</v>
      </c>
      <c r="J103" s="24">
        <v>600</v>
      </c>
      <c r="K103" s="24" t="b">
        <v>1</v>
      </c>
      <c r="L103" s="25">
        <v>0</v>
      </c>
      <c r="M103" s="47">
        <v>0</v>
      </c>
      <c r="N103" s="25">
        <v>0.1538</v>
      </c>
      <c r="O103" s="47">
        <v>6.501951</v>
      </c>
      <c r="P103" s="25">
        <v>0.25</v>
      </c>
      <c r="Q103" s="24">
        <v>1</v>
      </c>
      <c r="R103" s="24">
        <v>1</v>
      </c>
      <c r="S103" s="25">
        <v>0</v>
      </c>
      <c r="T103" s="24">
        <v>0</v>
      </c>
      <c r="U103" s="24">
        <v>-0.2</v>
      </c>
      <c r="V103" s="24">
        <v>0</v>
      </c>
      <c r="W103" s="24">
        <v>-0.2</v>
      </c>
      <c r="X103" s="24">
        <v>0</v>
      </c>
      <c r="Y103" s="24">
        <v>0</v>
      </c>
      <c r="Z103" s="24">
        <v>-0.2</v>
      </c>
      <c r="AA103" s="24">
        <v>0</v>
      </c>
      <c r="AB103" s="24">
        <v>-0.2</v>
      </c>
      <c r="AC103" s="24">
        <v>0</v>
      </c>
      <c r="AD103" s="24">
        <v>0</v>
      </c>
      <c r="AE103" s="24">
        <v>-0.2</v>
      </c>
      <c r="AF103" s="24">
        <v>0</v>
      </c>
      <c r="AG103" s="24">
        <v>-0.2</v>
      </c>
      <c r="AH103" s="24">
        <v>0</v>
      </c>
      <c r="AI103" s="16" t="s"/>
      <c r="AJ103" s="72">
        <f>=F103*247.95</f>
        <v>278447.85</v>
      </c>
      <c r="AK103" s="72">
        <f>=G103*32.6061</f>
        <v>1956.366</v>
      </c>
      <c r="AL103" s="72">
        <f>=J103*2.35</f>
        <v>1410</v>
      </c>
      <c r="AM103" s="72">
        <f>=H103*15.88</f>
        <v>730.48</v>
      </c>
    </row>
    <row r="104" spans="1:39">
      <c r="A104" s="24" t="s">
        <v>1367</v>
      </c>
      <c r="B104" s="24" t="s">
        <v>1368</v>
      </c>
      <c r="C104" s="24" t="s">
        <v>1369</v>
      </c>
      <c r="D104" s="24">
        <v>900011284</v>
      </c>
      <c r="E104" s="24">
        <v>11284</v>
      </c>
      <c r="F104" s="24">
        <v>1373</v>
      </c>
      <c r="G104" s="24">
        <v>60</v>
      </c>
      <c r="H104" s="24">
        <v>46</v>
      </c>
      <c r="I104" s="25">
        <v>0.5</v>
      </c>
      <c r="J104" s="24">
        <v>900</v>
      </c>
      <c r="K104" s="24" t="b">
        <v>1</v>
      </c>
      <c r="L104" s="25">
        <v>0</v>
      </c>
      <c r="M104" s="47">
        <v>0</v>
      </c>
      <c r="N104" s="25">
        <v>0.1538</v>
      </c>
      <c r="O104" s="47">
        <v>6.501951</v>
      </c>
      <c r="P104" s="25">
        <v>0.25</v>
      </c>
      <c r="Q104" s="24">
        <v>1</v>
      </c>
      <c r="R104" s="24">
        <v>1</v>
      </c>
      <c r="S104" s="25">
        <v>0</v>
      </c>
      <c r="T104" s="24">
        <v>0</v>
      </c>
      <c r="U104" s="24">
        <v>-0.2</v>
      </c>
      <c r="V104" s="24">
        <v>0</v>
      </c>
      <c r="W104" s="24">
        <v>-0.2</v>
      </c>
      <c r="X104" s="24">
        <v>0</v>
      </c>
      <c r="Y104" s="24">
        <v>0</v>
      </c>
      <c r="Z104" s="24">
        <v>-0.2</v>
      </c>
      <c r="AA104" s="24">
        <v>0</v>
      </c>
      <c r="AB104" s="24">
        <v>-0.2</v>
      </c>
      <c r="AC104" s="24">
        <v>0</v>
      </c>
      <c r="AD104" s="24">
        <v>0</v>
      </c>
      <c r="AE104" s="24">
        <v>-0.2</v>
      </c>
      <c r="AF104" s="24">
        <v>0</v>
      </c>
      <c r="AG104" s="24">
        <v>-0.2</v>
      </c>
      <c r="AH104" s="24">
        <v>0</v>
      </c>
      <c r="AI104" s="16" t="s"/>
      <c r="AJ104" s="72">
        <f>=F104*247.95</f>
        <v>340435.35</v>
      </c>
      <c r="AK104" s="72">
        <f>=G104*32.6061</f>
        <v>1956.366</v>
      </c>
      <c r="AL104" s="72">
        <f>=J104*2.35</f>
        <v>2115</v>
      </c>
      <c r="AM104" s="72">
        <f>=H104*15.88</f>
        <v>730.48</v>
      </c>
    </row>
    <row r="105" spans="1:39">
      <c r="A105" s="24" t="s">
        <v>1372</v>
      </c>
      <c r="B105" s="24" t="s">
        <v>1373</v>
      </c>
      <c r="C105" s="24" t="s">
        <v>1374</v>
      </c>
      <c r="D105" s="24">
        <v>900011291</v>
      </c>
      <c r="E105" s="24">
        <v>11291</v>
      </c>
      <c r="F105" s="24">
        <v>884</v>
      </c>
      <c r="G105" s="24">
        <v>63</v>
      </c>
      <c r="H105" s="24">
        <v>36</v>
      </c>
      <c r="I105" s="25">
        <v>0.5</v>
      </c>
      <c r="J105" s="24">
        <v>630</v>
      </c>
      <c r="K105" s="24" t="b">
        <v>0</v>
      </c>
      <c r="L105" s="25">
        <v>0</v>
      </c>
      <c r="M105" s="47">
        <v>0</v>
      </c>
      <c r="N105" s="25">
        <v>0.1538</v>
      </c>
      <c r="O105" s="47">
        <v>6.501951</v>
      </c>
      <c r="P105" s="25">
        <v>0.5</v>
      </c>
      <c r="Q105" s="24">
        <v>1</v>
      </c>
      <c r="R105" s="24">
        <v>99</v>
      </c>
      <c r="S105" s="25">
        <v>0</v>
      </c>
      <c r="T105" s="24">
        <v>-0.2</v>
      </c>
      <c r="U105" s="24">
        <v>0</v>
      </c>
      <c r="V105" s="24">
        <v>0</v>
      </c>
      <c r="W105" s="24">
        <v>0</v>
      </c>
      <c r="X105" s="24">
        <v>-0.2</v>
      </c>
      <c r="Y105" s="24">
        <v>2.8</v>
      </c>
      <c r="Z105" s="24">
        <v>3</v>
      </c>
      <c r="AA105" s="24">
        <v>3</v>
      </c>
      <c r="AB105" s="24">
        <v>3</v>
      </c>
      <c r="AC105" s="24">
        <v>2.8</v>
      </c>
      <c r="AD105" s="24">
        <v>-0.2</v>
      </c>
      <c r="AE105" s="24">
        <v>0</v>
      </c>
      <c r="AF105" s="24">
        <v>0</v>
      </c>
      <c r="AG105" s="24">
        <v>0</v>
      </c>
      <c r="AH105" s="24">
        <v>-0.2</v>
      </c>
      <c r="AI105" s="16" t="s"/>
      <c r="AJ105" s="72">
        <f>=F105*247.95</f>
        <v>219187.8</v>
      </c>
      <c r="AK105" s="72">
        <f>=G105*32.6061</f>
        <v>2054.1843</v>
      </c>
      <c r="AL105" s="72">
        <f>=J105*2.35</f>
        <v>1480.5</v>
      </c>
      <c r="AM105" s="72">
        <f>=H105*15.88</f>
        <v>571.68</v>
      </c>
    </row>
    <row r="106" spans="1:39">
      <c r="A106" s="24" t="s">
        <v>1372</v>
      </c>
      <c r="B106" s="24" t="s">
        <v>1373</v>
      </c>
      <c r="C106" s="24" t="s">
        <v>1374</v>
      </c>
      <c r="D106" s="24">
        <v>900011292</v>
      </c>
      <c r="E106" s="24">
        <v>11292</v>
      </c>
      <c r="F106" s="24">
        <v>884</v>
      </c>
      <c r="G106" s="24">
        <v>63</v>
      </c>
      <c r="H106" s="24">
        <v>36</v>
      </c>
      <c r="I106" s="25">
        <v>0.5</v>
      </c>
      <c r="J106" s="24">
        <v>630</v>
      </c>
      <c r="K106" s="24" t="b">
        <v>0</v>
      </c>
      <c r="L106" s="25">
        <v>0</v>
      </c>
      <c r="M106" s="47">
        <v>0</v>
      </c>
      <c r="N106" s="25">
        <v>0.1538</v>
      </c>
      <c r="O106" s="47">
        <v>6.501951</v>
      </c>
      <c r="P106" s="25">
        <v>0.5</v>
      </c>
      <c r="Q106" s="24">
        <v>1</v>
      </c>
      <c r="R106" s="24">
        <v>99</v>
      </c>
      <c r="S106" s="25">
        <v>0</v>
      </c>
      <c r="T106" s="24">
        <v>-0.2</v>
      </c>
      <c r="U106" s="24">
        <v>0</v>
      </c>
      <c r="V106" s="24">
        <v>0</v>
      </c>
      <c r="W106" s="24">
        <v>0</v>
      </c>
      <c r="X106" s="24">
        <v>-0.2</v>
      </c>
      <c r="Y106" s="24">
        <v>2.8</v>
      </c>
      <c r="Z106" s="24">
        <v>3</v>
      </c>
      <c r="AA106" s="24">
        <v>3</v>
      </c>
      <c r="AB106" s="24">
        <v>3</v>
      </c>
      <c r="AC106" s="24">
        <v>2.8</v>
      </c>
      <c r="AD106" s="24">
        <v>-0.2</v>
      </c>
      <c r="AE106" s="24">
        <v>0</v>
      </c>
      <c r="AF106" s="24">
        <v>0</v>
      </c>
      <c r="AG106" s="24">
        <v>0</v>
      </c>
      <c r="AH106" s="24">
        <v>-0.2</v>
      </c>
      <c r="AI106" s="16" t="s"/>
      <c r="AJ106" s="72">
        <f>=F106*247.95</f>
        <v>219187.8</v>
      </c>
      <c r="AK106" s="72">
        <f>=G106*32.6061</f>
        <v>2054.1843</v>
      </c>
      <c r="AL106" s="72">
        <f>=J106*2.35</f>
        <v>1480.5</v>
      </c>
      <c r="AM106" s="72">
        <f>=H106*15.88</f>
        <v>571.68</v>
      </c>
    </row>
    <row r="107" spans="1:39">
      <c r="A107" s="24" t="s">
        <v>1372</v>
      </c>
      <c r="B107" s="24" t="s">
        <v>1373</v>
      </c>
      <c r="C107" s="24" t="s">
        <v>1374</v>
      </c>
      <c r="D107" s="24">
        <v>900011293</v>
      </c>
      <c r="E107" s="24">
        <v>11293</v>
      </c>
      <c r="F107" s="24">
        <v>1153</v>
      </c>
      <c r="G107" s="24">
        <v>63</v>
      </c>
      <c r="H107" s="24">
        <v>36</v>
      </c>
      <c r="I107" s="25">
        <v>0.5</v>
      </c>
      <c r="J107" s="24">
        <v>945</v>
      </c>
      <c r="K107" s="24" t="b">
        <v>0</v>
      </c>
      <c r="L107" s="25">
        <v>0</v>
      </c>
      <c r="M107" s="47">
        <v>0</v>
      </c>
      <c r="N107" s="25">
        <v>0.1538</v>
      </c>
      <c r="O107" s="47">
        <v>6.501951</v>
      </c>
      <c r="P107" s="25">
        <v>0.5</v>
      </c>
      <c r="Q107" s="24">
        <v>1</v>
      </c>
      <c r="R107" s="24">
        <v>99</v>
      </c>
      <c r="S107" s="25">
        <v>0</v>
      </c>
      <c r="T107" s="24">
        <v>-0.2</v>
      </c>
      <c r="U107" s="24">
        <v>0</v>
      </c>
      <c r="V107" s="24">
        <v>0</v>
      </c>
      <c r="W107" s="24">
        <v>0</v>
      </c>
      <c r="X107" s="24">
        <v>-0.2</v>
      </c>
      <c r="Y107" s="24">
        <v>2.8</v>
      </c>
      <c r="Z107" s="24">
        <v>3</v>
      </c>
      <c r="AA107" s="24">
        <v>3</v>
      </c>
      <c r="AB107" s="24">
        <v>3</v>
      </c>
      <c r="AC107" s="24">
        <v>2.8</v>
      </c>
      <c r="AD107" s="24">
        <v>-0.2</v>
      </c>
      <c r="AE107" s="24">
        <v>0</v>
      </c>
      <c r="AF107" s="24">
        <v>0</v>
      </c>
      <c r="AG107" s="24">
        <v>0</v>
      </c>
      <c r="AH107" s="24">
        <v>-0.2</v>
      </c>
      <c r="AI107" s="16" t="s"/>
      <c r="AJ107" s="72">
        <f>=F107*247.95</f>
        <v>285886.35</v>
      </c>
      <c r="AK107" s="72">
        <f>=G107*32.6061</f>
        <v>2054.1843</v>
      </c>
      <c r="AL107" s="72">
        <f>=J107*2.35</f>
        <v>2220.75</v>
      </c>
      <c r="AM107" s="72">
        <f>=H107*15.88</f>
        <v>571.68</v>
      </c>
    </row>
    <row r="108" spans="1:39">
      <c r="A108" s="24" t="s">
        <v>1372</v>
      </c>
      <c r="B108" s="24" t="s">
        <v>1373</v>
      </c>
      <c r="C108" s="24" t="s">
        <v>1374</v>
      </c>
      <c r="D108" s="24">
        <v>900011294</v>
      </c>
      <c r="E108" s="24">
        <v>11294</v>
      </c>
      <c r="F108" s="24">
        <v>1153</v>
      </c>
      <c r="G108" s="24">
        <v>63</v>
      </c>
      <c r="H108" s="24">
        <v>36</v>
      </c>
      <c r="I108" s="25">
        <v>0.5</v>
      </c>
      <c r="J108" s="24">
        <v>945</v>
      </c>
      <c r="K108" s="24" t="b">
        <v>0</v>
      </c>
      <c r="L108" s="25">
        <v>0</v>
      </c>
      <c r="M108" s="47">
        <v>0</v>
      </c>
      <c r="N108" s="25">
        <v>0.1538</v>
      </c>
      <c r="O108" s="47">
        <v>6.501951</v>
      </c>
      <c r="P108" s="25">
        <v>0.5</v>
      </c>
      <c r="Q108" s="24">
        <v>1</v>
      </c>
      <c r="R108" s="24">
        <v>99</v>
      </c>
      <c r="S108" s="25">
        <v>0</v>
      </c>
      <c r="T108" s="24">
        <v>-0.2</v>
      </c>
      <c r="U108" s="24">
        <v>0</v>
      </c>
      <c r="V108" s="24">
        <v>0</v>
      </c>
      <c r="W108" s="24">
        <v>0</v>
      </c>
      <c r="X108" s="24">
        <v>-0.2</v>
      </c>
      <c r="Y108" s="24">
        <v>2.8</v>
      </c>
      <c r="Z108" s="24">
        <v>3</v>
      </c>
      <c r="AA108" s="24">
        <v>3</v>
      </c>
      <c r="AB108" s="24">
        <v>3</v>
      </c>
      <c r="AC108" s="24">
        <v>2.8</v>
      </c>
      <c r="AD108" s="24">
        <v>-0.2</v>
      </c>
      <c r="AE108" s="24">
        <v>0</v>
      </c>
      <c r="AF108" s="24">
        <v>0</v>
      </c>
      <c r="AG108" s="24">
        <v>0</v>
      </c>
      <c r="AH108" s="24">
        <v>-0.2</v>
      </c>
      <c r="AI108" s="16" t="s"/>
      <c r="AJ108" s="72">
        <f>=F108*247.95</f>
        <v>285886.35</v>
      </c>
      <c r="AK108" s="72">
        <f>=G108*32.6061</f>
        <v>2054.1843</v>
      </c>
      <c r="AL108" s="72">
        <f>=J108*2.35</f>
        <v>2220.75</v>
      </c>
      <c r="AM108" s="72">
        <f>=H108*15.88</f>
        <v>571.68</v>
      </c>
    </row>
    <row r="109" spans="1:39">
      <c r="A109" s="24" t="s">
        <v>1379</v>
      </c>
      <c r="B109" s="24" t="s">
        <v>1380</v>
      </c>
      <c r="C109" s="24" t="s">
        <v>1381</v>
      </c>
      <c r="D109" s="24">
        <v>900011295</v>
      </c>
      <c r="E109" s="24">
        <v>11295</v>
      </c>
      <c r="F109" s="24">
        <v>1081</v>
      </c>
      <c r="G109" s="24">
        <v>63</v>
      </c>
      <c r="H109" s="24">
        <v>36</v>
      </c>
      <c r="I109" s="25">
        <v>0.5</v>
      </c>
      <c r="J109" s="24">
        <v>945</v>
      </c>
      <c r="K109" s="24" t="b">
        <v>0</v>
      </c>
      <c r="L109" s="25">
        <v>0</v>
      </c>
      <c r="M109" s="47">
        <v>0</v>
      </c>
      <c r="N109" s="25">
        <v>0.1538</v>
      </c>
      <c r="O109" s="47">
        <v>6.501951</v>
      </c>
      <c r="P109" s="25">
        <v>0.5</v>
      </c>
      <c r="Q109" s="24">
        <v>1</v>
      </c>
      <c r="R109" s="24">
        <v>99</v>
      </c>
      <c r="S109" s="25">
        <v>0</v>
      </c>
      <c r="T109" s="24">
        <v>0</v>
      </c>
      <c r="U109" s="24">
        <v>-0.2</v>
      </c>
      <c r="V109" s="24">
        <v>0</v>
      </c>
      <c r="W109" s="24">
        <v>0</v>
      </c>
      <c r="X109" s="24">
        <v>0</v>
      </c>
      <c r="Y109" s="24">
        <v>3</v>
      </c>
      <c r="Z109" s="24">
        <v>2.8</v>
      </c>
      <c r="AA109" s="24">
        <v>3</v>
      </c>
      <c r="AB109" s="24">
        <v>3</v>
      </c>
      <c r="AC109" s="24">
        <v>3</v>
      </c>
      <c r="AD109" s="24">
        <v>0</v>
      </c>
      <c r="AE109" s="24">
        <v>-0.2</v>
      </c>
      <c r="AF109" s="24">
        <v>0</v>
      </c>
      <c r="AG109" s="24">
        <v>0</v>
      </c>
      <c r="AH109" s="24">
        <v>0</v>
      </c>
      <c r="AI109" s="16" t="s"/>
      <c r="AJ109" s="72">
        <f>=F109*247.95</f>
        <v>268033.95</v>
      </c>
      <c r="AK109" s="72">
        <f>=G109*32.6061</f>
        <v>2054.1843</v>
      </c>
      <c r="AL109" s="72">
        <f>=J109*2.35</f>
        <v>2220.75</v>
      </c>
      <c r="AM109" s="72">
        <f>=H109*15.88</f>
        <v>571.68</v>
      </c>
    </row>
    <row r="110" spans="1:39">
      <c r="A110" s="24" t="s">
        <v>1379</v>
      </c>
      <c r="B110" s="24" t="s">
        <v>1380</v>
      </c>
      <c r="C110" s="24" t="s">
        <v>1381</v>
      </c>
      <c r="D110" s="24">
        <v>900011296</v>
      </c>
      <c r="E110" s="24">
        <v>11296</v>
      </c>
      <c r="F110" s="24">
        <v>1081</v>
      </c>
      <c r="G110" s="24">
        <v>63</v>
      </c>
      <c r="H110" s="24">
        <v>36</v>
      </c>
      <c r="I110" s="25">
        <v>0.5</v>
      </c>
      <c r="J110" s="24">
        <v>945</v>
      </c>
      <c r="K110" s="24" t="b">
        <v>0</v>
      </c>
      <c r="L110" s="25">
        <v>0</v>
      </c>
      <c r="M110" s="47">
        <v>0</v>
      </c>
      <c r="N110" s="25">
        <v>0.1538</v>
      </c>
      <c r="O110" s="47">
        <v>6.501951</v>
      </c>
      <c r="P110" s="25">
        <v>0.5</v>
      </c>
      <c r="Q110" s="24">
        <v>1</v>
      </c>
      <c r="R110" s="24">
        <v>99</v>
      </c>
      <c r="S110" s="25">
        <v>0</v>
      </c>
      <c r="T110" s="24">
        <v>0</v>
      </c>
      <c r="U110" s="24">
        <v>-0.2</v>
      </c>
      <c r="V110" s="24">
        <v>0</v>
      </c>
      <c r="W110" s="24">
        <v>0</v>
      </c>
      <c r="X110" s="24">
        <v>0</v>
      </c>
      <c r="Y110" s="24">
        <v>3</v>
      </c>
      <c r="Z110" s="24">
        <v>2.8</v>
      </c>
      <c r="AA110" s="24">
        <v>3</v>
      </c>
      <c r="AB110" s="24">
        <v>3</v>
      </c>
      <c r="AC110" s="24">
        <v>3</v>
      </c>
      <c r="AD110" s="24">
        <v>0</v>
      </c>
      <c r="AE110" s="24">
        <v>-0.2</v>
      </c>
      <c r="AF110" s="24">
        <v>0</v>
      </c>
      <c r="AG110" s="24">
        <v>0</v>
      </c>
      <c r="AH110" s="24">
        <v>0</v>
      </c>
      <c r="AI110" s="16" t="s"/>
      <c r="AJ110" s="72">
        <f>=F110*247.95</f>
        <v>268033.95</v>
      </c>
      <c r="AK110" s="72">
        <f>=G110*32.6061</f>
        <v>2054.1843</v>
      </c>
      <c r="AL110" s="72">
        <f>=J110*2.35</f>
        <v>2220.75</v>
      </c>
      <c r="AM110" s="72">
        <f>=H110*15.88</f>
        <v>571.68</v>
      </c>
    </row>
    <row r="111" spans="1:39">
      <c r="A111" s="24" t="s">
        <v>1379</v>
      </c>
      <c r="B111" s="24" t="s">
        <v>1380</v>
      </c>
      <c r="C111" s="24" t="s">
        <v>1381</v>
      </c>
      <c r="D111" s="24">
        <v>900011297</v>
      </c>
      <c r="E111" s="24">
        <v>11297</v>
      </c>
      <c r="F111" s="24">
        <v>1153</v>
      </c>
      <c r="G111" s="24">
        <v>63</v>
      </c>
      <c r="H111" s="24">
        <v>36</v>
      </c>
      <c r="I111" s="25">
        <v>0.5</v>
      </c>
      <c r="J111" s="24">
        <v>945</v>
      </c>
      <c r="K111" s="24" t="b">
        <v>0</v>
      </c>
      <c r="L111" s="25">
        <v>0</v>
      </c>
      <c r="M111" s="47">
        <v>0</v>
      </c>
      <c r="N111" s="25">
        <v>0.1538</v>
      </c>
      <c r="O111" s="47">
        <v>6.501951</v>
      </c>
      <c r="P111" s="25">
        <v>0.5</v>
      </c>
      <c r="Q111" s="24">
        <v>1</v>
      </c>
      <c r="R111" s="24">
        <v>99</v>
      </c>
      <c r="S111" s="25">
        <v>0</v>
      </c>
      <c r="T111" s="24">
        <v>0</v>
      </c>
      <c r="U111" s="24">
        <v>-0.2</v>
      </c>
      <c r="V111" s="24">
        <v>0</v>
      </c>
      <c r="W111" s="24">
        <v>0</v>
      </c>
      <c r="X111" s="24">
        <v>0</v>
      </c>
      <c r="Y111" s="24">
        <v>3</v>
      </c>
      <c r="Z111" s="24">
        <v>2.8</v>
      </c>
      <c r="AA111" s="24">
        <v>3</v>
      </c>
      <c r="AB111" s="24">
        <v>3</v>
      </c>
      <c r="AC111" s="24">
        <v>3</v>
      </c>
      <c r="AD111" s="24">
        <v>0</v>
      </c>
      <c r="AE111" s="24">
        <v>-0.2</v>
      </c>
      <c r="AF111" s="24">
        <v>0</v>
      </c>
      <c r="AG111" s="24">
        <v>0</v>
      </c>
      <c r="AH111" s="24">
        <v>0</v>
      </c>
      <c r="AI111" s="16" t="s"/>
      <c r="AJ111" s="72">
        <f>=F111*247.95</f>
        <v>285886.35</v>
      </c>
      <c r="AK111" s="72">
        <f>=G111*32.6061</f>
        <v>2054.1843</v>
      </c>
      <c r="AL111" s="72">
        <f>=J111*2.35</f>
        <v>2220.75</v>
      </c>
      <c r="AM111" s="72">
        <f>=H111*15.88</f>
        <v>571.68</v>
      </c>
    </row>
    <row r="112" spans="1:39">
      <c r="A112" s="24" t="s">
        <v>1379</v>
      </c>
      <c r="B112" s="24" t="s">
        <v>1380</v>
      </c>
      <c r="C112" s="24" t="s">
        <v>1381</v>
      </c>
      <c r="D112" s="24">
        <v>900011298</v>
      </c>
      <c r="E112" s="24">
        <v>11298</v>
      </c>
      <c r="F112" s="24">
        <v>1153</v>
      </c>
      <c r="G112" s="24">
        <v>63</v>
      </c>
      <c r="H112" s="24">
        <v>36</v>
      </c>
      <c r="I112" s="25">
        <v>0.5</v>
      </c>
      <c r="J112" s="24">
        <v>945</v>
      </c>
      <c r="K112" s="24" t="b">
        <v>0</v>
      </c>
      <c r="L112" s="25">
        <v>0</v>
      </c>
      <c r="M112" s="47">
        <v>0</v>
      </c>
      <c r="N112" s="25">
        <v>0.1538</v>
      </c>
      <c r="O112" s="47">
        <v>6.501951</v>
      </c>
      <c r="P112" s="25">
        <v>0.5</v>
      </c>
      <c r="Q112" s="24">
        <v>1</v>
      </c>
      <c r="R112" s="24">
        <v>99</v>
      </c>
      <c r="S112" s="25">
        <v>0</v>
      </c>
      <c r="T112" s="24">
        <v>0</v>
      </c>
      <c r="U112" s="24">
        <v>-0.2</v>
      </c>
      <c r="V112" s="24">
        <v>0</v>
      </c>
      <c r="W112" s="24">
        <v>0</v>
      </c>
      <c r="X112" s="24">
        <v>0</v>
      </c>
      <c r="Y112" s="24">
        <v>3</v>
      </c>
      <c r="Z112" s="24">
        <v>2.8</v>
      </c>
      <c r="AA112" s="24">
        <v>3</v>
      </c>
      <c r="AB112" s="24">
        <v>3</v>
      </c>
      <c r="AC112" s="24">
        <v>3</v>
      </c>
      <c r="AD112" s="24">
        <v>0</v>
      </c>
      <c r="AE112" s="24">
        <v>-0.2</v>
      </c>
      <c r="AF112" s="24">
        <v>0</v>
      </c>
      <c r="AG112" s="24">
        <v>0</v>
      </c>
      <c r="AH112" s="24">
        <v>0</v>
      </c>
      <c r="AI112" s="16" t="s"/>
      <c r="AJ112" s="72">
        <f>=F112*247.95</f>
        <v>285886.35</v>
      </c>
      <c r="AK112" s="72">
        <f>=G112*32.6061</f>
        <v>2054.1843</v>
      </c>
      <c r="AL112" s="72">
        <f>=J112*2.35</f>
        <v>2220.75</v>
      </c>
      <c r="AM112" s="72">
        <f>=H112*15.88</f>
        <v>571.68</v>
      </c>
    </row>
    <row r="113" spans="1:39">
      <c r="A113" s="24" t="s">
        <v>1386</v>
      </c>
      <c r="B113" s="24" t="s">
        <v>1387</v>
      </c>
      <c r="C113" s="24" t="s">
        <v>1388</v>
      </c>
      <c r="D113" s="24">
        <v>900011301</v>
      </c>
      <c r="E113" s="24">
        <v>11301</v>
      </c>
      <c r="F113" s="24">
        <v>19988</v>
      </c>
      <c r="G113" s="24">
        <v>120</v>
      </c>
      <c r="H113" s="24">
        <v>60</v>
      </c>
      <c r="I113" s="25">
        <v>0.5</v>
      </c>
      <c r="J113" s="24">
        <v>5947</v>
      </c>
      <c r="K113" s="24" t="b">
        <v>1</v>
      </c>
      <c r="L113" s="25">
        <v>0</v>
      </c>
      <c r="M113" s="47">
        <v>0</v>
      </c>
      <c r="N113" s="25">
        <v>0.0833</v>
      </c>
      <c r="O113" s="47">
        <v>12.0048</v>
      </c>
      <c r="P113" s="25">
        <v>0.5</v>
      </c>
      <c r="Q113" s="24">
        <v>3</v>
      </c>
      <c r="R113" s="24">
        <v>99</v>
      </c>
      <c r="S113" s="25">
        <v>0.75</v>
      </c>
      <c r="T113" s="24">
        <v>0</v>
      </c>
      <c r="U113" s="24">
        <v>0</v>
      </c>
      <c r="V113" s="24">
        <v>-0.2</v>
      </c>
      <c r="W113" s="24">
        <v>0.2</v>
      </c>
      <c r="X113" s="24">
        <v>0</v>
      </c>
      <c r="Y113" s="24">
        <v>0</v>
      </c>
      <c r="Z113" s="24">
        <v>0</v>
      </c>
      <c r="AA113" s="24">
        <v>-0.2</v>
      </c>
      <c r="AB113" s="24">
        <v>0.2</v>
      </c>
      <c r="AC113" s="24">
        <v>0</v>
      </c>
      <c r="AD113" s="24">
        <v>0</v>
      </c>
      <c r="AE113" s="24">
        <v>0</v>
      </c>
      <c r="AF113" s="24">
        <v>-0.2</v>
      </c>
      <c r="AG113" s="24">
        <v>0.2</v>
      </c>
      <c r="AH113" s="24">
        <v>0</v>
      </c>
      <c r="AI113" s="16">
        <v>5</v>
      </c>
      <c r="AJ113" s="72">
        <f>=F113*247.95</f>
        <v>4956024.6</v>
      </c>
      <c r="AK113" s="72">
        <f>=G113*32.6061</f>
        <v>3912.732</v>
      </c>
      <c r="AL113" s="72">
        <f>=J113*2.35</f>
        <v>13975.45</v>
      </c>
      <c r="AM113" s="72">
        <f>=H113*15.88</f>
        <v>952.8</v>
      </c>
    </row>
    <row r="114" spans="1:39">
      <c r="A114" s="24" t="s">
        <v>1390</v>
      </c>
      <c r="B114" s="24" t="s">
        <v>1391</v>
      </c>
      <c r="C114" s="24" t="s">
        <v>1392</v>
      </c>
      <c r="D114" s="24">
        <v>900011302</v>
      </c>
      <c r="E114" s="24">
        <v>11302</v>
      </c>
      <c r="F114" s="24">
        <v>19988</v>
      </c>
      <c r="G114" s="24">
        <v>120</v>
      </c>
      <c r="H114" s="24">
        <v>60</v>
      </c>
      <c r="I114" s="25">
        <v>0.5</v>
      </c>
      <c r="J114" s="24">
        <v>5947</v>
      </c>
      <c r="K114" s="24" t="b">
        <v>1</v>
      </c>
      <c r="L114" s="25">
        <v>0</v>
      </c>
      <c r="M114" s="47">
        <v>0</v>
      </c>
      <c r="N114" s="25">
        <v>0.0833</v>
      </c>
      <c r="O114" s="47">
        <v>12.0048</v>
      </c>
      <c r="P114" s="25">
        <v>0.5</v>
      </c>
      <c r="Q114" s="24">
        <v>3</v>
      </c>
      <c r="R114" s="24">
        <v>99</v>
      </c>
      <c r="S114" s="25">
        <v>0.75</v>
      </c>
      <c r="T114" s="24">
        <v>0</v>
      </c>
      <c r="U114" s="24">
        <v>-0.2</v>
      </c>
      <c r="V114" s="24">
        <v>0</v>
      </c>
      <c r="W114" s="24">
        <v>0.2</v>
      </c>
      <c r="X114" s="24">
        <v>0</v>
      </c>
      <c r="Y114" s="24">
        <v>0</v>
      </c>
      <c r="Z114" s="24">
        <v>-0.2</v>
      </c>
      <c r="AA114" s="24">
        <v>0</v>
      </c>
      <c r="AB114" s="24">
        <v>0.2</v>
      </c>
      <c r="AC114" s="24">
        <v>0</v>
      </c>
      <c r="AD114" s="24">
        <v>0</v>
      </c>
      <c r="AE114" s="24">
        <v>-0.2</v>
      </c>
      <c r="AF114" s="24">
        <v>0</v>
      </c>
      <c r="AG114" s="24">
        <v>0.2</v>
      </c>
      <c r="AH114" s="24">
        <v>0</v>
      </c>
      <c r="AI114" s="16">
        <v>5</v>
      </c>
      <c r="AJ114" s="72">
        <f>=F114*247.95</f>
        <v>4956024.6</v>
      </c>
      <c r="AK114" s="72">
        <f>=G114*32.6061</f>
        <v>3912.732</v>
      </c>
      <c r="AL114" s="72">
        <f>=J114*2.35</f>
        <v>13975.45</v>
      </c>
      <c r="AM114" s="72">
        <f>=H114*15.88</f>
        <v>952.8</v>
      </c>
    </row>
    <row r="115" spans="1:39">
      <c r="A115" s="24" t="s">
        <v>1394</v>
      </c>
      <c r="B115" s="24" t="s">
        <v>1395</v>
      </c>
      <c r="C115" s="24" t="s">
        <v>1396</v>
      </c>
      <c r="D115" s="24">
        <v>900011303</v>
      </c>
      <c r="E115" s="24">
        <v>11303</v>
      </c>
      <c r="F115" s="24">
        <v>19988</v>
      </c>
      <c r="G115" s="24">
        <v>120</v>
      </c>
      <c r="H115" s="24">
        <v>60</v>
      </c>
      <c r="I115" s="25">
        <v>0.5</v>
      </c>
      <c r="J115" s="24">
        <v>5947</v>
      </c>
      <c r="K115" s="24" t="b">
        <v>1</v>
      </c>
      <c r="L115" s="25">
        <v>0</v>
      </c>
      <c r="M115" s="47">
        <v>0</v>
      </c>
      <c r="N115" s="25">
        <v>0.0833</v>
      </c>
      <c r="O115" s="47">
        <v>12.0048</v>
      </c>
      <c r="P115" s="25">
        <v>0.5</v>
      </c>
      <c r="Q115" s="24">
        <v>3</v>
      </c>
      <c r="R115" s="24">
        <v>99</v>
      </c>
      <c r="S115" s="25">
        <v>0.75</v>
      </c>
      <c r="T115" s="24">
        <v>0</v>
      </c>
      <c r="U115" s="24">
        <v>0</v>
      </c>
      <c r="V115" s="24">
        <v>0</v>
      </c>
      <c r="W115" s="24">
        <v>0.2</v>
      </c>
      <c r="X115" s="24">
        <v>-0.2</v>
      </c>
      <c r="Y115" s="24">
        <v>0</v>
      </c>
      <c r="Z115" s="24">
        <v>0</v>
      </c>
      <c r="AA115" s="24">
        <v>0</v>
      </c>
      <c r="AB115" s="24">
        <v>0.2</v>
      </c>
      <c r="AC115" s="24">
        <v>-0.2</v>
      </c>
      <c r="AD115" s="24">
        <v>0</v>
      </c>
      <c r="AE115" s="24">
        <v>0</v>
      </c>
      <c r="AF115" s="24">
        <v>0</v>
      </c>
      <c r="AG115" s="24">
        <v>0.2</v>
      </c>
      <c r="AH115" s="24">
        <v>-0.2</v>
      </c>
      <c r="AI115" s="16">
        <v>5</v>
      </c>
      <c r="AJ115" s="72">
        <f>=F115*247.95</f>
        <v>4956024.6</v>
      </c>
      <c r="AK115" s="72">
        <f>=G115*32.6061</f>
        <v>3912.732</v>
      </c>
      <c r="AL115" s="72">
        <f>=J115*2.35</f>
        <v>13975.45</v>
      </c>
      <c r="AM115" s="72">
        <f>=H115*15.88</f>
        <v>952.8</v>
      </c>
    </row>
    <row r="116" spans="1:39">
      <c r="A116" s="24" t="s">
        <v>1398</v>
      </c>
      <c r="B116" s="24" t="s">
        <v>1399</v>
      </c>
      <c r="C116" s="24" t="s">
        <v>1400</v>
      </c>
      <c r="D116" s="24">
        <v>900011311</v>
      </c>
      <c r="E116" s="24">
        <v>11311</v>
      </c>
      <c r="F116" s="24">
        <v>1123</v>
      </c>
      <c r="G116" s="24">
        <v>63</v>
      </c>
      <c r="H116" s="24">
        <v>40</v>
      </c>
      <c r="I116" s="25">
        <v>0.5</v>
      </c>
      <c r="J116" s="24">
        <v>600</v>
      </c>
      <c r="K116" s="24" t="b">
        <v>1</v>
      </c>
      <c r="L116" s="25">
        <v>0</v>
      </c>
      <c r="M116" s="47">
        <v>0</v>
      </c>
      <c r="N116" s="25">
        <v>0.1538</v>
      </c>
      <c r="O116" s="47">
        <v>6.501951</v>
      </c>
      <c r="P116" s="25">
        <v>0.5</v>
      </c>
      <c r="Q116" s="24">
        <v>1</v>
      </c>
      <c r="R116" s="24">
        <v>1</v>
      </c>
      <c r="S116" s="25">
        <v>0</v>
      </c>
      <c r="T116" s="24">
        <v>0</v>
      </c>
      <c r="U116" s="24">
        <v>-0.2</v>
      </c>
      <c r="V116" s="24">
        <v>0</v>
      </c>
      <c r="W116" s="24">
        <v>-0.2</v>
      </c>
      <c r="X116" s="24">
        <v>0</v>
      </c>
      <c r="Y116" s="24">
        <v>0</v>
      </c>
      <c r="Z116" s="24">
        <v>-0.2</v>
      </c>
      <c r="AA116" s="24">
        <v>0</v>
      </c>
      <c r="AB116" s="24">
        <v>-0.2</v>
      </c>
      <c r="AC116" s="24">
        <v>0</v>
      </c>
      <c r="AD116" s="24">
        <v>0</v>
      </c>
      <c r="AE116" s="24">
        <v>-0.2</v>
      </c>
      <c r="AF116" s="24">
        <v>0</v>
      </c>
      <c r="AG116" s="24">
        <v>-0.2</v>
      </c>
      <c r="AH116" s="24">
        <v>0</v>
      </c>
      <c r="AI116" s="16" t="s"/>
      <c r="AJ116" s="72">
        <f>=F116*247.95</f>
        <v>278447.85</v>
      </c>
      <c r="AK116" s="72">
        <f>=G116*32.6061</f>
        <v>2054.1843</v>
      </c>
      <c r="AL116" s="72">
        <f>=J116*2.35</f>
        <v>1410</v>
      </c>
      <c r="AM116" s="72">
        <f>=H116*15.88</f>
        <v>635.2</v>
      </c>
    </row>
    <row r="117" spans="1:39">
      <c r="A117" s="24" t="s">
        <v>1398</v>
      </c>
      <c r="B117" s="24" t="s">
        <v>1399</v>
      </c>
      <c r="C117" s="24" t="s">
        <v>1400</v>
      </c>
      <c r="D117" s="24">
        <v>900011312</v>
      </c>
      <c r="E117" s="24">
        <v>11312</v>
      </c>
      <c r="F117" s="24">
        <v>1373</v>
      </c>
      <c r="G117" s="24">
        <v>63</v>
      </c>
      <c r="H117" s="24">
        <v>40</v>
      </c>
      <c r="I117" s="25">
        <v>0.5</v>
      </c>
      <c r="J117" s="24">
        <v>900</v>
      </c>
      <c r="K117" s="24" t="b">
        <v>1</v>
      </c>
      <c r="L117" s="25">
        <v>0</v>
      </c>
      <c r="M117" s="47">
        <v>0</v>
      </c>
      <c r="N117" s="25">
        <v>0.1538</v>
      </c>
      <c r="O117" s="47">
        <v>6.501951</v>
      </c>
      <c r="P117" s="25">
        <v>0.5</v>
      </c>
      <c r="Q117" s="24">
        <v>1</v>
      </c>
      <c r="R117" s="24">
        <v>1</v>
      </c>
      <c r="S117" s="25">
        <v>0</v>
      </c>
      <c r="T117" s="24">
        <v>0</v>
      </c>
      <c r="U117" s="24">
        <v>-0.2</v>
      </c>
      <c r="V117" s="24">
        <v>0</v>
      </c>
      <c r="W117" s="24">
        <v>-0.2</v>
      </c>
      <c r="X117" s="24">
        <v>0</v>
      </c>
      <c r="Y117" s="24">
        <v>0</v>
      </c>
      <c r="Z117" s="24">
        <v>-0.2</v>
      </c>
      <c r="AA117" s="24">
        <v>0</v>
      </c>
      <c r="AB117" s="24">
        <v>-0.2</v>
      </c>
      <c r="AC117" s="24">
        <v>0</v>
      </c>
      <c r="AD117" s="24">
        <v>0</v>
      </c>
      <c r="AE117" s="24">
        <v>-0.2</v>
      </c>
      <c r="AF117" s="24">
        <v>0</v>
      </c>
      <c r="AG117" s="24">
        <v>-0.2</v>
      </c>
      <c r="AH117" s="24">
        <v>0</v>
      </c>
      <c r="AI117" s="16" t="s"/>
      <c r="AJ117" s="72">
        <f>=F117*247.95</f>
        <v>340435.35</v>
      </c>
      <c r="AK117" s="72">
        <f>=G117*32.6061</f>
        <v>2054.1843</v>
      </c>
      <c r="AL117" s="72">
        <f>=J117*2.35</f>
        <v>2115</v>
      </c>
      <c r="AM117" s="72">
        <f>=H117*15.88</f>
        <v>635.2</v>
      </c>
    </row>
    <row r="118" spans="1:39">
      <c r="A118" s="24" t="s">
        <v>1403</v>
      </c>
      <c r="B118" s="24" t="s">
        <v>1404</v>
      </c>
      <c r="C118" s="24" t="s">
        <v>1405</v>
      </c>
      <c r="D118" s="24">
        <v>900011313</v>
      </c>
      <c r="E118" s="24">
        <v>11313</v>
      </c>
      <c r="F118" s="24">
        <v>1123</v>
      </c>
      <c r="G118" s="24">
        <v>63</v>
      </c>
      <c r="H118" s="24">
        <v>40</v>
      </c>
      <c r="I118" s="25">
        <v>0.5</v>
      </c>
      <c r="J118" s="24">
        <v>600</v>
      </c>
      <c r="K118" s="24" t="b">
        <v>1</v>
      </c>
      <c r="L118" s="25">
        <v>0</v>
      </c>
      <c r="M118" s="47">
        <v>0</v>
      </c>
      <c r="N118" s="25">
        <v>0.1538</v>
      </c>
      <c r="O118" s="47">
        <v>6.501951</v>
      </c>
      <c r="P118" s="25">
        <v>0.5</v>
      </c>
      <c r="Q118" s="24">
        <v>1</v>
      </c>
      <c r="R118" s="24">
        <v>1</v>
      </c>
      <c r="S118" s="25">
        <v>0</v>
      </c>
      <c r="T118" s="24">
        <v>-0.2</v>
      </c>
      <c r="U118" s="24">
        <v>0</v>
      </c>
      <c r="V118" s="24">
        <v>0</v>
      </c>
      <c r="W118" s="24">
        <v>-0.2</v>
      </c>
      <c r="X118" s="24">
        <v>0</v>
      </c>
      <c r="Y118" s="24">
        <v>-0.2</v>
      </c>
      <c r="Z118" s="24">
        <v>0</v>
      </c>
      <c r="AA118" s="24">
        <v>0</v>
      </c>
      <c r="AB118" s="24">
        <v>-0.2</v>
      </c>
      <c r="AC118" s="24">
        <v>0</v>
      </c>
      <c r="AD118" s="24">
        <v>-0.2</v>
      </c>
      <c r="AE118" s="24">
        <v>0</v>
      </c>
      <c r="AF118" s="24">
        <v>0</v>
      </c>
      <c r="AG118" s="24">
        <v>-0.2</v>
      </c>
      <c r="AH118" s="24">
        <v>0</v>
      </c>
      <c r="AI118" s="16" t="s"/>
      <c r="AJ118" s="72">
        <f>=F118*247.95</f>
        <v>278447.85</v>
      </c>
      <c r="AK118" s="72">
        <f>=G118*32.6061</f>
        <v>2054.1843</v>
      </c>
      <c r="AL118" s="72">
        <f>=J118*2.35</f>
        <v>1410</v>
      </c>
      <c r="AM118" s="72">
        <f>=H118*15.88</f>
        <v>635.2</v>
      </c>
    </row>
    <row r="119" spans="1:39">
      <c r="A119" s="24" t="s">
        <v>1403</v>
      </c>
      <c r="B119" s="24" t="s">
        <v>1404</v>
      </c>
      <c r="C119" s="24" t="s">
        <v>1405</v>
      </c>
      <c r="D119" s="24">
        <v>900011314</v>
      </c>
      <c r="E119" s="24">
        <v>11314</v>
      </c>
      <c r="F119" s="24">
        <v>1373</v>
      </c>
      <c r="G119" s="24">
        <v>63</v>
      </c>
      <c r="H119" s="24">
        <v>40</v>
      </c>
      <c r="I119" s="25">
        <v>0.5</v>
      </c>
      <c r="J119" s="24">
        <v>900</v>
      </c>
      <c r="K119" s="24" t="b">
        <v>1</v>
      </c>
      <c r="L119" s="25">
        <v>0</v>
      </c>
      <c r="M119" s="47">
        <v>0</v>
      </c>
      <c r="N119" s="25">
        <v>0.1538</v>
      </c>
      <c r="O119" s="47">
        <v>6.501951</v>
      </c>
      <c r="P119" s="25">
        <v>0.5</v>
      </c>
      <c r="Q119" s="24">
        <v>1</v>
      </c>
      <c r="R119" s="24">
        <v>1</v>
      </c>
      <c r="S119" s="25">
        <v>0</v>
      </c>
      <c r="T119" s="24">
        <v>-0.2</v>
      </c>
      <c r="U119" s="24">
        <v>0</v>
      </c>
      <c r="V119" s="24">
        <v>0</v>
      </c>
      <c r="W119" s="24">
        <v>-0.2</v>
      </c>
      <c r="X119" s="24">
        <v>0</v>
      </c>
      <c r="Y119" s="24">
        <v>-0.2</v>
      </c>
      <c r="Z119" s="24">
        <v>0</v>
      </c>
      <c r="AA119" s="24">
        <v>0</v>
      </c>
      <c r="AB119" s="24">
        <v>-0.2</v>
      </c>
      <c r="AC119" s="24">
        <v>0</v>
      </c>
      <c r="AD119" s="24">
        <v>-0.2</v>
      </c>
      <c r="AE119" s="24">
        <v>0</v>
      </c>
      <c r="AF119" s="24">
        <v>0</v>
      </c>
      <c r="AG119" s="24">
        <v>-0.2</v>
      </c>
      <c r="AH119" s="24">
        <v>0</v>
      </c>
      <c r="AI119" s="16" t="s"/>
      <c r="AJ119" s="72">
        <f>=F119*247.95</f>
        <v>340435.35</v>
      </c>
      <c r="AK119" s="72">
        <f>=G119*32.6061</f>
        <v>2054.1843</v>
      </c>
      <c r="AL119" s="72">
        <f>=J119*2.35</f>
        <v>2115</v>
      </c>
      <c r="AM119" s="72">
        <f>=H119*15.88</f>
        <v>635.2</v>
      </c>
    </row>
    <row r="120" spans="1:39">
      <c r="A120" s="24" t="s">
        <v>1409</v>
      </c>
      <c r="B120" s="24" t="s">
        <v>1410</v>
      </c>
      <c r="C120" s="24" t="s">
        <v>1411</v>
      </c>
      <c r="D120" s="24">
        <v>900011321</v>
      </c>
      <c r="E120" s="24">
        <v>11321</v>
      </c>
      <c r="F120" s="24">
        <v>1123</v>
      </c>
      <c r="G120" s="24">
        <v>54</v>
      </c>
      <c r="H120" s="24">
        <v>40</v>
      </c>
      <c r="I120" s="25">
        <v>0.5</v>
      </c>
      <c r="J120" s="24">
        <v>600</v>
      </c>
      <c r="K120" s="24" t="b">
        <v>1</v>
      </c>
      <c r="L120" s="25">
        <v>0</v>
      </c>
      <c r="M120" s="47">
        <v>0</v>
      </c>
      <c r="N120" s="25">
        <v>0.1538</v>
      </c>
      <c r="O120" s="47">
        <v>6.501951</v>
      </c>
      <c r="P120" s="25">
        <v>0.5</v>
      </c>
      <c r="Q120" s="24">
        <v>1</v>
      </c>
      <c r="R120" s="24">
        <v>1</v>
      </c>
      <c r="S120" s="25">
        <v>0</v>
      </c>
      <c r="T120" s="24">
        <v>0</v>
      </c>
      <c r="U120" s="24">
        <v>-0.2</v>
      </c>
      <c r="V120" s="24">
        <v>0</v>
      </c>
      <c r="W120" s="24">
        <v>-0.2</v>
      </c>
      <c r="X120" s="24">
        <v>0</v>
      </c>
      <c r="Y120" s="24">
        <v>0</v>
      </c>
      <c r="Z120" s="24">
        <v>-0.2</v>
      </c>
      <c r="AA120" s="24">
        <v>0</v>
      </c>
      <c r="AB120" s="24">
        <v>-0.2</v>
      </c>
      <c r="AC120" s="24">
        <v>0</v>
      </c>
      <c r="AD120" s="24">
        <v>0</v>
      </c>
      <c r="AE120" s="24">
        <v>-0.2</v>
      </c>
      <c r="AF120" s="24">
        <v>0</v>
      </c>
      <c r="AG120" s="24">
        <v>-0.2</v>
      </c>
      <c r="AH120" s="24">
        <v>0</v>
      </c>
      <c r="AI120" s="16" t="s"/>
      <c r="AJ120" s="72">
        <f>=F120*247.95</f>
        <v>278447.85</v>
      </c>
      <c r="AK120" s="72">
        <f>=G120*32.6061</f>
        <v>1760.7294</v>
      </c>
      <c r="AL120" s="72">
        <f>=J120*2.35</f>
        <v>1410</v>
      </c>
      <c r="AM120" s="72">
        <f>=H120*15.88</f>
        <v>635.2</v>
      </c>
    </row>
    <row r="121" spans="1:39">
      <c r="A121" s="24" t="s">
        <v>1409</v>
      </c>
      <c r="B121" s="24" t="s">
        <v>1410</v>
      </c>
      <c r="C121" s="24" t="s">
        <v>1411</v>
      </c>
      <c r="D121" s="24">
        <v>900011322</v>
      </c>
      <c r="E121" s="24">
        <v>11322</v>
      </c>
      <c r="F121" s="24">
        <v>1373</v>
      </c>
      <c r="G121" s="24">
        <v>54</v>
      </c>
      <c r="H121" s="24">
        <v>40</v>
      </c>
      <c r="I121" s="25">
        <v>0.5</v>
      </c>
      <c r="J121" s="24">
        <v>900</v>
      </c>
      <c r="K121" s="24" t="b">
        <v>1</v>
      </c>
      <c r="L121" s="25">
        <v>0</v>
      </c>
      <c r="M121" s="47">
        <v>0</v>
      </c>
      <c r="N121" s="25">
        <v>0.1538</v>
      </c>
      <c r="O121" s="47">
        <v>6.501951</v>
      </c>
      <c r="P121" s="25">
        <v>0.5</v>
      </c>
      <c r="Q121" s="24">
        <v>1</v>
      </c>
      <c r="R121" s="24">
        <v>1</v>
      </c>
      <c r="S121" s="25">
        <v>0</v>
      </c>
      <c r="T121" s="24">
        <v>0</v>
      </c>
      <c r="U121" s="24">
        <v>-0.2</v>
      </c>
      <c r="V121" s="24">
        <v>0</v>
      </c>
      <c r="W121" s="24">
        <v>-0.2</v>
      </c>
      <c r="X121" s="24">
        <v>0</v>
      </c>
      <c r="Y121" s="24">
        <v>0</v>
      </c>
      <c r="Z121" s="24">
        <v>-0.2</v>
      </c>
      <c r="AA121" s="24">
        <v>0</v>
      </c>
      <c r="AB121" s="24">
        <v>-0.2</v>
      </c>
      <c r="AC121" s="24">
        <v>0</v>
      </c>
      <c r="AD121" s="24">
        <v>0</v>
      </c>
      <c r="AE121" s="24">
        <v>-0.2</v>
      </c>
      <c r="AF121" s="24">
        <v>0</v>
      </c>
      <c r="AG121" s="24">
        <v>-0.2</v>
      </c>
      <c r="AH121" s="24">
        <v>0</v>
      </c>
      <c r="AI121" s="16" t="s"/>
      <c r="AJ121" s="72">
        <f>=F121*247.95</f>
        <v>340435.35</v>
      </c>
      <c r="AK121" s="72">
        <f>=G121*32.6061</f>
        <v>1760.7294</v>
      </c>
      <c r="AL121" s="72">
        <f>=J121*2.35</f>
        <v>2115</v>
      </c>
      <c r="AM121" s="72">
        <f>=H121*15.88</f>
        <v>635.2</v>
      </c>
    </row>
    <row r="122" spans="1:39">
      <c r="A122" s="24" t="s">
        <v>1412</v>
      </c>
      <c r="B122" s="24" t="s">
        <v>1413</v>
      </c>
      <c r="C122" s="24" t="s">
        <v>1414</v>
      </c>
      <c r="D122" s="24">
        <v>900011323</v>
      </c>
      <c r="E122" s="24">
        <v>11323</v>
      </c>
      <c r="F122" s="24">
        <v>1123</v>
      </c>
      <c r="G122" s="24">
        <v>54</v>
      </c>
      <c r="H122" s="24">
        <v>40</v>
      </c>
      <c r="I122" s="25">
        <v>0.5</v>
      </c>
      <c r="J122" s="24">
        <v>600</v>
      </c>
      <c r="K122" s="24" t="b">
        <v>1</v>
      </c>
      <c r="L122" s="25">
        <v>0</v>
      </c>
      <c r="M122" s="47">
        <v>0</v>
      </c>
      <c r="N122" s="25">
        <v>0.1538</v>
      </c>
      <c r="O122" s="47">
        <v>6.501951</v>
      </c>
      <c r="P122" s="25">
        <v>0.5</v>
      </c>
      <c r="Q122" s="24">
        <v>1</v>
      </c>
      <c r="R122" s="24">
        <v>1</v>
      </c>
      <c r="S122" s="25">
        <v>0</v>
      </c>
      <c r="T122" s="24">
        <v>-0.2</v>
      </c>
      <c r="U122" s="24">
        <v>0</v>
      </c>
      <c r="V122" s="24">
        <v>0</v>
      </c>
      <c r="W122" s="24">
        <v>-0.2</v>
      </c>
      <c r="X122" s="24">
        <v>0</v>
      </c>
      <c r="Y122" s="24">
        <v>-0.2</v>
      </c>
      <c r="Z122" s="24">
        <v>0</v>
      </c>
      <c r="AA122" s="24">
        <v>0</v>
      </c>
      <c r="AB122" s="24">
        <v>-0.2</v>
      </c>
      <c r="AC122" s="24">
        <v>0</v>
      </c>
      <c r="AD122" s="24">
        <v>-0.2</v>
      </c>
      <c r="AE122" s="24">
        <v>0</v>
      </c>
      <c r="AF122" s="24">
        <v>0</v>
      </c>
      <c r="AG122" s="24">
        <v>-0.2</v>
      </c>
      <c r="AH122" s="24">
        <v>0</v>
      </c>
      <c r="AI122" s="16" t="s"/>
      <c r="AJ122" s="72">
        <f>=F122*247.95</f>
        <v>278447.85</v>
      </c>
      <c r="AK122" s="72">
        <f>=G122*32.6061</f>
        <v>1760.7294</v>
      </c>
      <c r="AL122" s="72">
        <f>=J122*2.35</f>
        <v>1410</v>
      </c>
      <c r="AM122" s="72">
        <f>=H122*15.88</f>
        <v>635.2</v>
      </c>
    </row>
    <row r="123" spans="1:39">
      <c r="A123" s="24" t="s">
        <v>1412</v>
      </c>
      <c r="B123" s="24" t="s">
        <v>1413</v>
      </c>
      <c r="C123" s="24" t="s">
        <v>1414</v>
      </c>
      <c r="D123" s="24">
        <v>900011324</v>
      </c>
      <c r="E123" s="24">
        <v>11324</v>
      </c>
      <c r="F123" s="24">
        <v>1373</v>
      </c>
      <c r="G123" s="24">
        <v>54</v>
      </c>
      <c r="H123" s="24">
        <v>40</v>
      </c>
      <c r="I123" s="25">
        <v>0.5</v>
      </c>
      <c r="J123" s="24">
        <v>900</v>
      </c>
      <c r="K123" s="24" t="b">
        <v>1</v>
      </c>
      <c r="L123" s="25">
        <v>0</v>
      </c>
      <c r="M123" s="47">
        <v>0</v>
      </c>
      <c r="N123" s="25">
        <v>0.1538</v>
      </c>
      <c r="O123" s="47">
        <v>6.501951</v>
      </c>
      <c r="P123" s="25">
        <v>0.5</v>
      </c>
      <c r="Q123" s="24">
        <v>1</v>
      </c>
      <c r="R123" s="24">
        <v>1</v>
      </c>
      <c r="S123" s="25">
        <v>0</v>
      </c>
      <c r="T123" s="24">
        <v>-0.2</v>
      </c>
      <c r="U123" s="24">
        <v>0</v>
      </c>
      <c r="V123" s="24">
        <v>0</v>
      </c>
      <c r="W123" s="24">
        <v>-0.2</v>
      </c>
      <c r="X123" s="24">
        <v>0</v>
      </c>
      <c r="Y123" s="24">
        <v>-0.2</v>
      </c>
      <c r="Z123" s="24">
        <v>0</v>
      </c>
      <c r="AA123" s="24">
        <v>0</v>
      </c>
      <c r="AB123" s="24">
        <v>-0.2</v>
      </c>
      <c r="AC123" s="24">
        <v>0</v>
      </c>
      <c r="AD123" s="24">
        <v>-0.2</v>
      </c>
      <c r="AE123" s="24">
        <v>0</v>
      </c>
      <c r="AF123" s="24">
        <v>0</v>
      </c>
      <c r="AG123" s="24">
        <v>-0.2</v>
      </c>
      <c r="AH123" s="24">
        <v>0</v>
      </c>
      <c r="AI123" s="16" t="s"/>
      <c r="AJ123" s="72">
        <f>=F123*247.95</f>
        <v>340435.35</v>
      </c>
      <c r="AK123" s="72">
        <f>=G123*32.6061</f>
        <v>1760.7294</v>
      </c>
      <c r="AL123" s="72">
        <f>=J123*2.35</f>
        <v>2115</v>
      </c>
      <c r="AM123" s="72">
        <f>=H123*15.88</f>
        <v>635.2</v>
      </c>
    </row>
    <row r="124" spans="1:39">
      <c r="A124" s="24" t="s">
        <v>1415</v>
      </c>
      <c r="B124" s="24" t="s">
        <v>1416</v>
      </c>
      <c r="C124" s="24" t="s">
        <v>1417</v>
      </c>
      <c r="D124" s="24">
        <v>900011331</v>
      </c>
      <c r="E124" s="24">
        <v>11331</v>
      </c>
      <c r="F124" s="24">
        <v>1123</v>
      </c>
      <c r="G124" s="24">
        <v>54</v>
      </c>
      <c r="H124" s="24">
        <v>40</v>
      </c>
      <c r="I124" s="25">
        <v>0.5</v>
      </c>
      <c r="J124" s="24">
        <v>600</v>
      </c>
      <c r="K124" s="24" t="b">
        <v>1</v>
      </c>
      <c r="L124" s="25">
        <v>0.05</v>
      </c>
      <c r="M124" s="47">
        <v>0</v>
      </c>
      <c r="N124" s="25">
        <v>0.1538</v>
      </c>
      <c r="O124" s="47">
        <v>6.501951</v>
      </c>
      <c r="P124" s="25">
        <v>0.5</v>
      </c>
      <c r="Q124" s="24">
        <v>1</v>
      </c>
      <c r="R124" s="24">
        <v>1</v>
      </c>
      <c r="S124" s="25">
        <v>0</v>
      </c>
      <c r="T124" s="24">
        <v>0</v>
      </c>
      <c r="U124" s="24">
        <v>-0.2</v>
      </c>
      <c r="V124" s="24">
        <v>0</v>
      </c>
      <c r="W124" s="24">
        <v>-0.2</v>
      </c>
      <c r="X124" s="24">
        <v>0</v>
      </c>
      <c r="Y124" s="24">
        <v>0</v>
      </c>
      <c r="Z124" s="24">
        <v>-0.2</v>
      </c>
      <c r="AA124" s="24">
        <v>0</v>
      </c>
      <c r="AB124" s="24">
        <v>-0.2</v>
      </c>
      <c r="AC124" s="24">
        <v>0</v>
      </c>
      <c r="AD124" s="24">
        <v>0</v>
      </c>
      <c r="AE124" s="24">
        <v>-0.2</v>
      </c>
      <c r="AF124" s="24">
        <v>0</v>
      </c>
      <c r="AG124" s="24">
        <v>-0.2</v>
      </c>
      <c r="AH124" s="24">
        <v>0</v>
      </c>
      <c r="AI124" s="16" t="s"/>
      <c r="AJ124" s="72">
        <f>=F124*247.95</f>
        <v>278447.85</v>
      </c>
      <c r="AK124" s="72">
        <f>=G124*32.6061</f>
        <v>1760.7294</v>
      </c>
      <c r="AL124" s="72">
        <f>=J124*2.35</f>
        <v>1410</v>
      </c>
      <c r="AM124" s="72">
        <f>=H124*15.88</f>
        <v>635.2</v>
      </c>
    </row>
    <row r="125" spans="1:39">
      <c r="A125" s="24" t="s">
        <v>1415</v>
      </c>
      <c r="B125" s="24" t="s">
        <v>1416</v>
      </c>
      <c r="C125" s="24" t="s">
        <v>1417</v>
      </c>
      <c r="D125" s="24">
        <v>900011332</v>
      </c>
      <c r="E125" s="24">
        <v>11332</v>
      </c>
      <c r="F125" s="24">
        <v>1373</v>
      </c>
      <c r="G125" s="24">
        <v>54</v>
      </c>
      <c r="H125" s="24">
        <v>40</v>
      </c>
      <c r="I125" s="25">
        <v>0.5</v>
      </c>
      <c r="J125" s="24">
        <v>900</v>
      </c>
      <c r="K125" s="24" t="b">
        <v>1</v>
      </c>
      <c r="L125" s="25">
        <v>0.05</v>
      </c>
      <c r="M125" s="47">
        <v>0</v>
      </c>
      <c r="N125" s="25">
        <v>0.1538</v>
      </c>
      <c r="O125" s="47">
        <v>6.501951</v>
      </c>
      <c r="P125" s="25">
        <v>0.5</v>
      </c>
      <c r="Q125" s="24">
        <v>1</v>
      </c>
      <c r="R125" s="24">
        <v>1</v>
      </c>
      <c r="S125" s="25">
        <v>0</v>
      </c>
      <c r="T125" s="24">
        <v>0</v>
      </c>
      <c r="U125" s="24">
        <v>-0.2</v>
      </c>
      <c r="V125" s="24">
        <v>0</v>
      </c>
      <c r="W125" s="24">
        <v>-0.2</v>
      </c>
      <c r="X125" s="24">
        <v>0</v>
      </c>
      <c r="Y125" s="24">
        <v>0</v>
      </c>
      <c r="Z125" s="24">
        <v>-0.2</v>
      </c>
      <c r="AA125" s="24">
        <v>0</v>
      </c>
      <c r="AB125" s="24">
        <v>-0.2</v>
      </c>
      <c r="AC125" s="24">
        <v>0</v>
      </c>
      <c r="AD125" s="24">
        <v>0</v>
      </c>
      <c r="AE125" s="24">
        <v>-0.2</v>
      </c>
      <c r="AF125" s="24">
        <v>0</v>
      </c>
      <c r="AG125" s="24">
        <v>-0.2</v>
      </c>
      <c r="AH125" s="24">
        <v>0</v>
      </c>
      <c r="AI125" s="16" t="s"/>
      <c r="AJ125" s="72">
        <f>=F125*247.95</f>
        <v>340435.35</v>
      </c>
      <c r="AK125" s="72">
        <f>=G125*32.6061</f>
        <v>1760.7294</v>
      </c>
      <c r="AL125" s="72">
        <f>=J125*2.35</f>
        <v>2115</v>
      </c>
      <c r="AM125" s="72">
        <f>=H125*15.88</f>
        <v>635.2</v>
      </c>
    </row>
    <row r="126" spans="1:39">
      <c r="A126" s="24" t="s">
        <v>1418</v>
      </c>
      <c r="B126" s="24" t="s">
        <v>1419</v>
      </c>
      <c r="C126" s="24" t="s">
        <v>1420</v>
      </c>
      <c r="D126" s="24">
        <v>900011333</v>
      </c>
      <c r="E126" s="24">
        <v>11333</v>
      </c>
      <c r="F126" s="24">
        <v>1123</v>
      </c>
      <c r="G126" s="24">
        <v>54</v>
      </c>
      <c r="H126" s="24">
        <v>40</v>
      </c>
      <c r="I126" s="25">
        <v>0.5</v>
      </c>
      <c r="J126" s="24">
        <v>600</v>
      </c>
      <c r="K126" s="24" t="b">
        <v>1</v>
      </c>
      <c r="L126" s="25">
        <v>0.05</v>
      </c>
      <c r="M126" s="47">
        <v>0</v>
      </c>
      <c r="N126" s="25">
        <v>0.1538</v>
      </c>
      <c r="O126" s="47">
        <v>6.501951</v>
      </c>
      <c r="P126" s="25">
        <v>0.5</v>
      </c>
      <c r="Q126" s="24">
        <v>1</v>
      </c>
      <c r="R126" s="24">
        <v>1</v>
      </c>
      <c r="S126" s="25">
        <v>0</v>
      </c>
      <c r="T126" s="24">
        <v>-0.2</v>
      </c>
      <c r="U126" s="24">
        <v>0</v>
      </c>
      <c r="V126" s="24">
        <v>0</v>
      </c>
      <c r="W126" s="24">
        <v>-0.2</v>
      </c>
      <c r="X126" s="24">
        <v>0</v>
      </c>
      <c r="Y126" s="24">
        <v>-0.2</v>
      </c>
      <c r="Z126" s="24">
        <v>0</v>
      </c>
      <c r="AA126" s="24">
        <v>0</v>
      </c>
      <c r="AB126" s="24">
        <v>-0.2</v>
      </c>
      <c r="AC126" s="24">
        <v>0</v>
      </c>
      <c r="AD126" s="24">
        <v>-0.2</v>
      </c>
      <c r="AE126" s="24">
        <v>0</v>
      </c>
      <c r="AF126" s="24">
        <v>0</v>
      </c>
      <c r="AG126" s="24">
        <v>-0.2</v>
      </c>
      <c r="AH126" s="24">
        <v>0</v>
      </c>
      <c r="AI126" s="16" t="s"/>
      <c r="AJ126" s="72">
        <f>=F126*247.95</f>
        <v>278447.85</v>
      </c>
      <c r="AK126" s="72">
        <f>=G126*32.6061</f>
        <v>1760.7294</v>
      </c>
      <c r="AL126" s="72">
        <f>=J126*2.35</f>
        <v>1410</v>
      </c>
      <c r="AM126" s="72">
        <f>=H126*15.88</f>
        <v>635.2</v>
      </c>
    </row>
    <row r="127" spans="1:39">
      <c r="A127" s="24" t="s">
        <v>1418</v>
      </c>
      <c r="B127" s="24" t="s">
        <v>1419</v>
      </c>
      <c r="C127" s="24" t="s">
        <v>1420</v>
      </c>
      <c r="D127" s="24">
        <v>900011334</v>
      </c>
      <c r="E127" s="24">
        <v>11334</v>
      </c>
      <c r="F127" s="24">
        <v>1373</v>
      </c>
      <c r="G127" s="24">
        <v>54</v>
      </c>
      <c r="H127" s="24">
        <v>40</v>
      </c>
      <c r="I127" s="25">
        <v>0.5</v>
      </c>
      <c r="J127" s="24">
        <v>900</v>
      </c>
      <c r="K127" s="24" t="b">
        <v>1</v>
      </c>
      <c r="L127" s="25">
        <v>0.05</v>
      </c>
      <c r="M127" s="47">
        <v>0</v>
      </c>
      <c r="N127" s="25">
        <v>0.1538</v>
      </c>
      <c r="O127" s="47">
        <v>6.501951</v>
      </c>
      <c r="P127" s="25">
        <v>0.5</v>
      </c>
      <c r="Q127" s="24">
        <v>1</v>
      </c>
      <c r="R127" s="24">
        <v>1</v>
      </c>
      <c r="S127" s="25">
        <v>0</v>
      </c>
      <c r="T127" s="24">
        <v>-0.2</v>
      </c>
      <c r="U127" s="24">
        <v>0</v>
      </c>
      <c r="V127" s="24">
        <v>0</v>
      </c>
      <c r="W127" s="24">
        <v>-0.2</v>
      </c>
      <c r="X127" s="24">
        <v>0</v>
      </c>
      <c r="Y127" s="24">
        <v>-0.2</v>
      </c>
      <c r="Z127" s="24">
        <v>0</v>
      </c>
      <c r="AA127" s="24">
        <v>0</v>
      </c>
      <c r="AB127" s="24">
        <v>-0.2</v>
      </c>
      <c r="AC127" s="24">
        <v>0</v>
      </c>
      <c r="AD127" s="24">
        <v>-0.2</v>
      </c>
      <c r="AE127" s="24">
        <v>0</v>
      </c>
      <c r="AF127" s="24">
        <v>0</v>
      </c>
      <c r="AG127" s="24">
        <v>-0.2</v>
      </c>
      <c r="AH127" s="24">
        <v>0</v>
      </c>
      <c r="AI127" s="16" t="s"/>
      <c r="AJ127" s="72">
        <f>=F127*247.95</f>
        <v>340435.35</v>
      </c>
      <c r="AK127" s="72">
        <f>=G127*32.6061</f>
        <v>1760.7294</v>
      </c>
      <c r="AL127" s="72">
        <f>=J127*2.35</f>
        <v>2115</v>
      </c>
      <c r="AM127" s="72">
        <f>=H127*15.88</f>
        <v>635.2</v>
      </c>
    </row>
    <row r="128" spans="1:39">
      <c r="A128" s="24" t="s">
        <v>1421</v>
      </c>
      <c r="B128" s="24" t="s">
        <v>1422</v>
      </c>
      <c r="C128" s="24" t="s">
        <v>1423</v>
      </c>
      <c r="D128" s="24">
        <v>900011341</v>
      </c>
      <c r="E128" s="24">
        <v>11341</v>
      </c>
      <c r="F128" s="24">
        <v>1240</v>
      </c>
      <c r="G128" s="24">
        <v>63</v>
      </c>
      <c r="H128" s="24">
        <v>40</v>
      </c>
      <c r="I128" s="25">
        <v>0.5</v>
      </c>
      <c r="J128" s="24">
        <v>600</v>
      </c>
      <c r="K128" s="24" t="b">
        <v>1</v>
      </c>
      <c r="L128" s="25">
        <v>0</v>
      </c>
      <c r="M128" s="47">
        <v>0</v>
      </c>
      <c r="N128" s="25">
        <v>0.5</v>
      </c>
      <c r="O128" s="47">
        <v>2</v>
      </c>
      <c r="P128" s="25">
        <v>1</v>
      </c>
      <c r="Q128" s="24">
        <v>1</v>
      </c>
      <c r="R128" s="24">
        <v>1</v>
      </c>
      <c r="S128" s="25">
        <v>0</v>
      </c>
      <c r="T128" s="24">
        <v>0</v>
      </c>
      <c r="U128" s="24">
        <v>-0.2</v>
      </c>
      <c r="V128" s="24">
        <v>0</v>
      </c>
      <c r="W128" s="24">
        <v>-0.2</v>
      </c>
      <c r="X128" s="24">
        <v>0</v>
      </c>
      <c r="Y128" s="24">
        <v>0</v>
      </c>
      <c r="Z128" s="24">
        <v>-0.2</v>
      </c>
      <c r="AA128" s="24">
        <v>0</v>
      </c>
      <c r="AB128" s="24">
        <v>-0.2</v>
      </c>
      <c r="AC128" s="24">
        <v>0</v>
      </c>
      <c r="AD128" s="24">
        <v>0</v>
      </c>
      <c r="AE128" s="24">
        <v>-0.2</v>
      </c>
      <c r="AF128" s="24">
        <v>0</v>
      </c>
      <c r="AG128" s="24">
        <v>-0.2</v>
      </c>
      <c r="AH128" s="24">
        <v>0</v>
      </c>
      <c r="AI128" s="16" t="s"/>
      <c r="AJ128" s="72">
        <f>=F128*247.95</f>
        <v>307458</v>
      </c>
      <c r="AK128" s="72">
        <f>=G128*32.6061</f>
        <v>2054.1843</v>
      </c>
      <c r="AL128" s="72">
        <f>=J128*2.35</f>
        <v>1410</v>
      </c>
      <c r="AM128" s="72">
        <f>=H128*15.88</f>
        <v>635.2</v>
      </c>
    </row>
    <row r="129" spans="1:39">
      <c r="A129" s="24" t="s">
        <v>1421</v>
      </c>
      <c r="B129" s="24" t="s">
        <v>1422</v>
      </c>
      <c r="C129" s="24" t="s">
        <v>1423</v>
      </c>
      <c r="D129" s="24">
        <v>900011342</v>
      </c>
      <c r="E129" s="24">
        <v>11342</v>
      </c>
      <c r="F129" s="24">
        <v>1615</v>
      </c>
      <c r="G129" s="24">
        <v>63</v>
      </c>
      <c r="H129" s="24">
        <v>40</v>
      </c>
      <c r="I129" s="25">
        <v>0.5</v>
      </c>
      <c r="J129" s="24">
        <v>900</v>
      </c>
      <c r="K129" s="24" t="b">
        <v>1</v>
      </c>
      <c r="L129" s="25">
        <v>0</v>
      </c>
      <c r="M129" s="47">
        <v>0</v>
      </c>
      <c r="N129" s="25">
        <v>0.5</v>
      </c>
      <c r="O129" s="47">
        <v>2</v>
      </c>
      <c r="P129" s="25">
        <v>1</v>
      </c>
      <c r="Q129" s="24">
        <v>1</v>
      </c>
      <c r="R129" s="24">
        <v>1</v>
      </c>
      <c r="S129" s="25">
        <v>0</v>
      </c>
      <c r="T129" s="24">
        <v>0</v>
      </c>
      <c r="U129" s="24">
        <v>-0.2</v>
      </c>
      <c r="V129" s="24">
        <v>0</v>
      </c>
      <c r="W129" s="24">
        <v>-0.2</v>
      </c>
      <c r="X129" s="24">
        <v>0</v>
      </c>
      <c r="Y129" s="24">
        <v>0</v>
      </c>
      <c r="Z129" s="24">
        <v>-0.2</v>
      </c>
      <c r="AA129" s="24">
        <v>0</v>
      </c>
      <c r="AB129" s="24">
        <v>-0.2</v>
      </c>
      <c r="AC129" s="24">
        <v>0</v>
      </c>
      <c r="AD129" s="24">
        <v>0</v>
      </c>
      <c r="AE129" s="24">
        <v>-0.2</v>
      </c>
      <c r="AF129" s="24">
        <v>0</v>
      </c>
      <c r="AG129" s="24">
        <v>-0.2</v>
      </c>
      <c r="AH129" s="24">
        <v>0</v>
      </c>
      <c r="AI129" s="16" t="s"/>
      <c r="AJ129" s="72">
        <f>=F129*247.95</f>
        <v>400439.25</v>
      </c>
      <c r="AK129" s="72">
        <f>=G129*32.6061</f>
        <v>2054.1843</v>
      </c>
      <c r="AL129" s="72">
        <f>=J129*2.35</f>
        <v>2115</v>
      </c>
      <c r="AM129" s="72">
        <f>=H129*15.88</f>
        <v>635.2</v>
      </c>
    </row>
    <row r="130" spans="1:39">
      <c r="A130" s="24" t="s">
        <v>1424</v>
      </c>
      <c r="B130" s="24" t="s">
        <v>1425</v>
      </c>
      <c r="C130" s="24" t="s">
        <v>1426</v>
      </c>
      <c r="D130" s="24">
        <v>900011343</v>
      </c>
      <c r="E130" s="24">
        <v>11343</v>
      </c>
      <c r="F130" s="24">
        <v>1240</v>
      </c>
      <c r="G130" s="24">
        <v>63</v>
      </c>
      <c r="H130" s="24">
        <v>40</v>
      </c>
      <c r="I130" s="25">
        <v>0.5</v>
      </c>
      <c r="J130" s="24">
        <v>600</v>
      </c>
      <c r="K130" s="24" t="b">
        <v>1</v>
      </c>
      <c r="L130" s="25">
        <v>0</v>
      </c>
      <c r="M130" s="47">
        <v>0</v>
      </c>
      <c r="N130" s="25">
        <v>0.5</v>
      </c>
      <c r="O130" s="47">
        <v>2</v>
      </c>
      <c r="P130" s="25">
        <v>1</v>
      </c>
      <c r="Q130" s="24">
        <v>1</v>
      </c>
      <c r="R130" s="24">
        <v>1</v>
      </c>
      <c r="S130" s="25">
        <v>0</v>
      </c>
      <c r="T130" s="24">
        <v>-0.2</v>
      </c>
      <c r="U130" s="24">
        <v>0</v>
      </c>
      <c r="V130" s="24">
        <v>0</v>
      </c>
      <c r="W130" s="24">
        <v>-0.2</v>
      </c>
      <c r="X130" s="24">
        <v>0</v>
      </c>
      <c r="Y130" s="24">
        <v>-0.2</v>
      </c>
      <c r="Z130" s="24">
        <v>0</v>
      </c>
      <c r="AA130" s="24">
        <v>0</v>
      </c>
      <c r="AB130" s="24">
        <v>-0.2</v>
      </c>
      <c r="AC130" s="24">
        <v>0</v>
      </c>
      <c r="AD130" s="24">
        <v>-0.2</v>
      </c>
      <c r="AE130" s="24">
        <v>0</v>
      </c>
      <c r="AF130" s="24">
        <v>0</v>
      </c>
      <c r="AG130" s="24">
        <v>-0.2</v>
      </c>
      <c r="AH130" s="24">
        <v>0</v>
      </c>
      <c r="AI130" s="16" t="s"/>
      <c r="AJ130" s="72">
        <f>=F130*247.95</f>
        <v>307458</v>
      </c>
      <c r="AK130" s="72">
        <f>=G130*32.6061</f>
        <v>2054.1843</v>
      </c>
      <c r="AL130" s="72">
        <f>=J130*2.35</f>
        <v>1410</v>
      </c>
      <c r="AM130" s="72">
        <f>=H130*15.88</f>
        <v>635.2</v>
      </c>
    </row>
    <row r="131" spans="1:39">
      <c r="A131" s="24" t="s">
        <v>1424</v>
      </c>
      <c r="B131" s="24" t="s">
        <v>1425</v>
      </c>
      <c r="C131" s="24" t="s">
        <v>1426</v>
      </c>
      <c r="D131" s="24">
        <v>900011344</v>
      </c>
      <c r="E131" s="24">
        <v>11344</v>
      </c>
      <c r="F131" s="24">
        <v>1615</v>
      </c>
      <c r="G131" s="24">
        <v>63</v>
      </c>
      <c r="H131" s="24">
        <v>40</v>
      </c>
      <c r="I131" s="25">
        <v>0.5</v>
      </c>
      <c r="J131" s="24">
        <v>900</v>
      </c>
      <c r="K131" s="24" t="b">
        <v>1</v>
      </c>
      <c r="L131" s="25">
        <v>0</v>
      </c>
      <c r="M131" s="47">
        <v>0</v>
      </c>
      <c r="N131" s="25">
        <v>0.5</v>
      </c>
      <c r="O131" s="47">
        <v>2</v>
      </c>
      <c r="P131" s="25">
        <v>1</v>
      </c>
      <c r="Q131" s="24">
        <v>1</v>
      </c>
      <c r="R131" s="24">
        <v>1</v>
      </c>
      <c r="S131" s="25">
        <v>0</v>
      </c>
      <c r="T131" s="24">
        <v>-0.2</v>
      </c>
      <c r="U131" s="24">
        <v>0</v>
      </c>
      <c r="V131" s="24">
        <v>0</v>
      </c>
      <c r="W131" s="24">
        <v>-0.2</v>
      </c>
      <c r="X131" s="24">
        <v>0</v>
      </c>
      <c r="Y131" s="24">
        <v>-0.2</v>
      </c>
      <c r="Z131" s="24">
        <v>0</v>
      </c>
      <c r="AA131" s="24">
        <v>0</v>
      </c>
      <c r="AB131" s="24">
        <v>-0.2</v>
      </c>
      <c r="AC131" s="24">
        <v>0</v>
      </c>
      <c r="AD131" s="24">
        <v>-0.2</v>
      </c>
      <c r="AE131" s="24">
        <v>0</v>
      </c>
      <c r="AF131" s="24">
        <v>0</v>
      </c>
      <c r="AG131" s="24">
        <v>-0.2</v>
      </c>
      <c r="AH131" s="24">
        <v>0</v>
      </c>
      <c r="AI131" s="16" t="s"/>
      <c r="AJ131" s="72">
        <f>=F131*247.95</f>
        <v>400439.25</v>
      </c>
      <c r="AK131" s="72">
        <f>=G131*32.6061</f>
        <v>2054.1843</v>
      </c>
      <c r="AL131" s="72">
        <f>=J131*2.35</f>
        <v>2115</v>
      </c>
      <c r="AM131" s="72">
        <f>=H131*15.88</f>
        <v>635.2</v>
      </c>
    </row>
    <row r="132" spans="1:39">
      <c r="A132" s="24" t="s">
        <v>1427</v>
      </c>
      <c r="B132" s="24" t="s">
        <v>1428</v>
      </c>
      <c r="C132" s="24" t="s">
        <v>1429</v>
      </c>
      <c r="D132" s="24">
        <v>900011351</v>
      </c>
      <c r="E132" s="24">
        <v>11351</v>
      </c>
      <c r="F132" s="24">
        <v>8076</v>
      </c>
      <c r="G132" s="24">
        <v>84</v>
      </c>
      <c r="H132" s="24">
        <v>50</v>
      </c>
      <c r="I132" s="25">
        <v>0.5</v>
      </c>
      <c r="J132" s="24">
        <v>2817</v>
      </c>
      <c r="K132" s="24" t="b">
        <v>1</v>
      </c>
      <c r="L132" s="25">
        <v>0</v>
      </c>
      <c r="M132" s="47">
        <v>0</v>
      </c>
      <c r="N132" s="25">
        <v>0.1</v>
      </c>
      <c r="O132" s="47">
        <v>10</v>
      </c>
      <c r="P132" s="25">
        <v>1</v>
      </c>
      <c r="Q132" s="24">
        <v>2</v>
      </c>
      <c r="R132" s="24">
        <v>3</v>
      </c>
      <c r="S132" s="25">
        <v>0.5</v>
      </c>
      <c r="T132" s="24">
        <v>0.2</v>
      </c>
      <c r="U132" s="24">
        <v>-0.2</v>
      </c>
      <c r="V132" s="24">
        <v>0</v>
      </c>
      <c r="W132" s="24">
        <v>-0.2</v>
      </c>
      <c r="X132" s="24">
        <v>0</v>
      </c>
      <c r="Y132" s="24">
        <v>0.2</v>
      </c>
      <c r="Z132" s="24">
        <v>-0.2</v>
      </c>
      <c r="AA132" s="24">
        <v>0</v>
      </c>
      <c r="AB132" s="24">
        <v>-0.2</v>
      </c>
      <c r="AC132" s="24">
        <v>0</v>
      </c>
      <c r="AD132" s="24">
        <v>0.2</v>
      </c>
      <c r="AE132" s="24">
        <v>-0.2</v>
      </c>
      <c r="AF132" s="24">
        <v>0</v>
      </c>
      <c r="AG132" s="24">
        <v>-0.2</v>
      </c>
      <c r="AH132" s="24">
        <v>0</v>
      </c>
      <c r="AI132" s="16">
        <v>3</v>
      </c>
      <c r="AJ132" s="72">
        <f>=F132*247.95</f>
        <v>2002444.2</v>
      </c>
      <c r="AK132" s="72">
        <f>=G132*32.6061</f>
        <v>2738.9124</v>
      </c>
      <c r="AL132" s="72">
        <f>=J132*2.35</f>
        <v>6619.95</v>
      </c>
      <c r="AM132" s="72">
        <f>=H132*15.88</f>
        <v>794</v>
      </c>
    </row>
    <row r="133" spans="1:39">
      <c r="A133" s="24" t="s">
        <v>1427</v>
      </c>
      <c r="B133" s="24" t="s">
        <v>1428</v>
      </c>
      <c r="C133" s="24" t="s">
        <v>1429</v>
      </c>
      <c r="D133" s="24">
        <v>900011352</v>
      </c>
      <c r="E133" s="24">
        <v>11352</v>
      </c>
      <c r="F133" s="24">
        <v>8318</v>
      </c>
      <c r="G133" s="24">
        <v>96</v>
      </c>
      <c r="H133" s="24">
        <v>50</v>
      </c>
      <c r="I133" s="25">
        <v>0.5</v>
      </c>
      <c r="J133" s="24">
        <v>3266</v>
      </c>
      <c r="K133" s="24" t="b">
        <v>1</v>
      </c>
      <c r="L133" s="25">
        <v>0</v>
      </c>
      <c r="M133" s="47">
        <v>0</v>
      </c>
      <c r="N133" s="25">
        <v>0.1</v>
      </c>
      <c r="O133" s="47">
        <v>10</v>
      </c>
      <c r="P133" s="25">
        <v>1</v>
      </c>
      <c r="Q133" s="24">
        <v>2</v>
      </c>
      <c r="R133" s="24">
        <v>5</v>
      </c>
      <c r="S133" s="25">
        <v>0.5</v>
      </c>
      <c r="T133" s="24">
        <v>0.2</v>
      </c>
      <c r="U133" s="24">
        <v>-0.2</v>
      </c>
      <c r="V133" s="24">
        <v>0</v>
      </c>
      <c r="W133" s="24">
        <v>-0.2</v>
      </c>
      <c r="X133" s="24">
        <v>0</v>
      </c>
      <c r="Y133" s="24">
        <v>0.2</v>
      </c>
      <c r="Z133" s="24">
        <v>-0.2</v>
      </c>
      <c r="AA133" s="24">
        <v>0</v>
      </c>
      <c r="AB133" s="24">
        <v>-0.2</v>
      </c>
      <c r="AC133" s="24">
        <v>0</v>
      </c>
      <c r="AD133" s="24">
        <v>0.2</v>
      </c>
      <c r="AE133" s="24">
        <v>-0.2</v>
      </c>
      <c r="AF133" s="24">
        <v>0</v>
      </c>
      <c r="AG133" s="24">
        <v>-0.2</v>
      </c>
      <c r="AH133" s="24">
        <v>0</v>
      </c>
      <c r="AI133" s="16">
        <v>3</v>
      </c>
      <c r="AJ133" s="72">
        <f>=F133*247.95</f>
        <v>2062448.1</v>
      </c>
      <c r="AK133" s="72">
        <f>=G133*32.6061</f>
        <v>3130.1856</v>
      </c>
      <c r="AL133" s="72">
        <f>=J133*2.35</f>
        <v>7675.1</v>
      </c>
      <c r="AM133" s="72">
        <f>=H133*15.88</f>
        <v>794</v>
      </c>
    </row>
    <row r="134" spans="1:39">
      <c r="A134" s="24" t="s">
        <v>1432</v>
      </c>
      <c r="B134" s="24" t="s">
        <v>1433</v>
      </c>
      <c r="C134" s="24" t="s">
        <v>1434</v>
      </c>
      <c r="D134" s="24">
        <v>900011353</v>
      </c>
      <c r="E134" s="24">
        <v>11353</v>
      </c>
      <c r="F134" s="24">
        <v>19321</v>
      </c>
      <c r="G134" s="24">
        <v>120</v>
      </c>
      <c r="H134" s="24">
        <v>60</v>
      </c>
      <c r="I134" s="25">
        <v>0.5</v>
      </c>
      <c r="J134" s="24">
        <v>4508</v>
      </c>
      <c r="K134" s="24" t="b">
        <v>1</v>
      </c>
      <c r="L134" s="25">
        <v>0</v>
      </c>
      <c r="M134" s="47">
        <v>0</v>
      </c>
      <c r="N134" s="25">
        <v>0.0833</v>
      </c>
      <c r="O134" s="47">
        <v>12.0048</v>
      </c>
      <c r="P134" s="25">
        <v>0.5</v>
      </c>
      <c r="Q134" s="24">
        <v>3</v>
      </c>
      <c r="R134" s="24">
        <v>5</v>
      </c>
      <c r="S134" s="25">
        <v>0.75</v>
      </c>
      <c r="T134" s="24">
        <v>0.2</v>
      </c>
      <c r="U134" s="24">
        <v>-0.2</v>
      </c>
      <c r="V134" s="24">
        <v>0</v>
      </c>
      <c r="W134" s="24">
        <v>-0.2</v>
      </c>
      <c r="X134" s="24">
        <v>0</v>
      </c>
      <c r="Y134" s="24">
        <v>0.2</v>
      </c>
      <c r="Z134" s="24">
        <v>-0.2</v>
      </c>
      <c r="AA134" s="24">
        <v>0</v>
      </c>
      <c r="AB134" s="24">
        <v>-0.2</v>
      </c>
      <c r="AC134" s="24">
        <v>0</v>
      </c>
      <c r="AD134" s="24">
        <v>0.2</v>
      </c>
      <c r="AE134" s="24">
        <v>-0.2</v>
      </c>
      <c r="AF134" s="24">
        <v>0</v>
      </c>
      <c r="AG134" s="24">
        <v>-0.2</v>
      </c>
      <c r="AH134" s="24">
        <v>0</v>
      </c>
      <c r="AI134" s="16">
        <v>5</v>
      </c>
      <c r="AJ134" s="72">
        <f>=F134*247.95</f>
        <v>4790641.95</v>
      </c>
      <c r="AK134" s="72">
        <f>=G134*32.6061</f>
        <v>3912.732</v>
      </c>
      <c r="AL134" s="72">
        <f>=J134*2.35</f>
        <v>10593.8</v>
      </c>
      <c r="AM134" s="72">
        <f>=H134*15.88</f>
        <v>952.8</v>
      </c>
    </row>
    <row r="135" spans="1:39">
      <c r="A135" s="24" t="s">
        <v>1436</v>
      </c>
      <c r="B135" s="24" t="s">
        <v>1437</v>
      </c>
      <c r="C135" s="24" t="s">
        <v>1438</v>
      </c>
      <c r="D135" s="24">
        <v>900011354</v>
      </c>
      <c r="E135" s="24">
        <v>11354</v>
      </c>
      <c r="F135" s="24">
        <v>8076</v>
      </c>
      <c r="G135" s="24">
        <v>84</v>
      </c>
      <c r="H135" s="24">
        <v>50</v>
      </c>
      <c r="I135" s="25">
        <v>0.5</v>
      </c>
      <c r="J135" s="24">
        <v>2817</v>
      </c>
      <c r="K135" s="24" t="b">
        <v>1</v>
      </c>
      <c r="L135" s="25">
        <v>0</v>
      </c>
      <c r="M135" s="47">
        <v>0</v>
      </c>
      <c r="N135" s="25">
        <v>0.1</v>
      </c>
      <c r="O135" s="47">
        <v>10</v>
      </c>
      <c r="P135" s="25">
        <v>1</v>
      </c>
      <c r="Q135" s="24">
        <v>2</v>
      </c>
      <c r="R135" s="24">
        <v>3</v>
      </c>
      <c r="S135" s="25">
        <v>0.5</v>
      </c>
      <c r="T135" s="24">
        <v>-0.2</v>
      </c>
      <c r="U135" s="24">
        <v>0</v>
      </c>
      <c r="V135" s="24">
        <v>0</v>
      </c>
      <c r="W135" s="24">
        <v>-0.2</v>
      </c>
      <c r="X135" s="24">
        <v>0</v>
      </c>
      <c r="Y135" s="24">
        <v>-0.2</v>
      </c>
      <c r="Z135" s="24">
        <v>0</v>
      </c>
      <c r="AA135" s="24">
        <v>0</v>
      </c>
      <c r="AB135" s="24">
        <v>-0.2</v>
      </c>
      <c r="AC135" s="24">
        <v>0</v>
      </c>
      <c r="AD135" s="24">
        <v>-0.2</v>
      </c>
      <c r="AE135" s="24">
        <v>0</v>
      </c>
      <c r="AF135" s="24">
        <v>0</v>
      </c>
      <c r="AG135" s="24">
        <v>-0.2</v>
      </c>
      <c r="AH135" s="24">
        <v>0</v>
      </c>
      <c r="AI135" s="16">
        <v>3</v>
      </c>
      <c r="AJ135" s="72">
        <f>=F135*247.95</f>
        <v>2002444.2</v>
      </c>
      <c r="AK135" s="72">
        <f>=G135*32.6061</f>
        <v>2738.9124</v>
      </c>
      <c r="AL135" s="72">
        <f>=J135*2.35</f>
        <v>6619.95</v>
      </c>
      <c r="AM135" s="72">
        <f>=H135*15.88</f>
        <v>794</v>
      </c>
    </row>
    <row r="136" spans="1:39">
      <c r="A136" s="24" t="s">
        <v>1436</v>
      </c>
      <c r="B136" s="24" t="s">
        <v>1437</v>
      </c>
      <c r="C136" s="24" t="s">
        <v>1438</v>
      </c>
      <c r="D136" s="24">
        <v>900011355</v>
      </c>
      <c r="E136" s="24">
        <v>11355</v>
      </c>
      <c r="F136" s="24">
        <v>8318</v>
      </c>
      <c r="G136" s="24">
        <v>96</v>
      </c>
      <c r="H136" s="24">
        <v>50</v>
      </c>
      <c r="I136" s="25">
        <v>0.5</v>
      </c>
      <c r="J136" s="24">
        <v>3266</v>
      </c>
      <c r="K136" s="24" t="b">
        <v>1</v>
      </c>
      <c r="L136" s="25">
        <v>0</v>
      </c>
      <c r="M136" s="47">
        <v>0</v>
      </c>
      <c r="N136" s="25">
        <v>0.1</v>
      </c>
      <c r="O136" s="47">
        <v>10</v>
      </c>
      <c r="P136" s="25">
        <v>1</v>
      </c>
      <c r="Q136" s="24">
        <v>2</v>
      </c>
      <c r="R136" s="24">
        <v>5</v>
      </c>
      <c r="S136" s="25">
        <v>0.5</v>
      </c>
      <c r="T136" s="24">
        <v>-0.2</v>
      </c>
      <c r="U136" s="24">
        <v>0</v>
      </c>
      <c r="V136" s="24">
        <v>0</v>
      </c>
      <c r="W136" s="24">
        <v>-0.2</v>
      </c>
      <c r="X136" s="24">
        <v>0</v>
      </c>
      <c r="Y136" s="24">
        <v>-0.2</v>
      </c>
      <c r="Z136" s="24">
        <v>0</v>
      </c>
      <c r="AA136" s="24">
        <v>0</v>
      </c>
      <c r="AB136" s="24">
        <v>-0.2</v>
      </c>
      <c r="AC136" s="24">
        <v>0</v>
      </c>
      <c r="AD136" s="24">
        <v>-0.2</v>
      </c>
      <c r="AE136" s="24">
        <v>0</v>
      </c>
      <c r="AF136" s="24">
        <v>0</v>
      </c>
      <c r="AG136" s="24">
        <v>-0.2</v>
      </c>
      <c r="AH136" s="24">
        <v>0</v>
      </c>
      <c r="AI136" s="16">
        <v>3</v>
      </c>
      <c r="AJ136" s="72">
        <f>=F136*247.95</f>
        <v>2062448.1</v>
      </c>
      <c r="AK136" s="72">
        <f>=G136*32.6061</f>
        <v>3130.1856</v>
      </c>
      <c r="AL136" s="72">
        <f>=J136*2.35</f>
        <v>7675.1</v>
      </c>
      <c r="AM136" s="72">
        <f>=H136*15.88</f>
        <v>794</v>
      </c>
    </row>
    <row r="137" spans="1:39">
      <c r="A137" s="24" t="s">
        <v>1441</v>
      </c>
      <c r="B137" s="24" t="s">
        <v>1442</v>
      </c>
      <c r="C137" s="24" t="s">
        <v>1443</v>
      </c>
      <c r="D137" s="24">
        <v>900011361</v>
      </c>
      <c r="E137" s="24">
        <v>11361</v>
      </c>
      <c r="F137" s="24">
        <v>5987</v>
      </c>
      <c r="G137" s="24">
        <v>76</v>
      </c>
      <c r="H137" s="24">
        <v>50</v>
      </c>
      <c r="I137" s="25">
        <v>0.5</v>
      </c>
      <c r="J137" s="24">
        <v>2010</v>
      </c>
      <c r="K137" s="24" t="b">
        <v>1</v>
      </c>
      <c r="L137" s="25">
        <v>0.01</v>
      </c>
      <c r="M137" s="47">
        <v>0</v>
      </c>
      <c r="N137" s="25">
        <v>0.1</v>
      </c>
      <c r="O137" s="47">
        <v>10</v>
      </c>
      <c r="P137" s="25">
        <v>0.5</v>
      </c>
      <c r="Q137" s="24">
        <v>2</v>
      </c>
      <c r="R137" s="24">
        <v>3</v>
      </c>
      <c r="S137" s="25">
        <v>0.5</v>
      </c>
      <c r="T137" s="24">
        <v>0.2</v>
      </c>
      <c r="U137" s="24">
        <v>-0.2</v>
      </c>
      <c r="V137" s="24">
        <v>0</v>
      </c>
      <c r="W137" s="24">
        <v>-0.2</v>
      </c>
      <c r="X137" s="24">
        <v>0</v>
      </c>
      <c r="Y137" s="24">
        <v>0.2</v>
      </c>
      <c r="Z137" s="24">
        <v>-0.2</v>
      </c>
      <c r="AA137" s="24">
        <v>0</v>
      </c>
      <c r="AB137" s="24">
        <v>-0.2</v>
      </c>
      <c r="AC137" s="24">
        <v>0</v>
      </c>
      <c r="AD137" s="24">
        <v>0.2</v>
      </c>
      <c r="AE137" s="24">
        <v>-0.2</v>
      </c>
      <c r="AF137" s="24">
        <v>0</v>
      </c>
      <c r="AG137" s="24">
        <v>-0.2</v>
      </c>
      <c r="AH137" s="24">
        <v>0</v>
      </c>
      <c r="AI137" s="16">
        <v>3</v>
      </c>
      <c r="AJ137" s="72">
        <f>=F137*247.95</f>
        <v>1484476.65</v>
      </c>
      <c r="AK137" s="72">
        <f>=G137*32.6061</f>
        <v>2478.0636</v>
      </c>
      <c r="AL137" s="72">
        <f>=J137*2.35</f>
        <v>4723.5</v>
      </c>
      <c r="AM137" s="72">
        <f>=H137*15.88</f>
        <v>794</v>
      </c>
    </row>
    <row r="138" spans="1:39">
      <c r="A138" s="24" t="s">
        <v>1441</v>
      </c>
      <c r="B138" s="24" t="s">
        <v>1442</v>
      </c>
      <c r="C138" s="24" t="s">
        <v>1443</v>
      </c>
      <c r="D138" s="24">
        <v>900011362</v>
      </c>
      <c r="E138" s="24">
        <v>11362</v>
      </c>
      <c r="F138" s="24">
        <v>6180</v>
      </c>
      <c r="G138" s="24">
        <v>86</v>
      </c>
      <c r="H138" s="24">
        <v>50</v>
      </c>
      <c r="I138" s="25">
        <v>0.5</v>
      </c>
      <c r="J138" s="24">
        <v>2369</v>
      </c>
      <c r="K138" s="24" t="b">
        <v>1</v>
      </c>
      <c r="L138" s="25">
        <v>0.01</v>
      </c>
      <c r="M138" s="47">
        <v>0</v>
      </c>
      <c r="N138" s="25">
        <v>0.1</v>
      </c>
      <c r="O138" s="47">
        <v>10</v>
      </c>
      <c r="P138" s="25">
        <v>0.5</v>
      </c>
      <c r="Q138" s="24">
        <v>2</v>
      </c>
      <c r="R138" s="24">
        <v>5</v>
      </c>
      <c r="S138" s="25">
        <v>0.5</v>
      </c>
      <c r="T138" s="24">
        <v>0.2</v>
      </c>
      <c r="U138" s="24">
        <v>-0.2</v>
      </c>
      <c r="V138" s="24">
        <v>0</v>
      </c>
      <c r="W138" s="24">
        <v>-0.2</v>
      </c>
      <c r="X138" s="24">
        <v>0</v>
      </c>
      <c r="Y138" s="24">
        <v>0.2</v>
      </c>
      <c r="Z138" s="24">
        <v>-0.2</v>
      </c>
      <c r="AA138" s="24">
        <v>0</v>
      </c>
      <c r="AB138" s="24">
        <v>-0.2</v>
      </c>
      <c r="AC138" s="24">
        <v>0</v>
      </c>
      <c r="AD138" s="24">
        <v>0.2</v>
      </c>
      <c r="AE138" s="24">
        <v>-0.2</v>
      </c>
      <c r="AF138" s="24">
        <v>0</v>
      </c>
      <c r="AG138" s="24">
        <v>-0.2</v>
      </c>
      <c r="AH138" s="24">
        <v>0</v>
      </c>
      <c r="AI138" s="16">
        <v>3</v>
      </c>
      <c r="AJ138" s="72">
        <f>=F138*247.95</f>
        <v>1532331</v>
      </c>
      <c r="AK138" s="72">
        <f>=G138*32.6061</f>
        <v>2804.1246</v>
      </c>
      <c r="AL138" s="72">
        <f>=J138*2.35</f>
        <v>5567.15</v>
      </c>
      <c r="AM138" s="72">
        <f>=H138*15.88</f>
        <v>794</v>
      </c>
    </row>
    <row r="139" spans="1:39">
      <c r="A139" s="24" t="s">
        <v>1444</v>
      </c>
      <c r="B139" s="24" t="s">
        <v>1445</v>
      </c>
      <c r="C139" s="24" t="s">
        <v>1446</v>
      </c>
      <c r="D139" s="24">
        <v>900011363</v>
      </c>
      <c r="E139" s="24">
        <v>11363</v>
      </c>
      <c r="F139" s="24">
        <v>5987</v>
      </c>
      <c r="G139" s="24">
        <v>76</v>
      </c>
      <c r="H139" s="24">
        <v>50</v>
      </c>
      <c r="I139" s="25">
        <v>0.5</v>
      </c>
      <c r="J139" s="24">
        <v>2010</v>
      </c>
      <c r="K139" s="24" t="b">
        <v>1</v>
      </c>
      <c r="L139" s="25">
        <v>0.01</v>
      </c>
      <c r="M139" s="47">
        <v>0</v>
      </c>
      <c r="N139" s="25">
        <v>0.1</v>
      </c>
      <c r="O139" s="47">
        <v>10</v>
      </c>
      <c r="P139" s="25">
        <v>0.5</v>
      </c>
      <c r="Q139" s="24">
        <v>2</v>
      </c>
      <c r="R139" s="24">
        <v>3</v>
      </c>
      <c r="S139" s="25">
        <v>0.5</v>
      </c>
      <c r="T139" s="24">
        <v>-0.2</v>
      </c>
      <c r="U139" s="24">
        <v>0</v>
      </c>
      <c r="V139" s="24">
        <v>0</v>
      </c>
      <c r="W139" s="24">
        <v>-0.2</v>
      </c>
      <c r="X139" s="24">
        <v>0</v>
      </c>
      <c r="Y139" s="24">
        <v>-0.2</v>
      </c>
      <c r="Z139" s="24">
        <v>0</v>
      </c>
      <c r="AA139" s="24">
        <v>0</v>
      </c>
      <c r="AB139" s="24">
        <v>-0.2</v>
      </c>
      <c r="AC139" s="24">
        <v>0</v>
      </c>
      <c r="AD139" s="24">
        <v>-0.2</v>
      </c>
      <c r="AE139" s="24">
        <v>0</v>
      </c>
      <c r="AF139" s="24">
        <v>0</v>
      </c>
      <c r="AG139" s="24">
        <v>-0.2</v>
      </c>
      <c r="AH139" s="24">
        <v>0</v>
      </c>
      <c r="AI139" s="16">
        <v>3</v>
      </c>
      <c r="AJ139" s="72">
        <f>=F139*247.95</f>
        <v>1484476.65</v>
      </c>
      <c r="AK139" s="72">
        <f>=G139*32.6061</f>
        <v>2478.0636</v>
      </c>
      <c r="AL139" s="72">
        <f>=J139*2.35</f>
        <v>4723.5</v>
      </c>
      <c r="AM139" s="72">
        <f>=H139*15.88</f>
        <v>794</v>
      </c>
    </row>
    <row r="140" spans="1:39">
      <c r="A140" s="24" t="s">
        <v>1444</v>
      </c>
      <c r="B140" s="24" t="s">
        <v>1445</v>
      </c>
      <c r="C140" s="24" t="s">
        <v>1446</v>
      </c>
      <c r="D140" s="24">
        <v>900011364</v>
      </c>
      <c r="E140" s="24">
        <v>11364</v>
      </c>
      <c r="F140" s="24">
        <v>6180</v>
      </c>
      <c r="G140" s="24">
        <v>86</v>
      </c>
      <c r="H140" s="24">
        <v>50</v>
      </c>
      <c r="I140" s="25">
        <v>0.5</v>
      </c>
      <c r="J140" s="24">
        <v>2369</v>
      </c>
      <c r="K140" s="24" t="b">
        <v>1</v>
      </c>
      <c r="L140" s="25">
        <v>0.01</v>
      </c>
      <c r="M140" s="47">
        <v>0</v>
      </c>
      <c r="N140" s="25">
        <v>0.1</v>
      </c>
      <c r="O140" s="47">
        <v>10</v>
      </c>
      <c r="P140" s="25">
        <v>0.5</v>
      </c>
      <c r="Q140" s="24">
        <v>2</v>
      </c>
      <c r="R140" s="24">
        <v>5</v>
      </c>
      <c r="S140" s="25">
        <v>0.5</v>
      </c>
      <c r="T140" s="24">
        <v>-0.2</v>
      </c>
      <c r="U140" s="24">
        <v>0</v>
      </c>
      <c r="V140" s="24">
        <v>0</v>
      </c>
      <c r="W140" s="24">
        <v>-0.2</v>
      </c>
      <c r="X140" s="24">
        <v>0</v>
      </c>
      <c r="Y140" s="24">
        <v>-0.2</v>
      </c>
      <c r="Z140" s="24">
        <v>0</v>
      </c>
      <c r="AA140" s="24">
        <v>0</v>
      </c>
      <c r="AB140" s="24">
        <v>-0.2</v>
      </c>
      <c r="AC140" s="24">
        <v>0</v>
      </c>
      <c r="AD140" s="24">
        <v>-0.2</v>
      </c>
      <c r="AE140" s="24">
        <v>0</v>
      </c>
      <c r="AF140" s="24">
        <v>0</v>
      </c>
      <c r="AG140" s="24">
        <v>-0.2</v>
      </c>
      <c r="AH140" s="24">
        <v>0</v>
      </c>
      <c r="AI140" s="16">
        <v>3</v>
      </c>
      <c r="AJ140" s="72">
        <f>=F140*247.95</f>
        <v>1532331</v>
      </c>
      <c r="AK140" s="72">
        <f>=G140*32.6061</f>
        <v>2804.1246</v>
      </c>
      <c r="AL140" s="72">
        <f>=J140*2.35</f>
        <v>5567.15</v>
      </c>
      <c r="AM140" s="72">
        <f>=H140*15.88</f>
        <v>794</v>
      </c>
    </row>
    <row r="141" spans="1:39">
      <c r="A141" s="24" t="s">
        <v>1447</v>
      </c>
      <c r="B141" s="24" t="s">
        <v>1448</v>
      </c>
      <c r="C141" s="24" t="s">
        <v>1449</v>
      </c>
      <c r="D141" s="24">
        <v>900011371</v>
      </c>
      <c r="E141" s="24">
        <v>11371</v>
      </c>
      <c r="F141" s="24">
        <v>1123</v>
      </c>
      <c r="G141" s="24">
        <v>54</v>
      </c>
      <c r="H141" s="24">
        <v>43</v>
      </c>
      <c r="I141" s="25">
        <v>0.5</v>
      </c>
      <c r="J141" s="24">
        <v>600</v>
      </c>
      <c r="K141" s="24" t="b">
        <v>1</v>
      </c>
      <c r="L141" s="25">
        <v>0.05</v>
      </c>
      <c r="M141" s="47">
        <v>0</v>
      </c>
      <c r="N141" s="25">
        <v>0.1538</v>
      </c>
      <c r="O141" s="47">
        <v>6.501951</v>
      </c>
      <c r="P141" s="25">
        <v>0.5</v>
      </c>
      <c r="Q141" s="24">
        <v>1</v>
      </c>
      <c r="R141" s="24">
        <v>1</v>
      </c>
      <c r="S141" s="25">
        <v>0</v>
      </c>
      <c r="T141" s="24">
        <v>0</v>
      </c>
      <c r="U141" s="24">
        <v>0</v>
      </c>
      <c r="V141" s="24">
        <v>-0.2</v>
      </c>
      <c r="W141" s="24">
        <v>0</v>
      </c>
      <c r="X141" s="24">
        <v>-0.2</v>
      </c>
      <c r="Y141" s="24">
        <v>0</v>
      </c>
      <c r="Z141" s="24">
        <v>0</v>
      </c>
      <c r="AA141" s="24">
        <v>-0.2</v>
      </c>
      <c r="AB141" s="24">
        <v>0</v>
      </c>
      <c r="AC141" s="24">
        <v>-0.2</v>
      </c>
      <c r="AD141" s="24">
        <v>0</v>
      </c>
      <c r="AE141" s="24">
        <v>0</v>
      </c>
      <c r="AF141" s="24">
        <v>-0.2</v>
      </c>
      <c r="AG141" s="24">
        <v>0</v>
      </c>
      <c r="AH141" s="24">
        <v>-0.2</v>
      </c>
      <c r="AI141" s="16" t="s"/>
      <c r="AJ141" s="72">
        <f>=F141*247.95</f>
        <v>278447.85</v>
      </c>
      <c r="AK141" s="72">
        <f>=G141*32.6061</f>
        <v>1760.7294</v>
      </c>
      <c r="AL141" s="72">
        <f>=J141*2.35</f>
        <v>1410</v>
      </c>
      <c r="AM141" s="72">
        <f>=H141*15.88</f>
        <v>682.84</v>
      </c>
    </row>
    <row r="142" spans="1:39">
      <c r="A142" s="24" t="s">
        <v>1447</v>
      </c>
      <c r="B142" s="24" t="s">
        <v>1448</v>
      </c>
      <c r="C142" s="24" t="s">
        <v>1449</v>
      </c>
      <c r="D142" s="24">
        <v>900011372</v>
      </c>
      <c r="E142" s="24">
        <v>11372</v>
      </c>
      <c r="F142" s="24">
        <v>1373</v>
      </c>
      <c r="G142" s="24">
        <v>54</v>
      </c>
      <c r="H142" s="24">
        <v>43</v>
      </c>
      <c r="I142" s="25">
        <v>0.5</v>
      </c>
      <c r="J142" s="24">
        <v>900</v>
      </c>
      <c r="K142" s="24" t="b">
        <v>1</v>
      </c>
      <c r="L142" s="25">
        <v>0.05</v>
      </c>
      <c r="M142" s="47">
        <v>0</v>
      </c>
      <c r="N142" s="25">
        <v>0.1538</v>
      </c>
      <c r="O142" s="47">
        <v>6.501951</v>
      </c>
      <c r="P142" s="25">
        <v>0.5</v>
      </c>
      <c r="Q142" s="24">
        <v>1</v>
      </c>
      <c r="R142" s="24">
        <v>1</v>
      </c>
      <c r="S142" s="25">
        <v>0</v>
      </c>
      <c r="T142" s="24">
        <v>0</v>
      </c>
      <c r="U142" s="24">
        <v>0</v>
      </c>
      <c r="V142" s="24">
        <v>-0.2</v>
      </c>
      <c r="W142" s="24">
        <v>0</v>
      </c>
      <c r="X142" s="24">
        <v>-0.2</v>
      </c>
      <c r="Y142" s="24">
        <v>0</v>
      </c>
      <c r="Z142" s="24">
        <v>0</v>
      </c>
      <c r="AA142" s="24">
        <v>-0.2</v>
      </c>
      <c r="AB142" s="24">
        <v>0</v>
      </c>
      <c r="AC142" s="24">
        <v>-0.2</v>
      </c>
      <c r="AD142" s="24">
        <v>0</v>
      </c>
      <c r="AE142" s="24">
        <v>0</v>
      </c>
      <c r="AF142" s="24">
        <v>-0.2</v>
      </c>
      <c r="AG142" s="24">
        <v>0</v>
      </c>
      <c r="AH142" s="24">
        <v>-0.2</v>
      </c>
      <c r="AI142" s="16" t="s"/>
      <c r="AJ142" s="72">
        <f>=F142*247.95</f>
        <v>340435.35</v>
      </c>
      <c r="AK142" s="72">
        <f>=G142*32.6061</f>
        <v>1760.7294</v>
      </c>
      <c r="AL142" s="72">
        <f>=J142*2.35</f>
        <v>2115</v>
      </c>
      <c r="AM142" s="72">
        <f>=H142*15.88</f>
        <v>682.84</v>
      </c>
    </row>
    <row r="143" spans="1:39">
      <c r="A143" s="24" t="s">
        <v>1452</v>
      </c>
      <c r="B143" s="24" t="s">
        <v>1453</v>
      </c>
      <c r="C143" s="24" t="s">
        <v>1454</v>
      </c>
      <c r="D143" s="24">
        <v>900011381</v>
      </c>
      <c r="E143" s="24">
        <v>11381</v>
      </c>
      <c r="F143" s="24">
        <v>8480</v>
      </c>
      <c r="G143" s="24">
        <v>88</v>
      </c>
      <c r="H143" s="24">
        <v>54</v>
      </c>
      <c r="I143" s="25">
        <v>0.5</v>
      </c>
      <c r="J143" s="24">
        <v>2958</v>
      </c>
      <c r="K143" s="24" t="b">
        <v>1</v>
      </c>
      <c r="L143" s="25">
        <v>0</v>
      </c>
      <c r="M143" s="47">
        <v>0</v>
      </c>
      <c r="N143" s="25">
        <v>0.1</v>
      </c>
      <c r="O143" s="47">
        <v>10</v>
      </c>
      <c r="P143" s="25">
        <v>1</v>
      </c>
      <c r="Q143" s="24">
        <v>2</v>
      </c>
      <c r="R143" s="24">
        <v>3</v>
      </c>
      <c r="S143" s="25">
        <v>0.5</v>
      </c>
      <c r="T143" s="24">
        <v>0</v>
      </c>
      <c r="U143" s="24">
        <v>0</v>
      </c>
      <c r="V143" s="24">
        <v>-0.2</v>
      </c>
      <c r="W143" s="24">
        <v>0</v>
      </c>
      <c r="X143" s="24">
        <v>-0.2</v>
      </c>
      <c r="Y143" s="24">
        <v>0</v>
      </c>
      <c r="Z143" s="24">
        <v>0</v>
      </c>
      <c r="AA143" s="24">
        <v>-0.2</v>
      </c>
      <c r="AB143" s="24">
        <v>0</v>
      </c>
      <c r="AC143" s="24">
        <v>-0.2</v>
      </c>
      <c r="AD143" s="24">
        <v>0</v>
      </c>
      <c r="AE143" s="24">
        <v>0</v>
      </c>
      <c r="AF143" s="24">
        <v>-0.2</v>
      </c>
      <c r="AG143" s="24">
        <v>0</v>
      </c>
      <c r="AH143" s="24">
        <v>-0.2</v>
      </c>
      <c r="AI143" s="16">
        <v>3</v>
      </c>
      <c r="AJ143" s="72">
        <f>=F143*247.95</f>
        <v>2102616</v>
      </c>
      <c r="AK143" s="72">
        <f>=G143*32.6061</f>
        <v>2869.3368</v>
      </c>
      <c r="AL143" s="72">
        <f>=J143*2.35</f>
        <v>6951.3</v>
      </c>
      <c r="AM143" s="72">
        <f>=H143*15.88</f>
        <v>857.52</v>
      </c>
    </row>
    <row r="144" spans="1:39">
      <c r="A144" s="24" t="s">
        <v>1452</v>
      </c>
      <c r="B144" s="24" t="s">
        <v>1453</v>
      </c>
      <c r="C144" s="24" t="s">
        <v>1454</v>
      </c>
      <c r="D144" s="24">
        <v>900011382</v>
      </c>
      <c r="E144" s="24">
        <v>11382</v>
      </c>
      <c r="F144" s="24">
        <v>8734</v>
      </c>
      <c r="G144" s="24">
        <v>101</v>
      </c>
      <c r="H144" s="24">
        <v>54</v>
      </c>
      <c r="I144" s="25">
        <v>0.5</v>
      </c>
      <c r="J144" s="24">
        <v>3429</v>
      </c>
      <c r="K144" s="24" t="b">
        <v>1</v>
      </c>
      <c r="L144" s="25">
        <v>0</v>
      </c>
      <c r="M144" s="47">
        <v>0</v>
      </c>
      <c r="N144" s="25">
        <v>0.1</v>
      </c>
      <c r="O144" s="47">
        <v>10</v>
      </c>
      <c r="P144" s="25">
        <v>1</v>
      </c>
      <c r="Q144" s="24">
        <v>2</v>
      </c>
      <c r="R144" s="24">
        <v>5</v>
      </c>
      <c r="S144" s="25">
        <v>0.5</v>
      </c>
      <c r="T144" s="24">
        <v>0</v>
      </c>
      <c r="U144" s="24">
        <v>0</v>
      </c>
      <c r="V144" s="24">
        <v>-0.2</v>
      </c>
      <c r="W144" s="24">
        <v>0</v>
      </c>
      <c r="X144" s="24">
        <v>-0.2</v>
      </c>
      <c r="Y144" s="24">
        <v>0</v>
      </c>
      <c r="Z144" s="24">
        <v>0</v>
      </c>
      <c r="AA144" s="24">
        <v>-0.2</v>
      </c>
      <c r="AB144" s="24">
        <v>0</v>
      </c>
      <c r="AC144" s="24">
        <v>-0.2</v>
      </c>
      <c r="AD144" s="24">
        <v>0</v>
      </c>
      <c r="AE144" s="24">
        <v>0</v>
      </c>
      <c r="AF144" s="24">
        <v>-0.2</v>
      </c>
      <c r="AG144" s="24">
        <v>0</v>
      </c>
      <c r="AH144" s="24">
        <v>-0.2</v>
      </c>
      <c r="AI144" s="16">
        <v>3</v>
      </c>
      <c r="AJ144" s="72">
        <f>=F144*247.95</f>
        <v>2165595.3</v>
      </c>
      <c r="AK144" s="72">
        <f>=G144*32.6061</f>
        <v>3293.2161</v>
      </c>
      <c r="AL144" s="72">
        <f>=J144*2.35</f>
        <v>8058.15</v>
      </c>
      <c r="AM144" s="72">
        <f>=H144*15.88</f>
        <v>857.52</v>
      </c>
    </row>
    <row r="145" spans="1:39">
      <c r="A145" s="24" t="s">
        <v>1457</v>
      </c>
      <c r="B145" s="24" t="s">
        <v>1458</v>
      </c>
      <c r="C145" s="24" t="s">
        <v>1459</v>
      </c>
      <c r="D145" s="24">
        <v>900011391</v>
      </c>
      <c r="E145" s="24">
        <v>11391</v>
      </c>
      <c r="F145" s="24">
        <v>19988</v>
      </c>
      <c r="G145" s="24">
        <v>120</v>
      </c>
      <c r="H145" s="24">
        <v>60</v>
      </c>
      <c r="I145" s="25">
        <v>0.5</v>
      </c>
      <c r="J145" s="24">
        <v>5947</v>
      </c>
      <c r="K145" s="24" t="b">
        <v>1</v>
      </c>
      <c r="L145" s="25">
        <v>0</v>
      </c>
      <c r="M145" s="47">
        <v>0</v>
      </c>
      <c r="N145" s="25">
        <v>0.0833</v>
      </c>
      <c r="O145" s="47">
        <v>12.0048</v>
      </c>
      <c r="P145" s="25">
        <v>0.5</v>
      </c>
      <c r="Q145" s="24">
        <v>3</v>
      </c>
      <c r="R145" s="24">
        <v>99</v>
      </c>
      <c r="S145" s="25">
        <v>0.75</v>
      </c>
      <c r="T145" s="24">
        <v>0</v>
      </c>
      <c r="U145" s="24">
        <v>0</v>
      </c>
      <c r="V145" s="24">
        <v>-0.2</v>
      </c>
      <c r="W145" s="24">
        <v>0.2</v>
      </c>
      <c r="X145" s="24">
        <v>0</v>
      </c>
      <c r="Y145" s="24">
        <v>0</v>
      </c>
      <c r="Z145" s="24">
        <v>0</v>
      </c>
      <c r="AA145" s="24">
        <v>-0.2</v>
      </c>
      <c r="AB145" s="24">
        <v>0.2</v>
      </c>
      <c r="AC145" s="24">
        <v>0</v>
      </c>
      <c r="AD145" s="24">
        <v>0</v>
      </c>
      <c r="AE145" s="24">
        <v>0</v>
      </c>
      <c r="AF145" s="24">
        <v>-0.2</v>
      </c>
      <c r="AG145" s="24">
        <v>0.2</v>
      </c>
      <c r="AH145" s="24">
        <v>0</v>
      </c>
      <c r="AI145" s="16">
        <v>5</v>
      </c>
      <c r="AJ145" s="72">
        <f>=F145*247.95</f>
        <v>4956024.6</v>
      </c>
      <c r="AK145" s="72">
        <f>=G145*32.6061</f>
        <v>3912.732</v>
      </c>
      <c r="AL145" s="72">
        <f>=J145*2.35</f>
        <v>13975.45</v>
      </c>
      <c r="AM145" s="72">
        <f>=H145*15.88</f>
        <v>952.8</v>
      </c>
    </row>
    <row r="146" spans="1:39">
      <c r="A146" s="24" t="s">
        <v>1460</v>
      </c>
      <c r="B146" s="24" t="s">
        <v>1461</v>
      </c>
      <c r="C146" s="24" t="s">
        <v>1462</v>
      </c>
      <c r="D146" s="24">
        <v>900011392</v>
      </c>
      <c r="E146" s="24">
        <v>11392</v>
      </c>
      <c r="F146" s="24">
        <v>19988</v>
      </c>
      <c r="G146" s="24">
        <v>120</v>
      </c>
      <c r="H146" s="24">
        <v>60</v>
      </c>
      <c r="I146" s="25">
        <v>0.5</v>
      </c>
      <c r="J146" s="24">
        <v>5947</v>
      </c>
      <c r="K146" s="24" t="b">
        <v>1</v>
      </c>
      <c r="L146" s="25">
        <v>0</v>
      </c>
      <c r="M146" s="47">
        <v>0</v>
      </c>
      <c r="N146" s="25">
        <v>0.0833</v>
      </c>
      <c r="O146" s="47">
        <v>12.0048</v>
      </c>
      <c r="P146" s="25">
        <v>0.5</v>
      </c>
      <c r="Q146" s="24">
        <v>3</v>
      </c>
      <c r="R146" s="24">
        <v>99</v>
      </c>
      <c r="S146" s="25">
        <v>0.75</v>
      </c>
      <c r="T146" s="24">
        <v>0</v>
      </c>
      <c r="U146" s="24">
        <v>-0.2</v>
      </c>
      <c r="V146" s="24">
        <v>0</v>
      </c>
      <c r="W146" s="24">
        <v>0.2</v>
      </c>
      <c r="X146" s="24">
        <v>0</v>
      </c>
      <c r="Y146" s="24">
        <v>0</v>
      </c>
      <c r="Z146" s="24">
        <v>-0.2</v>
      </c>
      <c r="AA146" s="24">
        <v>0</v>
      </c>
      <c r="AB146" s="24">
        <v>0.2</v>
      </c>
      <c r="AC146" s="24">
        <v>0</v>
      </c>
      <c r="AD146" s="24">
        <v>0</v>
      </c>
      <c r="AE146" s="24">
        <v>-0.2</v>
      </c>
      <c r="AF146" s="24">
        <v>0</v>
      </c>
      <c r="AG146" s="24">
        <v>0.2</v>
      </c>
      <c r="AH146" s="24">
        <v>0</v>
      </c>
      <c r="AI146" s="16">
        <v>5</v>
      </c>
      <c r="AJ146" s="72">
        <f>=F146*247.95</f>
        <v>4956024.6</v>
      </c>
      <c r="AK146" s="72">
        <f>=G146*32.6061</f>
        <v>3912.732</v>
      </c>
      <c r="AL146" s="72">
        <f>=J146*2.35</f>
        <v>13975.45</v>
      </c>
      <c r="AM146" s="72">
        <f>=H146*15.88</f>
        <v>952.8</v>
      </c>
    </row>
    <row r="147" spans="1:39">
      <c r="A147" s="24" t="s">
        <v>1463</v>
      </c>
      <c r="B147" s="24" t="s">
        <v>1464</v>
      </c>
      <c r="C147" s="24" t="s">
        <v>1465</v>
      </c>
      <c r="D147" s="24">
        <v>900011393</v>
      </c>
      <c r="E147" s="24">
        <v>11393</v>
      </c>
      <c r="F147" s="24">
        <v>19988</v>
      </c>
      <c r="G147" s="24">
        <v>120</v>
      </c>
      <c r="H147" s="24">
        <v>60</v>
      </c>
      <c r="I147" s="25">
        <v>0.5</v>
      </c>
      <c r="J147" s="24">
        <v>5947</v>
      </c>
      <c r="K147" s="24" t="b">
        <v>1</v>
      </c>
      <c r="L147" s="25">
        <v>0</v>
      </c>
      <c r="M147" s="47">
        <v>0</v>
      </c>
      <c r="N147" s="25">
        <v>0.0833</v>
      </c>
      <c r="O147" s="47">
        <v>12.0048</v>
      </c>
      <c r="P147" s="25">
        <v>0.5</v>
      </c>
      <c r="Q147" s="24">
        <v>3</v>
      </c>
      <c r="R147" s="24">
        <v>99</v>
      </c>
      <c r="S147" s="25">
        <v>0.75</v>
      </c>
      <c r="T147" s="24">
        <v>0</v>
      </c>
      <c r="U147" s="24">
        <v>0</v>
      </c>
      <c r="V147" s="24">
        <v>0</v>
      </c>
      <c r="W147" s="24">
        <v>0.2</v>
      </c>
      <c r="X147" s="24">
        <v>-0.2</v>
      </c>
      <c r="Y147" s="24">
        <v>0</v>
      </c>
      <c r="Z147" s="24">
        <v>0</v>
      </c>
      <c r="AA147" s="24">
        <v>0</v>
      </c>
      <c r="AB147" s="24">
        <v>0.2</v>
      </c>
      <c r="AC147" s="24">
        <v>-0.2</v>
      </c>
      <c r="AD147" s="24">
        <v>0</v>
      </c>
      <c r="AE147" s="24">
        <v>0</v>
      </c>
      <c r="AF147" s="24">
        <v>0</v>
      </c>
      <c r="AG147" s="24">
        <v>0.2</v>
      </c>
      <c r="AH147" s="24">
        <v>-0.2</v>
      </c>
      <c r="AI147" s="16">
        <v>5</v>
      </c>
      <c r="AJ147" s="72">
        <f>=F147*247.95</f>
        <v>4956024.6</v>
      </c>
      <c r="AK147" s="72">
        <f>=G147*32.6061</f>
        <v>3912.732</v>
      </c>
      <c r="AL147" s="72">
        <f>=J147*2.35</f>
        <v>13975.45</v>
      </c>
      <c r="AM147" s="72">
        <f>=H147*15.88</f>
        <v>952.8</v>
      </c>
    </row>
    <row r="148" spans="1:39">
      <c r="A148" s="24" t="s">
        <v>1466</v>
      </c>
      <c r="B148" s="24" t="s">
        <v>1467</v>
      </c>
      <c r="C148" s="24" t="s">
        <v>1468</v>
      </c>
      <c r="D148" s="24">
        <v>900011401</v>
      </c>
      <c r="E148" s="24">
        <v>11401</v>
      </c>
      <c r="F148" s="24">
        <v>19988</v>
      </c>
      <c r="G148" s="24">
        <v>120</v>
      </c>
      <c r="H148" s="24">
        <v>60</v>
      </c>
      <c r="I148" s="25">
        <v>0.5</v>
      </c>
      <c r="J148" s="24">
        <v>5947</v>
      </c>
      <c r="K148" s="24" t="b">
        <v>1</v>
      </c>
      <c r="L148" s="25">
        <v>0</v>
      </c>
      <c r="M148" s="47">
        <v>0</v>
      </c>
      <c r="N148" s="25">
        <v>0.0833</v>
      </c>
      <c r="O148" s="47">
        <v>12.0048</v>
      </c>
      <c r="P148" s="25">
        <v>0.5</v>
      </c>
      <c r="Q148" s="24">
        <v>3</v>
      </c>
      <c r="R148" s="24">
        <v>99</v>
      </c>
      <c r="S148" s="25">
        <v>0.75</v>
      </c>
      <c r="T148" s="24">
        <v>0</v>
      </c>
      <c r="U148" s="24">
        <v>0</v>
      </c>
      <c r="V148" s="24">
        <v>-0.2</v>
      </c>
      <c r="W148" s="24">
        <v>0.2</v>
      </c>
      <c r="X148" s="24">
        <v>0</v>
      </c>
      <c r="Y148" s="24">
        <v>0</v>
      </c>
      <c r="Z148" s="24">
        <v>0</v>
      </c>
      <c r="AA148" s="24">
        <v>-0.2</v>
      </c>
      <c r="AB148" s="24">
        <v>0.2</v>
      </c>
      <c r="AC148" s="24">
        <v>0</v>
      </c>
      <c r="AD148" s="24">
        <v>0</v>
      </c>
      <c r="AE148" s="24">
        <v>0</v>
      </c>
      <c r="AF148" s="24">
        <v>-0.2</v>
      </c>
      <c r="AG148" s="24">
        <v>0.2</v>
      </c>
      <c r="AH148" s="24">
        <v>0</v>
      </c>
      <c r="AI148" s="16">
        <v>5</v>
      </c>
      <c r="AJ148" s="72">
        <f>=F148*247.95</f>
        <v>4956024.6</v>
      </c>
      <c r="AK148" s="72">
        <f>=G148*32.6061</f>
        <v>3912.732</v>
      </c>
      <c r="AL148" s="72">
        <f>=J148*2.35</f>
        <v>13975.45</v>
      </c>
      <c r="AM148" s="72">
        <f>=H148*15.88</f>
        <v>952.8</v>
      </c>
    </row>
    <row r="149" spans="1:39">
      <c r="A149" s="24" t="s">
        <v>1469</v>
      </c>
      <c r="B149" s="24" t="s">
        <v>1470</v>
      </c>
      <c r="C149" s="24" t="s">
        <v>1471</v>
      </c>
      <c r="D149" s="24">
        <v>900011402</v>
      </c>
      <c r="E149" s="24">
        <v>11402</v>
      </c>
      <c r="F149" s="24">
        <v>19988</v>
      </c>
      <c r="G149" s="24">
        <v>120</v>
      </c>
      <c r="H149" s="24">
        <v>60</v>
      </c>
      <c r="I149" s="25">
        <v>0.5</v>
      </c>
      <c r="J149" s="24">
        <v>5947</v>
      </c>
      <c r="K149" s="24" t="b">
        <v>1</v>
      </c>
      <c r="L149" s="25">
        <v>0</v>
      </c>
      <c r="M149" s="47">
        <v>0</v>
      </c>
      <c r="N149" s="25">
        <v>0.0833</v>
      </c>
      <c r="O149" s="47">
        <v>12.0048</v>
      </c>
      <c r="P149" s="25">
        <v>0.5</v>
      </c>
      <c r="Q149" s="24">
        <v>3</v>
      </c>
      <c r="R149" s="24">
        <v>99</v>
      </c>
      <c r="S149" s="25">
        <v>0.75</v>
      </c>
      <c r="T149" s="24">
        <v>0</v>
      </c>
      <c r="U149" s="24">
        <v>-0.2</v>
      </c>
      <c r="V149" s="24">
        <v>0</v>
      </c>
      <c r="W149" s="24">
        <v>0.2</v>
      </c>
      <c r="X149" s="24">
        <v>0</v>
      </c>
      <c r="Y149" s="24">
        <v>0</v>
      </c>
      <c r="Z149" s="24">
        <v>-0.2</v>
      </c>
      <c r="AA149" s="24">
        <v>0</v>
      </c>
      <c r="AB149" s="24">
        <v>0.2</v>
      </c>
      <c r="AC149" s="24">
        <v>0</v>
      </c>
      <c r="AD149" s="24">
        <v>0</v>
      </c>
      <c r="AE149" s="24">
        <v>-0.2</v>
      </c>
      <c r="AF149" s="24">
        <v>0</v>
      </c>
      <c r="AG149" s="24">
        <v>0.2</v>
      </c>
      <c r="AH149" s="24">
        <v>0</v>
      </c>
      <c r="AI149" s="16">
        <v>5</v>
      </c>
      <c r="AJ149" s="72">
        <f>=F149*247.95</f>
        <v>4956024.6</v>
      </c>
      <c r="AK149" s="72">
        <f>=G149*32.6061</f>
        <v>3912.732</v>
      </c>
      <c r="AL149" s="72">
        <f>=J149*2.35</f>
        <v>13975.45</v>
      </c>
      <c r="AM149" s="72">
        <f>=H149*15.88</f>
        <v>952.8</v>
      </c>
    </row>
    <row r="150" spans="1:39">
      <c r="A150" s="24" t="s">
        <v>1472</v>
      </c>
      <c r="B150" s="24" t="s">
        <v>1473</v>
      </c>
      <c r="C150" s="24" t="s">
        <v>1474</v>
      </c>
      <c r="D150" s="24">
        <v>900011403</v>
      </c>
      <c r="E150" s="24">
        <v>11403</v>
      </c>
      <c r="F150" s="24">
        <v>19988</v>
      </c>
      <c r="G150" s="24">
        <v>120</v>
      </c>
      <c r="H150" s="24">
        <v>60</v>
      </c>
      <c r="I150" s="25">
        <v>0.5</v>
      </c>
      <c r="J150" s="24">
        <v>5947</v>
      </c>
      <c r="K150" s="24" t="b">
        <v>1</v>
      </c>
      <c r="L150" s="25">
        <v>0</v>
      </c>
      <c r="M150" s="47">
        <v>0</v>
      </c>
      <c r="N150" s="25">
        <v>0.0833</v>
      </c>
      <c r="O150" s="47">
        <v>12.0048</v>
      </c>
      <c r="P150" s="25">
        <v>0.5</v>
      </c>
      <c r="Q150" s="24">
        <v>3</v>
      </c>
      <c r="R150" s="24">
        <v>99</v>
      </c>
      <c r="S150" s="25">
        <v>0.75</v>
      </c>
      <c r="T150" s="24">
        <v>0</v>
      </c>
      <c r="U150" s="24">
        <v>0</v>
      </c>
      <c r="V150" s="24">
        <v>0</v>
      </c>
      <c r="W150" s="24">
        <v>0.2</v>
      </c>
      <c r="X150" s="24">
        <v>-0.2</v>
      </c>
      <c r="Y150" s="24">
        <v>0</v>
      </c>
      <c r="Z150" s="24">
        <v>0</v>
      </c>
      <c r="AA150" s="24">
        <v>0</v>
      </c>
      <c r="AB150" s="24">
        <v>0.2</v>
      </c>
      <c r="AC150" s="24">
        <v>-0.2</v>
      </c>
      <c r="AD150" s="24">
        <v>0</v>
      </c>
      <c r="AE150" s="24">
        <v>0</v>
      </c>
      <c r="AF150" s="24">
        <v>0</v>
      </c>
      <c r="AG150" s="24">
        <v>0.2</v>
      </c>
      <c r="AH150" s="24">
        <v>-0.2</v>
      </c>
      <c r="AI150" s="16">
        <v>5</v>
      </c>
      <c r="AJ150" s="72">
        <f>=F150*247.95</f>
        <v>4956024.6</v>
      </c>
      <c r="AK150" s="72">
        <f>=G150*32.6061</f>
        <v>3912.732</v>
      </c>
      <c r="AL150" s="72">
        <f>=J150*2.35</f>
        <v>13975.45</v>
      </c>
      <c r="AM150" s="72">
        <f>=H150*15.88</f>
        <v>952.8</v>
      </c>
    </row>
    <row r="151" spans="1:39">
      <c r="A151" s="24" t="s">
        <v>1475</v>
      </c>
      <c r="B151" s="24" t="s">
        <v>1476</v>
      </c>
      <c r="C151" s="24" t="s">
        <v>1477</v>
      </c>
      <c r="D151" s="24">
        <v>900011411</v>
      </c>
      <c r="E151" s="24">
        <v>11411</v>
      </c>
      <c r="F151" s="24">
        <v>10998</v>
      </c>
      <c r="G151" s="24">
        <v>120</v>
      </c>
      <c r="H151" s="24">
        <v>60</v>
      </c>
      <c r="I151" s="25">
        <v>0.5</v>
      </c>
      <c r="J151" s="24">
        <v>5947</v>
      </c>
      <c r="K151" s="24" t="b">
        <v>1</v>
      </c>
      <c r="L151" s="25">
        <v>0</v>
      </c>
      <c r="M151" s="47">
        <v>0</v>
      </c>
      <c r="N151" s="25">
        <v>0.0833</v>
      </c>
      <c r="O151" s="47">
        <v>12.0048</v>
      </c>
      <c r="P151" s="25">
        <v>0.5</v>
      </c>
      <c r="Q151" s="24">
        <v>3</v>
      </c>
      <c r="R151" s="24">
        <v>99</v>
      </c>
      <c r="S151" s="25">
        <v>0.75</v>
      </c>
      <c r="T151" s="24">
        <v>0</v>
      </c>
      <c r="U151" s="24">
        <v>0</v>
      </c>
      <c r="V151" s="24">
        <v>-0.2</v>
      </c>
      <c r="W151" s="24">
        <v>0</v>
      </c>
      <c r="X151" s="24">
        <v>-0.2</v>
      </c>
      <c r="Y151" s="24">
        <v>0</v>
      </c>
      <c r="Z151" s="24">
        <v>0</v>
      </c>
      <c r="AA151" s="24">
        <v>-0.2</v>
      </c>
      <c r="AB151" s="24">
        <v>0</v>
      </c>
      <c r="AC151" s="24">
        <v>-0.2</v>
      </c>
      <c r="AD151" s="24">
        <v>0</v>
      </c>
      <c r="AE151" s="24">
        <v>0</v>
      </c>
      <c r="AF151" s="24">
        <v>-0.2</v>
      </c>
      <c r="AG151" s="24">
        <v>0</v>
      </c>
      <c r="AH151" s="24">
        <v>-0.2</v>
      </c>
      <c r="AI151" s="16">
        <v>5</v>
      </c>
      <c r="AJ151" s="72">
        <f>=F151*247.95</f>
        <v>2726954.1</v>
      </c>
      <c r="AK151" s="72">
        <f>=G151*32.6061</f>
        <v>3912.732</v>
      </c>
      <c r="AL151" s="72">
        <f>=J151*2.35</f>
        <v>13975.45</v>
      </c>
      <c r="AM151" s="72">
        <f>=H151*15.88</f>
        <v>952.8</v>
      </c>
    </row>
    <row r="152" spans="1:39">
      <c r="A152" s="24" t="s">
        <v>1475</v>
      </c>
      <c r="B152" s="24" t="s">
        <v>1476</v>
      </c>
      <c r="C152" s="24" t="s">
        <v>1477</v>
      </c>
      <c r="D152" s="24">
        <v>900011412</v>
      </c>
      <c r="E152" s="24">
        <v>11412</v>
      </c>
      <c r="F152" s="24">
        <v>20787</v>
      </c>
      <c r="G152" s="24">
        <v>120</v>
      </c>
      <c r="H152" s="24">
        <v>60</v>
      </c>
      <c r="I152" s="25">
        <v>0.5</v>
      </c>
      <c r="J152" s="24">
        <v>5947</v>
      </c>
      <c r="K152" s="24" t="b">
        <v>1</v>
      </c>
      <c r="L152" s="25">
        <v>0</v>
      </c>
      <c r="M152" s="47">
        <v>0</v>
      </c>
      <c r="N152" s="25">
        <v>0.0833</v>
      </c>
      <c r="O152" s="47">
        <v>12.0048</v>
      </c>
      <c r="P152" s="25">
        <v>0.5</v>
      </c>
      <c r="Q152" s="24">
        <v>3</v>
      </c>
      <c r="R152" s="24">
        <v>99</v>
      </c>
      <c r="S152" s="25">
        <v>0.75</v>
      </c>
      <c r="T152" s="24">
        <v>0</v>
      </c>
      <c r="U152" s="24">
        <v>0</v>
      </c>
      <c r="V152" s="24">
        <v>-0.2</v>
      </c>
      <c r="W152" s="24">
        <v>0</v>
      </c>
      <c r="X152" s="24">
        <v>-0.2</v>
      </c>
      <c r="Y152" s="24">
        <v>0</v>
      </c>
      <c r="Z152" s="24">
        <v>0</v>
      </c>
      <c r="AA152" s="24">
        <v>-0.2</v>
      </c>
      <c r="AB152" s="24">
        <v>0</v>
      </c>
      <c r="AC152" s="24">
        <v>-0.2</v>
      </c>
      <c r="AD152" s="24">
        <v>0</v>
      </c>
      <c r="AE152" s="24">
        <v>0</v>
      </c>
      <c r="AF152" s="24">
        <v>-0.2</v>
      </c>
      <c r="AG152" s="24">
        <v>0</v>
      </c>
      <c r="AH152" s="24">
        <v>-0.2</v>
      </c>
      <c r="AI152" s="16">
        <v>5</v>
      </c>
      <c r="AJ152" s="72">
        <f>=F152*247.95</f>
        <v>5154136.65</v>
      </c>
      <c r="AK152" s="72">
        <f>=G152*32.6061</f>
        <v>3912.732</v>
      </c>
      <c r="AL152" s="72">
        <f>=J152*2.35</f>
        <v>13975.45</v>
      </c>
      <c r="AM152" s="72">
        <f>=H152*15.88</f>
        <v>952.8</v>
      </c>
    </row>
    <row r="153" spans="1:39">
      <c r="A153" s="24" t="s">
        <v>1475</v>
      </c>
      <c r="B153" s="24" t="s">
        <v>1476</v>
      </c>
      <c r="C153" s="24" t="s">
        <v>1477</v>
      </c>
      <c r="D153" s="24">
        <v>900011413</v>
      </c>
      <c r="E153" s="24">
        <v>11413</v>
      </c>
      <c r="F153" s="24">
        <v>21264</v>
      </c>
      <c r="G153" s="24">
        <v>120</v>
      </c>
      <c r="H153" s="24">
        <v>60</v>
      </c>
      <c r="I153" s="25">
        <v>0.5</v>
      </c>
      <c r="J153" s="24">
        <v>5947</v>
      </c>
      <c r="K153" s="24" t="b">
        <v>1</v>
      </c>
      <c r="L153" s="25">
        <v>0</v>
      </c>
      <c r="M153" s="47">
        <v>0</v>
      </c>
      <c r="N153" s="25">
        <v>0.0833</v>
      </c>
      <c r="O153" s="47">
        <v>12.0048</v>
      </c>
      <c r="P153" s="25">
        <v>0.5</v>
      </c>
      <c r="Q153" s="24">
        <v>3</v>
      </c>
      <c r="R153" s="24">
        <v>99</v>
      </c>
      <c r="S153" s="25">
        <v>0.75</v>
      </c>
      <c r="T153" s="24">
        <v>0</v>
      </c>
      <c r="U153" s="24">
        <v>0</v>
      </c>
      <c r="V153" s="24">
        <v>-0.2</v>
      </c>
      <c r="W153" s="24">
        <v>0</v>
      </c>
      <c r="X153" s="24">
        <v>-0.2</v>
      </c>
      <c r="Y153" s="24">
        <v>0</v>
      </c>
      <c r="Z153" s="24">
        <v>0</v>
      </c>
      <c r="AA153" s="24">
        <v>-0.2</v>
      </c>
      <c r="AB153" s="24">
        <v>0</v>
      </c>
      <c r="AC153" s="24">
        <v>-0.2</v>
      </c>
      <c r="AD153" s="24">
        <v>0</v>
      </c>
      <c r="AE153" s="24">
        <v>0</v>
      </c>
      <c r="AF153" s="24">
        <v>-0.2</v>
      </c>
      <c r="AG153" s="24">
        <v>0</v>
      </c>
      <c r="AH153" s="24">
        <v>-0.2</v>
      </c>
      <c r="AI153" s="16">
        <v>5</v>
      </c>
      <c r="AJ153" s="72">
        <f>=F153*247.95</f>
        <v>5272408.8</v>
      </c>
      <c r="AK153" s="72">
        <f>=G153*32.6061</f>
        <v>3912.732</v>
      </c>
      <c r="AL153" s="72">
        <f>=J153*2.35</f>
        <v>13975.45</v>
      </c>
      <c r="AM153" s="72">
        <f>=H153*15.88</f>
        <v>952.8</v>
      </c>
    </row>
    <row r="154" spans="1:39">
      <c r="A154" s="24" t="s">
        <v>1475</v>
      </c>
      <c r="B154" s="24" t="s">
        <v>1476</v>
      </c>
      <c r="C154" s="24" t="s">
        <v>1477</v>
      </c>
      <c r="D154" s="24">
        <v>900011414</v>
      </c>
      <c r="E154" s="24">
        <v>11414</v>
      </c>
      <c r="F154" s="24">
        <v>20787</v>
      </c>
      <c r="G154" s="24">
        <v>120</v>
      </c>
      <c r="H154" s="24">
        <v>60</v>
      </c>
      <c r="I154" s="25">
        <v>0.5</v>
      </c>
      <c r="J154" s="24">
        <v>5947</v>
      </c>
      <c r="K154" s="24" t="b">
        <v>1</v>
      </c>
      <c r="L154" s="25">
        <v>0</v>
      </c>
      <c r="M154" s="47">
        <v>0</v>
      </c>
      <c r="N154" s="25">
        <v>0.0833</v>
      </c>
      <c r="O154" s="47">
        <v>12.0048</v>
      </c>
      <c r="P154" s="25">
        <v>0.5</v>
      </c>
      <c r="Q154" s="24">
        <v>3</v>
      </c>
      <c r="R154" s="24">
        <v>99</v>
      </c>
      <c r="S154" s="25">
        <v>0.75</v>
      </c>
      <c r="T154" s="24">
        <v>0</v>
      </c>
      <c r="U154" s="24">
        <v>0</v>
      </c>
      <c r="V154" s="24">
        <v>-0.2</v>
      </c>
      <c r="W154" s="24">
        <v>0</v>
      </c>
      <c r="X154" s="24">
        <v>-0.2</v>
      </c>
      <c r="Y154" s="24">
        <v>0</v>
      </c>
      <c r="Z154" s="24">
        <v>0</v>
      </c>
      <c r="AA154" s="24">
        <v>-0.2</v>
      </c>
      <c r="AB154" s="24">
        <v>0</v>
      </c>
      <c r="AC154" s="24">
        <v>-0.2</v>
      </c>
      <c r="AD154" s="24">
        <v>0</v>
      </c>
      <c r="AE154" s="24">
        <v>0</v>
      </c>
      <c r="AF154" s="24">
        <v>-0.2</v>
      </c>
      <c r="AG154" s="24">
        <v>0</v>
      </c>
      <c r="AH154" s="24">
        <v>-0.2</v>
      </c>
      <c r="AI154" s="16">
        <v>5</v>
      </c>
      <c r="AJ154" s="72">
        <f>=F154*247.95</f>
        <v>5154136.65</v>
      </c>
      <c r="AK154" s="72">
        <f>=G154*32.6061</f>
        <v>3912.732</v>
      </c>
      <c r="AL154" s="72">
        <f>=J154*2.35</f>
        <v>13975.45</v>
      </c>
      <c r="AM154" s="72">
        <f>=H154*15.88</f>
        <v>952.8</v>
      </c>
    </row>
    <row r="155" spans="1:39">
      <c r="A155" s="24" t="s">
        <v>1480</v>
      </c>
      <c r="B155" s="24" t="s">
        <v>1481</v>
      </c>
      <c r="C155" s="24" t="s">
        <v>1482</v>
      </c>
      <c r="D155" s="24">
        <v>900011421</v>
      </c>
      <c r="E155" s="24">
        <v>11421</v>
      </c>
      <c r="F155" s="24">
        <v>16690</v>
      </c>
      <c r="G155" s="24">
        <v>120</v>
      </c>
      <c r="H155" s="24">
        <v>60</v>
      </c>
      <c r="I155" s="25">
        <v>0.5</v>
      </c>
      <c r="J155" s="24">
        <v>4508</v>
      </c>
      <c r="K155" s="24" t="b">
        <v>1</v>
      </c>
      <c r="L155" s="25">
        <v>0</v>
      </c>
      <c r="M155" s="47">
        <v>0</v>
      </c>
      <c r="N155" s="25">
        <v>0.1428</v>
      </c>
      <c r="O155" s="47">
        <v>7.002801</v>
      </c>
      <c r="P155" s="25">
        <v>1</v>
      </c>
      <c r="Q155" s="24">
        <v>3</v>
      </c>
      <c r="R155" s="24">
        <v>5</v>
      </c>
      <c r="S155" s="25">
        <v>0.75</v>
      </c>
      <c r="T155" s="24">
        <v>-0.2</v>
      </c>
      <c r="U155" s="24">
        <v>0</v>
      </c>
      <c r="V155" s="24">
        <v>0</v>
      </c>
      <c r="W155" s="24">
        <v>0</v>
      </c>
      <c r="X155" s="24">
        <v>-0.2</v>
      </c>
      <c r="Y155" s="24">
        <v>-0.2</v>
      </c>
      <c r="Z155" s="24">
        <v>0</v>
      </c>
      <c r="AA155" s="24">
        <v>0</v>
      </c>
      <c r="AB155" s="24">
        <v>0</v>
      </c>
      <c r="AC155" s="24">
        <v>-0.2</v>
      </c>
      <c r="AD155" s="24">
        <v>-0.2</v>
      </c>
      <c r="AE155" s="24">
        <v>0</v>
      </c>
      <c r="AF155" s="24">
        <v>0</v>
      </c>
      <c r="AG155" s="24">
        <v>0</v>
      </c>
      <c r="AH155" s="24">
        <v>-0.2</v>
      </c>
      <c r="AI155" s="16">
        <v>5</v>
      </c>
      <c r="AJ155" s="72">
        <f>=F155*247.95</f>
        <v>4138285.5</v>
      </c>
      <c r="AK155" s="72">
        <f>=G155*32.6061</f>
        <v>3912.732</v>
      </c>
      <c r="AL155" s="72">
        <f>=J155*2.35</f>
        <v>10593.8</v>
      </c>
      <c r="AM155" s="72">
        <f>=H155*15.88</f>
        <v>952.8</v>
      </c>
    </row>
    <row r="156" spans="1:39">
      <c r="A156" s="24" t="s">
        <v>1480</v>
      </c>
      <c r="B156" s="24" t="s">
        <v>1481</v>
      </c>
      <c r="C156" s="24" t="s">
        <v>1482</v>
      </c>
      <c r="D156" s="24">
        <v>900011422</v>
      </c>
      <c r="E156" s="24">
        <v>11422</v>
      </c>
      <c r="F156" s="24">
        <v>16690</v>
      </c>
      <c r="G156" s="24">
        <v>120</v>
      </c>
      <c r="H156" s="24">
        <v>60</v>
      </c>
      <c r="I156" s="25">
        <v>0.5</v>
      </c>
      <c r="J156" s="24">
        <v>4508</v>
      </c>
      <c r="K156" s="24" t="b">
        <v>1</v>
      </c>
      <c r="L156" s="25">
        <v>0</v>
      </c>
      <c r="M156" s="47">
        <v>0</v>
      </c>
      <c r="N156" s="25">
        <v>0.1428</v>
      </c>
      <c r="O156" s="47">
        <v>7.002801</v>
      </c>
      <c r="P156" s="25">
        <v>1</v>
      </c>
      <c r="Q156" s="24">
        <v>3</v>
      </c>
      <c r="R156" s="24">
        <v>5</v>
      </c>
      <c r="S156" s="25">
        <v>0.75</v>
      </c>
      <c r="T156" s="24">
        <v>-0.2</v>
      </c>
      <c r="U156" s="24">
        <v>0</v>
      </c>
      <c r="V156" s="24">
        <v>0</v>
      </c>
      <c r="W156" s="24">
        <v>0</v>
      </c>
      <c r="X156" s="24">
        <v>-0.2</v>
      </c>
      <c r="Y156" s="24">
        <v>-0.2</v>
      </c>
      <c r="Z156" s="24">
        <v>0</v>
      </c>
      <c r="AA156" s="24">
        <v>0</v>
      </c>
      <c r="AB156" s="24">
        <v>0</v>
      </c>
      <c r="AC156" s="24">
        <v>-0.2</v>
      </c>
      <c r="AD156" s="24">
        <v>-0.2</v>
      </c>
      <c r="AE156" s="24">
        <v>0</v>
      </c>
      <c r="AF156" s="24">
        <v>0</v>
      </c>
      <c r="AG156" s="24">
        <v>0</v>
      </c>
      <c r="AH156" s="24">
        <v>-0.2</v>
      </c>
      <c r="AI156" s="16">
        <v>5</v>
      </c>
      <c r="AJ156" s="72">
        <f>=F156*247.95</f>
        <v>4138285.5</v>
      </c>
      <c r="AK156" s="72">
        <f>=G156*32.6061</f>
        <v>3912.732</v>
      </c>
      <c r="AL156" s="72">
        <f>=J156*2.35</f>
        <v>10593.8</v>
      </c>
      <c r="AM156" s="72">
        <f>=H156*15.88</f>
        <v>952.8</v>
      </c>
    </row>
    <row r="157" spans="1:39">
      <c r="A157" s="24" t="s">
        <v>1485</v>
      </c>
      <c r="B157" s="24" t="s">
        <v>1486</v>
      </c>
      <c r="C157" s="24" t="s">
        <v>1487</v>
      </c>
      <c r="D157" s="24">
        <v>900011431</v>
      </c>
      <c r="E157" s="24">
        <v>11431</v>
      </c>
      <c r="F157" s="24">
        <v>16690</v>
      </c>
      <c r="G157" s="24">
        <v>120</v>
      </c>
      <c r="H157" s="24">
        <v>60</v>
      </c>
      <c r="I157" s="25">
        <v>0.5</v>
      </c>
      <c r="J157" s="24">
        <v>4508</v>
      </c>
      <c r="K157" s="24" t="b">
        <v>1</v>
      </c>
      <c r="L157" s="25">
        <v>0</v>
      </c>
      <c r="M157" s="47">
        <v>0</v>
      </c>
      <c r="N157" s="25">
        <v>0.1428</v>
      </c>
      <c r="O157" s="47">
        <v>7.002801</v>
      </c>
      <c r="P157" s="25">
        <v>1</v>
      </c>
      <c r="Q157" s="24">
        <v>3</v>
      </c>
      <c r="R157" s="24">
        <v>5</v>
      </c>
      <c r="S157" s="25">
        <v>0.75</v>
      </c>
      <c r="T157" s="24">
        <v>-0.2</v>
      </c>
      <c r="U157" s="24">
        <v>0</v>
      </c>
      <c r="V157" s="24">
        <v>0</v>
      </c>
      <c r="W157" s="24">
        <v>0</v>
      </c>
      <c r="X157" s="24">
        <v>-0.2</v>
      </c>
      <c r="Y157" s="24">
        <v>-0.2</v>
      </c>
      <c r="Z157" s="24">
        <v>0</v>
      </c>
      <c r="AA157" s="24">
        <v>0</v>
      </c>
      <c r="AB157" s="24">
        <v>0</v>
      </c>
      <c r="AC157" s="24">
        <v>-0.2</v>
      </c>
      <c r="AD157" s="24">
        <v>-0.2</v>
      </c>
      <c r="AE157" s="24">
        <v>0</v>
      </c>
      <c r="AF157" s="24">
        <v>0</v>
      </c>
      <c r="AG157" s="24">
        <v>0</v>
      </c>
      <c r="AH157" s="24">
        <v>-0.2</v>
      </c>
      <c r="AI157" s="16">
        <v>5</v>
      </c>
      <c r="AJ157" s="72">
        <f>=F157*247.95</f>
        <v>4138285.5</v>
      </c>
      <c r="AK157" s="72">
        <f>=G157*32.6061</f>
        <v>3912.732</v>
      </c>
      <c r="AL157" s="72">
        <f>=J157*2.35</f>
        <v>10593.8</v>
      </c>
      <c r="AM157" s="72">
        <f>=H157*15.88</f>
        <v>952.8</v>
      </c>
    </row>
    <row r="158" spans="1:39">
      <c r="A158" s="24" t="s">
        <v>1485</v>
      </c>
      <c r="B158" s="24" t="s">
        <v>1486</v>
      </c>
      <c r="C158" s="24" t="s">
        <v>1487</v>
      </c>
      <c r="D158" s="24">
        <v>900011432</v>
      </c>
      <c r="E158" s="24">
        <v>11432</v>
      </c>
      <c r="F158" s="24">
        <v>16690</v>
      </c>
      <c r="G158" s="24">
        <v>120</v>
      </c>
      <c r="H158" s="24">
        <v>60</v>
      </c>
      <c r="I158" s="25">
        <v>0.5</v>
      </c>
      <c r="J158" s="24">
        <v>4508</v>
      </c>
      <c r="K158" s="24" t="b">
        <v>1</v>
      </c>
      <c r="L158" s="25">
        <v>0</v>
      </c>
      <c r="M158" s="47">
        <v>0</v>
      </c>
      <c r="N158" s="25">
        <v>0.1428</v>
      </c>
      <c r="O158" s="47">
        <v>7.002801</v>
      </c>
      <c r="P158" s="25">
        <v>1</v>
      </c>
      <c r="Q158" s="24">
        <v>3</v>
      </c>
      <c r="R158" s="24">
        <v>5</v>
      </c>
      <c r="S158" s="25">
        <v>0.75</v>
      </c>
      <c r="T158" s="24">
        <v>-0.2</v>
      </c>
      <c r="U158" s="24">
        <v>0</v>
      </c>
      <c r="V158" s="24">
        <v>0</v>
      </c>
      <c r="W158" s="24">
        <v>0</v>
      </c>
      <c r="X158" s="24">
        <v>-0.2</v>
      </c>
      <c r="Y158" s="24">
        <v>-0.2</v>
      </c>
      <c r="Z158" s="24">
        <v>0</v>
      </c>
      <c r="AA158" s="24">
        <v>0</v>
      </c>
      <c r="AB158" s="24">
        <v>0</v>
      </c>
      <c r="AC158" s="24">
        <v>-0.2</v>
      </c>
      <c r="AD158" s="24">
        <v>-0.2</v>
      </c>
      <c r="AE158" s="24">
        <v>0</v>
      </c>
      <c r="AF158" s="24">
        <v>0</v>
      </c>
      <c r="AG158" s="24">
        <v>0</v>
      </c>
      <c r="AH158" s="24">
        <v>-0.2</v>
      </c>
      <c r="AI158" s="16">
        <v>5</v>
      </c>
      <c r="AJ158" s="72">
        <f>=F158*247.95</f>
        <v>4138285.5</v>
      </c>
      <c r="AK158" s="72">
        <f>=G158*32.6061</f>
        <v>3912.732</v>
      </c>
      <c r="AL158" s="72">
        <f>=J158*2.35</f>
        <v>10593.8</v>
      </c>
      <c r="AM158" s="72">
        <f>=H158*15.88</f>
        <v>952.8</v>
      </c>
    </row>
    <row r="159" spans="1:39">
      <c r="A159" s="24" t="s">
        <v>1488</v>
      </c>
      <c r="B159" s="24" t="s">
        <v>1489</v>
      </c>
      <c r="C159" s="24" t="s">
        <v>1490</v>
      </c>
      <c r="D159" s="24">
        <v>900011441</v>
      </c>
      <c r="E159" s="24">
        <v>11441</v>
      </c>
      <c r="F159" s="24">
        <v>6743</v>
      </c>
      <c r="G159" s="24">
        <v>79</v>
      </c>
      <c r="H159" s="24">
        <v>54</v>
      </c>
      <c r="I159" s="25">
        <v>0.5</v>
      </c>
      <c r="J159" s="24">
        <v>2958</v>
      </c>
      <c r="K159" s="24" t="b">
        <v>1</v>
      </c>
      <c r="L159" s="25">
        <v>0</v>
      </c>
      <c r="M159" s="47">
        <v>0</v>
      </c>
      <c r="N159" s="25">
        <v>0.1</v>
      </c>
      <c r="O159" s="47">
        <v>10</v>
      </c>
      <c r="P159" s="25">
        <v>0.5</v>
      </c>
      <c r="Q159" s="24">
        <v>2</v>
      </c>
      <c r="R159" s="24">
        <v>3</v>
      </c>
      <c r="S159" s="25">
        <v>0.5</v>
      </c>
      <c r="T159" s="24">
        <v>0</v>
      </c>
      <c r="U159" s="24">
        <v>0.2</v>
      </c>
      <c r="V159" s="24">
        <v>-0.2</v>
      </c>
      <c r="W159" s="24">
        <v>0</v>
      </c>
      <c r="X159" s="24">
        <v>0</v>
      </c>
      <c r="Y159" s="24">
        <v>0</v>
      </c>
      <c r="Z159" s="24">
        <v>0.2</v>
      </c>
      <c r="AA159" s="24">
        <v>-0.2</v>
      </c>
      <c r="AB159" s="24">
        <v>0</v>
      </c>
      <c r="AC159" s="24">
        <v>0</v>
      </c>
      <c r="AD159" s="24">
        <v>0</v>
      </c>
      <c r="AE159" s="24">
        <v>0.2</v>
      </c>
      <c r="AF159" s="24">
        <v>-0.2</v>
      </c>
      <c r="AG159" s="24">
        <v>0</v>
      </c>
      <c r="AH159" s="24">
        <v>0</v>
      </c>
      <c r="AI159" s="16">
        <v>3</v>
      </c>
      <c r="AJ159" s="72">
        <f>=F159*247.95</f>
        <v>1671926.85</v>
      </c>
      <c r="AK159" s="72">
        <f>=G159*32.6061</f>
        <v>2575.8819</v>
      </c>
      <c r="AL159" s="72">
        <f>=J159*2.35</f>
        <v>6951.3</v>
      </c>
      <c r="AM159" s="72">
        <f>=H159*15.88</f>
        <v>857.52</v>
      </c>
    </row>
    <row r="160" spans="1:39">
      <c r="A160" s="24" t="s">
        <v>1488</v>
      </c>
      <c r="B160" s="24" t="s">
        <v>1489</v>
      </c>
      <c r="C160" s="24" t="s">
        <v>1490</v>
      </c>
      <c r="D160" s="24">
        <v>900011442</v>
      </c>
      <c r="E160" s="24">
        <v>11442</v>
      </c>
      <c r="F160" s="24">
        <v>6996</v>
      </c>
      <c r="G160" s="24">
        <v>91</v>
      </c>
      <c r="H160" s="24">
        <v>54</v>
      </c>
      <c r="I160" s="25">
        <v>0.5</v>
      </c>
      <c r="J160" s="24">
        <v>3429</v>
      </c>
      <c r="K160" s="24" t="b">
        <v>1</v>
      </c>
      <c r="L160" s="25">
        <v>0</v>
      </c>
      <c r="M160" s="47">
        <v>0</v>
      </c>
      <c r="N160" s="25">
        <v>0.1</v>
      </c>
      <c r="O160" s="47">
        <v>10</v>
      </c>
      <c r="P160" s="25">
        <v>0.5</v>
      </c>
      <c r="Q160" s="24">
        <v>2</v>
      </c>
      <c r="R160" s="24">
        <v>5</v>
      </c>
      <c r="S160" s="25">
        <v>0.5</v>
      </c>
      <c r="T160" s="24">
        <v>0</v>
      </c>
      <c r="U160" s="24">
        <v>0.2</v>
      </c>
      <c r="V160" s="24">
        <v>-0.2</v>
      </c>
      <c r="W160" s="24">
        <v>0</v>
      </c>
      <c r="X160" s="24">
        <v>0</v>
      </c>
      <c r="Y160" s="24">
        <v>0</v>
      </c>
      <c r="Z160" s="24">
        <v>0.2</v>
      </c>
      <c r="AA160" s="24">
        <v>-0.2</v>
      </c>
      <c r="AB160" s="24">
        <v>0</v>
      </c>
      <c r="AC160" s="24">
        <v>0</v>
      </c>
      <c r="AD160" s="24">
        <v>0</v>
      </c>
      <c r="AE160" s="24">
        <v>0.2</v>
      </c>
      <c r="AF160" s="24">
        <v>-0.2</v>
      </c>
      <c r="AG160" s="24">
        <v>0</v>
      </c>
      <c r="AH160" s="24">
        <v>0</v>
      </c>
      <c r="AI160" s="16">
        <v>3</v>
      </c>
      <c r="AJ160" s="72">
        <f>=F160*247.95</f>
        <v>1734658.2</v>
      </c>
      <c r="AK160" s="72">
        <f>=G160*32.6061</f>
        <v>2967.1551</v>
      </c>
      <c r="AL160" s="72">
        <f>=J160*2.35</f>
        <v>8058.15</v>
      </c>
      <c r="AM160" s="72">
        <f>=H160*15.88</f>
        <v>857.52</v>
      </c>
    </row>
    <row r="161" spans="1:39">
      <c r="A161" s="24" t="s">
        <v>1493</v>
      </c>
      <c r="B161" s="24" t="s">
        <v>1494</v>
      </c>
      <c r="C161" s="24" t="s">
        <v>1495</v>
      </c>
      <c r="D161" s="24">
        <v>900011443</v>
      </c>
      <c r="E161" s="24">
        <v>11443</v>
      </c>
      <c r="F161" s="24">
        <v>6743</v>
      </c>
      <c r="G161" s="24">
        <v>79</v>
      </c>
      <c r="H161" s="24">
        <v>54</v>
      </c>
      <c r="I161" s="25">
        <v>0.5</v>
      </c>
      <c r="J161" s="24">
        <v>2958</v>
      </c>
      <c r="K161" s="24" t="b">
        <v>1</v>
      </c>
      <c r="L161" s="25">
        <v>0</v>
      </c>
      <c r="M161" s="47">
        <v>0</v>
      </c>
      <c r="N161" s="25">
        <v>0.1</v>
      </c>
      <c r="O161" s="47">
        <v>10</v>
      </c>
      <c r="P161" s="25">
        <v>0.5</v>
      </c>
      <c r="Q161" s="24">
        <v>2</v>
      </c>
      <c r="R161" s="24">
        <v>3</v>
      </c>
      <c r="S161" s="25">
        <v>0.5</v>
      </c>
      <c r="T161" s="24">
        <v>0</v>
      </c>
      <c r="U161" s="24">
        <v>-0.2</v>
      </c>
      <c r="V161" s="24">
        <v>0</v>
      </c>
      <c r="W161" s="24">
        <v>-0.2</v>
      </c>
      <c r="X161" s="24">
        <v>0.2</v>
      </c>
      <c r="Y161" s="24">
        <v>0</v>
      </c>
      <c r="Z161" s="24">
        <v>-0.2</v>
      </c>
      <c r="AA161" s="24">
        <v>0</v>
      </c>
      <c r="AB161" s="24">
        <v>-0.2</v>
      </c>
      <c r="AC161" s="24">
        <v>0.2</v>
      </c>
      <c r="AD161" s="24">
        <v>0</v>
      </c>
      <c r="AE161" s="24">
        <v>-0.2</v>
      </c>
      <c r="AF161" s="24">
        <v>0</v>
      </c>
      <c r="AG161" s="24">
        <v>-0.2</v>
      </c>
      <c r="AH161" s="24">
        <v>0.2</v>
      </c>
      <c r="AI161" s="16">
        <v>3</v>
      </c>
      <c r="AJ161" s="72">
        <f>=F161*247.95</f>
        <v>1671926.85</v>
      </c>
      <c r="AK161" s="72">
        <f>=G161*32.6061</f>
        <v>2575.8819</v>
      </c>
      <c r="AL161" s="72">
        <f>=J161*2.35</f>
        <v>6951.3</v>
      </c>
      <c r="AM161" s="72">
        <f>=H161*15.88</f>
        <v>857.52</v>
      </c>
    </row>
    <row r="162" spans="1:39">
      <c r="A162" s="24" t="s">
        <v>1493</v>
      </c>
      <c r="B162" s="24" t="s">
        <v>1494</v>
      </c>
      <c r="C162" s="24" t="s">
        <v>1495</v>
      </c>
      <c r="D162" s="24">
        <v>900011444</v>
      </c>
      <c r="E162" s="24">
        <v>11444</v>
      </c>
      <c r="F162" s="24">
        <v>6996</v>
      </c>
      <c r="G162" s="24">
        <v>91</v>
      </c>
      <c r="H162" s="24">
        <v>54</v>
      </c>
      <c r="I162" s="25">
        <v>0.5</v>
      </c>
      <c r="J162" s="24">
        <v>3429</v>
      </c>
      <c r="K162" s="24" t="b">
        <v>1</v>
      </c>
      <c r="L162" s="25">
        <v>0</v>
      </c>
      <c r="M162" s="47">
        <v>0</v>
      </c>
      <c r="N162" s="25">
        <v>0.1</v>
      </c>
      <c r="O162" s="47">
        <v>10</v>
      </c>
      <c r="P162" s="25">
        <v>0.5</v>
      </c>
      <c r="Q162" s="24">
        <v>2</v>
      </c>
      <c r="R162" s="24">
        <v>5</v>
      </c>
      <c r="S162" s="25">
        <v>0.5</v>
      </c>
      <c r="T162" s="24">
        <v>0</v>
      </c>
      <c r="U162" s="24">
        <v>-0.2</v>
      </c>
      <c r="V162" s="24">
        <v>0</v>
      </c>
      <c r="W162" s="24">
        <v>-0.2</v>
      </c>
      <c r="X162" s="24">
        <v>0.2</v>
      </c>
      <c r="Y162" s="24">
        <v>0</v>
      </c>
      <c r="Z162" s="24">
        <v>-0.2</v>
      </c>
      <c r="AA162" s="24">
        <v>0</v>
      </c>
      <c r="AB162" s="24">
        <v>-0.2</v>
      </c>
      <c r="AC162" s="24">
        <v>0.2</v>
      </c>
      <c r="AD162" s="24">
        <v>0</v>
      </c>
      <c r="AE162" s="24">
        <v>-0.2</v>
      </c>
      <c r="AF162" s="24">
        <v>0</v>
      </c>
      <c r="AG162" s="24">
        <v>-0.2</v>
      </c>
      <c r="AH162" s="24">
        <v>0.2</v>
      </c>
      <c r="AI162" s="16">
        <v>3</v>
      </c>
      <c r="AJ162" s="72">
        <f>=F162*247.95</f>
        <v>1734658.2</v>
      </c>
      <c r="AK162" s="72">
        <f>=G162*32.6061</f>
        <v>2967.1551</v>
      </c>
      <c r="AL162" s="72">
        <f>=J162*2.35</f>
        <v>8058.15</v>
      </c>
      <c r="AM162" s="72">
        <f>=H162*15.88</f>
        <v>857.52</v>
      </c>
    </row>
    <row r="163" spans="1:39">
      <c r="A163" s="24" t="s">
        <v>1498</v>
      </c>
      <c r="B163" s="24" t="s">
        <v>1499</v>
      </c>
      <c r="C163" s="24" t="s">
        <v>1500</v>
      </c>
      <c r="D163" s="24">
        <v>900011451</v>
      </c>
      <c r="E163" s="24">
        <v>11451</v>
      </c>
      <c r="F163" s="24">
        <v>8480</v>
      </c>
      <c r="G163" s="24">
        <v>97</v>
      </c>
      <c r="H163" s="24">
        <v>54</v>
      </c>
      <c r="I163" s="25">
        <v>0.5</v>
      </c>
      <c r="J163" s="24">
        <v>2958</v>
      </c>
      <c r="K163" s="24" t="b">
        <v>1</v>
      </c>
      <c r="L163" s="25">
        <v>0</v>
      </c>
      <c r="M163" s="47">
        <v>0</v>
      </c>
      <c r="N163" s="25">
        <v>0.1</v>
      </c>
      <c r="O163" s="47">
        <v>10</v>
      </c>
      <c r="P163" s="25">
        <v>1</v>
      </c>
      <c r="Q163" s="24">
        <v>2</v>
      </c>
      <c r="R163" s="24">
        <v>3</v>
      </c>
      <c r="S163" s="25">
        <v>0.5</v>
      </c>
      <c r="T163" s="24">
        <v>0</v>
      </c>
      <c r="U163" s="24">
        <v>0.2</v>
      </c>
      <c r="V163" s="24">
        <v>-0.2</v>
      </c>
      <c r="W163" s="24">
        <v>0</v>
      </c>
      <c r="X163" s="24">
        <v>0</v>
      </c>
      <c r="Y163" s="24">
        <v>0</v>
      </c>
      <c r="Z163" s="24">
        <v>0.2</v>
      </c>
      <c r="AA163" s="24">
        <v>-0.2</v>
      </c>
      <c r="AB163" s="24">
        <v>0</v>
      </c>
      <c r="AC163" s="24">
        <v>0</v>
      </c>
      <c r="AD163" s="24">
        <v>0</v>
      </c>
      <c r="AE163" s="24">
        <v>0.2</v>
      </c>
      <c r="AF163" s="24">
        <v>-0.2</v>
      </c>
      <c r="AG163" s="24">
        <v>0</v>
      </c>
      <c r="AH163" s="24">
        <v>0</v>
      </c>
      <c r="AI163" s="16">
        <v>3</v>
      </c>
      <c r="AJ163" s="72">
        <f>=F163*247.95</f>
        <v>2102616</v>
      </c>
      <c r="AK163" s="72">
        <f>=G163*32.6061</f>
        <v>3162.7917</v>
      </c>
      <c r="AL163" s="72">
        <f>=J163*2.35</f>
        <v>6951.3</v>
      </c>
      <c r="AM163" s="72">
        <f>=H163*15.88</f>
        <v>857.52</v>
      </c>
    </row>
    <row r="164" spans="1:39">
      <c r="A164" s="24" t="s">
        <v>1498</v>
      </c>
      <c r="B164" s="24" t="s">
        <v>1499</v>
      </c>
      <c r="C164" s="24" t="s">
        <v>1500</v>
      </c>
      <c r="D164" s="24">
        <v>900011452</v>
      </c>
      <c r="E164" s="24">
        <v>11452</v>
      </c>
      <c r="F164" s="24">
        <v>8734</v>
      </c>
      <c r="G164" s="24">
        <v>111</v>
      </c>
      <c r="H164" s="24">
        <v>54</v>
      </c>
      <c r="I164" s="25">
        <v>0.5</v>
      </c>
      <c r="J164" s="24">
        <v>3429</v>
      </c>
      <c r="K164" s="24" t="b">
        <v>1</v>
      </c>
      <c r="L164" s="25">
        <v>0</v>
      </c>
      <c r="M164" s="47">
        <v>0</v>
      </c>
      <c r="N164" s="25">
        <v>0.1</v>
      </c>
      <c r="O164" s="47">
        <v>10</v>
      </c>
      <c r="P164" s="25">
        <v>1</v>
      </c>
      <c r="Q164" s="24">
        <v>2</v>
      </c>
      <c r="R164" s="24">
        <v>5</v>
      </c>
      <c r="S164" s="25">
        <v>0.5</v>
      </c>
      <c r="T164" s="24">
        <v>0</v>
      </c>
      <c r="U164" s="24">
        <v>0.2</v>
      </c>
      <c r="V164" s="24">
        <v>-0.2</v>
      </c>
      <c r="W164" s="24">
        <v>0</v>
      </c>
      <c r="X164" s="24">
        <v>0</v>
      </c>
      <c r="Y164" s="24">
        <v>0</v>
      </c>
      <c r="Z164" s="24">
        <v>0.2</v>
      </c>
      <c r="AA164" s="24">
        <v>-0.2</v>
      </c>
      <c r="AB164" s="24">
        <v>0</v>
      </c>
      <c r="AC164" s="24">
        <v>0</v>
      </c>
      <c r="AD164" s="24">
        <v>0</v>
      </c>
      <c r="AE164" s="24">
        <v>0.2</v>
      </c>
      <c r="AF164" s="24">
        <v>-0.2</v>
      </c>
      <c r="AG164" s="24">
        <v>0</v>
      </c>
      <c r="AH164" s="24">
        <v>0</v>
      </c>
      <c r="AI164" s="16">
        <v>3</v>
      </c>
      <c r="AJ164" s="72">
        <f>=F164*247.95</f>
        <v>2165595.3</v>
      </c>
      <c r="AK164" s="72">
        <f>=G164*32.6061</f>
        <v>3619.2771</v>
      </c>
      <c r="AL164" s="72">
        <f>=J164*2.35</f>
        <v>8058.15</v>
      </c>
      <c r="AM164" s="72">
        <f>=H164*15.88</f>
        <v>857.52</v>
      </c>
    </row>
    <row r="165" spans="1:39">
      <c r="A165" s="24" t="s">
        <v>1501</v>
      </c>
      <c r="B165" s="24" t="s">
        <v>1502</v>
      </c>
      <c r="C165" s="24" t="s">
        <v>1503</v>
      </c>
      <c r="D165" s="24">
        <v>900011453</v>
      </c>
      <c r="E165" s="24">
        <v>11453</v>
      </c>
      <c r="F165" s="24">
        <v>19321</v>
      </c>
      <c r="G165" s="24">
        <v>120</v>
      </c>
      <c r="H165" s="24">
        <v>60</v>
      </c>
      <c r="I165" s="25">
        <v>0.5</v>
      </c>
      <c r="J165" s="24">
        <v>4508</v>
      </c>
      <c r="K165" s="24" t="b">
        <v>1</v>
      </c>
      <c r="L165" s="25">
        <v>0</v>
      </c>
      <c r="M165" s="47">
        <v>0</v>
      </c>
      <c r="N165" s="25">
        <v>0.0833</v>
      </c>
      <c r="O165" s="47">
        <v>12.0048</v>
      </c>
      <c r="P165" s="25">
        <v>0.5</v>
      </c>
      <c r="Q165" s="24">
        <v>3</v>
      </c>
      <c r="R165" s="24">
        <v>5</v>
      </c>
      <c r="S165" s="25">
        <v>0.75</v>
      </c>
      <c r="T165" s="24">
        <v>0</v>
      </c>
      <c r="U165" s="24">
        <v>0.2</v>
      </c>
      <c r="V165" s="24">
        <v>-0.2</v>
      </c>
      <c r="W165" s="24">
        <v>0</v>
      </c>
      <c r="X165" s="24">
        <v>0</v>
      </c>
      <c r="Y165" s="24">
        <v>0</v>
      </c>
      <c r="Z165" s="24">
        <v>0.2</v>
      </c>
      <c r="AA165" s="24">
        <v>-0.2</v>
      </c>
      <c r="AB165" s="24">
        <v>0</v>
      </c>
      <c r="AC165" s="24">
        <v>0</v>
      </c>
      <c r="AD165" s="24">
        <v>0</v>
      </c>
      <c r="AE165" s="24">
        <v>0.2</v>
      </c>
      <c r="AF165" s="24">
        <v>-0.2</v>
      </c>
      <c r="AG165" s="24">
        <v>0</v>
      </c>
      <c r="AH165" s="24">
        <v>0</v>
      </c>
      <c r="AI165" s="16">
        <v>5</v>
      </c>
      <c r="AJ165" s="72">
        <f>=F165*247.95</f>
        <v>4790641.95</v>
      </c>
      <c r="AK165" s="72">
        <f>=G165*32.6061</f>
        <v>3912.732</v>
      </c>
      <c r="AL165" s="72">
        <f>=J165*2.35</f>
        <v>10593.8</v>
      </c>
      <c r="AM165" s="72">
        <f>=H165*15.88</f>
        <v>952.8</v>
      </c>
    </row>
    <row r="166" spans="1:39">
      <c r="A166" s="24" t="s">
        <v>1505</v>
      </c>
      <c r="B166" s="24" t="s">
        <v>1506</v>
      </c>
      <c r="C166" s="24" t="s">
        <v>1507</v>
      </c>
      <c r="D166" s="24">
        <v>900011454</v>
      </c>
      <c r="E166" s="24">
        <v>11454</v>
      </c>
      <c r="F166" s="24">
        <v>8076</v>
      </c>
      <c r="G166" s="24">
        <v>92</v>
      </c>
      <c r="H166" s="24">
        <v>54</v>
      </c>
      <c r="I166" s="25">
        <v>0.5</v>
      </c>
      <c r="J166" s="24">
        <v>2817</v>
      </c>
      <c r="K166" s="24" t="b">
        <v>1</v>
      </c>
      <c r="L166" s="25">
        <v>0</v>
      </c>
      <c r="M166" s="47">
        <v>0</v>
      </c>
      <c r="N166" s="25">
        <v>0.1</v>
      </c>
      <c r="O166" s="47">
        <v>10</v>
      </c>
      <c r="P166" s="25">
        <v>1</v>
      </c>
      <c r="Q166" s="24">
        <v>2</v>
      </c>
      <c r="R166" s="24">
        <v>3</v>
      </c>
      <c r="S166" s="25">
        <v>0.5</v>
      </c>
      <c r="T166" s="24">
        <v>0</v>
      </c>
      <c r="U166" s="24">
        <v>-0.2</v>
      </c>
      <c r="V166" s="24">
        <v>0</v>
      </c>
      <c r="W166" s="24">
        <v>-0.2</v>
      </c>
      <c r="X166" s="24">
        <v>0.2</v>
      </c>
      <c r="Y166" s="24">
        <v>0</v>
      </c>
      <c r="Z166" s="24">
        <v>-0.2</v>
      </c>
      <c r="AA166" s="24">
        <v>0</v>
      </c>
      <c r="AB166" s="24">
        <v>-0.2</v>
      </c>
      <c r="AC166" s="24">
        <v>0.2</v>
      </c>
      <c r="AD166" s="24">
        <v>0</v>
      </c>
      <c r="AE166" s="24">
        <v>-0.2</v>
      </c>
      <c r="AF166" s="24">
        <v>0</v>
      </c>
      <c r="AG166" s="24">
        <v>-0.2</v>
      </c>
      <c r="AH166" s="24">
        <v>0.2</v>
      </c>
      <c r="AI166" s="16">
        <v>3</v>
      </c>
      <c r="AJ166" s="72">
        <f>=F166*247.95</f>
        <v>2002444.2</v>
      </c>
      <c r="AK166" s="72">
        <f>=G166*32.6061</f>
        <v>2999.7612</v>
      </c>
      <c r="AL166" s="72">
        <f>=J166*2.35</f>
        <v>6619.95</v>
      </c>
      <c r="AM166" s="72">
        <f>=H166*15.88</f>
        <v>857.52</v>
      </c>
    </row>
    <row r="167" spans="1:39">
      <c r="A167" s="24" t="s">
        <v>1505</v>
      </c>
      <c r="B167" s="24" t="s">
        <v>1506</v>
      </c>
      <c r="C167" s="24" t="s">
        <v>1507</v>
      </c>
      <c r="D167" s="24">
        <v>900011455</v>
      </c>
      <c r="E167" s="24">
        <v>11455</v>
      </c>
      <c r="F167" s="24">
        <v>8318</v>
      </c>
      <c r="G167" s="24">
        <v>106</v>
      </c>
      <c r="H167" s="24">
        <v>54</v>
      </c>
      <c r="I167" s="25">
        <v>0.5</v>
      </c>
      <c r="J167" s="24">
        <v>3266</v>
      </c>
      <c r="K167" s="24" t="b">
        <v>1</v>
      </c>
      <c r="L167" s="25">
        <v>0</v>
      </c>
      <c r="M167" s="47">
        <v>0</v>
      </c>
      <c r="N167" s="25">
        <v>0.1</v>
      </c>
      <c r="O167" s="47">
        <v>10</v>
      </c>
      <c r="P167" s="25">
        <v>1</v>
      </c>
      <c r="Q167" s="24">
        <v>2</v>
      </c>
      <c r="R167" s="24">
        <v>5</v>
      </c>
      <c r="S167" s="25">
        <v>0.5</v>
      </c>
      <c r="T167" s="24">
        <v>0</v>
      </c>
      <c r="U167" s="24">
        <v>-0.2</v>
      </c>
      <c r="V167" s="24">
        <v>0</v>
      </c>
      <c r="W167" s="24">
        <v>-0.2</v>
      </c>
      <c r="X167" s="24">
        <v>0.2</v>
      </c>
      <c r="Y167" s="24">
        <v>0</v>
      </c>
      <c r="Z167" s="24">
        <v>-0.2</v>
      </c>
      <c r="AA167" s="24">
        <v>0</v>
      </c>
      <c r="AB167" s="24">
        <v>-0.2</v>
      </c>
      <c r="AC167" s="24">
        <v>0.2</v>
      </c>
      <c r="AD167" s="24">
        <v>0</v>
      </c>
      <c r="AE167" s="24">
        <v>-0.2</v>
      </c>
      <c r="AF167" s="24">
        <v>0</v>
      </c>
      <c r="AG167" s="24">
        <v>-0.2</v>
      </c>
      <c r="AH167" s="24">
        <v>0.2</v>
      </c>
      <c r="AI167" s="16">
        <v>3</v>
      </c>
      <c r="AJ167" s="72">
        <f>=F167*247.95</f>
        <v>2062448.1</v>
      </c>
      <c r="AK167" s="72">
        <f>=G167*32.6061</f>
        <v>3456.2466</v>
      </c>
      <c r="AL167" s="72">
        <f>=J167*2.35</f>
        <v>7675.1</v>
      </c>
      <c r="AM167" s="72">
        <f>=H167*15.88</f>
        <v>857.52</v>
      </c>
    </row>
    <row r="168" spans="1:39">
      <c r="A168" s="24" t="s">
        <v>1508</v>
      </c>
      <c r="B168" s="24" t="s">
        <v>1509</v>
      </c>
      <c r="C168" s="24" t="s">
        <v>1510</v>
      </c>
      <c r="D168" s="24">
        <v>900011456</v>
      </c>
      <c r="E168" s="24">
        <v>11456</v>
      </c>
      <c r="F168" s="24">
        <v>19321</v>
      </c>
      <c r="G168" s="24">
        <v>120</v>
      </c>
      <c r="H168" s="24">
        <v>60</v>
      </c>
      <c r="I168" s="25">
        <v>0.5</v>
      </c>
      <c r="J168" s="24">
        <v>4508</v>
      </c>
      <c r="K168" s="24" t="b">
        <v>1</v>
      </c>
      <c r="L168" s="25">
        <v>0</v>
      </c>
      <c r="M168" s="47">
        <v>0</v>
      </c>
      <c r="N168" s="25">
        <v>0.0833</v>
      </c>
      <c r="O168" s="47">
        <v>12.0048</v>
      </c>
      <c r="P168" s="25">
        <v>0.5</v>
      </c>
      <c r="Q168" s="24">
        <v>3</v>
      </c>
      <c r="R168" s="24">
        <v>5</v>
      </c>
      <c r="S168" s="25">
        <v>0.75</v>
      </c>
      <c r="T168" s="24">
        <v>0</v>
      </c>
      <c r="U168" s="24">
        <v>-0.2</v>
      </c>
      <c r="V168" s="24">
        <v>0</v>
      </c>
      <c r="W168" s="24">
        <v>-0.2</v>
      </c>
      <c r="X168" s="24">
        <v>0.2</v>
      </c>
      <c r="Y168" s="24">
        <v>0</v>
      </c>
      <c r="Z168" s="24">
        <v>-0.2</v>
      </c>
      <c r="AA168" s="24">
        <v>0</v>
      </c>
      <c r="AB168" s="24">
        <v>-0.2</v>
      </c>
      <c r="AC168" s="24">
        <v>0.2</v>
      </c>
      <c r="AD168" s="24">
        <v>0</v>
      </c>
      <c r="AE168" s="24">
        <v>-0.2</v>
      </c>
      <c r="AF168" s="24">
        <v>0</v>
      </c>
      <c r="AG168" s="24">
        <v>-0.2</v>
      </c>
      <c r="AH168" s="24">
        <v>0.2</v>
      </c>
      <c r="AI168" s="16">
        <v>5</v>
      </c>
      <c r="AJ168" s="72">
        <f>=F168*247.95</f>
        <v>4790641.95</v>
      </c>
      <c r="AK168" s="72">
        <f>=G168*32.6061</f>
        <v>3912.732</v>
      </c>
      <c r="AL168" s="72">
        <f>=J168*2.35</f>
        <v>10593.8</v>
      </c>
      <c r="AM168" s="72">
        <f>=H168*15.88</f>
        <v>952.8</v>
      </c>
    </row>
    <row r="169" spans="1:39">
      <c r="A169" s="24" t="s">
        <v>1512</v>
      </c>
      <c r="B169" s="24" t="s">
        <v>1513</v>
      </c>
      <c r="C169" s="24" t="s">
        <v>1514</v>
      </c>
      <c r="D169" s="24">
        <v>900011461</v>
      </c>
      <c r="E169" s="24">
        <v>11461</v>
      </c>
      <c r="F169" s="24">
        <v>1240</v>
      </c>
      <c r="G169" s="24">
        <v>54</v>
      </c>
      <c r="H169" s="24">
        <v>36</v>
      </c>
      <c r="I169" s="25">
        <v>0.5</v>
      </c>
      <c r="J169" s="24">
        <v>600</v>
      </c>
      <c r="K169" s="24" t="b">
        <v>1</v>
      </c>
      <c r="L169" s="25">
        <v>0</v>
      </c>
      <c r="M169" s="47">
        <v>0</v>
      </c>
      <c r="N169" s="25">
        <v>0.5</v>
      </c>
      <c r="O169" s="47">
        <v>2</v>
      </c>
      <c r="P169" s="25">
        <v>1</v>
      </c>
      <c r="Q169" s="24">
        <v>1</v>
      </c>
      <c r="R169" s="24">
        <v>1</v>
      </c>
      <c r="S169" s="25">
        <v>0</v>
      </c>
      <c r="T169" s="24">
        <v>-0.2</v>
      </c>
      <c r="U169" s="24">
        <v>0</v>
      </c>
      <c r="V169" s="24">
        <v>0</v>
      </c>
      <c r="W169" s="24">
        <v>0</v>
      </c>
      <c r="X169" s="24">
        <v>-0.2</v>
      </c>
      <c r="Y169" s="24">
        <v>-0.2</v>
      </c>
      <c r="Z169" s="24">
        <v>0</v>
      </c>
      <c r="AA169" s="24">
        <v>0</v>
      </c>
      <c r="AB169" s="24">
        <v>0</v>
      </c>
      <c r="AC169" s="24">
        <v>-0.2</v>
      </c>
      <c r="AD169" s="24">
        <v>-0.2</v>
      </c>
      <c r="AE169" s="24">
        <v>0</v>
      </c>
      <c r="AF169" s="24">
        <v>0</v>
      </c>
      <c r="AG169" s="24">
        <v>0</v>
      </c>
      <c r="AH169" s="24">
        <v>-0.2</v>
      </c>
      <c r="AI169" s="16" t="s"/>
      <c r="AJ169" s="72">
        <f>=F169*247.95</f>
        <v>307458</v>
      </c>
      <c r="AK169" s="72">
        <f>=G169*32.6061</f>
        <v>1760.7294</v>
      </c>
      <c r="AL169" s="72">
        <f>=J169*2.35</f>
        <v>1410</v>
      </c>
      <c r="AM169" s="72">
        <f>=H169*15.88</f>
        <v>571.68</v>
      </c>
    </row>
    <row r="170" spans="1:39">
      <c r="A170" s="24" t="s">
        <v>1512</v>
      </c>
      <c r="B170" s="24" t="s">
        <v>1513</v>
      </c>
      <c r="C170" s="24" t="s">
        <v>1514</v>
      </c>
      <c r="D170" s="24">
        <v>900011462</v>
      </c>
      <c r="E170" s="24">
        <v>11462</v>
      </c>
      <c r="F170" s="24">
        <v>1615</v>
      </c>
      <c r="G170" s="24">
        <v>54</v>
      </c>
      <c r="H170" s="24">
        <v>36</v>
      </c>
      <c r="I170" s="25">
        <v>0.5</v>
      </c>
      <c r="J170" s="24">
        <v>900</v>
      </c>
      <c r="K170" s="24" t="b">
        <v>1</v>
      </c>
      <c r="L170" s="25">
        <v>0</v>
      </c>
      <c r="M170" s="47">
        <v>0</v>
      </c>
      <c r="N170" s="25">
        <v>0.5</v>
      </c>
      <c r="O170" s="47">
        <v>2</v>
      </c>
      <c r="P170" s="25">
        <v>1</v>
      </c>
      <c r="Q170" s="24">
        <v>1</v>
      </c>
      <c r="R170" s="24">
        <v>1</v>
      </c>
      <c r="S170" s="25">
        <v>0</v>
      </c>
      <c r="T170" s="24">
        <v>-0.2</v>
      </c>
      <c r="U170" s="24">
        <v>0</v>
      </c>
      <c r="V170" s="24">
        <v>0</v>
      </c>
      <c r="W170" s="24">
        <v>0</v>
      </c>
      <c r="X170" s="24">
        <v>-0.2</v>
      </c>
      <c r="Y170" s="24">
        <v>-0.2</v>
      </c>
      <c r="Z170" s="24">
        <v>0</v>
      </c>
      <c r="AA170" s="24">
        <v>0</v>
      </c>
      <c r="AB170" s="24">
        <v>0</v>
      </c>
      <c r="AC170" s="24">
        <v>-0.2</v>
      </c>
      <c r="AD170" s="24">
        <v>-0.2</v>
      </c>
      <c r="AE170" s="24">
        <v>0</v>
      </c>
      <c r="AF170" s="24">
        <v>0</v>
      </c>
      <c r="AG170" s="24">
        <v>0</v>
      </c>
      <c r="AH170" s="24">
        <v>-0.2</v>
      </c>
      <c r="AI170" s="16" t="s"/>
      <c r="AJ170" s="72">
        <f>=F170*247.95</f>
        <v>400439.25</v>
      </c>
      <c r="AK170" s="72">
        <f>=G170*32.6061</f>
        <v>1760.7294</v>
      </c>
      <c r="AL170" s="72">
        <f>=J170*2.35</f>
        <v>2115</v>
      </c>
      <c r="AM170" s="72">
        <f>=H170*15.88</f>
        <v>571.68</v>
      </c>
    </row>
    <row r="171" spans="1:39">
      <c r="A171" s="24" t="s">
        <v>1515</v>
      </c>
      <c r="B171" s="24" t="s">
        <v>1516</v>
      </c>
      <c r="C171" s="24" t="s">
        <v>1517</v>
      </c>
      <c r="D171" s="24">
        <v>900011463</v>
      </c>
      <c r="E171" s="24">
        <v>11463</v>
      </c>
      <c r="F171" s="24">
        <v>1240</v>
      </c>
      <c r="G171" s="24">
        <v>54</v>
      </c>
      <c r="H171" s="24">
        <v>36</v>
      </c>
      <c r="I171" s="25">
        <v>0.5</v>
      </c>
      <c r="J171" s="24">
        <v>600</v>
      </c>
      <c r="K171" s="24" t="b">
        <v>1</v>
      </c>
      <c r="L171" s="25">
        <v>0</v>
      </c>
      <c r="M171" s="47">
        <v>0</v>
      </c>
      <c r="N171" s="25">
        <v>0.5</v>
      </c>
      <c r="O171" s="47">
        <v>2</v>
      </c>
      <c r="P171" s="25">
        <v>1</v>
      </c>
      <c r="Q171" s="24">
        <v>1</v>
      </c>
      <c r="R171" s="24">
        <v>1</v>
      </c>
      <c r="S171" s="25">
        <v>0</v>
      </c>
      <c r="T171" s="24">
        <v>0</v>
      </c>
      <c r="U171" s="24">
        <v>-0.2</v>
      </c>
      <c r="V171" s="24">
        <v>0</v>
      </c>
      <c r="W171" s="24">
        <v>0</v>
      </c>
      <c r="X171" s="24">
        <v>0</v>
      </c>
      <c r="Y171" s="24">
        <v>0</v>
      </c>
      <c r="Z171" s="24">
        <v>-0.2</v>
      </c>
      <c r="AA171" s="24">
        <v>0</v>
      </c>
      <c r="AB171" s="24">
        <v>0</v>
      </c>
      <c r="AC171" s="24">
        <v>0</v>
      </c>
      <c r="AD171" s="24">
        <v>0</v>
      </c>
      <c r="AE171" s="24">
        <v>-0.2</v>
      </c>
      <c r="AF171" s="24">
        <v>0</v>
      </c>
      <c r="AG171" s="24">
        <v>0</v>
      </c>
      <c r="AH171" s="24">
        <v>0</v>
      </c>
      <c r="AI171" s="16" t="s"/>
      <c r="AJ171" s="72">
        <f>=F171*247.95</f>
        <v>307458</v>
      </c>
      <c r="AK171" s="72">
        <f>=G171*32.6061</f>
        <v>1760.7294</v>
      </c>
      <c r="AL171" s="72">
        <f>=J171*2.35</f>
        <v>1410</v>
      </c>
      <c r="AM171" s="72">
        <f>=H171*15.88</f>
        <v>571.68</v>
      </c>
    </row>
    <row r="172" spans="1:39">
      <c r="A172" s="24" t="s">
        <v>1515</v>
      </c>
      <c r="B172" s="24" t="s">
        <v>1516</v>
      </c>
      <c r="C172" s="24" t="s">
        <v>1517</v>
      </c>
      <c r="D172" s="24">
        <v>900011464</v>
      </c>
      <c r="E172" s="24">
        <v>11464</v>
      </c>
      <c r="F172" s="24">
        <v>1615</v>
      </c>
      <c r="G172" s="24">
        <v>54</v>
      </c>
      <c r="H172" s="24">
        <v>36</v>
      </c>
      <c r="I172" s="25">
        <v>0.5</v>
      </c>
      <c r="J172" s="24">
        <v>900</v>
      </c>
      <c r="K172" s="24" t="b">
        <v>1</v>
      </c>
      <c r="L172" s="25">
        <v>0</v>
      </c>
      <c r="M172" s="47">
        <v>0</v>
      </c>
      <c r="N172" s="25">
        <v>0.5</v>
      </c>
      <c r="O172" s="47">
        <v>2</v>
      </c>
      <c r="P172" s="25">
        <v>1</v>
      </c>
      <c r="Q172" s="24">
        <v>1</v>
      </c>
      <c r="R172" s="24">
        <v>1</v>
      </c>
      <c r="S172" s="25">
        <v>0</v>
      </c>
      <c r="T172" s="24">
        <v>0</v>
      </c>
      <c r="U172" s="24">
        <v>-0.2</v>
      </c>
      <c r="V172" s="24">
        <v>0</v>
      </c>
      <c r="W172" s="24">
        <v>0</v>
      </c>
      <c r="X172" s="24">
        <v>0</v>
      </c>
      <c r="Y172" s="24">
        <v>0</v>
      </c>
      <c r="Z172" s="24">
        <v>-0.2</v>
      </c>
      <c r="AA172" s="24">
        <v>0</v>
      </c>
      <c r="AB172" s="24">
        <v>0</v>
      </c>
      <c r="AC172" s="24">
        <v>0</v>
      </c>
      <c r="AD172" s="24">
        <v>0</v>
      </c>
      <c r="AE172" s="24">
        <v>-0.2</v>
      </c>
      <c r="AF172" s="24">
        <v>0</v>
      </c>
      <c r="AG172" s="24">
        <v>0</v>
      </c>
      <c r="AH172" s="24">
        <v>0</v>
      </c>
      <c r="AI172" s="16" t="s"/>
      <c r="AJ172" s="72">
        <f>=F172*247.95</f>
        <v>400439.25</v>
      </c>
      <c r="AK172" s="72">
        <f>=G172*32.6061</f>
        <v>1760.7294</v>
      </c>
      <c r="AL172" s="72">
        <f>=J172*2.35</f>
        <v>2115</v>
      </c>
      <c r="AM172" s="72">
        <f>=H172*15.88</f>
        <v>571.68</v>
      </c>
    </row>
    <row r="173" spans="1:39">
      <c r="A173" s="24" t="s">
        <v>1518</v>
      </c>
      <c r="B173" s="24" t="s">
        <v>1519</v>
      </c>
      <c r="C173" s="24" t="s">
        <v>1520</v>
      </c>
      <c r="D173" s="24">
        <v>900011471</v>
      </c>
      <c r="E173" s="24">
        <v>11471</v>
      </c>
      <c r="F173" s="24">
        <v>1123</v>
      </c>
      <c r="G173" s="24">
        <v>66</v>
      </c>
      <c r="H173" s="24">
        <v>40</v>
      </c>
      <c r="I173" s="25">
        <v>0.5</v>
      </c>
      <c r="J173" s="24">
        <v>600</v>
      </c>
      <c r="K173" s="24" t="b">
        <v>1</v>
      </c>
      <c r="L173" s="25">
        <v>0.05</v>
      </c>
      <c r="M173" s="47">
        <v>0</v>
      </c>
      <c r="N173" s="25">
        <v>0.1538</v>
      </c>
      <c r="O173" s="47">
        <v>6.501951</v>
      </c>
      <c r="P173" s="25">
        <v>0.5</v>
      </c>
      <c r="Q173" s="24">
        <v>1</v>
      </c>
      <c r="R173" s="24">
        <v>1</v>
      </c>
      <c r="S173" s="25">
        <v>0</v>
      </c>
      <c r="T173" s="24">
        <v>-0.2</v>
      </c>
      <c r="U173" s="24">
        <v>0</v>
      </c>
      <c r="V173" s="24">
        <v>0</v>
      </c>
      <c r="W173" s="24">
        <v>0</v>
      </c>
      <c r="X173" s="24">
        <v>-0.2</v>
      </c>
      <c r="Y173" s="24">
        <v>-0.2</v>
      </c>
      <c r="Z173" s="24">
        <v>0</v>
      </c>
      <c r="AA173" s="24">
        <v>0</v>
      </c>
      <c r="AB173" s="24">
        <v>0</v>
      </c>
      <c r="AC173" s="24">
        <v>-0.2</v>
      </c>
      <c r="AD173" s="24">
        <v>-0.2</v>
      </c>
      <c r="AE173" s="24">
        <v>0</v>
      </c>
      <c r="AF173" s="24">
        <v>0</v>
      </c>
      <c r="AG173" s="24">
        <v>0</v>
      </c>
      <c r="AH173" s="24">
        <v>-0.2</v>
      </c>
      <c r="AI173" s="16" t="s"/>
      <c r="AJ173" s="72">
        <f>=F173*247.95</f>
        <v>278447.85</v>
      </c>
      <c r="AK173" s="72">
        <f>=G173*32.6061</f>
        <v>2152.0026</v>
      </c>
      <c r="AL173" s="72">
        <f>=J173*2.35</f>
        <v>1410</v>
      </c>
      <c r="AM173" s="72">
        <f>=H173*15.88</f>
        <v>635.2</v>
      </c>
    </row>
    <row r="174" spans="1:39">
      <c r="A174" s="24" t="s">
        <v>1518</v>
      </c>
      <c r="B174" s="24" t="s">
        <v>1519</v>
      </c>
      <c r="C174" s="24" t="s">
        <v>1520</v>
      </c>
      <c r="D174" s="24">
        <v>900011472</v>
      </c>
      <c r="E174" s="24">
        <v>11472</v>
      </c>
      <c r="F174" s="24">
        <v>1373</v>
      </c>
      <c r="G174" s="24">
        <v>66</v>
      </c>
      <c r="H174" s="24">
        <v>40</v>
      </c>
      <c r="I174" s="25">
        <v>0.5</v>
      </c>
      <c r="J174" s="24">
        <v>900</v>
      </c>
      <c r="K174" s="24" t="b">
        <v>1</v>
      </c>
      <c r="L174" s="25">
        <v>0.05</v>
      </c>
      <c r="M174" s="47">
        <v>0</v>
      </c>
      <c r="N174" s="25">
        <v>0.1538</v>
      </c>
      <c r="O174" s="47">
        <v>6.501951</v>
      </c>
      <c r="P174" s="25">
        <v>0.5</v>
      </c>
      <c r="Q174" s="24">
        <v>1</v>
      </c>
      <c r="R174" s="24">
        <v>1</v>
      </c>
      <c r="S174" s="25">
        <v>0</v>
      </c>
      <c r="T174" s="24">
        <v>-0.2</v>
      </c>
      <c r="U174" s="24">
        <v>0</v>
      </c>
      <c r="V174" s="24">
        <v>0</v>
      </c>
      <c r="W174" s="24">
        <v>0</v>
      </c>
      <c r="X174" s="24">
        <v>-0.2</v>
      </c>
      <c r="Y174" s="24">
        <v>-0.2</v>
      </c>
      <c r="Z174" s="24">
        <v>0</v>
      </c>
      <c r="AA174" s="24">
        <v>0</v>
      </c>
      <c r="AB174" s="24">
        <v>0</v>
      </c>
      <c r="AC174" s="24">
        <v>-0.2</v>
      </c>
      <c r="AD174" s="24">
        <v>-0.2</v>
      </c>
      <c r="AE174" s="24">
        <v>0</v>
      </c>
      <c r="AF174" s="24">
        <v>0</v>
      </c>
      <c r="AG174" s="24">
        <v>0</v>
      </c>
      <c r="AH174" s="24">
        <v>-0.2</v>
      </c>
      <c r="AI174" s="16" t="s"/>
      <c r="AJ174" s="72">
        <f>=F174*247.95</f>
        <v>340435.35</v>
      </c>
      <c r="AK174" s="72">
        <f>=G174*32.6061</f>
        <v>2152.0026</v>
      </c>
      <c r="AL174" s="72">
        <f>=J174*2.35</f>
        <v>2115</v>
      </c>
      <c r="AM174" s="72">
        <f>=H174*15.88</f>
        <v>635.2</v>
      </c>
    </row>
    <row r="175" spans="1:39">
      <c r="A175" s="24" t="s">
        <v>1521</v>
      </c>
      <c r="B175" s="24" t="s">
        <v>1522</v>
      </c>
      <c r="C175" s="24" t="s">
        <v>1523</v>
      </c>
      <c r="D175" s="24">
        <v>900011473</v>
      </c>
      <c r="E175" s="24">
        <v>11473</v>
      </c>
      <c r="F175" s="24">
        <v>1123</v>
      </c>
      <c r="G175" s="24">
        <v>66</v>
      </c>
      <c r="H175" s="24">
        <v>40</v>
      </c>
      <c r="I175" s="25">
        <v>0.5</v>
      </c>
      <c r="J175" s="24">
        <v>600</v>
      </c>
      <c r="K175" s="24" t="b">
        <v>1</v>
      </c>
      <c r="L175" s="25">
        <v>0.05</v>
      </c>
      <c r="M175" s="47">
        <v>0</v>
      </c>
      <c r="N175" s="25">
        <v>0.1538</v>
      </c>
      <c r="O175" s="47">
        <v>6.501951</v>
      </c>
      <c r="P175" s="25">
        <v>0.5</v>
      </c>
      <c r="Q175" s="24">
        <v>1</v>
      </c>
      <c r="R175" s="24">
        <v>1</v>
      </c>
      <c r="S175" s="25">
        <v>0</v>
      </c>
      <c r="T175" s="24">
        <v>0</v>
      </c>
      <c r="U175" s="24">
        <v>-0.2</v>
      </c>
      <c r="V175" s="24">
        <v>0</v>
      </c>
      <c r="W175" s="24">
        <v>0</v>
      </c>
      <c r="X175" s="24">
        <v>0</v>
      </c>
      <c r="Y175" s="24">
        <v>0</v>
      </c>
      <c r="Z175" s="24">
        <v>-0.2</v>
      </c>
      <c r="AA175" s="24">
        <v>0</v>
      </c>
      <c r="AB175" s="24">
        <v>0</v>
      </c>
      <c r="AC175" s="24">
        <v>0</v>
      </c>
      <c r="AD175" s="24">
        <v>0</v>
      </c>
      <c r="AE175" s="24">
        <v>-0.2</v>
      </c>
      <c r="AF175" s="24">
        <v>0</v>
      </c>
      <c r="AG175" s="24">
        <v>0</v>
      </c>
      <c r="AH175" s="24">
        <v>0</v>
      </c>
      <c r="AI175" s="16" t="s"/>
      <c r="AJ175" s="72">
        <f>=F175*247.95</f>
        <v>278447.85</v>
      </c>
      <c r="AK175" s="72">
        <f>=G175*32.6061</f>
        <v>2152.0026</v>
      </c>
      <c r="AL175" s="72">
        <f>=J175*2.35</f>
        <v>1410</v>
      </c>
      <c r="AM175" s="72">
        <f>=H175*15.88</f>
        <v>635.2</v>
      </c>
    </row>
    <row r="176" spans="1:39">
      <c r="A176" s="24" t="s">
        <v>1521</v>
      </c>
      <c r="B176" s="24" t="s">
        <v>1522</v>
      </c>
      <c r="C176" s="24" t="s">
        <v>1523</v>
      </c>
      <c r="D176" s="24">
        <v>900011474</v>
      </c>
      <c r="E176" s="24">
        <v>11474</v>
      </c>
      <c r="F176" s="24">
        <v>1373</v>
      </c>
      <c r="G176" s="24">
        <v>66</v>
      </c>
      <c r="H176" s="24">
        <v>40</v>
      </c>
      <c r="I176" s="25">
        <v>0.5</v>
      </c>
      <c r="J176" s="24">
        <v>900</v>
      </c>
      <c r="K176" s="24" t="b">
        <v>1</v>
      </c>
      <c r="L176" s="25">
        <v>0.05</v>
      </c>
      <c r="M176" s="47">
        <v>0</v>
      </c>
      <c r="N176" s="25">
        <v>0.1538</v>
      </c>
      <c r="O176" s="47">
        <v>6.501951</v>
      </c>
      <c r="P176" s="25">
        <v>0.5</v>
      </c>
      <c r="Q176" s="24">
        <v>1</v>
      </c>
      <c r="R176" s="24">
        <v>1</v>
      </c>
      <c r="S176" s="25">
        <v>0</v>
      </c>
      <c r="T176" s="24">
        <v>0</v>
      </c>
      <c r="U176" s="24">
        <v>-0.2</v>
      </c>
      <c r="V176" s="24">
        <v>0</v>
      </c>
      <c r="W176" s="24">
        <v>0</v>
      </c>
      <c r="X176" s="24">
        <v>0</v>
      </c>
      <c r="Y176" s="24">
        <v>0</v>
      </c>
      <c r="Z176" s="24">
        <v>-0.2</v>
      </c>
      <c r="AA176" s="24">
        <v>0</v>
      </c>
      <c r="AB176" s="24">
        <v>0</v>
      </c>
      <c r="AC176" s="24">
        <v>0</v>
      </c>
      <c r="AD176" s="24">
        <v>0</v>
      </c>
      <c r="AE176" s="24">
        <v>-0.2</v>
      </c>
      <c r="AF176" s="24">
        <v>0</v>
      </c>
      <c r="AG176" s="24">
        <v>0</v>
      </c>
      <c r="AH176" s="24">
        <v>0</v>
      </c>
      <c r="AI176" s="16" t="s"/>
      <c r="AJ176" s="72">
        <f>=F176*247.95</f>
        <v>340435.35</v>
      </c>
      <c r="AK176" s="72">
        <f>=G176*32.6061</f>
        <v>2152.0026</v>
      </c>
      <c r="AL176" s="72">
        <f>=J176*2.35</f>
        <v>2115</v>
      </c>
      <c r="AM176" s="72">
        <f>=H176*15.88</f>
        <v>635.2</v>
      </c>
    </row>
    <row r="177" spans="1:39">
      <c r="A177" s="24" t="s">
        <v>1524</v>
      </c>
      <c r="B177" s="24" t="s">
        <v>1525</v>
      </c>
      <c r="C177" s="24" t="s">
        <v>1526</v>
      </c>
      <c r="D177" s="24">
        <v>900011481</v>
      </c>
      <c r="E177" s="24">
        <v>11481</v>
      </c>
      <c r="F177" s="24">
        <v>1123</v>
      </c>
      <c r="G177" s="24">
        <v>54</v>
      </c>
      <c r="H177" s="24">
        <v>40</v>
      </c>
      <c r="I177" s="25">
        <v>0.5</v>
      </c>
      <c r="J177" s="24">
        <v>600</v>
      </c>
      <c r="K177" s="24" t="b">
        <v>1</v>
      </c>
      <c r="L177" s="25">
        <v>0</v>
      </c>
      <c r="M177" s="47">
        <v>0</v>
      </c>
      <c r="N177" s="25">
        <v>0.1538</v>
      </c>
      <c r="O177" s="47">
        <v>6.501951</v>
      </c>
      <c r="P177" s="25">
        <v>0.5</v>
      </c>
      <c r="Q177" s="24">
        <v>1</v>
      </c>
      <c r="R177" s="24">
        <v>1</v>
      </c>
      <c r="S177" s="25">
        <v>0</v>
      </c>
      <c r="T177" s="24">
        <v>0</v>
      </c>
      <c r="U177" s="24">
        <v>-0.2</v>
      </c>
      <c r="V177" s="24">
        <v>0</v>
      </c>
      <c r="W177" s="24">
        <v>0</v>
      </c>
      <c r="X177" s="24">
        <v>0</v>
      </c>
      <c r="Y177" s="24">
        <v>0</v>
      </c>
      <c r="Z177" s="24">
        <v>-0.2</v>
      </c>
      <c r="AA177" s="24">
        <v>0</v>
      </c>
      <c r="AB177" s="24">
        <v>0</v>
      </c>
      <c r="AC177" s="24">
        <v>0</v>
      </c>
      <c r="AD177" s="24">
        <v>0</v>
      </c>
      <c r="AE177" s="24">
        <v>-0.2</v>
      </c>
      <c r="AF177" s="24">
        <v>0</v>
      </c>
      <c r="AG177" s="24">
        <v>0</v>
      </c>
      <c r="AH177" s="24">
        <v>0</v>
      </c>
      <c r="AI177" s="16" t="s"/>
      <c r="AJ177" s="72">
        <f>=F177*247.95</f>
        <v>278447.85</v>
      </c>
      <c r="AK177" s="72">
        <f>=G177*32.6061</f>
        <v>1760.7294</v>
      </c>
      <c r="AL177" s="72">
        <f>=J177*2.35</f>
        <v>1410</v>
      </c>
      <c r="AM177" s="72">
        <f>=H177*15.88</f>
        <v>635.2</v>
      </c>
    </row>
    <row r="178" spans="1:39">
      <c r="A178" s="24" t="s">
        <v>1524</v>
      </c>
      <c r="B178" s="24" t="s">
        <v>1525</v>
      </c>
      <c r="C178" s="24" t="s">
        <v>1526</v>
      </c>
      <c r="D178" s="24">
        <v>900011482</v>
      </c>
      <c r="E178" s="24">
        <v>11482</v>
      </c>
      <c r="F178" s="24">
        <v>1373</v>
      </c>
      <c r="G178" s="24">
        <v>54</v>
      </c>
      <c r="H178" s="24">
        <v>40</v>
      </c>
      <c r="I178" s="25">
        <v>0.5</v>
      </c>
      <c r="J178" s="24">
        <v>900</v>
      </c>
      <c r="K178" s="24" t="b">
        <v>1</v>
      </c>
      <c r="L178" s="25">
        <v>0</v>
      </c>
      <c r="M178" s="47">
        <v>0</v>
      </c>
      <c r="N178" s="25">
        <v>0.1538</v>
      </c>
      <c r="O178" s="47">
        <v>6.501951</v>
      </c>
      <c r="P178" s="25">
        <v>0.5</v>
      </c>
      <c r="Q178" s="24">
        <v>1</v>
      </c>
      <c r="R178" s="24">
        <v>1</v>
      </c>
      <c r="S178" s="25">
        <v>0</v>
      </c>
      <c r="T178" s="24">
        <v>0</v>
      </c>
      <c r="U178" s="24">
        <v>-0.2</v>
      </c>
      <c r="V178" s="24">
        <v>0</v>
      </c>
      <c r="W178" s="24">
        <v>0</v>
      </c>
      <c r="X178" s="24">
        <v>0</v>
      </c>
      <c r="Y178" s="24">
        <v>0</v>
      </c>
      <c r="Z178" s="24">
        <v>-0.2</v>
      </c>
      <c r="AA178" s="24">
        <v>0</v>
      </c>
      <c r="AB178" s="24">
        <v>0</v>
      </c>
      <c r="AC178" s="24">
        <v>0</v>
      </c>
      <c r="AD178" s="24">
        <v>0</v>
      </c>
      <c r="AE178" s="24">
        <v>-0.2</v>
      </c>
      <c r="AF178" s="24">
        <v>0</v>
      </c>
      <c r="AG178" s="24">
        <v>0</v>
      </c>
      <c r="AH178" s="24">
        <v>0</v>
      </c>
      <c r="AI178" s="16" t="s"/>
      <c r="AJ178" s="72">
        <f>=F178*247.95</f>
        <v>340435.35</v>
      </c>
      <c r="AK178" s="72">
        <f>=G178*32.6061</f>
        <v>1760.7294</v>
      </c>
      <c r="AL178" s="72">
        <f>=J178*2.35</f>
        <v>2115</v>
      </c>
      <c r="AM178" s="72">
        <f>=H178*15.88</f>
        <v>635.2</v>
      </c>
    </row>
    <row r="179" spans="1:39">
      <c r="A179" s="24" t="s">
        <v>1527</v>
      </c>
      <c r="B179" s="24" t="s">
        <v>1528</v>
      </c>
      <c r="C179" s="24" t="s">
        <v>1529</v>
      </c>
      <c r="D179" s="24">
        <v>900011491</v>
      </c>
      <c r="E179" s="24">
        <v>11491</v>
      </c>
      <c r="F179" s="24">
        <v>1123</v>
      </c>
      <c r="G179" s="24">
        <v>66</v>
      </c>
      <c r="H179" s="24">
        <v>40</v>
      </c>
      <c r="I179" s="25">
        <v>0.5</v>
      </c>
      <c r="J179" s="24">
        <v>600</v>
      </c>
      <c r="K179" s="24" t="b">
        <v>1</v>
      </c>
      <c r="L179" s="25">
        <v>0.05</v>
      </c>
      <c r="M179" s="47">
        <v>0</v>
      </c>
      <c r="N179" s="25">
        <v>0.1538</v>
      </c>
      <c r="O179" s="47">
        <v>6.501951</v>
      </c>
      <c r="P179" s="25">
        <v>0.5</v>
      </c>
      <c r="Q179" s="24">
        <v>1</v>
      </c>
      <c r="R179" s="24">
        <v>1</v>
      </c>
      <c r="S179" s="25">
        <v>0</v>
      </c>
      <c r="T179" s="24">
        <v>0</v>
      </c>
      <c r="U179" s="24">
        <v>-0.2</v>
      </c>
      <c r="V179" s="24">
        <v>0</v>
      </c>
      <c r="W179" s="24">
        <v>0</v>
      </c>
      <c r="X179" s="24">
        <v>0</v>
      </c>
      <c r="Y179" s="24">
        <v>0</v>
      </c>
      <c r="Z179" s="24">
        <v>-0.2</v>
      </c>
      <c r="AA179" s="24">
        <v>0</v>
      </c>
      <c r="AB179" s="24">
        <v>0</v>
      </c>
      <c r="AC179" s="24">
        <v>0</v>
      </c>
      <c r="AD179" s="24">
        <v>0</v>
      </c>
      <c r="AE179" s="24">
        <v>-0.2</v>
      </c>
      <c r="AF179" s="24">
        <v>0</v>
      </c>
      <c r="AG179" s="24">
        <v>0</v>
      </c>
      <c r="AH179" s="24">
        <v>0</v>
      </c>
      <c r="AI179" s="16" t="s"/>
      <c r="AJ179" s="72">
        <f>=F179*247.95</f>
        <v>278447.85</v>
      </c>
      <c r="AK179" s="72">
        <f>=G179*32.6061</f>
        <v>2152.0026</v>
      </c>
      <c r="AL179" s="72">
        <f>=J179*2.35</f>
        <v>1410</v>
      </c>
      <c r="AM179" s="72">
        <f>=H179*15.88</f>
        <v>635.2</v>
      </c>
    </row>
    <row r="180" spans="1:39">
      <c r="A180" s="24" t="s">
        <v>1527</v>
      </c>
      <c r="B180" s="24" t="s">
        <v>1528</v>
      </c>
      <c r="C180" s="24" t="s">
        <v>1529</v>
      </c>
      <c r="D180" s="24">
        <v>900011492</v>
      </c>
      <c r="E180" s="24">
        <v>11492</v>
      </c>
      <c r="F180" s="24">
        <v>1373</v>
      </c>
      <c r="G180" s="24">
        <v>66</v>
      </c>
      <c r="H180" s="24">
        <v>40</v>
      </c>
      <c r="I180" s="25">
        <v>0.5</v>
      </c>
      <c r="J180" s="24">
        <v>900</v>
      </c>
      <c r="K180" s="24" t="b">
        <v>1</v>
      </c>
      <c r="L180" s="25">
        <v>0.05</v>
      </c>
      <c r="M180" s="47">
        <v>0</v>
      </c>
      <c r="N180" s="25">
        <v>0.1538</v>
      </c>
      <c r="O180" s="47">
        <v>6.501951</v>
      </c>
      <c r="P180" s="25">
        <v>0.5</v>
      </c>
      <c r="Q180" s="24">
        <v>1</v>
      </c>
      <c r="R180" s="24">
        <v>1</v>
      </c>
      <c r="S180" s="25">
        <v>0</v>
      </c>
      <c r="T180" s="24">
        <v>0</v>
      </c>
      <c r="U180" s="24">
        <v>-0.2</v>
      </c>
      <c r="V180" s="24">
        <v>0</v>
      </c>
      <c r="W180" s="24">
        <v>0</v>
      </c>
      <c r="X180" s="24">
        <v>0</v>
      </c>
      <c r="Y180" s="24">
        <v>0</v>
      </c>
      <c r="Z180" s="24">
        <v>-0.2</v>
      </c>
      <c r="AA180" s="24">
        <v>0</v>
      </c>
      <c r="AB180" s="24">
        <v>0</v>
      </c>
      <c r="AC180" s="24">
        <v>0</v>
      </c>
      <c r="AD180" s="24">
        <v>0</v>
      </c>
      <c r="AE180" s="24">
        <v>-0.2</v>
      </c>
      <c r="AF180" s="24">
        <v>0</v>
      </c>
      <c r="AG180" s="24">
        <v>0</v>
      </c>
      <c r="AH180" s="24">
        <v>0</v>
      </c>
      <c r="AI180" s="16" t="s"/>
      <c r="AJ180" s="72">
        <f>=F180*247.95</f>
        <v>340435.35</v>
      </c>
      <c r="AK180" s="72">
        <f>=G180*32.6061</f>
        <v>2152.0026</v>
      </c>
      <c r="AL180" s="72">
        <f>=J180*2.35</f>
        <v>2115</v>
      </c>
      <c r="AM180" s="72">
        <f>=H180*15.88</f>
        <v>635.2</v>
      </c>
    </row>
    <row r="181" spans="1:39">
      <c r="A181" s="24" t="s">
        <v>1530</v>
      </c>
      <c r="B181" s="24" t="s">
        <v>1531</v>
      </c>
      <c r="C181" s="24" t="s">
        <v>1532</v>
      </c>
      <c r="D181" s="24">
        <v>900011501</v>
      </c>
      <c r="E181" s="24">
        <v>11501</v>
      </c>
      <c r="F181" s="24">
        <v>5780</v>
      </c>
      <c r="G181" s="24">
        <v>92</v>
      </c>
      <c r="H181" s="24">
        <v>50</v>
      </c>
      <c r="I181" s="25">
        <v>0.5</v>
      </c>
      <c r="J181" s="24">
        <v>2254</v>
      </c>
      <c r="K181" s="24" t="b">
        <v>1</v>
      </c>
      <c r="L181" s="25">
        <v>0</v>
      </c>
      <c r="M181" s="47">
        <v>0</v>
      </c>
      <c r="N181" s="25">
        <v>0.1</v>
      </c>
      <c r="O181" s="47">
        <v>10</v>
      </c>
      <c r="P181" s="25">
        <v>0.5</v>
      </c>
      <c r="Q181" s="24">
        <v>2</v>
      </c>
      <c r="R181" s="24">
        <v>3</v>
      </c>
      <c r="S181" s="25">
        <v>0.5</v>
      </c>
      <c r="T181" s="24">
        <v>0</v>
      </c>
      <c r="U181" s="24">
        <v>-0.2</v>
      </c>
      <c r="V181" s="24">
        <v>0.2</v>
      </c>
      <c r="W181" s="24">
        <v>0</v>
      </c>
      <c r="X181" s="24">
        <v>0</v>
      </c>
      <c r="Y181" s="24">
        <v>0</v>
      </c>
      <c r="Z181" s="24">
        <v>-0.2</v>
      </c>
      <c r="AA181" s="24">
        <v>0.2</v>
      </c>
      <c r="AB181" s="24">
        <v>0</v>
      </c>
      <c r="AC181" s="24">
        <v>0</v>
      </c>
      <c r="AD181" s="24">
        <v>0</v>
      </c>
      <c r="AE181" s="24">
        <v>-0.2</v>
      </c>
      <c r="AF181" s="24">
        <v>0.2</v>
      </c>
      <c r="AG181" s="24">
        <v>0</v>
      </c>
      <c r="AH181" s="24">
        <v>0</v>
      </c>
      <c r="AI181" s="16">
        <v>3</v>
      </c>
      <c r="AJ181" s="72">
        <f>=F181*247.95</f>
        <v>1433151</v>
      </c>
      <c r="AK181" s="72">
        <f>=G181*32.6061</f>
        <v>2999.7612</v>
      </c>
      <c r="AL181" s="72">
        <f>=J181*2.35</f>
        <v>5296.9</v>
      </c>
      <c r="AM181" s="72">
        <f>=H181*15.88</f>
        <v>794</v>
      </c>
    </row>
    <row r="182" spans="1:39">
      <c r="A182" s="24" t="s">
        <v>1530</v>
      </c>
      <c r="B182" s="24" t="s">
        <v>1531</v>
      </c>
      <c r="C182" s="24" t="s">
        <v>1532</v>
      </c>
      <c r="D182" s="24">
        <v>900011502</v>
      </c>
      <c r="E182" s="24">
        <v>11502</v>
      </c>
      <c r="F182" s="24">
        <v>5997</v>
      </c>
      <c r="G182" s="24">
        <v>106</v>
      </c>
      <c r="H182" s="24">
        <v>50</v>
      </c>
      <c r="I182" s="25">
        <v>0.5</v>
      </c>
      <c r="J182" s="24">
        <v>2613</v>
      </c>
      <c r="K182" s="24" t="b">
        <v>1</v>
      </c>
      <c r="L182" s="25">
        <v>0</v>
      </c>
      <c r="M182" s="47">
        <v>0</v>
      </c>
      <c r="N182" s="25">
        <v>0.1</v>
      </c>
      <c r="O182" s="47">
        <v>10</v>
      </c>
      <c r="P182" s="25">
        <v>0.5</v>
      </c>
      <c r="Q182" s="24">
        <v>2</v>
      </c>
      <c r="R182" s="24">
        <v>5</v>
      </c>
      <c r="S182" s="25">
        <v>0.5</v>
      </c>
      <c r="T182" s="24">
        <v>0</v>
      </c>
      <c r="U182" s="24">
        <v>-0.2</v>
      </c>
      <c r="V182" s="24">
        <v>0.2</v>
      </c>
      <c r="W182" s="24">
        <v>0</v>
      </c>
      <c r="X182" s="24">
        <v>0</v>
      </c>
      <c r="Y182" s="24">
        <v>0</v>
      </c>
      <c r="Z182" s="24">
        <v>-0.2</v>
      </c>
      <c r="AA182" s="24">
        <v>0.2</v>
      </c>
      <c r="AB182" s="24">
        <v>0</v>
      </c>
      <c r="AC182" s="24">
        <v>0</v>
      </c>
      <c r="AD182" s="24">
        <v>0</v>
      </c>
      <c r="AE182" s="24">
        <v>-0.2</v>
      </c>
      <c r="AF182" s="24">
        <v>0.2</v>
      </c>
      <c r="AG182" s="24">
        <v>0</v>
      </c>
      <c r="AH182" s="24">
        <v>0</v>
      </c>
      <c r="AI182" s="16">
        <v>3</v>
      </c>
      <c r="AJ182" s="72">
        <f>=F182*247.95</f>
        <v>1486956.15</v>
      </c>
      <c r="AK182" s="72">
        <f>=G182*32.6061</f>
        <v>3456.2466</v>
      </c>
      <c r="AL182" s="72">
        <f>=J182*2.35</f>
        <v>6140.55</v>
      </c>
      <c r="AM182" s="72">
        <f>=H182*15.88</f>
        <v>794</v>
      </c>
    </row>
    <row r="183" spans="1:39">
      <c r="A183" s="24" t="s">
        <v>1533</v>
      </c>
      <c r="B183" s="24" t="s">
        <v>1534</v>
      </c>
      <c r="C183" s="24" t="s">
        <v>1535</v>
      </c>
      <c r="D183" s="24">
        <v>900011511</v>
      </c>
      <c r="E183" s="24">
        <v>11511</v>
      </c>
      <c r="F183" s="24">
        <v>8480</v>
      </c>
      <c r="G183" s="24">
        <v>88</v>
      </c>
      <c r="H183" s="24">
        <v>50</v>
      </c>
      <c r="I183" s="25">
        <v>0.5</v>
      </c>
      <c r="J183" s="24">
        <v>2958</v>
      </c>
      <c r="K183" s="24" t="b">
        <v>1</v>
      </c>
      <c r="L183" s="25">
        <v>0</v>
      </c>
      <c r="M183" s="47">
        <v>0</v>
      </c>
      <c r="N183" s="25">
        <v>0.1</v>
      </c>
      <c r="O183" s="47">
        <v>10</v>
      </c>
      <c r="P183" s="25">
        <v>1</v>
      </c>
      <c r="Q183" s="24">
        <v>2</v>
      </c>
      <c r="R183" s="24">
        <v>3</v>
      </c>
      <c r="S183" s="25">
        <v>0.5</v>
      </c>
      <c r="T183" s="24">
        <v>0</v>
      </c>
      <c r="U183" s="24">
        <v>-0.2</v>
      </c>
      <c r="V183" s="24">
        <v>0.2</v>
      </c>
      <c r="W183" s="24">
        <v>0</v>
      </c>
      <c r="X183" s="24">
        <v>0</v>
      </c>
      <c r="Y183" s="24">
        <v>0</v>
      </c>
      <c r="Z183" s="24">
        <v>-0.2</v>
      </c>
      <c r="AA183" s="24">
        <v>0.2</v>
      </c>
      <c r="AB183" s="24">
        <v>0</v>
      </c>
      <c r="AC183" s="24">
        <v>0</v>
      </c>
      <c r="AD183" s="24">
        <v>0</v>
      </c>
      <c r="AE183" s="24">
        <v>-0.2</v>
      </c>
      <c r="AF183" s="24">
        <v>0.2</v>
      </c>
      <c r="AG183" s="24">
        <v>0</v>
      </c>
      <c r="AH183" s="24">
        <v>0</v>
      </c>
      <c r="AI183" s="16">
        <v>3</v>
      </c>
      <c r="AJ183" s="72">
        <f>=F183*247.95</f>
        <v>2102616</v>
      </c>
      <c r="AK183" s="72">
        <f>=G183*32.6061</f>
        <v>2869.3368</v>
      </c>
      <c r="AL183" s="72">
        <f>=J183*2.35</f>
        <v>6951.3</v>
      </c>
      <c r="AM183" s="72">
        <f>=H183*15.88</f>
        <v>794</v>
      </c>
    </row>
    <row r="184" spans="1:39">
      <c r="A184" s="24" t="s">
        <v>1533</v>
      </c>
      <c r="B184" s="24" t="s">
        <v>1534</v>
      </c>
      <c r="C184" s="24" t="s">
        <v>1535</v>
      </c>
      <c r="D184" s="24">
        <v>900011512</v>
      </c>
      <c r="E184" s="24">
        <v>11512</v>
      </c>
      <c r="F184" s="24">
        <v>8734</v>
      </c>
      <c r="G184" s="24">
        <v>101</v>
      </c>
      <c r="H184" s="24">
        <v>50</v>
      </c>
      <c r="I184" s="25">
        <v>0.5</v>
      </c>
      <c r="J184" s="24">
        <v>3429</v>
      </c>
      <c r="K184" s="24" t="b">
        <v>1</v>
      </c>
      <c r="L184" s="25">
        <v>0</v>
      </c>
      <c r="M184" s="47">
        <v>0</v>
      </c>
      <c r="N184" s="25">
        <v>0.1</v>
      </c>
      <c r="O184" s="47">
        <v>10</v>
      </c>
      <c r="P184" s="25">
        <v>1</v>
      </c>
      <c r="Q184" s="24">
        <v>2</v>
      </c>
      <c r="R184" s="24">
        <v>5</v>
      </c>
      <c r="S184" s="25">
        <v>0.5</v>
      </c>
      <c r="T184" s="24">
        <v>0</v>
      </c>
      <c r="U184" s="24">
        <v>-0.2</v>
      </c>
      <c r="V184" s="24">
        <v>0.2</v>
      </c>
      <c r="W184" s="24">
        <v>0</v>
      </c>
      <c r="X184" s="24">
        <v>0</v>
      </c>
      <c r="Y184" s="24">
        <v>0</v>
      </c>
      <c r="Z184" s="24">
        <v>-0.2</v>
      </c>
      <c r="AA184" s="24">
        <v>0.2</v>
      </c>
      <c r="AB184" s="24">
        <v>0</v>
      </c>
      <c r="AC184" s="24">
        <v>0</v>
      </c>
      <c r="AD184" s="24">
        <v>0</v>
      </c>
      <c r="AE184" s="24">
        <v>-0.2</v>
      </c>
      <c r="AF184" s="24">
        <v>0.2</v>
      </c>
      <c r="AG184" s="24">
        <v>0</v>
      </c>
      <c r="AH184" s="24">
        <v>0</v>
      </c>
      <c r="AI184" s="16">
        <v>3</v>
      </c>
      <c r="AJ184" s="72">
        <f>=F184*247.95</f>
        <v>2165595.3</v>
      </c>
      <c r="AK184" s="72">
        <f>=G184*32.6061</f>
        <v>3293.2161</v>
      </c>
      <c r="AL184" s="72">
        <f>=J184*2.35</f>
        <v>8058.15</v>
      </c>
      <c r="AM184" s="72">
        <f>=H184*15.88</f>
        <v>794</v>
      </c>
    </row>
    <row r="185" spans="1:39">
      <c r="A185" s="24" t="s">
        <v>1536</v>
      </c>
      <c r="B185" s="24" t="s">
        <v>1537</v>
      </c>
      <c r="C185" s="24" t="s">
        <v>1538</v>
      </c>
      <c r="D185" s="24">
        <v>900011521</v>
      </c>
      <c r="E185" s="24">
        <v>11521</v>
      </c>
      <c r="F185" s="24">
        <v>8045</v>
      </c>
      <c r="G185" s="24">
        <v>83</v>
      </c>
      <c r="H185" s="24">
        <v>45</v>
      </c>
      <c r="I185" s="25">
        <v>0.5</v>
      </c>
      <c r="J185" s="24">
        <v>3593</v>
      </c>
      <c r="K185" s="24" t="b">
        <v>1</v>
      </c>
      <c r="L185" s="25">
        <v>0</v>
      </c>
      <c r="M185" s="47">
        <v>0</v>
      </c>
      <c r="N185" s="25">
        <v>0.0769</v>
      </c>
      <c r="O185" s="47">
        <v>13.0039</v>
      </c>
      <c r="P185" s="25">
        <v>0.5</v>
      </c>
      <c r="Q185" s="24">
        <v>2</v>
      </c>
      <c r="R185" s="24">
        <v>5</v>
      </c>
      <c r="S185" s="25">
        <v>0.5</v>
      </c>
      <c r="T185" s="24">
        <v>0</v>
      </c>
      <c r="U185" s="24">
        <v>-0.2</v>
      </c>
      <c r="V185" s="24">
        <v>0.2</v>
      </c>
      <c r="W185" s="24">
        <v>0</v>
      </c>
      <c r="X185" s="24">
        <v>0</v>
      </c>
      <c r="Y185" s="24">
        <v>0</v>
      </c>
      <c r="Z185" s="24">
        <v>-0.2</v>
      </c>
      <c r="AA185" s="24">
        <v>0.2</v>
      </c>
      <c r="AB185" s="24">
        <v>0</v>
      </c>
      <c r="AC185" s="24">
        <v>0</v>
      </c>
      <c r="AD185" s="24">
        <v>0</v>
      </c>
      <c r="AE185" s="24">
        <v>-0.2</v>
      </c>
      <c r="AF185" s="24">
        <v>0.2</v>
      </c>
      <c r="AG185" s="24">
        <v>0</v>
      </c>
      <c r="AH185" s="24">
        <v>0</v>
      </c>
      <c r="AI185" s="16">
        <v>3</v>
      </c>
      <c r="AJ185" s="72">
        <f>=F185*247.95</f>
        <v>1994757.75</v>
      </c>
      <c r="AK185" s="72">
        <f>=G185*32.6061</f>
        <v>2706.3063</v>
      </c>
      <c r="AL185" s="72">
        <f>=J185*2.35</f>
        <v>8443.55</v>
      </c>
      <c r="AM185" s="72">
        <f>=H185*15.88</f>
        <v>714.6</v>
      </c>
    </row>
    <row r="186" spans="1:39">
      <c r="A186" s="24" t="s">
        <v>1536</v>
      </c>
      <c r="B186" s="24" t="s">
        <v>1537</v>
      </c>
      <c r="C186" s="24" t="s">
        <v>1538</v>
      </c>
      <c r="D186" s="24">
        <v>900011522</v>
      </c>
      <c r="E186" s="24">
        <v>11522</v>
      </c>
      <c r="F186" s="24">
        <v>8364</v>
      </c>
      <c r="G186" s="24">
        <v>95</v>
      </c>
      <c r="H186" s="24">
        <v>45</v>
      </c>
      <c r="I186" s="25">
        <v>0.5</v>
      </c>
      <c r="J186" s="24">
        <v>4184</v>
      </c>
      <c r="K186" s="24" t="b">
        <v>1</v>
      </c>
      <c r="L186" s="25">
        <v>0</v>
      </c>
      <c r="M186" s="47">
        <v>0</v>
      </c>
      <c r="N186" s="25">
        <v>0.0769</v>
      </c>
      <c r="O186" s="47">
        <v>13.0039</v>
      </c>
      <c r="P186" s="25">
        <v>0.5</v>
      </c>
      <c r="Q186" s="24">
        <v>2</v>
      </c>
      <c r="R186" s="24">
        <v>5</v>
      </c>
      <c r="S186" s="25">
        <v>0.5</v>
      </c>
      <c r="T186" s="24">
        <v>0</v>
      </c>
      <c r="U186" s="24">
        <v>-0.2</v>
      </c>
      <c r="V186" s="24">
        <v>0.2</v>
      </c>
      <c r="W186" s="24">
        <v>0</v>
      </c>
      <c r="X186" s="24">
        <v>0</v>
      </c>
      <c r="Y186" s="24">
        <v>0</v>
      </c>
      <c r="Z186" s="24">
        <v>-0.2</v>
      </c>
      <c r="AA186" s="24">
        <v>0.2</v>
      </c>
      <c r="AB186" s="24">
        <v>0</v>
      </c>
      <c r="AC186" s="24">
        <v>0</v>
      </c>
      <c r="AD186" s="24">
        <v>0</v>
      </c>
      <c r="AE186" s="24">
        <v>-0.2</v>
      </c>
      <c r="AF186" s="24">
        <v>0.2</v>
      </c>
      <c r="AG186" s="24">
        <v>0</v>
      </c>
      <c r="AH186" s="24">
        <v>0</v>
      </c>
      <c r="AI186" s="16">
        <v>3</v>
      </c>
      <c r="AJ186" s="72">
        <f>=F186*247.95</f>
        <v>2073853.8</v>
      </c>
      <c r="AK186" s="72">
        <f>=G186*32.6061</f>
        <v>3097.5795</v>
      </c>
      <c r="AL186" s="72">
        <f>=J186*2.35</f>
        <v>9832.4</v>
      </c>
      <c r="AM186" s="72">
        <f>=H186*15.88</f>
        <v>714.6</v>
      </c>
    </row>
    <row r="187" spans="1:39">
      <c r="A187" s="24" t="s">
        <v>1541</v>
      </c>
      <c r="B187" s="24" t="s">
        <v>1542</v>
      </c>
      <c r="C187" s="24" t="s">
        <v>14585</v>
      </c>
      <c r="D187" s="24">
        <v>900011531</v>
      </c>
      <c r="E187" s="24">
        <v>11531</v>
      </c>
      <c r="F187" s="24">
        <v>20312</v>
      </c>
      <c r="G187" s="24">
        <v>120</v>
      </c>
      <c r="H187" s="24">
        <v>60</v>
      </c>
      <c r="I187" s="25">
        <v>0.5</v>
      </c>
      <c r="J187" s="24">
        <v>8993</v>
      </c>
      <c r="K187" s="24" t="b">
        <v>1</v>
      </c>
      <c r="L187" s="25">
        <v>0</v>
      </c>
      <c r="M187" s="47">
        <v>0</v>
      </c>
      <c r="N187" s="25">
        <v>0.0833</v>
      </c>
      <c r="O187" s="47">
        <v>12.0048</v>
      </c>
      <c r="P187" s="25">
        <v>0.5</v>
      </c>
      <c r="Q187" s="24">
        <v>3</v>
      </c>
      <c r="R187" s="24">
        <v>99</v>
      </c>
      <c r="S187" s="25">
        <v>0.75</v>
      </c>
      <c r="T187" s="24">
        <v>0</v>
      </c>
      <c r="U187" s="24">
        <v>0</v>
      </c>
      <c r="V187" s="24">
        <v>0</v>
      </c>
      <c r="W187" s="24">
        <v>0</v>
      </c>
      <c r="X187" s="24">
        <v>0</v>
      </c>
      <c r="Y187" s="24">
        <v>0</v>
      </c>
      <c r="Z187" s="24">
        <v>0</v>
      </c>
      <c r="AA187" s="24">
        <v>0</v>
      </c>
      <c r="AB187" s="24">
        <v>0</v>
      </c>
      <c r="AC187" s="24">
        <v>0</v>
      </c>
      <c r="AD187" s="24">
        <v>0</v>
      </c>
      <c r="AE187" s="24">
        <v>0</v>
      </c>
      <c r="AF187" s="24">
        <v>0</v>
      </c>
      <c r="AG187" s="24">
        <v>0</v>
      </c>
      <c r="AH187" s="24">
        <v>0</v>
      </c>
      <c r="AI187" s="16">
        <v>5</v>
      </c>
      <c r="AJ187" s="72">
        <f>=F187*247.95</f>
        <v>5036360.4</v>
      </c>
      <c r="AK187" s="72">
        <f>=G187*32.6061</f>
        <v>3912.732</v>
      </c>
      <c r="AL187" s="72">
        <f>=J187*2.35</f>
        <v>21133.55</v>
      </c>
      <c r="AM187" s="72">
        <f>=H187*15.88</f>
        <v>952.8</v>
      </c>
    </row>
    <row r="188" spans="1:39">
      <c r="A188" s="24" t="s">
        <v>1550</v>
      </c>
      <c r="B188" s="24" t="s">
        <v>1551</v>
      </c>
      <c r="C188" s="24" t="s">
        <v>1552</v>
      </c>
      <c r="D188" s="24">
        <v>900011561</v>
      </c>
      <c r="E188" s="24">
        <v>11561</v>
      </c>
      <c r="F188" s="24">
        <v>1123</v>
      </c>
      <c r="G188" s="24">
        <v>60</v>
      </c>
      <c r="H188" s="24">
        <v>43</v>
      </c>
      <c r="I188" s="25">
        <v>0.5</v>
      </c>
      <c r="J188" s="24">
        <v>600</v>
      </c>
      <c r="K188" s="24" t="b">
        <v>1</v>
      </c>
      <c r="L188" s="25">
        <v>0</v>
      </c>
      <c r="M188" s="47">
        <v>0</v>
      </c>
      <c r="N188" s="25">
        <v>0.1538</v>
      </c>
      <c r="O188" s="47">
        <v>6.501951</v>
      </c>
      <c r="P188" s="25">
        <v>0.5</v>
      </c>
      <c r="Q188" s="24">
        <v>1</v>
      </c>
      <c r="R188" s="24">
        <v>1</v>
      </c>
      <c r="S188" s="25">
        <v>0</v>
      </c>
      <c r="T188" s="24">
        <v>0</v>
      </c>
      <c r="U188" s="24">
        <v>0</v>
      </c>
      <c r="V188" s="24">
        <v>0</v>
      </c>
      <c r="W188" s="24">
        <v>0</v>
      </c>
      <c r="X188" s="24">
        <v>0</v>
      </c>
      <c r="Y188" s="24">
        <v>0</v>
      </c>
      <c r="Z188" s="24">
        <v>0</v>
      </c>
      <c r="AA188" s="24">
        <v>0</v>
      </c>
      <c r="AB188" s="24">
        <v>0</v>
      </c>
      <c r="AC188" s="24">
        <v>0</v>
      </c>
      <c r="AD188" s="24">
        <v>0</v>
      </c>
      <c r="AE188" s="24">
        <v>0</v>
      </c>
      <c r="AF188" s="24">
        <v>0</v>
      </c>
      <c r="AG188" s="24">
        <v>0</v>
      </c>
      <c r="AH188" s="24">
        <v>0</v>
      </c>
      <c r="AI188" s="16">
        <v>2</v>
      </c>
      <c r="AJ188" s="72">
        <f>=F188*247.95</f>
        <v>278447.85</v>
      </c>
      <c r="AK188" s="72">
        <f>=G188*32.6061</f>
        <v>1956.366</v>
      </c>
      <c r="AL188" s="72">
        <f>=J188*2.35</f>
        <v>1410</v>
      </c>
      <c r="AM188" s="72">
        <f>=H188*15.88</f>
        <v>682.84</v>
      </c>
    </row>
    <row r="189" spans="1:39">
      <c r="A189" s="24" t="s">
        <v>1550</v>
      </c>
      <c r="B189" s="24" t="s">
        <v>1551</v>
      </c>
      <c r="C189" s="24" t="s">
        <v>1552</v>
      </c>
      <c r="D189" s="24">
        <v>900011562</v>
      </c>
      <c r="E189" s="24">
        <v>11562</v>
      </c>
      <c r="F189" s="24">
        <v>923</v>
      </c>
      <c r="G189" s="24">
        <v>60</v>
      </c>
      <c r="H189" s="24">
        <v>43</v>
      </c>
      <c r="I189" s="25">
        <v>0.5</v>
      </c>
      <c r="J189" s="24">
        <v>360</v>
      </c>
      <c r="K189" s="24" t="b">
        <v>1</v>
      </c>
      <c r="L189" s="25">
        <v>0</v>
      </c>
      <c r="M189" s="47">
        <v>0</v>
      </c>
      <c r="N189" s="25">
        <v>0.1538</v>
      </c>
      <c r="O189" s="47">
        <v>6.501951</v>
      </c>
      <c r="P189" s="25">
        <v>0.5</v>
      </c>
      <c r="Q189" s="24">
        <v>1</v>
      </c>
      <c r="R189" s="24">
        <v>1</v>
      </c>
      <c r="S189" s="25">
        <v>0</v>
      </c>
      <c r="T189" s="24">
        <v>0</v>
      </c>
      <c r="U189" s="24">
        <v>0</v>
      </c>
      <c r="V189" s="24">
        <v>0</v>
      </c>
      <c r="W189" s="24">
        <v>0</v>
      </c>
      <c r="X189" s="24">
        <v>0</v>
      </c>
      <c r="Y189" s="24">
        <v>0</v>
      </c>
      <c r="Z189" s="24">
        <v>0</v>
      </c>
      <c r="AA189" s="24">
        <v>0</v>
      </c>
      <c r="AB189" s="24">
        <v>0</v>
      </c>
      <c r="AC189" s="24">
        <v>0</v>
      </c>
      <c r="AD189" s="24">
        <v>0</v>
      </c>
      <c r="AE189" s="24">
        <v>0</v>
      </c>
      <c r="AF189" s="24">
        <v>0</v>
      </c>
      <c r="AG189" s="24">
        <v>0</v>
      </c>
      <c r="AH189" s="24">
        <v>0</v>
      </c>
      <c r="AI189" s="16">
        <v>2</v>
      </c>
      <c r="AJ189" s="72">
        <f>=F189*247.95</f>
        <v>228857.85</v>
      </c>
      <c r="AK189" s="72">
        <f>=G189*32.6061</f>
        <v>1956.366</v>
      </c>
      <c r="AL189" s="72">
        <f>=J189*2.35</f>
        <v>846</v>
      </c>
      <c r="AM189" s="72">
        <f>=H189*15.88</f>
        <v>682.84</v>
      </c>
    </row>
    <row r="190" spans="1:39">
      <c r="A190" s="24" t="s">
        <v>1559</v>
      </c>
      <c r="B190" s="24" t="s">
        <v>1560</v>
      </c>
      <c r="C190" s="24" t="s">
        <v>1561</v>
      </c>
      <c r="D190" s="24">
        <v>900011601</v>
      </c>
      <c r="E190" s="24">
        <v>11601</v>
      </c>
      <c r="F190" s="24">
        <v>9461</v>
      </c>
      <c r="G190" s="24">
        <v>83</v>
      </c>
      <c r="H190" s="24">
        <v>50</v>
      </c>
      <c r="I190" s="25">
        <v>0.5</v>
      </c>
      <c r="J190" s="24">
        <v>4437</v>
      </c>
      <c r="K190" s="24" t="b">
        <v>1</v>
      </c>
      <c r="L190" s="25">
        <v>0</v>
      </c>
      <c r="M190" s="47">
        <v>0</v>
      </c>
      <c r="N190" s="25">
        <v>0.1428</v>
      </c>
      <c r="O190" s="47">
        <v>7.002801</v>
      </c>
      <c r="P190" s="25">
        <v>1</v>
      </c>
      <c r="Q190" s="24">
        <v>2</v>
      </c>
      <c r="R190" s="24">
        <v>3</v>
      </c>
      <c r="S190" s="25">
        <v>0.5</v>
      </c>
      <c r="T190" s="24">
        <v>0.2</v>
      </c>
      <c r="U190" s="24">
        <v>-0.2</v>
      </c>
      <c r="V190" s="24">
        <v>0</v>
      </c>
      <c r="W190" s="24">
        <v>-0.2</v>
      </c>
      <c r="X190" s="24">
        <v>0</v>
      </c>
      <c r="Y190" s="24">
        <v>0.2</v>
      </c>
      <c r="Z190" s="24">
        <v>-0.2</v>
      </c>
      <c r="AA190" s="24">
        <v>0</v>
      </c>
      <c r="AB190" s="24">
        <v>-0.2</v>
      </c>
      <c r="AC190" s="24">
        <v>0</v>
      </c>
      <c r="AD190" s="24">
        <v>0.2</v>
      </c>
      <c r="AE190" s="24">
        <v>-0.2</v>
      </c>
      <c r="AF190" s="24">
        <v>0</v>
      </c>
      <c r="AG190" s="24">
        <v>-0.2</v>
      </c>
      <c r="AH190" s="24">
        <v>0</v>
      </c>
      <c r="AI190" s="16">
        <v>3</v>
      </c>
      <c r="AJ190" s="72">
        <f>=F190*247.95</f>
        <v>2345854.95</v>
      </c>
      <c r="AK190" s="72">
        <f>=G190*32.6061</f>
        <v>2706.3063</v>
      </c>
      <c r="AL190" s="72">
        <f>=J190*2.35</f>
        <v>10426.95</v>
      </c>
      <c r="AM190" s="72">
        <f>=H190*15.88</f>
        <v>794</v>
      </c>
    </row>
    <row r="191" spans="1:39">
      <c r="A191" s="24" t="s">
        <v>1563</v>
      </c>
      <c r="B191" s="24" t="s">
        <v>1564</v>
      </c>
      <c r="C191" s="24" t="s">
        <v>1565</v>
      </c>
      <c r="D191" s="24">
        <v>900011602</v>
      </c>
      <c r="E191" s="24">
        <v>11602</v>
      </c>
      <c r="F191" s="24">
        <v>9461</v>
      </c>
      <c r="G191" s="24">
        <v>83</v>
      </c>
      <c r="H191" s="24">
        <v>50</v>
      </c>
      <c r="I191" s="25">
        <v>0.5</v>
      </c>
      <c r="J191" s="24">
        <v>4437</v>
      </c>
      <c r="K191" s="24" t="b">
        <v>1</v>
      </c>
      <c r="L191" s="25">
        <v>0</v>
      </c>
      <c r="M191" s="47">
        <v>0</v>
      </c>
      <c r="N191" s="25">
        <v>0.1428</v>
      </c>
      <c r="O191" s="47">
        <v>7.002801</v>
      </c>
      <c r="P191" s="25">
        <v>1</v>
      </c>
      <c r="Q191" s="24">
        <v>2</v>
      </c>
      <c r="R191" s="24">
        <v>3</v>
      </c>
      <c r="S191" s="25">
        <v>0.5</v>
      </c>
      <c r="T191" s="24">
        <v>0.2</v>
      </c>
      <c r="U191" s="24">
        <v>-0.2</v>
      </c>
      <c r="V191" s="24">
        <v>0</v>
      </c>
      <c r="W191" s="24">
        <v>-0.2</v>
      </c>
      <c r="X191" s="24">
        <v>0</v>
      </c>
      <c r="Y191" s="24">
        <v>0.2</v>
      </c>
      <c r="Z191" s="24">
        <v>-0.2</v>
      </c>
      <c r="AA191" s="24">
        <v>0</v>
      </c>
      <c r="AB191" s="24">
        <v>-0.2</v>
      </c>
      <c r="AC191" s="24">
        <v>0</v>
      </c>
      <c r="AD191" s="24">
        <v>0.2</v>
      </c>
      <c r="AE191" s="24">
        <v>-0.2</v>
      </c>
      <c r="AF191" s="24">
        <v>0</v>
      </c>
      <c r="AG191" s="24">
        <v>-0.2</v>
      </c>
      <c r="AH191" s="24">
        <v>0</v>
      </c>
      <c r="AI191" s="16">
        <v>3</v>
      </c>
      <c r="AJ191" s="72">
        <f>=F191*247.95</f>
        <v>2345854.95</v>
      </c>
      <c r="AK191" s="72">
        <f>=G191*32.6061</f>
        <v>2706.3063</v>
      </c>
      <c r="AL191" s="72">
        <f>=J191*2.35</f>
        <v>10426.95</v>
      </c>
      <c r="AM191" s="72">
        <f>=H191*15.88</f>
        <v>794</v>
      </c>
    </row>
    <row r="192" spans="1:39">
      <c r="A192" s="24" t="s">
        <v>1563</v>
      </c>
      <c r="B192" s="24" t="s">
        <v>1564</v>
      </c>
      <c r="C192" s="24" t="s">
        <v>1565</v>
      </c>
      <c r="D192" s="24">
        <v>900011603</v>
      </c>
      <c r="E192" s="24">
        <v>11603</v>
      </c>
      <c r="F192" s="24">
        <v>9778</v>
      </c>
      <c r="G192" s="24">
        <v>95</v>
      </c>
      <c r="H192" s="24">
        <v>50</v>
      </c>
      <c r="I192" s="25">
        <v>0.5</v>
      </c>
      <c r="J192" s="24">
        <v>5144</v>
      </c>
      <c r="K192" s="24" t="b">
        <v>1</v>
      </c>
      <c r="L192" s="25">
        <v>0</v>
      </c>
      <c r="M192" s="47">
        <v>0</v>
      </c>
      <c r="N192" s="25">
        <v>0.1428</v>
      </c>
      <c r="O192" s="47">
        <v>7.002801</v>
      </c>
      <c r="P192" s="25">
        <v>1</v>
      </c>
      <c r="Q192" s="24">
        <v>2</v>
      </c>
      <c r="R192" s="24">
        <v>4</v>
      </c>
      <c r="S192" s="25">
        <v>0.5</v>
      </c>
      <c r="T192" s="24">
        <v>0.2</v>
      </c>
      <c r="U192" s="24">
        <v>-0.2</v>
      </c>
      <c r="V192" s="24">
        <v>0</v>
      </c>
      <c r="W192" s="24">
        <v>-0.2</v>
      </c>
      <c r="X192" s="24">
        <v>0</v>
      </c>
      <c r="Y192" s="24">
        <v>0.2</v>
      </c>
      <c r="Z192" s="24">
        <v>-0.2</v>
      </c>
      <c r="AA192" s="24">
        <v>0</v>
      </c>
      <c r="AB192" s="24">
        <v>-0.2</v>
      </c>
      <c r="AC192" s="24">
        <v>0</v>
      </c>
      <c r="AD192" s="24">
        <v>0.2</v>
      </c>
      <c r="AE192" s="24">
        <v>-0.2</v>
      </c>
      <c r="AF192" s="24">
        <v>0</v>
      </c>
      <c r="AG192" s="24">
        <v>-0.2</v>
      </c>
      <c r="AH192" s="24">
        <v>0</v>
      </c>
      <c r="AI192" s="16">
        <v>3</v>
      </c>
      <c r="AJ192" s="72">
        <f>=F192*247.95</f>
        <v>2424455.1</v>
      </c>
      <c r="AK192" s="72">
        <f>=G192*32.6061</f>
        <v>3097.5795</v>
      </c>
      <c r="AL192" s="72">
        <f>=J192*2.35</f>
        <v>12088.4</v>
      </c>
      <c r="AM192" s="72">
        <f>=H192*15.88</f>
        <v>794</v>
      </c>
    </row>
    <row r="193" spans="1:39">
      <c r="A193" s="24" t="s">
        <v>1568</v>
      </c>
      <c r="B193" s="24" t="s">
        <v>1569</v>
      </c>
      <c r="C193" s="24" t="s">
        <v>1570</v>
      </c>
      <c r="D193" s="24">
        <v>900011611</v>
      </c>
      <c r="E193" s="24">
        <v>11611</v>
      </c>
      <c r="F193" s="24">
        <v>10080</v>
      </c>
      <c r="G193" s="24">
        <v>102</v>
      </c>
      <c r="H193" s="24">
        <v>50</v>
      </c>
      <c r="I193" s="25">
        <v>0.5</v>
      </c>
      <c r="J193" s="24">
        <v>5401</v>
      </c>
      <c r="K193" s="24" t="b">
        <v>1</v>
      </c>
      <c r="L193" s="25">
        <v>0</v>
      </c>
      <c r="M193" s="47">
        <v>0</v>
      </c>
      <c r="N193" s="25">
        <v>0.0769</v>
      </c>
      <c r="O193" s="47">
        <v>13.0039</v>
      </c>
      <c r="P193" s="25">
        <v>0.5</v>
      </c>
      <c r="Q193" s="24">
        <v>2</v>
      </c>
      <c r="R193" s="24">
        <v>3</v>
      </c>
      <c r="S193" s="25">
        <v>0.5</v>
      </c>
      <c r="T193" s="24">
        <v>0.2</v>
      </c>
      <c r="U193" s="24">
        <v>-0.2</v>
      </c>
      <c r="V193" s="24">
        <v>0</v>
      </c>
      <c r="W193" s="24">
        <v>-0.2</v>
      </c>
      <c r="X193" s="24">
        <v>0</v>
      </c>
      <c r="Y193" s="24">
        <v>0.2</v>
      </c>
      <c r="Z193" s="24">
        <v>-0.2</v>
      </c>
      <c r="AA193" s="24">
        <v>0</v>
      </c>
      <c r="AB193" s="24">
        <v>-0.2</v>
      </c>
      <c r="AC193" s="24">
        <v>0</v>
      </c>
      <c r="AD193" s="24">
        <v>0.2</v>
      </c>
      <c r="AE193" s="24">
        <v>-0.2</v>
      </c>
      <c r="AF193" s="24">
        <v>0</v>
      </c>
      <c r="AG193" s="24">
        <v>-0.2</v>
      </c>
      <c r="AH193" s="24">
        <v>0</v>
      </c>
      <c r="AI193" s="16">
        <v>3</v>
      </c>
      <c r="AJ193" s="72">
        <f>=F193*247.95</f>
        <v>2499336</v>
      </c>
      <c r="AK193" s="72">
        <f>=G193*32.6061</f>
        <v>3325.8222</v>
      </c>
      <c r="AL193" s="72">
        <f>=J193*2.35</f>
        <v>12692.35</v>
      </c>
      <c r="AM193" s="72">
        <f>=H193*15.88</f>
        <v>794</v>
      </c>
    </row>
    <row r="194" spans="1:39">
      <c r="A194" s="24" t="s">
        <v>1572</v>
      </c>
      <c r="B194" s="24" t="s">
        <v>1573</v>
      </c>
      <c r="C194" s="24" t="s">
        <v>1574</v>
      </c>
      <c r="D194" s="24">
        <v>900011612</v>
      </c>
      <c r="E194" s="24">
        <v>11612</v>
      </c>
      <c r="F194" s="24">
        <v>10080</v>
      </c>
      <c r="G194" s="24">
        <v>102</v>
      </c>
      <c r="H194" s="24">
        <v>50</v>
      </c>
      <c r="I194" s="25">
        <v>0.5</v>
      </c>
      <c r="J194" s="24">
        <v>5401</v>
      </c>
      <c r="K194" s="24" t="b">
        <v>1</v>
      </c>
      <c r="L194" s="25">
        <v>0</v>
      </c>
      <c r="M194" s="47">
        <v>0</v>
      </c>
      <c r="N194" s="25">
        <v>0.0769</v>
      </c>
      <c r="O194" s="47">
        <v>13.0039</v>
      </c>
      <c r="P194" s="25">
        <v>0.5</v>
      </c>
      <c r="Q194" s="24">
        <v>2</v>
      </c>
      <c r="R194" s="24">
        <v>3</v>
      </c>
      <c r="S194" s="25">
        <v>0.5</v>
      </c>
      <c r="T194" s="24">
        <v>0.2</v>
      </c>
      <c r="U194" s="24">
        <v>-0.2</v>
      </c>
      <c r="V194" s="24">
        <v>0</v>
      </c>
      <c r="W194" s="24">
        <v>-0.2</v>
      </c>
      <c r="X194" s="24">
        <v>0</v>
      </c>
      <c r="Y194" s="24">
        <v>0.2</v>
      </c>
      <c r="Z194" s="24">
        <v>-0.2</v>
      </c>
      <c r="AA194" s="24">
        <v>0</v>
      </c>
      <c r="AB194" s="24">
        <v>-0.2</v>
      </c>
      <c r="AC194" s="24">
        <v>0</v>
      </c>
      <c r="AD194" s="24">
        <v>0.2</v>
      </c>
      <c r="AE194" s="24">
        <v>-0.2</v>
      </c>
      <c r="AF194" s="24">
        <v>0</v>
      </c>
      <c r="AG194" s="24">
        <v>-0.2</v>
      </c>
      <c r="AH194" s="24">
        <v>0</v>
      </c>
      <c r="AI194" s="16">
        <v>3</v>
      </c>
      <c r="AJ194" s="72">
        <f>=F194*247.95</f>
        <v>2499336</v>
      </c>
      <c r="AK194" s="72">
        <f>=G194*32.6061</f>
        <v>3325.8222</v>
      </c>
      <c r="AL194" s="72">
        <f>=J194*2.35</f>
        <v>12692.35</v>
      </c>
      <c r="AM194" s="72">
        <f>=H194*15.88</f>
        <v>794</v>
      </c>
    </row>
    <row r="195" spans="1:39">
      <c r="A195" s="24" t="s">
        <v>1572</v>
      </c>
      <c r="B195" s="24" t="s">
        <v>1573</v>
      </c>
      <c r="C195" s="24" t="s">
        <v>1574</v>
      </c>
      <c r="D195" s="24">
        <v>900011613</v>
      </c>
      <c r="E195" s="24">
        <v>11613</v>
      </c>
      <c r="F195" s="24">
        <v>10479</v>
      </c>
      <c r="G195" s="24">
        <v>116</v>
      </c>
      <c r="H195" s="24">
        <v>50</v>
      </c>
      <c r="I195" s="25">
        <v>0.5</v>
      </c>
      <c r="J195" s="24">
        <v>6291</v>
      </c>
      <c r="K195" s="24" t="b">
        <v>1</v>
      </c>
      <c r="L195" s="25">
        <v>0</v>
      </c>
      <c r="M195" s="47">
        <v>0</v>
      </c>
      <c r="N195" s="25">
        <v>0.0769</v>
      </c>
      <c r="O195" s="47">
        <v>13.0039</v>
      </c>
      <c r="P195" s="25">
        <v>0.5</v>
      </c>
      <c r="Q195" s="24">
        <v>2</v>
      </c>
      <c r="R195" s="24">
        <v>4</v>
      </c>
      <c r="S195" s="25">
        <v>0.5</v>
      </c>
      <c r="T195" s="24">
        <v>0.2</v>
      </c>
      <c r="U195" s="24">
        <v>-0.2</v>
      </c>
      <c r="V195" s="24">
        <v>0</v>
      </c>
      <c r="W195" s="24">
        <v>-0.2</v>
      </c>
      <c r="X195" s="24">
        <v>0</v>
      </c>
      <c r="Y195" s="24">
        <v>0.2</v>
      </c>
      <c r="Z195" s="24">
        <v>-0.2</v>
      </c>
      <c r="AA195" s="24">
        <v>0</v>
      </c>
      <c r="AB195" s="24">
        <v>-0.2</v>
      </c>
      <c r="AC195" s="24">
        <v>0</v>
      </c>
      <c r="AD195" s="24">
        <v>0.2</v>
      </c>
      <c r="AE195" s="24">
        <v>-0.2</v>
      </c>
      <c r="AF195" s="24">
        <v>0</v>
      </c>
      <c r="AG195" s="24">
        <v>-0.2</v>
      </c>
      <c r="AH195" s="24">
        <v>0</v>
      </c>
      <c r="AI195" s="16">
        <v>3</v>
      </c>
      <c r="AJ195" s="72">
        <f>=F195*247.95</f>
        <v>2598268.05</v>
      </c>
      <c r="AK195" s="72">
        <f>=G195*32.6061</f>
        <v>3782.3076</v>
      </c>
      <c r="AL195" s="72">
        <f>=J195*2.35</f>
        <v>14783.85</v>
      </c>
      <c r="AM195" s="72">
        <f>=H195*15.88</f>
        <v>794</v>
      </c>
    </row>
    <row r="196" spans="1:39">
      <c r="A196" s="24" t="s">
        <v>659</v>
      </c>
      <c r="B196" s="24" t="s">
        <v>1577</v>
      </c>
      <c r="C196" s="24" t="s">
        <v>1056</v>
      </c>
      <c r="D196" s="24">
        <v>900011621</v>
      </c>
      <c r="E196" s="24">
        <v>11621</v>
      </c>
      <c r="F196" s="24">
        <v>9461</v>
      </c>
      <c r="G196" s="24">
        <v>102</v>
      </c>
      <c r="H196" s="24">
        <v>50</v>
      </c>
      <c r="I196" s="25">
        <v>0.5</v>
      </c>
      <c r="J196" s="24">
        <v>4437</v>
      </c>
      <c r="K196" s="24" t="b">
        <v>1</v>
      </c>
      <c r="L196" s="25">
        <v>0</v>
      </c>
      <c r="M196" s="47">
        <v>0</v>
      </c>
      <c r="N196" s="25">
        <v>0.1428</v>
      </c>
      <c r="O196" s="47">
        <v>7.002801</v>
      </c>
      <c r="P196" s="25">
        <v>1</v>
      </c>
      <c r="Q196" s="24">
        <v>2</v>
      </c>
      <c r="R196" s="24">
        <v>3</v>
      </c>
      <c r="S196" s="25">
        <v>0.5</v>
      </c>
      <c r="T196" s="24">
        <v>0.2</v>
      </c>
      <c r="U196" s="24">
        <v>-0.2</v>
      </c>
      <c r="V196" s="24">
        <v>0</v>
      </c>
      <c r="W196" s="24">
        <v>-0.2</v>
      </c>
      <c r="X196" s="24">
        <v>0</v>
      </c>
      <c r="Y196" s="24">
        <v>0.2</v>
      </c>
      <c r="Z196" s="24">
        <v>-0.2</v>
      </c>
      <c r="AA196" s="24">
        <v>0</v>
      </c>
      <c r="AB196" s="24">
        <v>-0.2</v>
      </c>
      <c r="AC196" s="24">
        <v>0</v>
      </c>
      <c r="AD196" s="24">
        <v>0.2</v>
      </c>
      <c r="AE196" s="24">
        <v>-0.2</v>
      </c>
      <c r="AF196" s="24">
        <v>0</v>
      </c>
      <c r="AG196" s="24">
        <v>-0.2</v>
      </c>
      <c r="AH196" s="24">
        <v>0</v>
      </c>
      <c r="AI196" s="16">
        <v>3</v>
      </c>
      <c r="AJ196" s="72">
        <f>=F196*247.95</f>
        <v>2345854.95</v>
      </c>
      <c r="AK196" s="72">
        <f>=G196*32.6061</f>
        <v>3325.8222</v>
      </c>
      <c r="AL196" s="72">
        <f>=J196*2.35</f>
        <v>10426.95</v>
      </c>
      <c r="AM196" s="72">
        <f>=H196*15.88</f>
        <v>794</v>
      </c>
    </row>
    <row r="197" spans="1:39">
      <c r="A197" s="24" t="s">
        <v>1578</v>
      </c>
      <c r="B197" s="24" t="s">
        <v>1579</v>
      </c>
      <c r="C197" s="24" t="s">
        <v>1580</v>
      </c>
      <c r="D197" s="24">
        <v>900011622</v>
      </c>
      <c r="E197" s="24">
        <v>11622</v>
      </c>
      <c r="F197" s="24">
        <v>9461</v>
      </c>
      <c r="G197" s="24">
        <v>102</v>
      </c>
      <c r="H197" s="24">
        <v>50</v>
      </c>
      <c r="I197" s="25">
        <v>0.5</v>
      </c>
      <c r="J197" s="24">
        <v>4437</v>
      </c>
      <c r="K197" s="24" t="b">
        <v>1</v>
      </c>
      <c r="L197" s="25">
        <v>0</v>
      </c>
      <c r="M197" s="47">
        <v>0</v>
      </c>
      <c r="N197" s="25">
        <v>0.1428</v>
      </c>
      <c r="O197" s="47">
        <v>7.002801</v>
      </c>
      <c r="P197" s="25">
        <v>1</v>
      </c>
      <c r="Q197" s="24">
        <v>2</v>
      </c>
      <c r="R197" s="24">
        <v>3</v>
      </c>
      <c r="S197" s="25">
        <v>0.5</v>
      </c>
      <c r="T197" s="24">
        <v>0.2</v>
      </c>
      <c r="U197" s="24">
        <v>-0.2</v>
      </c>
      <c r="V197" s="24">
        <v>0</v>
      </c>
      <c r="W197" s="24">
        <v>-0.2</v>
      </c>
      <c r="X197" s="24">
        <v>0</v>
      </c>
      <c r="Y197" s="24">
        <v>0.2</v>
      </c>
      <c r="Z197" s="24">
        <v>-0.2</v>
      </c>
      <c r="AA197" s="24">
        <v>0</v>
      </c>
      <c r="AB197" s="24">
        <v>-0.2</v>
      </c>
      <c r="AC197" s="24">
        <v>0</v>
      </c>
      <c r="AD197" s="24">
        <v>0.2</v>
      </c>
      <c r="AE197" s="24">
        <v>-0.2</v>
      </c>
      <c r="AF197" s="24">
        <v>0</v>
      </c>
      <c r="AG197" s="24">
        <v>-0.2</v>
      </c>
      <c r="AH197" s="24">
        <v>0</v>
      </c>
      <c r="AI197" s="16">
        <v>3</v>
      </c>
      <c r="AJ197" s="72">
        <f>=F197*247.95</f>
        <v>2345854.95</v>
      </c>
      <c r="AK197" s="72">
        <f>=G197*32.6061</f>
        <v>3325.8222</v>
      </c>
      <c r="AL197" s="72">
        <f>=J197*2.35</f>
        <v>10426.95</v>
      </c>
      <c r="AM197" s="72">
        <f>=H197*15.88</f>
        <v>794</v>
      </c>
    </row>
    <row r="198" spans="1:39">
      <c r="A198" s="24" t="s">
        <v>1578</v>
      </c>
      <c r="B198" s="24" t="s">
        <v>1579</v>
      </c>
      <c r="C198" s="24" t="s">
        <v>1580</v>
      </c>
      <c r="D198" s="24">
        <v>900011623</v>
      </c>
      <c r="E198" s="24">
        <v>11623</v>
      </c>
      <c r="F198" s="24">
        <v>9778</v>
      </c>
      <c r="G198" s="24">
        <v>116</v>
      </c>
      <c r="H198" s="24">
        <v>50</v>
      </c>
      <c r="I198" s="25">
        <v>0.5</v>
      </c>
      <c r="J198" s="24">
        <v>5144</v>
      </c>
      <c r="K198" s="24" t="b">
        <v>1</v>
      </c>
      <c r="L198" s="25">
        <v>0</v>
      </c>
      <c r="M198" s="47">
        <v>0</v>
      </c>
      <c r="N198" s="25">
        <v>0.1428</v>
      </c>
      <c r="O198" s="47">
        <v>7.002801</v>
      </c>
      <c r="P198" s="25">
        <v>1</v>
      </c>
      <c r="Q198" s="24">
        <v>2</v>
      </c>
      <c r="R198" s="24">
        <v>4</v>
      </c>
      <c r="S198" s="25">
        <v>0.5</v>
      </c>
      <c r="T198" s="24">
        <v>0.2</v>
      </c>
      <c r="U198" s="24">
        <v>-0.2</v>
      </c>
      <c r="V198" s="24">
        <v>0</v>
      </c>
      <c r="W198" s="24">
        <v>-0.2</v>
      </c>
      <c r="X198" s="24">
        <v>0</v>
      </c>
      <c r="Y198" s="24">
        <v>0.2</v>
      </c>
      <c r="Z198" s="24">
        <v>-0.2</v>
      </c>
      <c r="AA198" s="24">
        <v>0</v>
      </c>
      <c r="AB198" s="24">
        <v>-0.2</v>
      </c>
      <c r="AC198" s="24">
        <v>0</v>
      </c>
      <c r="AD198" s="24">
        <v>0.2</v>
      </c>
      <c r="AE198" s="24">
        <v>-0.2</v>
      </c>
      <c r="AF198" s="24">
        <v>0</v>
      </c>
      <c r="AG198" s="24">
        <v>-0.2</v>
      </c>
      <c r="AH198" s="24">
        <v>0</v>
      </c>
      <c r="AI198" s="16">
        <v>3</v>
      </c>
      <c r="AJ198" s="72">
        <f>=F198*247.95</f>
        <v>2424455.1</v>
      </c>
      <c r="AK198" s="72">
        <f>=G198*32.6061</f>
        <v>3782.3076</v>
      </c>
      <c r="AL198" s="72">
        <f>=J198*2.35</f>
        <v>12088.4</v>
      </c>
      <c r="AM198" s="72">
        <f>=H198*15.88</f>
        <v>794</v>
      </c>
    </row>
    <row r="199" spans="1:39">
      <c r="A199" s="24" t="s">
        <v>1581</v>
      </c>
      <c r="B199" s="24" t="s">
        <v>1582</v>
      </c>
      <c r="C199" s="24" t="s">
        <v>1583</v>
      </c>
      <c r="D199" s="24">
        <v>900011641</v>
      </c>
      <c r="E199" s="24">
        <v>11641</v>
      </c>
      <c r="F199" s="24">
        <v>16690</v>
      </c>
      <c r="G199" s="24">
        <v>120</v>
      </c>
      <c r="H199" s="24">
        <v>60</v>
      </c>
      <c r="I199" s="25">
        <v>0.5</v>
      </c>
      <c r="J199" s="24">
        <v>4508</v>
      </c>
      <c r="K199" s="24" t="b">
        <v>1</v>
      </c>
      <c r="L199" s="25">
        <v>0</v>
      </c>
      <c r="M199" s="47">
        <v>0</v>
      </c>
      <c r="N199" s="25">
        <v>0.1428</v>
      </c>
      <c r="O199" s="47">
        <v>7.002801</v>
      </c>
      <c r="P199" s="25">
        <v>1</v>
      </c>
      <c r="Q199" s="24">
        <v>3</v>
      </c>
      <c r="R199" s="24">
        <v>1</v>
      </c>
      <c r="S199" s="25">
        <v>0.75</v>
      </c>
      <c r="T199" s="24">
        <v>0</v>
      </c>
      <c r="U199" s="24">
        <v>0</v>
      </c>
      <c r="V199" s="24">
        <v>0</v>
      </c>
      <c r="W199" s="24">
        <v>0</v>
      </c>
      <c r="X199" s="24">
        <v>0</v>
      </c>
      <c r="Y199" s="24">
        <v>0</v>
      </c>
      <c r="Z199" s="24">
        <v>0</v>
      </c>
      <c r="AA199" s="24">
        <v>0</v>
      </c>
      <c r="AB199" s="24">
        <v>0</v>
      </c>
      <c r="AC199" s="24">
        <v>0</v>
      </c>
      <c r="AD199" s="24">
        <v>0</v>
      </c>
      <c r="AE199" s="24">
        <v>0</v>
      </c>
      <c r="AF199" s="24">
        <v>0</v>
      </c>
      <c r="AG199" s="24">
        <v>0</v>
      </c>
      <c r="AH199" s="24">
        <v>0</v>
      </c>
      <c r="AI199" s="16">
        <v>5</v>
      </c>
      <c r="AJ199" s="72">
        <f>=F199*247.95</f>
        <v>4138285.5</v>
      </c>
      <c r="AK199" s="72">
        <f>=G199*32.6061</f>
        <v>3912.732</v>
      </c>
      <c r="AL199" s="72">
        <f>=J199*2.35</f>
        <v>10593.8</v>
      </c>
      <c r="AM199" s="72">
        <f>=H199*15.88</f>
        <v>952.8</v>
      </c>
    </row>
    <row r="200" spans="1:39">
      <c r="A200" s="24" t="s">
        <v>1585</v>
      </c>
      <c r="B200" s="24" t="s">
        <v>1586</v>
      </c>
      <c r="C200" s="24" t="s">
        <v>1587</v>
      </c>
      <c r="D200" s="24">
        <v>900011642</v>
      </c>
      <c r="E200" s="24">
        <v>11642</v>
      </c>
      <c r="F200" s="24">
        <v>16690</v>
      </c>
      <c r="G200" s="24">
        <v>120</v>
      </c>
      <c r="H200" s="24">
        <v>60</v>
      </c>
      <c r="I200" s="25">
        <v>0.5</v>
      </c>
      <c r="J200" s="24">
        <v>4508</v>
      </c>
      <c r="K200" s="24" t="b">
        <v>1</v>
      </c>
      <c r="L200" s="25">
        <v>0</v>
      </c>
      <c r="M200" s="47">
        <v>0</v>
      </c>
      <c r="N200" s="25">
        <v>0.1428</v>
      </c>
      <c r="O200" s="47">
        <v>7.002801</v>
      </c>
      <c r="P200" s="25">
        <v>1</v>
      </c>
      <c r="Q200" s="24">
        <v>3</v>
      </c>
      <c r="R200" s="24">
        <v>1</v>
      </c>
      <c r="S200" s="25">
        <v>0.75</v>
      </c>
      <c r="T200" s="24">
        <v>0.2</v>
      </c>
      <c r="U200" s="24">
        <v>0</v>
      </c>
      <c r="V200" s="24">
        <v>0</v>
      </c>
      <c r="W200" s="24">
        <v>-0.2</v>
      </c>
      <c r="X200" s="24">
        <v>0</v>
      </c>
      <c r="Y200" s="24">
        <v>0.2</v>
      </c>
      <c r="Z200" s="24">
        <v>0</v>
      </c>
      <c r="AA200" s="24">
        <v>0</v>
      </c>
      <c r="AB200" s="24">
        <v>-0.2</v>
      </c>
      <c r="AC200" s="24">
        <v>0</v>
      </c>
      <c r="AD200" s="24">
        <v>0.2</v>
      </c>
      <c r="AE200" s="24">
        <v>0</v>
      </c>
      <c r="AF200" s="24">
        <v>0</v>
      </c>
      <c r="AG200" s="24">
        <v>-0.2</v>
      </c>
      <c r="AH200" s="24">
        <v>0</v>
      </c>
      <c r="AI200" s="16">
        <v>5</v>
      </c>
      <c r="AJ200" s="72">
        <f>=F200*247.95</f>
        <v>4138285.5</v>
      </c>
      <c r="AK200" s="72">
        <f>=G200*32.6061</f>
        <v>3912.732</v>
      </c>
      <c r="AL200" s="72">
        <f>=J200*2.35</f>
        <v>10593.8</v>
      </c>
      <c r="AM200" s="72">
        <f>=H200*15.88</f>
        <v>952.8</v>
      </c>
    </row>
    <row r="201" spans="1:39" ht="20" customHeight="1">
      <c r="A201" s="24" t="s">
        <v>1589</v>
      </c>
      <c r="B201" s="24" t="s">
        <v>1590</v>
      </c>
      <c r="C201" s="24" t="s">
        <v>1591</v>
      </c>
      <c r="D201" s="24">
        <v>900011651</v>
      </c>
      <c r="E201" s="24">
        <v>11651</v>
      </c>
      <c r="F201" s="24">
        <v>472</v>
      </c>
      <c r="G201" s="24">
        <v>63</v>
      </c>
      <c r="H201" s="24">
        <v>36</v>
      </c>
      <c r="I201" s="25">
        <v>0.5</v>
      </c>
      <c r="J201" s="24">
        <v>630</v>
      </c>
      <c r="K201" s="24" t="b">
        <v>0</v>
      </c>
      <c r="L201" s="25">
        <v>0</v>
      </c>
      <c r="M201" s="47">
        <v>0</v>
      </c>
      <c r="N201" s="25">
        <v>0.1538</v>
      </c>
      <c r="O201" s="47">
        <v>6.5</v>
      </c>
      <c r="P201" s="25">
        <v>0.5</v>
      </c>
      <c r="Q201" s="24">
        <v>1</v>
      </c>
      <c r="R201" s="24">
        <v>99</v>
      </c>
      <c r="S201" s="22">
        <v>0</v>
      </c>
      <c r="T201" s="24">
        <v>0</v>
      </c>
      <c r="U201" s="24">
        <v>0</v>
      </c>
      <c r="V201" s="24">
        <v>0</v>
      </c>
      <c r="W201" s="24">
        <v>0</v>
      </c>
      <c r="X201" s="24">
        <v>0</v>
      </c>
      <c r="Y201" s="24">
        <v>0</v>
      </c>
      <c r="Z201" s="24">
        <v>0</v>
      </c>
      <c r="AA201" s="24">
        <v>0</v>
      </c>
      <c r="AB201" s="24">
        <v>0</v>
      </c>
      <c r="AC201" s="24">
        <v>0</v>
      </c>
      <c r="AD201" s="24">
        <v>0</v>
      </c>
      <c r="AE201" s="24">
        <v>0</v>
      </c>
      <c r="AF201" s="24">
        <v>0</v>
      </c>
      <c r="AG201" s="24">
        <v>0</v>
      </c>
      <c r="AH201" s="24">
        <v>0</v>
      </c>
      <c r="AI201" s="49">
        <v>3</v>
      </c>
      <c r="AJ201" s="72">
        <f>=F201*247.95</f>
        <v>117032.4</v>
      </c>
      <c r="AK201" s="72">
        <f>=G201*32.6061</f>
        <v>2054.1843</v>
      </c>
      <c r="AL201" s="72">
        <f>=J201*2.35</f>
        <v>1480.5</v>
      </c>
      <c r="AM201" s="72">
        <f>=H201*15.88</f>
        <v>571.68</v>
      </c>
    </row>
    <row r="202" spans="1:39" ht="20" customHeight="1">
      <c r="A202" s="24" t="s">
        <v>1589</v>
      </c>
      <c r="B202" s="24" t="s">
        <v>1590</v>
      </c>
      <c r="C202" s="24" t="s">
        <v>1591</v>
      </c>
      <c r="D202" s="24">
        <v>900011652</v>
      </c>
      <c r="E202" s="24">
        <v>11652</v>
      </c>
      <c r="F202" s="24">
        <v>472</v>
      </c>
      <c r="G202" s="24">
        <v>63</v>
      </c>
      <c r="H202" s="24">
        <v>36</v>
      </c>
      <c r="I202" s="25">
        <v>0.5</v>
      </c>
      <c r="J202" s="24">
        <v>630</v>
      </c>
      <c r="K202" s="24" t="b">
        <v>0</v>
      </c>
      <c r="L202" s="25">
        <v>0</v>
      </c>
      <c r="M202" s="47">
        <v>0</v>
      </c>
      <c r="N202" s="25">
        <v>0.1538</v>
      </c>
      <c r="O202" s="47">
        <v>6.5</v>
      </c>
      <c r="P202" s="25">
        <v>0.5</v>
      </c>
      <c r="Q202" s="24">
        <v>1</v>
      </c>
      <c r="R202" s="24">
        <v>99</v>
      </c>
      <c r="S202" s="22">
        <v>0</v>
      </c>
      <c r="T202" s="24">
        <v>0</v>
      </c>
      <c r="U202" s="24">
        <v>0</v>
      </c>
      <c r="V202" s="24">
        <v>0</v>
      </c>
      <c r="W202" s="24">
        <v>0</v>
      </c>
      <c r="X202" s="24">
        <v>0</v>
      </c>
      <c r="Y202" s="24">
        <v>0</v>
      </c>
      <c r="Z202" s="24">
        <v>0</v>
      </c>
      <c r="AA202" s="24">
        <v>0</v>
      </c>
      <c r="AB202" s="24">
        <v>0</v>
      </c>
      <c r="AC202" s="24">
        <v>0</v>
      </c>
      <c r="AD202" s="24">
        <v>0</v>
      </c>
      <c r="AE202" s="24">
        <v>0</v>
      </c>
      <c r="AF202" s="24">
        <v>0</v>
      </c>
      <c r="AG202" s="24">
        <v>0</v>
      </c>
      <c r="AH202" s="24">
        <v>0</v>
      </c>
      <c r="AI202" s="49">
        <v>3</v>
      </c>
      <c r="AJ202" s="72">
        <f>=F202*247.95</f>
        <v>117032.4</v>
      </c>
      <c r="AK202" s="72">
        <f>=G202*32.6061</f>
        <v>2054.1843</v>
      </c>
      <c r="AL202" s="72">
        <f>=J202*2.35</f>
        <v>1480.5</v>
      </c>
      <c r="AM202" s="72">
        <f>=H202*15.88</f>
        <v>571.68</v>
      </c>
    </row>
    <row r="203" spans="1:39" ht="20" customHeight="1">
      <c r="A203" s="24" t="s">
        <v>1589</v>
      </c>
      <c r="B203" s="24" t="s">
        <v>1590</v>
      </c>
      <c r="C203" s="24" t="s">
        <v>1591</v>
      </c>
      <c r="D203" s="24">
        <v>900011653</v>
      </c>
      <c r="E203" s="24">
        <v>11653</v>
      </c>
      <c r="F203" s="24">
        <v>472</v>
      </c>
      <c r="G203" s="24">
        <v>63</v>
      </c>
      <c r="H203" s="24">
        <v>36</v>
      </c>
      <c r="I203" s="25">
        <v>0.5</v>
      </c>
      <c r="J203" s="24">
        <v>630</v>
      </c>
      <c r="K203" s="24" t="b">
        <v>0</v>
      </c>
      <c r="L203" s="25">
        <v>0</v>
      </c>
      <c r="M203" s="47">
        <v>0</v>
      </c>
      <c r="N203" s="25">
        <v>0.1538</v>
      </c>
      <c r="O203" s="47">
        <v>6.5</v>
      </c>
      <c r="P203" s="25">
        <v>0.5</v>
      </c>
      <c r="Q203" s="24">
        <v>1</v>
      </c>
      <c r="R203" s="24">
        <v>99</v>
      </c>
      <c r="S203" s="22">
        <v>0</v>
      </c>
      <c r="T203" s="24">
        <v>0</v>
      </c>
      <c r="U203" s="24">
        <v>0</v>
      </c>
      <c r="V203" s="24">
        <v>0</v>
      </c>
      <c r="W203" s="24">
        <v>0</v>
      </c>
      <c r="X203" s="24">
        <v>0</v>
      </c>
      <c r="Y203" s="24">
        <v>0</v>
      </c>
      <c r="Z203" s="24">
        <v>0</v>
      </c>
      <c r="AA203" s="24">
        <v>0</v>
      </c>
      <c r="AB203" s="24">
        <v>0</v>
      </c>
      <c r="AC203" s="24">
        <v>0</v>
      </c>
      <c r="AD203" s="24">
        <v>0</v>
      </c>
      <c r="AE203" s="24">
        <v>0</v>
      </c>
      <c r="AF203" s="24">
        <v>0</v>
      </c>
      <c r="AG203" s="24">
        <v>0</v>
      </c>
      <c r="AH203" s="24">
        <v>0</v>
      </c>
      <c r="AI203" s="49">
        <v>3</v>
      </c>
      <c r="AJ203" s="72">
        <f>=F203*247.95</f>
        <v>117032.4</v>
      </c>
      <c r="AK203" s="72">
        <f>=G203*32.6061</f>
        <v>2054.1843</v>
      </c>
      <c r="AL203" s="72">
        <f>=J203*2.35</f>
        <v>1480.5</v>
      </c>
      <c r="AM203" s="72">
        <f>=H203*15.88</f>
        <v>571.68</v>
      </c>
    </row>
    <row r="204" spans="1:39" ht="20" customHeight="1">
      <c r="A204" s="24" t="s">
        <v>1589</v>
      </c>
      <c r="B204" s="24" t="s">
        <v>1590</v>
      </c>
      <c r="C204" s="24" t="s">
        <v>1591</v>
      </c>
      <c r="D204" s="24">
        <v>900011654</v>
      </c>
      <c r="E204" s="24">
        <v>11654</v>
      </c>
      <c r="F204" s="24">
        <v>472</v>
      </c>
      <c r="G204" s="24">
        <v>63</v>
      </c>
      <c r="H204" s="24">
        <v>36</v>
      </c>
      <c r="I204" s="25">
        <v>0.5</v>
      </c>
      <c r="J204" s="24">
        <v>630</v>
      </c>
      <c r="K204" s="24" t="b">
        <v>0</v>
      </c>
      <c r="L204" s="25">
        <v>0</v>
      </c>
      <c r="M204" s="47">
        <v>0</v>
      </c>
      <c r="N204" s="25">
        <v>0.1538</v>
      </c>
      <c r="O204" s="47">
        <v>6.5</v>
      </c>
      <c r="P204" s="25">
        <v>0.5</v>
      </c>
      <c r="Q204" s="24">
        <v>1</v>
      </c>
      <c r="R204" s="24">
        <v>99</v>
      </c>
      <c r="S204" s="22">
        <v>0</v>
      </c>
      <c r="T204" s="24">
        <v>0</v>
      </c>
      <c r="U204" s="24">
        <v>0</v>
      </c>
      <c r="V204" s="24">
        <v>0</v>
      </c>
      <c r="W204" s="24">
        <v>0</v>
      </c>
      <c r="X204" s="24">
        <v>0</v>
      </c>
      <c r="Y204" s="24">
        <v>0</v>
      </c>
      <c r="Z204" s="24">
        <v>0</v>
      </c>
      <c r="AA204" s="24">
        <v>0</v>
      </c>
      <c r="AB204" s="24">
        <v>0</v>
      </c>
      <c r="AC204" s="24">
        <v>0</v>
      </c>
      <c r="AD204" s="24">
        <v>0</v>
      </c>
      <c r="AE204" s="24">
        <v>0</v>
      </c>
      <c r="AF204" s="24">
        <v>0</v>
      </c>
      <c r="AG204" s="24">
        <v>0</v>
      </c>
      <c r="AH204" s="24">
        <v>0</v>
      </c>
      <c r="AI204" s="49">
        <v>3</v>
      </c>
      <c r="AJ204" s="72">
        <f>=F204*247.95</f>
        <v>117032.4</v>
      </c>
      <c r="AK204" s="72">
        <f>=G204*32.6061</f>
        <v>2054.1843</v>
      </c>
      <c r="AL204" s="72">
        <f>=J204*2.35</f>
        <v>1480.5</v>
      </c>
      <c r="AM204" s="72">
        <f>=H204*15.88</f>
        <v>571.68</v>
      </c>
    </row>
    <row r="205" spans="1:39" ht="20" customHeight="1">
      <c r="A205" s="24" t="s">
        <v>1589</v>
      </c>
      <c r="B205" s="24" t="s">
        <v>1590</v>
      </c>
      <c r="C205" s="24" t="s">
        <v>1591</v>
      </c>
      <c r="D205" s="24">
        <v>900011661</v>
      </c>
      <c r="E205" s="24">
        <v>11661</v>
      </c>
      <c r="F205" s="24">
        <v>472</v>
      </c>
      <c r="G205" s="24">
        <v>63</v>
      </c>
      <c r="H205" s="24">
        <v>36</v>
      </c>
      <c r="I205" s="25">
        <v>0.5</v>
      </c>
      <c r="J205" s="24">
        <v>630</v>
      </c>
      <c r="K205" s="24" t="b">
        <v>0</v>
      </c>
      <c r="L205" s="25">
        <v>0</v>
      </c>
      <c r="M205" s="47">
        <v>0</v>
      </c>
      <c r="N205" s="25">
        <v>0.1538</v>
      </c>
      <c r="O205" s="47">
        <v>6.5</v>
      </c>
      <c r="P205" s="25">
        <v>0.5</v>
      </c>
      <c r="Q205" s="24">
        <v>1</v>
      </c>
      <c r="R205" s="24">
        <v>99</v>
      </c>
      <c r="S205" s="22">
        <v>0</v>
      </c>
      <c r="T205" s="24">
        <v>0</v>
      </c>
      <c r="U205" s="24">
        <v>0</v>
      </c>
      <c r="V205" s="24">
        <v>0</v>
      </c>
      <c r="W205" s="24">
        <v>0</v>
      </c>
      <c r="X205" s="24">
        <v>0</v>
      </c>
      <c r="Y205" s="24">
        <v>0</v>
      </c>
      <c r="Z205" s="24">
        <v>0</v>
      </c>
      <c r="AA205" s="24">
        <v>0</v>
      </c>
      <c r="AB205" s="24">
        <v>0</v>
      </c>
      <c r="AC205" s="24">
        <v>0</v>
      </c>
      <c r="AD205" s="24">
        <v>0</v>
      </c>
      <c r="AE205" s="24">
        <v>0</v>
      </c>
      <c r="AF205" s="24">
        <v>0</v>
      </c>
      <c r="AG205" s="24">
        <v>0</v>
      </c>
      <c r="AH205" s="24">
        <v>0</v>
      </c>
      <c r="AI205" s="49">
        <v>3</v>
      </c>
      <c r="AJ205" s="72">
        <f>=F205*247.95</f>
        <v>117032.4</v>
      </c>
      <c r="AK205" s="72">
        <f>=G205*32.6061</f>
        <v>2054.1843</v>
      </c>
      <c r="AL205" s="72">
        <f>=J205*2.35</f>
        <v>1480.5</v>
      </c>
      <c r="AM205" s="72">
        <f>=H205*15.88</f>
        <v>571.68</v>
      </c>
    </row>
    <row r="206" spans="1:39">
      <c r="A206" s="24" t="s">
        <v>1592</v>
      </c>
      <c r="B206" s="24" t="s">
        <v>1593</v>
      </c>
      <c r="C206" s="24" t="s">
        <v>1594</v>
      </c>
      <c r="D206" s="24">
        <v>900011671</v>
      </c>
      <c r="E206" s="24">
        <v>11671</v>
      </c>
      <c r="F206" s="24">
        <v>20216</v>
      </c>
      <c r="G206" s="24">
        <v>132</v>
      </c>
      <c r="H206" s="24">
        <v>60</v>
      </c>
      <c r="I206" s="25">
        <v>0.5</v>
      </c>
      <c r="J206" s="24">
        <v>4508</v>
      </c>
      <c r="K206" s="24" t="b">
        <v>1</v>
      </c>
      <c r="L206" s="25">
        <v>0</v>
      </c>
      <c r="M206" s="47">
        <v>0</v>
      </c>
      <c r="N206" s="25">
        <v>0.0833</v>
      </c>
      <c r="O206" s="47">
        <v>12.0048</v>
      </c>
      <c r="P206" s="25">
        <v>0.5</v>
      </c>
      <c r="Q206" s="24">
        <v>3</v>
      </c>
      <c r="R206" s="24">
        <v>5</v>
      </c>
      <c r="S206" s="25">
        <v>0.75</v>
      </c>
      <c r="T206" s="24">
        <v>0.2</v>
      </c>
      <c r="U206" s="24">
        <v>-0.2</v>
      </c>
      <c r="V206" s="24">
        <v>0</v>
      </c>
      <c r="W206" s="24">
        <v>-0.2</v>
      </c>
      <c r="X206" s="24">
        <v>0</v>
      </c>
      <c r="Y206" s="24">
        <v>0.2</v>
      </c>
      <c r="Z206" s="24">
        <v>-0.2</v>
      </c>
      <c r="AA206" s="24">
        <v>0</v>
      </c>
      <c r="AB206" s="24">
        <v>-0.2</v>
      </c>
      <c r="AC206" s="24">
        <v>0</v>
      </c>
      <c r="AD206" s="24">
        <v>0.2</v>
      </c>
      <c r="AE206" s="24">
        <v>-0.2</v>
      </c>
      <c r="AF206" s="24">
        <v>0</v>
      </c>
      <c r="AG206" s="24">
        <v>-0.2</v>
      </c>
      <c r="AH206" s="24">
        <v>0</v>
      </c>
      <c r="AI206" s="16">
        <v>5</v>
      </c>
      <c r="AJ206" s="72">
        <f>=F206*247.95</f>
        <v>5012557.2</v>
      </c>
      <c r="AK206" s="72">
        <f>=G206*32.6061</f>
        <v>4304.0052</v>
      </c>
      <c r="AL206" s="72">
        <f>=J206*2.35</f>
        <v>10593.8</v>
      </c>
      <c r="AM206" s="72">
        <f>=H206*15.88</f>
        <v>952.8</v>
      </c>
    </row>
    <row r="207" spans="1:39">
      <c r="A207" s="24" t="s">
        <v>1595</v>
      </c>
      <c r="B207" s="24" t="s">
        <v>1596</v>
      </c>
      <c r="C207" s="24" t="s">
        <v>1597</v>
      </c>
      <c r="D207" s="24">
        <v>900011681</v>
      </c>
      <c r="E207" s="24">
        <v>11681</v>
      </c>
      <c r="F207" s="24">
        <v>1238</v>
      </c>
      <c r="G207" s="24">
        <v>76</v>
      </c>
      <c r="H207" s="24">
        <v>40</v>
      </c>
      <c r="I207" s="25">
        <v>0.5</v>
      </c>
      <c r="J207" s="24">
        <v>662</v>
      </c>
      <c r="K207" s="24" t="b">
        <v>1</v>
      </c>
      <c r="L207" s="25">
        <v>0</v>
      </c>
      <c r="M207" s="47">
        <v>0</v>
      </c>
      <c r="N207" s="25">
        <v>0.1538</v>
      </c>
      <c r="O207" s="47">
        <v>6.501951</v>
      </c>
      <c r="P207" s="25">
        <v>0.25</v>
      </c>
      <c r="Q207" s="24">
        <v>1</v>
      </c>
      <c r="R207" s="24">
        <v>1</v>
      </c>
      <c r="S207" s="25">
        <v>0</v>
      </c>
      <c r="T207" s="24">
        <v>-0.2</v>
      </c>
      <c r="U207" s="24">
        <v>0</v>
      </c>
      <c r="V207" s="24">
        <v>0</v>
      </c>
      <c r="W207" s="24">
        <v>0</v>
      </c>
      <c r="X207" s="24">
        <v>-0.2</v>
      </c>
      <c r="Y207" s="24">
        <v>-0.2</v>
      </c>
      <c r="Z207" s="24">
        <v>0</v>
      </c>
      <c r="AA207" s="24">
        <v>0</v>
      </c>
      <c r="AB207" s="24">
        <v>0</v>
      </c>
      <c r="AC207" s="24">
        <v>-0.2</v>
      </c>
      <c r="AD207" s="24">
        <v>-0.2</v>
      </c>
      <c r="AE207" s="24">
        <v>0</v>
      </c>
      <c r="AF207" s="24">
        <v>0</v>
      </c>
      <c r="AG207" s="24">
        <v>0</v>
      </c>
      <c r="AH207" s="24">
        <v>-0.2</v>
      </c>
      <c r="AI207" s="16" t="s"/>
      <c r="AJ207" s="72">
        <f>=F207*247.95</f>
        <v>306962.1</v>
      </c>
      <c r="AK207" s="72">
        <f>=G207*32.6061</f>
        <v>2478.0636</v>
      </c>
      <c r="AL207" s="72">
        <f>=J207*2.35</f>
        <v>1555.7</v>
      </c>
      <c r="AM207" s="72">
        <f>=H207*15.88</f>
        <v>635.2</v>
      </c>
    </row>
    <row r="208" spans="1:39">
      <c r="A208" s="24" t="s">
        <v>1595</v>
      </c>
      <c r="B208" s="24" t="s">
        <v>1596</v>
      </c>
      <c r="C208" s="24" t="s">
        <v>1597</v>
      </c>
      <c r="D208" s="24">
        <v>900011682</v>
      </c>
      <c r="E208" s="24">
        <v>11682</v>
      </c>
      <c r="F208" s="24">
        <v>1514</v>
      </c>
      <c r="G208" s="24">
        <v>76</v>
      </c>
      <c r="H208" s="24">
        <v>40</v>
      </c>
      <c r="I208" s="25">
        <v>0.5</v>
      </c>
      <c r="J208" s="24">
        <v>992</v>
      </c>
      <c r="K208" s="24" t="b">
        <v>1</v>
      </c>
      <c r="L208" s="25">
        <v>0</v>
      </c>
      <c r="M208" s="47">
        <v>0</v>
      </c>
      <c r="N208" s="25">
        <v>0.1538</v>
      </c>
      <c r="O208" s="47">
        <v>6.501951</v>
      </c>
      <c r="P208" s="25">
        <v>0.25</v>
      </c>
      <c r="Q208" s="24">
        <v>1</v>
      </c>
      <c r="R208" s="24">
        <v>1</v>
      </c>
      <c r="S208" s="25">
        <v>0</v>
      </c>
      <c r="T208" s="24">
        <v>-0.2</v>
      </c>
      <c r="U208" s="24">
        <v>0</v>
      </c>
      <c r="V208" s="24">
        <v>0</v>
      </c>
      <c r="W208" s="24">
        <v>0</v>
      </c>
      <c r="X208" s="24">
        <v>-0.2</v>
      </c>
      <c r="Y208" s="24">
        <v>-0.2</v>
      </c>
      <c r="Z208" s="24">
        <v>0</v>
      </c>
      <c r="AA208" s="24">
        <v>0</v>
      </c>
      <c r="AB208" s="24">
        <v>0</v>
      </c>
      <c r="AC208" s="24">
        <v>-0.2</v>
      </c>
      <c r="AD208" s="24">
        <v>-0.2</v>
      </c>
      <c r="AE208" s="24">
        <v>0</v>
      </c>
      <c r="AF208" s="24">
        <v>0</v>
      </c>
      <c r="AG208" s="24">
        <v>0</v>
      </c>
      <c r="AH208" s="24">
        <v>-0.2</v>
      </c>
      <c r="AI208" s="16" t="s"/>
      <c r="AJ208" s="72">
        <f>=F208*247.95</f>
        <v>375396.3</v>
      </c>
      <c r="AK208" s="72">
        <f>=G208*32.6061</f>
        <v>2478.0636</v>
      </c>
      <c r="AL208" s="72">
        <f>=J208*2.35</f>
        <v>2331.2</v>
      </c>
      <c r="AM208" s="72">
        <f>=H208*15.88</f>
        <v>635.2</v>
      </c>
    </row>
    <row r="209" spans="1:39">
      <c r="A209" s="24" t="s">
        <v>1598</v>
      </c>
      <c r="B209" s="24" t="s">
        <v>1599</v>
      </c>
      <c r="C209" s="24" t="s">
        <v>1600</v>
      </c>
      <c r="D209" s="24">
        <v>900011683</v>
      </c>
      <c r="E209" s="24">
        <v>11683</v>
      </c>
      <c r="F209" s="24">
        <v>1238</v>
      </c>
      <c r="G209" s="24">
        <v>76</v>
      </c>
      <c r="H209" s="24">
        <v>40</v>
      </c>
      <c r="I209" s="25">
        <v>0.5</v>
      </c>
      <c r="J209" s="24">
        <v>662</v>
      </c>
      <c r="K209" s="24" t="b">
        <v>1</v>
      </c>
      <c r="L209" s="25">
        <v>0</v>
      </c>
      <c r="M209" s="47">
        <v>0</v>
      </c>
      <c r="N209" s="25">
        <v>0.1538</v>
      </c>
      <c r="O209" s="47">
        <v>6.501951</v>
      </c>
      <c r="P209" s="25">
        <v>0.25</v>
      </c>
      <c r="Q209" s="24">
        <v>1</v>
      </c>
      <c r="R209" s="24">
        <v>1</v>
      </c>
      <c r="S209" s="25">
        <v>0</v>
      </c>
      <c r="T209" s="24">
        <v>0</v>
      </c>
      <c r="U209" s="24">
        <v>-0.2</v>
      </c>
      <c r="V209" s="24">
        <v>0</v>
      </c>
      <c r="W209" s="24">
        <v>0</v>
      </c>
      <c r="X209" s="24">
        <v>0</v>
      </c>
      <c r="Y209" s="24">
        <v>0</v>
      </c>
      <c r="Z209" s="24">
        <v>-0.2</v>
      </c>
      <c r="AA209" s="24">
        <v>0</v>
      </c>
      <c r="AB209" s="24">
        <v>0</v>
      </c>
      <c r="AC209" s="24">
        <v>0</v>
      </c>
      <c r="AD209" s="24">
        <v>0</v>
      </c>
      <c r="AE209" s="24">
        <v>-0.2</v>
      </c>
      <c r="AF209" s="24">
        <v>0</v>
      </c>
      <c r="AG209" s="24">
        <v>0</v>
      </c>
      <c r="AH209" s="24">
        <v>0</v>
      </c>
      <c r="AI209" s="16" t="s"/>
      <c r="AJ209" s="72">
        <f>=F209*247.95</f>
        <v>306962.1</v>
      </c>
      <c r="AK209" s="72">
        <f>=G209*32.6061</f>
        <v>2478.0636</v>
      </c>
      <c r="AL209" s="72">
        <f>=J209*2.35</f>
        <v>1555.7</v>
      </c>
      <c r="AM209" s="72">
        <f>=H209*15.88</f>
        <v>635.2</v>
      </c>
    </row>
    <row r="210" spans="1:39">
      <c r="A210" s="24" t="s">
        <v>1598</v>
      </c>
      <c r="B210" s="24" t="s">
        <v>1599</v>
      </c>
      <c r="C210" s="24" t="s">
        <v>1600</v>
      </c>
      <c r="D210" s="24">
        <v>900011684</v>
      </c>
      <c r="E210" s="24">
        <v>11684</v>
      </c>
      <c r="F210" s="24">
        <v>1514</v>
      </c>
      <c r="G210" s="24">
        <v>76</v>
      </c>
      <c r="H210" s="24">
        <v>40</v>
      </c>
      <c r="I210" s="25">
        <v>0.5</v>
      </c>
      <c r="J210" s="24">
        <v>992</v>
      </c>
      <c r="K210" s="24" t="b">
        <v>1</v>
      </c>
      <c r="L210" s="25">
        <v>0</v>
      </c>
      <c r="M210" s="47">
        <v>0</v>
      </c>
      <c r="N210" s="25">
        <v>0.1538</v>
      </c>
      <c r="O210" s="47">
        <v>6.501951</v>
      </c>
      <c r="P210" s="25">
        <v>0.25</v>
      </c>
      <c r="Q210" s="24">
        <v>1</v>
      </c>
      <c r="R210" s="24">
        <v>1</v>
      </c>
      <c r="S210" s="25">
        <v>0</v>
      </c>
      <c r="T210" s="24">
        <v>0</v>
      </c>
      <c r="U210" s="24">
        <v>-0.2</v>
      </c>
      <c r="V210" s="24">
        <v>0</v>
      </c>
      <c r="W210" s="24">
        <v>0</v>
      </c>
      <c r="X210" s="24">
        <v>0</v>
      </c>
      <c r="Y210" s="24">
        <v>0</v>
      </c>
      <c r="Z210" s="24">
        <v>-0.2</v>
      </c>
      <c r="AA210" s="24">
        <v>0</v>
      </c>
      <c r="AB210" s="24">
        <v>0</v>
      </c>
      <c r="AC210" s="24">
        <v>0</v>
      </c>
      <c r="AD210" s="24">
        <v>0</v>
      </c>
      <c r="AE210" s="24">
        <v>-0.2</v>
      </c>
      <c r="AF210" s="24">
        <v>0</v>
      </c>
      <c r="AG210" s="24">
        <v>0</v>
      </c>
      <c r="AH210" s="24">
        <v>0</v>
      </c>
      <c r="AI210" s="16" t="s"/>
      <c r="AJ210" s="72">
        <f>=F210*247.95</f>
        <v>375396.3</v>
      </c>
      <c r="AK210" s="72">
        <f>=G210*32.6061</f>
        <v>2478.0636</v>
      </c>
      <c r="AL210" s="72">
        <f>=J210*2.35</f>
        <v>2331.2</v>
      </c>
      <c r="AM210" s="72">
        <f>=H210*15.88</f>
        <v>635.2</v>
      </c>
    </row>
    <row r="211" spans="1:39">
      <c r="A211" s="24" t="s">
        <v>1601</v>
      </c>
      <c r="B211" s="24" t="s">
        <v>1602</v>
      </c>
      <c r="C211" s="24" t="s">
        <v>1603</v>
      </c>
      <c r="D211" s="24">
        <v>900011691</v>
      </c>
      <c r="E211" s="24">
        <v>11691</v>
      </c>
      <c r="F211" s="24">
        <v>1238</v>
      </c>
      <c r="G211" s="24">
        <v>76</v>
      </c>
      <c r="H211" s="24">
        <v>40</v>
      </c>
      <c r="I211" s="25">
        <v>0.5</v>
      </c>
      <c r="J211" s="24">
        <v>662</v>
      </c>
      <c r="K211" s="24" t="b">
        <v>1</v>
      </c>
      <c r="L211" s="25">
        <v>0.05</v>
      </c>
      <c r="M211" s="47">
        <v>0</v>
      </c>
      <c r="N211" s="25">
        <v>0.1538</v>
      </c>
      <c r="O211" s="47">
        <v>6.501951</v>
      </c>
      <c r="P211" s="25">
        <v>0.5</v>
      </c>
      <c r="Q211" s="24">
        <v>1</v>
      </c>
      <c r="R211" s="24">
        <v>1</v>
      </c>
      <c r="S211" s="25">
        <v>0</v>
      </c>
      <c r="T211" s="24">
        <v>-0.2</v>
      </c>
      <c r="U211" s="24">
        <v>0</v>
      </c>
      <c r="V211" s="24">
        <v>0</v>
      </c>
      <c r="W211" s="24">
        <v>0</v>
      </c>
      <c r="X211" s="24">
        <v>-0.2</v>
      </c>
      <c r="Y211" s="24">
        <v>-0.2</v>
      </c>
      <c r="Z211" s="24">
        <v>0</v>
      </c>
      <c r="AA211" s="24">
        <v>0</v>
      </c>
      <c r="AB211" s="24">
        <v>0</v>
      </c>
      <c r="AC211" s="24">
        <v>-0.2</v>
      </c>
      <c r="AD211" s="24">
        <v>-0.2</v>
      </c>
      <c r="AE211" s="24">
        <v>0</v>
      </c>
      <c r="AF211" s="24">
        <v>0</v>
      </c>
      <c r="AG211" s="24">
        <v>0</v>
      </c>
      <c r="AH211" s="24">
        <v>-0.2</v>
      </c>
      <c r="AI211" s="16" t="s"/>
      <c r="AJ211" s="72">
        <f>=F211*247.95</f>
        <v>306962.1</v>
      </c>
      <c r="AK211" s="72">
        <f>=G211*32.6061</f>
        <v>2478.0636</v>
      </c>
      <c r="AL211" s="72">
        <f>=J211*2.35</f>
        <v>1555.7</v>
      </c>
      <c r="AM211" s="72">
        <f>=H211*15.88</f>
        <v>635.2</v>
      </c>
    </row>
    <row r="212" spans="1:39">
      <c r="A212" s="24" t="s">
        <v>1601</v>
      </c>
      <c r="B212" s="24" t="s">
        <v>1602</v>
      </c>
      <c r="C212" s="24" t="s">
        <v>1603</v>
      </c>
      <c r="D212" s="24">
        <v>900011692</v>
      </c>
      <c r="E212" s="24">
        <v>11692</v>
      </c>
      <c r="F212" s="24">
        <v>1514</v>
      </c>
      <c r="G212" s="24">
        <v>69</v>
      </c>
      <c r="H212" s="24">
        <v>40</v>
      </c>
      <c r="I212" s="25">
        <v>0.5</v>
      </c>
      <c r="J212" s="24">
        <v>992</v>
      </c>
      <c r="K212" s="24" t="b">
        <v>1</v>
      </c>
      <c r="L212" s="25">
        <v>0.05</v>
      </c>
      <c r="M212" s="47">
        <v>0</v>
      </c>
      <c r="N212" s="25">
        <v>0.1538</v>
      </c>
      <c r="O212" s="47">
        <v>6.501951</v>
      </c>
      <c r="P212" s="25">
        <v>0.5</v>
      </c>
      <c r="Q212" s="24">
        <v>1</v>
      </c>
      <c r="R212" s="24">
        <v>1</v>
      </c>
      <c r="S212" s="25">
        <v>0</v>
      </c>
      <c r="T212" s="24">
        <v>-0.2</v>
      </c>
      <c r="U212" s="24">
        <v>0</v>
      </c>
      <c r="V212" s="24">
        <v>0</v>
      </c>
      <c r="W212" s="24">
        <v>0</v>
      </c>
      <c r="X212" s="24">
        <v>-0.2</v>
      </c>
      <c r="Y212" s="24">
        <v>-0.2</v>
      </c>
      <c r="Z212" s="24">
        <v>0</v>
      </c>
      <c r="AA212" s="24">
        <v>0</v>
      </c>
      <c r="AB212" s="24">
        <v>0</v>
      </c>
      <c r="AC212" s="24">
        <v>-0.2</v>
      </c>
      <c r="AD212" s="24">
        <v>-0.2</v>
      </c>
      <c r="AE212" s="24">
        <v>0</v>
      </c>
      <c r="AF212" s="24">
        <v>0</v>
      </c>
      <c r="AG212" s="24">
        <v>0</v>
      </c>
      <c r="AH212" s="24">
        <v>-0.2</v>
      </c>
      <c r="AI212" s="16" t="s"/>
      <c r="AJ212" s="72">
        <f>=F212*247.95</f>
        <v>375396.3</v>
      </c>
      <c r="AK212" s="72">
        <f>=G212*32.6061</f>
        <v>2249.8209</v>
      </c>
      <c r="AL212" s="72">
        <f>=J212*2.35</f>
        <v>2331.2</v>
      </c>
      <c r="AM212" s="72">
        <f>=H212*15.88</f>
        <v>635.2</v>
      </c>
    </row>
    <row r="213" spans="1:39">
      <c r="A213" s="24" t="s">
        <v>1604</v>
      </c>
      <c r="B213" s="24" t="s">
        <v>1605</v>
      </c>
      <c r="C213" s="24" t="s">
        <v>1606</v>
      </c>
      <c r="D213" s="24">
        <v>900011693</v>
      </c>
      <c r="E213" s="24">
        <v>11693</v>
      </c>
      <c r="F213" s="24">
        <v>1238</v>
      </c>
      <c r="G213" s="24">
        <v>69</v>
      </c>
      <c r="H213" s="24">
        <v>40</v>
      </c>
      <c r="I213" s="25">
        <v>0.5</v>
      </c>
      <c r="J213" s="24">
        <v>662</v>
      </c>
      <c r="K213" s="24" t="b">
        <v>1</v>
      </c>
      <c r="L213" s="25">
        <v>0.05</v>
      </c>
      <c r="M213" s="47">
        <v>0</v>
      </c>
      <c r="N213" s="25">
        <v>0.1538</v>
      </c>
      <c r="O213" s="47">
        <v>6.501951</v>
      </c>
      <c r="P213" s="25">
        <v>0.5</v>
      </c>
      <c r="Q213" s="24">
        <v>1</v>
      </c>
      <c r="R213" s="24">
        <v>1</v>
      </c>
      <c r="S213" s="25">
        <v>0</v>
      </c>
      <c r="T213" s="24">
        <v>0</v>
      </c>
      <c r="U213" s="24">
        <v>-0.2</v>
      </c>
      <c r="V213" s="24">
        <v>0</v>
      </c>
      <c r="W213" s="24">
        <v>0</v>
      </c>
      <c r="X213" s="24">
        <v>0</v>
      </c>
      <c r="Y213" s="24">
        <v>0</v>
      </c>
      <c r="Z213" s="24">
        <v>-0.2</v>
      </c>
      <c r="AA213" s="24">
        <v>0</v>
      </c>
      <c r="AB213" s="24">
        <v>0</v>
      </c>
      <c r="AC213" s="24">
        <v>0</v>
      </c>
      <c r="AD213" s="24">
        <v>0</v>
      </c>
      <c r="AE213" s="24">
        <v>-0.2</v>
      </c>
      <c r="AF213" s="24">
        <v>0</v>
      </c>
      <c r="AG213" s="24">
        <v>0</v>
      </c>
      <c r="AH213" s="24">
        <v>0</v>
      </c>
      <c r="AI213" s="16" t="s"/>
      <c r="AJ213" s="72">
        <f>=F213*247.95</f>
        <v>306962.1</v>
      </c>
      <c r="AK213" s="72">
        <f>=G213*32.6061</f>
        <v>2249.8209</v>
      </c>
      <c r="AL213" s="72">
        <f>=J213*2.35</f>
        <v>1555.7</v>
      </c>
      <c r="AM213" s="72">
        <f>=H213*15.88</f>
        <v>635.2</v>
      </c>
    </row>
    <row r="214" spans="1:39">
      <c r="A214" s="24" t="s">
        <v>1604</v>
      </c>
      <c r="B214" s="24" t="s">
        <v>1605</v>
      </c>
      <c r="C214" s="24" t="s">
        <v>1606</v>
      </c>
      <c r="D214" s="24">
        <v>900011694</v>
      </c>
      <c r="E214" s="24">
        <v>11694</v>
      </c>
      <c r="F214" s="24">
        <v>1514</v>
      </c>
      <c r="G214" s="24">
        <v>69</v>
      </c>
      <c r="H214" s="24">
        <v>40</v>
      </c>
      <c r="I214" s="25">
        <v>0.5</v>
      </c>
      <c r="J214" s="24">
        <v>992</v>
      </c>
      <c r="K214" s="24" t="b">
        <v>1</v>
      </c>
      <c r="L214" s="25">
        <v>0.05</v>
      </c>
      <c r="M214" s="47">
        <v>0</v>
      </c>
      <c r="N214" s="25">
        <v>0.1538</v>
      </c>
      <c r="O214" s="47">
        <v>6.501951</v>
      </c>
      <c r="P214" s="25">
        <v>0.5</v>
      </c>
      <c r="Q214" s="24">
        <v>1</v>
      </c>
      <c r="R214" s="24">
        <v>1</v>
      </c>
      <c r="S214" s="25">
        <v>0</v>
      </c>
      <c r="T214" s="24">
        <v>0</v>
      </c>
      <c r="U214" s="24">
        <v>-0.2</v>
      </c>
      <c r="V214" s="24">
        <v>0</v>
      </c>
      <c r="W214" s="24">
        <v>0</v>
      </c>
      <c r="X214" s="24">
        <v>0</v>
      </c>
      <c r="Y214" s="24">
        <v>0</v>
      </c>
      <c r="Z214" s="24">
        <v>-0.2</v>
      </c>
      <c r="AA214" s="24">
        <v>0</v>
      </c>
      <c r="AB214" s="24">
        <v>0</v>
      </c>
      <c r="AC214" s="24">
        <v>0</v>
      </c>
      <c r="AD214" s="24">
        <v>0</v>
      </c>
      <c r="AE214" s="24">
        <v>-0.2</v>
      </c>
      <c r="AF214" s="24">
        <v>0</v>
      </c>
      <c r="AG214" s="24">
        <v>0</v>
      </c>
      <c r="AH214" s="24">
        <v>0</v>
      </c>
      <c r="AI214" s="16" t="s"/>
      <c r="AJ214" s="72">
        <f>=F214*247.95</f>
        <v>375396.3</v>
      </c>
      <c r="AK214" s="72">
        <f>=G214*32.6061</f>
        <v>2249.8209</v>
      </c>
      <c r="AL214" s="72">
        <f>=J214*2.35</f>
        <v>2331.2</v>
      </c>
      <c r="AM214" s="72">
        <f>=H214*15.88</f>
        <v>635.2</v>
      </c>
    </row>
    <row r="215" spans="1:39">
      <c r="A215" s="24" t="s">
        <v>1607</v>
      </c>
      <c r="B215" s="24" t="s">
        <v>1608</v>
      </c>
      <c r="C215" s="24" t="s">
        <v>1609</v>
      </c>
      <c r="D215" s="24">
        <v>900011701</v>
      </c>
      <c r="E215" s="24">
        <v>11701</v>
      </c>
      <c r="F215" s="24">
        <v>10162</v>
      </c>
      <c r="G215" s="24">
        <v>132</v>
      </c>
      <c r="H215" s="24">
        <v>60</v>
      </c>
      <c r="I215" s="25">
        <v>0.5</v>
      </c>
      <c r="J215" s="24">
        <v>5675</v>
      </c>
      <c r="K215" s="24" t="b">
        <v>1</v>
      </c>
      <c r="L215" s="25">
        <v>0</v>
      </c>
      <c r="M215" s="47">
        <v>0</v>
      </c>
      <c r="N215" s="25">
        <v>0.0833</v>
      </c>
      <c r="O215" s="47">
        <v>12.0048</v>
      </c>
      <c r="P215" s="25">
        <v>0.5</v>
      </c>
      <c r="Q215" s="24">
        <v>3</v>
      </c>
      <c r="R215" s="24">
        <v>5</v>
      </c>
      <c r="S215" s="25">
        <v>0.75</v>
      </c>
      <c r="T215" s="24">
        <v>0</v>
      </c>
      <c r="U215" s="24">
        <v>-0.2</v>
      </c>
      <c r="V215" s="24">
        <v>0.4</v>
      </c>
      <c r="W215" s="24">
        <v>0</v>
      </c>
      <c r="X215" s="24">
        <v>0</v>
      </c>
      <c r="Y215" s="24">
        <v>0</v>
      </c>
      <c r="Z215" s="24">
        <v>-0.2</v>
      </c>
      <c r="AA215" s="24">
        <v>0.2</v>
      </c>
      <c r="AB215" s="24">
        <v>0</v>
      </c>
      <c r="AC215" s="24">
        <v>0</v>
      </c>
      <c r="AD215" s="24">
        <v>0</v>
      </c>
      <c r="AE215" s="24">
        <v>-0.2</v>
      </c>
      <c r="AF215" s="24">
        <v>0.2</v>
      </c>
      <c r="AG215" s="24">
        <v>0</v>
      </c>
      <c r="AH215" s="24">
        <v>0</v>
      </c>
      <c r="AI215" s="16">
        <v>5</v>
      </c>
      <c r="AJ215" s="72">
        <f>=F215*247.95</f>
        <v>2519667.9</v>
      </c>
      <c r="AK215" s="72">
        <f>=G215*32.6061</f>
        <v>4304.0052</v>
      </c>
      <c r="AL215" s="72">
        <f>=J215*2.35</f>
        <v>13336.25</v>
      </c>
      <c r="AM215" s="72">
        <f>=H215*15.88</f>
        <v>952.8</v>
      </c>
    </row>
    <row r="216" spans="1:39">
      <c r="A216" s="24" t="s">
        <v>1607</v>
      </c>
      <c r="B216" s="24" t="s">
        <v>1608</v>
      </c>
      <c r="C216" s="24" t="s">
        <v>1609</v>
      </c>
      <c r="D216" s="24">
        <v>900011702</v>
      </c>
      <c r="E216" s="24">
        <v>11702</v>
      </c>
      <c r="F216" s="24">
        <v>17637</v>
      </c>
      <c r="G216" s="24">
        <v>158</v>
      </c>
      <c r="H216" s="24">
        <v>60</v>
      </c>
      <c r="I216" s="25">
        <v>0.5</v>
      </c>
      <c r="J216" s="24">
        <v>5675</v>
      </c>
      <c r="K216" s="24" t="b">
        <v>1</v>
      </c>
      <c r="L216" s="25">
        <v>0</v>
      </c>
      <c r="M216" s="47">
        <v>0</v>
      </c>
      <c r="N216" s="25">
        <v>0.0833</v>
      </c>
      <c r="O216" s="47">
        <v>12.0048</v>
      </c>
      <c r="P216" s="25">
        <v>0.5</v>
      </c>
      <c r="Q216" s="24">
        <v>3</v>
      </c>
      <c r="R216" s="24">
        <v>5</v>
      </c>
      <c r="S216" s="25">
        <v>0.75</v>
      </c>
      <c r="T216" s="24">
        <v>0</v>
      </c>
      <c r="U216" s="24">
        <v>-0.2</v>
      </c>
      <c r="V216" s="24">
        <v>0.4</v>
      </c>
      <c r="W216" s="24">
        <v>0</v>
      </c>
      <c r="X216" s="24">
        <v>0</v>
      </c>
      <c r="Y216" s="24">
        <v>0</v>
      </c>
      <c r="Z216" s="24">
        <v>-0.2</v>
      </c>
      <c r="AA216" s="24">
        <v>0.2</v>
      </c>
      <c r="AB216" s="24">
        <v>0</v>
      </c>
      <c r="AC216" s="24">
        <v>0</v>
      </c>
      <c r="AD216" s="24">
        <v>0</v>
      </c>
      <c r="AE216" s="24">
        <v>-0.2</v>
      </c>
      <c r="AF216" s="24">
        <v>0.2</v>
      </c>
      <c r="AG216" s="24">
        <v>0</v>
      </c>
      <c r="AH216" s="24">
        <v>0</v>
      </c>
      <c r="AI216" s="16">
        <v>5</v>
      </c>
      <c r="AJ216" s="72">
        <f>=F216*247.95</f>
        <v>4373094.15</v>
      </c>
      <c r="AK216" s="72">
        <f>=G216*32.6061</f>
        <v>5151.7638</v>
      </c>
      <c r="AL216" s="72">
        <f>=J216*2.35</f>
        <v>13336.25</v>
      </c>
      <c r="AM216" s="72">
        <f>=H216*15.88</f>
        <v>952.8</v>
      </c>
    </row>
    <row r="217" spans="1:39">
      <c r="A217" s="24" t="s">
        <v>1612</v>
      </c>
      <c r="B217" s="24" t="s">
        <v>1613</v>
      </c>
      <c r="C217" s="24" t="s">
        <v>1614</v>
      </c>
      <c r="D217" s="24">
        <v>900011711</v>
      </c>
      <c r="E217" s="24">
        <v>11711</v>
      </c>
      <c r="F217" s="24">
        <v>17106</v>
      </c>
      <c r="G217" s="24">
        <v>132</v>
      </c>
      <c r="H217" s="24">
        <v>60</v>
      </c>
      <c r="I217" s="25">
        <v>0.5</v>
      </c>
      <c r="J217" s="24">
        <v>4733</v>
      </c>
      <c r="K217" s="24" t="b">
        <v>1</v>
      </c>
      <c r="L217" s="25">
        <v>0</v>
      </c>
      <c r="M217" s="47">
        <v>0</v>
      </c>
      <c r="N217" s="25">
        <v>0.0833</v>
      </c>
      <c r="O217" s="47">
        <v>12.0048</v>
      </c>
      <c r="P217" s="25">
        <v>0.5</v>
      </c>
      <c r="Q217" s="24">
        <v>3</v>
      </c>
      <c r="R217" s="24">
        <v>5</v>
      </c>
      <c r="S217" s="25">
        <v>0.75</v>
      </c>
      <c r="T217" s="24">
        <v>-0.2</v>
      </c>
      <c r="U217" s="24">
        <v>0</v>
      </c>
      <c r="V217" s="24">
        <v>0</v>
      </c>
      <c r="W217" s="24">
        <v>0</v>
      </c>
      <c r="X217" s="24">
        <v>-0.2</v>
      </c>
      <c r="Y217" s="24">
        <v>-0.2</v>
      </c>
      <c r="Z217" s="24">
        <v>0</v>
      </c>
      <c r="AA217" s="24">
        <v>0</v>
      </c>
      <c r="AB217" s="24">
        <v>0</v>
      </c>
      <c r="AC217" s="24">
        <v>-0.2</v>
      </c>
      <c r="AD217" s="24">
        <v>-0.2</v>
      </c>
      <c r="AE217" s="24">
        <v>0</v>
      </c>
      <c r="AF217" s="24">
        <v>0</v>
      </c>
      <c r="AG217" s="24">
        <v>0</v>
      </c>
      <c r="AH217" s="24">
        <v>-0.2</v>
      </c>
      <c r="AI217" s="16">
        <v>5</v>
      </c>
      <c r="AJ217" s="72">
        <f>=F217*247.95</f>
        <v>4241432.7</v>
      </c>
      <c r="AK217" s="72">
        <f>=G217*32.6061</f>
        <v>4304.0052</v>
      </c>
      <c r="AL217" s="72">
        <f>=J217*2.35</f>
        <v>11122.55</v>
      </c>
      <c r="AM217" s="72">
        <f>=H217*15.88</f>
        <v>952.8</v>
      </c>
    </row>
    <row r="218" spans="1:39">
      <c r="A218" s="24" t="s">
        <v>1616</v>
      </c>
      <c r="B218" s="24" t="s">
        <v>1617</v>
      </c>
      <c r="C218" s="24" t="s">
        <v>1618</v>
      </c>
      <c r="D218" s="24">
        <v>900011721</v>
      </c>
      <c r="E218" s="24">
        <v>11721</v>
      </c>
      <c r="F218" s="24">
        <v>6422</v>
      </c>
      <c r="G218" s="24">
        <v>92</v>
      </c>
      <c r="H218" s="24">
        <v>45</v>
      </c>
      <c r="I218" s="25">
        <v>0.5</v>
      </c>
      <c r="J218" s="24">
        <v>2817</v>
      </c>
      <c r="K218" s="24" t="b">
        <v>1</v>
      </c>
      <c r="L218" s="25">
        <v>0</v>
      </c>
      <c r="M218" s="47">
        <v>0</v>
      </c>
      <c r="N218" s="25">
        <v>0.1</v>
      </c>
      <c r="O218" s="47">
        <v>10</v>
      </c>
      <c r="P218" s="25">
        <v>0.5</v>
      </c>
      <c r="Q218" s="24">
        <v>2</v>
      </c>
      <c r="R218" s="24">
        <v>3</v>
      </c>
      <c r="S218" s="25">
        <v>0.5</v>
      </c>
      <c r="T218" s="24">
        <v>0</v>
      </c>
      <c r="U218" s="24">
        <v>-0.2</v>
      </c>
      <c r="V218" s="24">
        <v>0.2</v>
      </c>
      <c r="W218" s="24">
        <v>0</v>
      </c>
      <c r="X218" s="24">
        <v>0</v>
      </c>
      <c r="Y218" s="24">
        <v>0</v>
      </c>
      <c r="Z218" s="24">
        <v>-0.2</v>
      </c>
      <c r="AA218" s="24">
        <v>0.2</v>
      </c>
      <c r="AB218" s="24">
        <v>0</v>
      </c>
      <c r="AC218" s="24">
        <v>0</v>
      </c>
      <c r="AD218" s="24">
        <v>0</v>
      </c>
      <c r="AE218" s="24">
        <v>-0.2</v>
      </c>
      <c r="AF218" s="24">
        <v>0.2</v>
      </c>
      <c r="AG218" s="24">
        <v>0</v>
      </c>
      <c r="AH218" s="24">
        <v>0</v>
      </c>
      <c r="AI218" s="16">
        <v>3</v>
      </c>
      <c r="AJ218" s="72">
        <f>=F218*247.95</f>
        <v>1592334.9</v>
      </c>
      <c r="AK218" s="72">
        <f>=G218*32.6061</f>
        <v>2999.7612</v>
      </c>
      <c r="AL218" s="72">
        <f>=J218*2.35</f>
        <v>6619.95</v>
      </c>
      <c r="AM218" s="72">
        <f>=H218*15.88</f>
        <v>714.6</v>
      </c>
    </row>
    <row r="219" spans="1:39">
      <c r="A219" s="24" t="s">
        <v>1616</v>
      </c>
      <c r="B219" s="24" t="s">
        <v>1617</v>
      </c>
      <c r="C219" s="24" t="s">
        <v>1618</v>
      </c>
      <c r="D219" s="24">
        <v>900011722</v>
      </c>
      <c r="E219" s="24">
        <v>11722</v>
      </c>
      <c r="F219" s="24">
        <v>6663</v>
      </c>
      <c r="G219" s="24">
        <v>106</v>
      </c>
      <c r="H219" s="24">
        <v>45</v>
      </c>
      <c r="I219" s="25">
        <v>0.5</v>
      </c>
      <c r="J219" s="24">
        <v>3266</v>
      </c>
      <c r="K219" s="24" t="b">
        <v>1</v>
      </c>
      <c r="L219" s="25">
        <v>0</v>
      </c>
      <c r="M219" s="47">
        <v>0</v>
      </c>
      <c r="N219" s="25">
        <v>0.1</v>
      </c>
      <c r="O219" s="47">
        <v>10</v>
      </c>
      <c r="P219" s="25">
        <v>0.5</v>
      </c>
      <c r="Q219" s="24">
        <v>2</v>
      </c>
      <c r="R219" s="24">
        <v>5</v>
      </c>
      <c r="S219" s="25">
        <v>0.5</v>
      </c>
      <c r="T219" s="24">
        <v>0</v>
      </c>
      <c r="U219" s="24">
        <v>-0.2</v>
      </c>
      <c r="V219" s="24">
        <v>0.2</v>
      </c>
      <c r="W219" s="24">
        <v>0</v>
      </c>
      <c r="X219" s="24">
        <v>0</v>
      </c>
      <c r="Y219" s="24">
        <v>0</v>
      </c>
      <c r="Z219" s="24">
        <v>-0.2</v>
      </c>
      <c r="AA219" s="24">
        <v>0.2</v>
      </c>
      <c r="AB219" s="24">
        <v>0</v>
      </c>
      <c r="AC219" s="24">
        <v>0</v>
      </c>
      <c r="AD219" s="24">
        <v>0</v>
      </c>
      <c r="AE219" s="24">
        <v>-0.2</v>
      </c>
      <c r="AF219" s="24">
        <v>0.2</v>
      </c>
      <c r="AG219" s="24">
        <v>0</v>
      </c>
      <c r="AH219" s="24">
        <v>0</v>
      </c>
      <c r="AI219" s="16">
        <v>3</v>
      </c>
      <c r="AJ219" s="72">
        <f>=F219*247.95</f>
        <v>1652090.85</v>
      </c>
      <c r="AK219" s="72">
        <f>=G219*32.6061</f>
        <v>3456.2466</v>
      </c>
      <c r="AL219" s="72">
        <f>=J219*2.35</f>
        <v>7675.1</v>
      </c>
      <c r="AM219" s="72">
        <f>=H219*15.88</f>
        <v>714.6</v>
      </c>
    </row>
    <row r="220" spans="1:39">
      <c r="A220" s="24" t="s">
        <v>1621</v>
      </c>
      <c r="B220" s="24" t="s">
        <v>1622</v>
      </c>
      <c r="C220" s="24" t="s">
        <v>1623</v>
      </c>
      <c r="D220" s="24">
        <v>900011723</v>
      </c>
      <c r="E220" s="24">
        <v>11723</v>
      </c>
      <c r="F220" s="24">
        <v>6422</v>
      </c>
      <c r="G220" s="24">
        <v>92</v>
      </c>
      <c r="H220" s="24">
        <v>45</v>
      </c>
      <c r="I220" s="25">
        <v>0.5</v>
      </c>
      <c r="J220" s="24">
        <v>2817</v>
      </c>
      <c r="K220" s="24" t="b">
        <v>1</v>
      </c>
      <c r="L220" s="25">
        <v>0</v>
      </c>
      <c r="M220" s="47">
        <v>0</v>
      </c>
      <c r="N220" s="25">
        <v>0.1</v>
      </c>
      <c r="O220" s="47">
        <v>10</v>
      </c>
      <c r="P220" s="25">
        <v>0.5</v>
      </c>
      <c r="Q220" s="24">
        <v>2</v>
      </c>
      <c r="R220" s="24">
        <v>3</v>
      </c>
      <c r="S220" s="25">
        <v>0.5</v>
      </c>
      <c r="T220" s="24">
        <v>0</v>
      </c>
      <c r="U220" s="24">
        <v>-0.2</v>
      </c>
      <c r="V220" s="24">
        <v>0.2</v>
      </c>
      <c r="W220" s="24">
        <v>0</v>
      </c>
      <c r="X220" s="24">
        <v>0</v>
      </c>
      <c r="Y220" s="24">
        <v>0</v>
      </c>
      <c r="Z220" s="24">
        <v>-0.2</v>
      </c>
      <c r="AA220" s="24">
        <v>0.2</v>
      </c>
      <c r="AB220" s="24">
        <v>0</v>
      </c>
      <c r="AC220" s="24">
        <v>0</v>
      </c>
      <c r="AD220" s="24">
        <v>0</v>
      </c>
      <c r="AE220" s="24">
        <v>-0.2</v>
      </c>
      <c r="AF220" s="24">
        <v>0.2</v>
      </c>
      <c r="AG220" s="24">
        <v>0</v>
      </c>
      <c r="AH220" s="24">
        <v>0</v>
      </c>
      <c r="AI220" s="16">
        <v>3</v>
      </c>
      <c r="AJ220" s="72">
        <f>=F220*247.95</f>
        <v>1592334.9</v>
      </c>
      <c r="AK220" s="72">
        <f>=G220*32.6061</f>
        <v>2999.7612</v>
      </c>
      <c r="AL220" s="72">
        <f>=J220*2.35</f>
        <v>6619.95</v>
      </c>
      <c r="AM220" s="72">
        <f>=H220*15.88</f>
        <v>714.6</v>
      </c>
    </row>
    <row r="221" spans="1:39">
      <c r="A221" s="24" t="s">
        <v>1621</v>
      </c>
      <c r="B221" s="24" t="s">
        <v>1622</v>
      </c>
      <c r="C221" s="24" t="s">
        <v>1623</v>
      </c>
      <c r="D221" s="24">
        <v>900011724</v>
      </c>
      <c r="E221" s="24">
        <v>11724</v>
      </c>
      <c r="F221" s="24">
        <v>6663</v>
      </c>
      <c r="G221" s="24">
        <v>106</v>
      </c>
      <c r="H221" s="24">
        <v>45</v>
      </c>
      <c r="I221" s="25">
        <v>0.5</v>
      </c>
      <c r="J221" s="24">
        <v>3266</v>
      </c>
      <c r="K221" s="24" t="b">
        <v>1</v>
      </c>
      <c r="L221" s="25">
        <v>0</v>
      </c>
      <c r="M221" s="47">
        <v>0</v>
      </c>
      <c r="N221" s="25">
        <v>0.1</v>
      </c>
      <c r="O221" s="47">
        <v>10</v>
      </c>
      <c r="P221" s="25">
        <v>0.5</v>
      </c>
      <c r="Q221" s="24">
        <v>2</v>
      </c>
      <c r="R221" s="24">
        <v>5</v>
      </c>
      <c r="S221" s="25">
        <v>0.5</v>
      </c>
      <c r="T221" s="24">
        <v>0</v>
      </c>
      <c r="U221" s="24">
        <v>-0.2</v>
      </c>
      <c r="V221" s="24">
        <v>0.2</v>
      </c>
      <c r="W221" s="24">
        <v>0</v>
      </c>
      <c r="X221" s="24">
        <v>0</v>
      </c>
      <c r="Y221" s="24">
        <v>0</v>
      </c>
      <c r="Z221" s="24">
        <v>-0.2</v>
      </c>
      <c r="AA221" s="24">
        <v>0.2</v>
      </c>
      <c r="AB221" s="24">
        <v>0</v>
      </c>
      <c r="AC221" s="24">
        <v>0</v>
      </c>
      <c r="AD221" s="24">
        <v>0</v>
      </c>
      <c r="AE221" s="24">
        <v>-0.2</v>
      </c>
      <c r="AF221" s="24">
        <v>0.2</v>
      </c>
      <c r="AG221" s="24">
        <v>0</v>
      </c>
      <c r="AH221" s="24">
        <v>0</v>
      </c>
      <c r="AI221" s="16">
        <v>3</v>
      </c>
      <c r="AJ221" s="72">
        <f>=F221*247.95</f>
        <v>1652090.85</v>
      </c>
      <c r="AK221" s="72">
        <f>=G221*32.6061</f>
        <v>3456.2466</v>
      </c>
      <c r="AL221" s="72">
        <f>=J221*2.35</f>
        <v>7675.1</v>
      </c>
      <c r="AM221" s="72">
        <f>=H221*15.88</f>
        <v>714.6</v>
      </c>
    </row>
    <row r="222" spans="1:39">
      <c r="A222" s="24" t="s">
        <v>1626</v>
      </c>
      <c r="B222" s="24" t="s">
        <v>1627</v>
      </c>
      <c r="C222" s="24" t="s">
        <v>1628</v>
      </c>
      <c r="D222" s="24">
        <v>900011731</v>
      </c>
      <c r="E222" s="24">
        <v>11731</v>
      </c>
      <c r="F222" s="24">
        <v>8045</v>
      </c>
      <c r="G222" s="24">
        <v>92</v>
      </c>
      <c r="H222" s="24">
        <v>45</v>
      </c>
      <c r="I222" s="25">
        <v>0.5</v>
      </c>
      <c r="J222" s="24">
        <v>3593</v>
      </c>
      <c r="K222" s="24" t="b">
        <v>1</v>
      </c>
      <c r="L222" s="25">
        <v>0</v>
      </c>
      <c r="M222" s="47">
        <v>0</v>
      </c>
      <c r="N222" s="25">
        <v>0.0769</v>
      </c>
      <c r="O222" s="47">
        <v>13.0039</v>
      </c>
      <c r="P222" s="25">
        <v>0.5</v>
      </c>
      <c r="Q222" s="24">
        <v>2</v>
      </c>
      <c r="R222" s="24">
        <v>5</v>
      </c>
      <c r="S222" s="25">
        <v>0.5</v>
      </c>
      <c r="T222" s="24">
        <v>0.2</v>
      </c>
      <c r="U222" s="24">
        <v>0</v>
      </c>
      <c r="V222" s="24">
        <v>0</v>
      </c>
      <c r="W222" s="24">
        <v>0</v>
      </c>
      <c r="X222" s="24">
        <v>-0.2</v>
      </c>
      <c r="Y222" s="24">
        <v>0.2</v>
      </c>
      <c r="Z222" s="24">
        <v>0</v>
      </c>
      <c r="AA222" s="24">
        <v>0</v>
      </c>
      <c r="AB222" s="24">
        <v>0</v>
      </c>
      <c r="AC222" s="24">
        <v>-0.2</v>
      </c>
      <c r="AD222" s="24">
        <v>0.2</v>
      </c>
      <c r="AE222" s="24">
        <v>0</v>
      </c>
      <c r="AF222" s="24">
        <v>0</v>
      </c>
      <c r="AG222" s="24">
        <v>0</v>
      </c>
      <c r="AH222" s="24">
        <v>-0.2</v>
      </c>
      <c r="AI222" s="16">
        <v>3</v>
      </c>
      <c r="AJ222" s="72">
        <f>=F222*247.95</f>
        <v>1994757.75</v>
      </c>
      <c r="AK222" s="72">
        <f>=G222*32.6061</f>
        <v>2999.7612</v>
      </c>
      <c r="AL222" s="72">
        <f>=J222*2.35</f>
        <v>8443.55</v>
      </c>
      <c r="AM222" s="72">
        <f>=H222*15.88</f>
        <v>714.6</v>
      </c>
    </row>
    <row r="223" spans="1:39">
      <c r="A223" s="24" t="s">
        <v>1626</v>
      </c>
      <c r="B223" s="24" t="s">
        <v>1627</v>
      </c>
      <c r="C223" s="24" t="s">
        <v>1628</v>
      </c>
      <c r="D223" s="24">
        <v>900011732</v>
      </c>
      <c r="E223" s="24">
        <v>11732</v>
      </c>
      <c r="F223" s="24">
        <v>8364</v>
      </c>
      <c r="G223" s="24">
        <v>106</v>
      </c>
      <c r="H223" s="24">
        <v>45</v>
      </c>
      <c r="I223" s="25">
        <v>0.5</v>
      </c>
      <c r="J223" s="24">
        <v>4184</v>
      </c>
      <c r="K223" s="24" t="b">
        <v>1</v>
      </c>
      <c r="L223" s="25">
        <v>0</v>
      </c>
      <c r="M223" s="47">
        <v>0</v>
      </c>
      <c r="N223" s="25">
        <v>0.0769</v>
      </c>
      <c r="O223" s="47">
        <v>13.0039</v>
      </c>
      <c r="P223" s="25">
        <v>0.5</v>
      </c>
      <c r="Q223" s="24">
        <v>2</v>
      </c>
      <c r="R223" s="24">
        <v>5</v>
      </c>
      <c r="S223" s="25">
        <v>0.5</v>
      </c>
      <c r="T223" s="24">
        <v>0.2</v>
      </c>
      <c r="U223" s="24">
        <v>0</v>
      </c>
      <c r="V223" s="24">
        <v>0</v>
      </c>
      <c r="W223" s="24">
        <v>0</v>
      </c>
      <c r="X223" s="24">
        <v>-0.2</v>
      </c>
      <c r="Y223" s="24">
        <v>0.2</v>
      </c>
      <c r="Z223" s="24">
        <v>0</v>
      </c>
      <c r="AA223" s="24">
        <v>0</v>
      </c>
      <c r="AB223" s="24">
        <v>0</v>
      </c>
      <c r="AC223" s="24">
        <v>-0.2</v>
      </c>
      <c r="AD223" s="24">
        <v>0.2</v>
      </c>
      <c r="AE223" s="24">
        <v>0</v>
      </c>
      <c r="AF223" s="24">
        <v>0</v>
      </c>
      <c r="AG223" s="24">
        <v>0</v>
      </c>
      <c r="AH223" s="24">
        <v>-0.2</v>
      </c>
      <c r="AI223" s="16">
        <v>3</v>
      </c>
      <c r="AJ223" s="72">
        <f>=F223*247.95</f>
        <v>2073853.8</v>
      </c>
      <c r="AK223" s="72">
        <f>=G223*32.6061</f>
        <v>3456.2466</v>
      </c>
      <c r="AL223" s="72">
        <f>=J223*2.35</f>
        <v>9832.4</v>
      </c>
      <c r="AM223" s="72">
        <f>=H223*15.88</f>
        <v>714.6</v>
      </c>
    </row>
    <row r="224" spans="1:39">
      <c r="A224" s="24" t="s">
        <v>1631</v>
      </c>
      <c r="B224" s="24" t="s">
        <v>1632</v>
      </c>
      <c r="C224" s="24" t="s">
        <v>1633</v>
      </c>
      <c r="D224" s="24">
        <v>900011741</v>
      </c>
      <c r="E224" s="24">
        <v>11741</v>
      </c>
      <c r="F224" s="24">
        <v>7632</v>
      </c>
      <c r="G224" s="24">
        <v>97</v>
      </c>
      <c r="H224" s="24">
        <v>45</v>
      </c>
      <c r="I224" s="25">
        <v>0.5</v>
      </c>
      <c r="J224" s="24">
        <v>2070</v>
      </c>
      <c r="K224" s="24" t="b">
        <v>1</v>
      </c>
      <c r="L224" s="25">
        <v>0</v>
      </c>
      <c r="M224" s="47">
        <v>0</v>
      </c>
      <c r="N224" s="25">
        <v>0.1</v>
      </c>
      <c r="O224" s="47">
        <v>10</v>
      </c>
      <c r="P224" s="25">
        <v>1</v>
      </c>
      <c r="Q224" s="24">
        <v>2</v>
      </c>
      <c r="R224" s="24">
        <v>3</v>
      </c>
      <c r="S224" s="25">
        <v>0.5</v>
      </c>
      <c r="T224" s="24">
        <v>0.2</v>
      </c>
      <c r="U224" s="24">
        <v>0</v>
      </c>
      <c r="V224" s="24">
        <v>0</v>
      </c>
      <c r="W224" s="24">
        <v>0</v>
      </c>
      <c r="X224" s="24">
        <v>-0.2</v>
      </c>
      <c r="Y224" s="24">
        <v>0.2</v>
      </c>
      <c r="Z224" s="24">
        <v>0</v>
      </c>
      <c r="AA224" s="24">
        <v>0</v>
      </c>
      <c r="AB224" s="24">
        <v>0</v>
      </c>
      <c r="AC224" s="24">
        <v>-0.2</v>
      </c>
      <c r="AD224" s="24">
        <v>0.2</v>
      </c>
      <c r="AE224" s="24">
        <v>0</v>
      </c>
      <c r="AF224" s="24">
        <v>0</v>
      </c>
      <c r="AG224" s="24">
        <v>0</v>
      </c>
      <c r="AH224" s="24">
        <v>-0.2</v>
      </c>
      <c r="AI224" s="16">
        <v>3</v>
      </c>
      <c r="AJ224" s="72">
        <f>=F224*247.95</f>
        <v>1892354.4</v>
      </c>
      <c r="AK224" s="72">
        <f>=G224*32.6061</f>
        <v>3162.7917</v>
      </c>
      <c r="AL224" s="72">
        <f>=J224*2.35</f>
        <v>4864.5</v>
      </c>
      <c r="AM224" s="72">
        <f>=H224*15.88</f>
        <v>714.6</v>
      </c>
    </row>
    <row r="225" spans="1:39">
      <c r="A225" s="24" t="s">
        <v>1631</v>
      </c>
      <c r="B225" s="24" t="s">
        <v>1632</v>
      </c>
      <c r="C225" s="24" t="s">
        <v>1633</v>
      </c>
      <c r="D225" s="24">
        <v>900011742</v>
      </c>
      <c r="E225" s="24">
        <v>11742</v>
      </c>
      <c r="F225" s="24">
        <v>7861</v>
      </c>
      <c r="G225" s="24">
        <v>111</v>
      </c>
      <c r="H225" s="24">
        <v>45</v>
      </c>
      <c r="I225" s="25">
        <v>0.5</v>
      </c>
      <c r="J225" s="24">
        <v>2401</v>
      </c>
      <c r="K225" s="24" t="b">
        <v>1</v>
      </c>
      <c r="L225" s="25">
        <v>0</v>
      </c>
      <c r="M225" s="47">
        <v>0</v>
      </c>
      <c r="N225" s="25">
        <v>0.1</v>
      </c>
      <c r="O225" s="47">
        <v>10</v>
      </c>
      <c r="P225" s="25">
        <v>1</v>
      </c>
      <c r="Q225" s="24">
        <v>2</v>
      </c>
      <c r="R225" s="24">
        <v>5</v>
      </c>
      <c r="S225" s="25">
        <v>0.5</v>
      </c>
      <c r="T225" s="24">
        <v>0.2</v>
      </c>
      <c r="U225" s="24">
        <v>0</v>
      </c>
      <c r="V225" s="24">
        <v>0</v>
      </c>
      <c r="W225" s="24">
        <v>0</v>
      </c>
      <c r="X225" s="24">
        <v>-0.2</v>
      </c>
      <c r="Y225" s="24">
        <v>0.2</v>
      </c>
      <c r="Z225" s="24">
        <v>0</v>
      </c>
      <c r="AA225" s="24">
        <v>0</v>
      </c>
      <c r="AB225" s="24">
        <v>0</v>
      </c>
      <c r="AC225" s="24">
        <v>-0.2</v>
      </c>
      <c r="AD225" s="24">
        <v>0.2</v>
      </c>
      <c r="AE225" s="24">
        <v>0</v>
      </c>
      <c r="AF225" s="24">
        <v>0</v>
      </c>
      <c r="AG225" s="24">
        <v>0</v>
      </c>
      <c r="AH225" s="24">
        <v>-0.2</v>
      </c>
      <c r="AI225" s="16">
        <v>3</v>
      </c>
      <c r="AJ225" s="72">
        <f>=F225*247.95</f>
        <v>1949134.95</v>
      </c>
      <c r="AK225" s="72">
        <f>=G225*32.6061</f>
        <v>3619.2771</v>
      </c>
      <c r="AL225" s="72">
        <f>=J225*2.35</f>
        <v>5642.35</v>
      </c>
      <c r="AM225" s="72">
        <f>=H225*15.88</f>
        <v>714.6</v>
      </c>
    </row>
    <row r="226" spans="1:39">
      <c r="A226" s="24" t="s">
        <v>1636</v>
      </c>
      <c r="B226" s="24" t="s">
        <v>1637</v>
      </c>
      <c r="C226" s="24" t="s">
        <v>1638</v>
      </c>
      <c r="D226" s="24">
        <v>900011751</v>
      </c>
      <c r="E226" s="24">
        <v>11751</v>
      </c>
      <c r="F226" s="24">
        <v>6743</v>
      </c>
      <c r="G226" s="24">
        <v>97</v>
      </c>
      <c r="H226" s="24">
        <v>58</v>
      </c>
      <c r="I226" s="25">
        <v>0.5</v>
      </c>
      <c r="J226" s="24">
        <v>2958</v>
      </c>
      <c r="K226" s="24" t="b">
        <v>1</v>
      </c>
      <c r="L226" s="25">
        <v>0</v>
      </c>
      <c r="M226" s="47">
        <v>0</v>
      </c>
      <c r="N226" s="25">
        <v>0.1</v>
      </c>
      <c r="O226" s="47">
        <v>10</v>
      </c>
      <c r="P226" s="25">
        <v>0.5</v>
      </c>
      <c r="Q226" s="24">
        <v>2</v>
      </c>
      <c r="R226" s="24">
        <v>3</v>
      </c>
      <c r="S226" s="25">
        <v>0.5</v>
      </c>
      <c r="T226" s="24">
        <v>0.2</v>
      </c>
      <c r="U226" s="24">
        <v>0</v>
      </c>
      <c r="V226" s="24">
        <v>0</v>
      </c>
      <c r="W226" s="24">
        <v>0</v>
      </c>
      <c r="X226" s="24">
        <v>-0.2</v>
      </c>
      <c r="Y226" s="24">
        <v>0.2</v>
      </c>
      <c r="Z226" s="24">
        <v>0</v>
      </c>
      <c r="AA226" s="24">
        <v>0</v>
      </c>
      <c r="AB226" s="24">
        <v>0</v>
      </c>
      <c r="AC226" s="24">
        <v>-0.2</v>
      </c>
      <c r="AD226" s="24">
        <v>0.2</v>
      </c>
      <c r="AE226" s="24">
        <v>0</v>
      </c>
      <c r="AF226" s="24">
        <v>0</v>
      </c>
      <c r="AG226" s="24">
        <v>0</v>
      </c>
      <c r="AH226" s="24">
        <v>-0.2</v>
      </c>
      <c r="AI226" s="16">
        <v>3</v>
      </c>
      <c r="AJ226" s="72">
        <f>=F226*247.95</f>
        <v>1671926.85</v>
      </c>
      <c r="AK226" s="72">
        <f>=G226*32.6061</f>
        <v>3162.7917</v>
      </c>
      <c r="AL226" s="72">
        <f>=J226*2.35</f>
        <v>6951.3</v>
      </c>
      <c r="AM226" s="72">
        <f>=H226*15.88</f>
        <v>921.04</v>
      </c>
    </row>
    <row r="227" spans="1:39">
      <c r="A227" s="24" t="s">
        <v>1636</v>
      </c>
      <c r="B227" s="24" t="s">
        <v>1637</v>
      </c>
      <c r="C227" s="24" t="s">
        <v>1638</v>
      </c>
      <c r="D227" s="24">
        <v>900011752</v>
      </c>
      <c r="E227" s="24">
        <v>11752</v>
      </c>
      <c r="F227" s="24">
        <v>6996</v>
      </c>
      <c r="G227" s="24">
        <v>111</v>
      </c>
      <c r="H227" s="24">
        <v>58</v>
      </c>
      <c r="I227" s="25">
        <v>0.5</v>
      </c>
      <c r="J227" s="24">
        <v>3429</v>
      </c>
      <c r="K227" s="24" t="b">
        <v>1</v>
      </c>
      <c r="L227" s="25">
        <v>0</v>
      </c>
      <c r="M227" s="47">
        <v>0</v>
      </c>
      <c r="N227" s="25">
        <v>0.1</v>
      </c>
      <c r="O227" s="47">
        <v>10</v>
      </c>
      <c r="P227" s="25">
        <v>0.5</v>
      </c>
      <c r="Q227" s="24">
        <v>2</v>
      </c>
      <c r="R227" s="24">
        <v>5</v>
      </c>
      <c r="S227" s="25">
        <v>0.5</v>
      </c>
      <c r="T227" s="24">
        <v>0.2</v>
      </c>
      <c r="U227" s="24">
        <v>0</v>
      </c>
      <c r="V227" s="24">
        <v>0</v>
      </c>
      <c r="W227" s="24">
        <v>0</v>
      </c>
      <c r="X227" s="24">
        <v>-0.2</v>
      </c>
      <c r="Y227" s="24">
        <v>0.2</v>
      </c>
      <c r="Z227" s="24">
        <v>0</v>
      </c>
      <c r="AA227" s="24">
        <v>0</v>
      </c>
      <c r="AB227" s="24">
        <v>0</v>
      </c>
      <c r="AC227" s="24">
        <v>-0.2</v>
      </c>
      <c r="AD227" s="24">
        <v>0.2</v>
      </c>
      <c r="AE227" s="24">
        <v>0</v>
      </c>
      <c r="AF227" s="24">
        <v>0</v>
      </c>
      <c r="AG227" s="24">
        <v>0</v>
      </c>
      <c r="AH227" s="24">
        <v>-0.2</v>
      </c>
      <c r="AI227" s="16">
        <v>3</v>
      </c>
      <c r="AJ227" s="72">
        <f>=F227*247.95</f>
        <v>1734658.2</v>
      </c>
      <c r="AK227" s="72">
        <f>=G227*32.6061</f>
        <v>3619.2771</v>
      </c>
      <c r="AL227" s="72">
        <f>=J227*2.35</f>
        <v>8058.15</v>
      </c>
      <c r="AM227" s="72">
        <f>=H227*15.88</f>
        <v>921.04</v>
      </c>
    </row>
    <row r="228" spans="1:39">
      <c r="A228" s="24" t="s">
        <v>1639</v>
      </c>
      <c r="B228" s="24" t="s">
        <v>1640</v>
      </c>
      <c r="C228" s="24" t="s">
        <v>1641</v>
      </c>
      <c r="D228" s="24">
        <v>900011761</v>
      </c>
      <c r="E228" s="24">
        <v>11761</v>
      </c>
      <c r="F228" s="24">
        <v>1235</v>
      </c>
      <c r="G228" s="24">
        <v>59</v>
      </c>
      <c r="H228" s="24">
        <v>40</v>
      </c>
      <c r="I228" s="25">
        <v>0.5</v>
      </c>
      <c r="J228" s="24">
        <v>630</v>
      </c>
      <c r="K228" s="24" t="b">
        <v>1</v>
      </c>
      <c r="L228" s="25">
        <v>0</v>
      </c>
      <c r="M228" s="47">
        <v>0</v>
      </c>
      <c r="N228" s="25">
        <v>0.1538</v>
      </c>
      <c r="O228" s="47">
        <v>6.501951</v>
      </c>
      <c r="P228" s="25">
        <v>0.5</v>
      </c>
      <c r="Q228" s="24">
        <v>1</v>
      </c>
      <c r="R228" s="24">
        <v>1</v>
      </c>
      <c r="S228" s="25">
        <v>0</v>
      </c>
      <c r="T228" s="24">
        <v>0</v>
      </c>
      <c r="U228" s="24">
        <v>0</v>
      </c>
      <c r="V228" s="24">
        <v>-0.2</v>
      </c>
      <c r="W228" s="24">
        <v>0</v>
      </c>
      <c r="X228" s="24">
        <v>0</v>
      </c>
      <c r="Y228" s="24">
        <v>0</v>
      </c>
      <c r="Z228" s="24">
        <v>0</v>
      </c>
      <c r="AA228" s="24">
        <v>-0.2</v>
      </c>
      <c r="AB228" s="24">
        <v>0</v>
      </c>
      <c r="AC228" s="24">
        <v>0</v>
      </c>
      <c r="AD228" s="24">
        <v>0</v>
      </c>
      <c r="AE228" s="24">
        <v>0</v>
      </c>
      <c r="AF228" s="24">
        <v>-0.2</v>
      </c>
      <c r="AG228" s="24">
        <v>0</v>
      </c>
      <c r="AH228" s="24">
        <v>0</v>
      </c>
      <c r="AI228" s="16" t="s"/>
      <c r="AJ228" s="72">
        <f>=F228*247.95</f>
        <v>306218.25</v>
      </c>
      <c r="AK228" s="72">
        <f>=G228*32.6061</f>
        <v>1923.7599</v>
      </c>
      <c r="AL228" s="72">
        <f>=J228*2.35</f>
        <v>1480.5</v>
      </c>
      <c r="AM228" s="72">
        <f>=H228*15.88</f>
        <v>635.2</v>
      </c>
    </row>
    <row r="229" spans="1:39">
      <c r="A229" s="24" t="s">
        <v>1639</v>
      </c>
      <c r="B229" s="24" t="s">
        <v>1640</v>
      </c>
      <c r="C229" s="24" t="s">
        <v>1641</v>
      </c>
      <c r="D229" s="24">
        <v>900011762</v>
      </c>
      <c r="E229" s="24">
        <v>11762</v>
      </c>
      <c r="F229" s="24">
        <v>1510</v>
      </c>
      <c r="G229" s="24">
        <v>59</v>
      </c>
      <c r="H229" s="24">
        <v>40</v>
      </c>
      <c r="I229" s="25">
        <v>0.5</v>
      </c>
      <c r="J229" s="24">
        <v>945</v>
      </c>
      <c r="K229" s="24" t="b">
        <v>1</v>
      </c>
      <c r="L229" s="25">
        <v>0</v>
      </c>
      <c r="M229" s="47">
        <v>0</v>
      </c>
      <c r="N229" s="25">
        <v>0.1538</v>
      </c>
      <c r="O229" s="47">
        <v>6.501951</v>
      </c>
      <c r="P229" s="25">
        <v>0.5</v>
      </c>
      <c r="Q229" s="24">
        <v>1</v>
      </c>
      <c r="R229" s="24">
        <v>1</v>
      </c>
      <c r="S229" s="25">
        <v>0</v>
      </c>
      <c r="T229" s="24">
        <v>0</v>
      </c>
      <c r="U229" s="24">
        <v>0</v>
      </c>
      <c r="V229" s="24">
        <v>-0.2</v>
      </c>
      <c r="W229" s="24">
        <v>0</v>
      </c>
      <c r="X229" s="24">
        <v>0</v>
      </c>
      <c r="Y229" s="24">
        <v>0</v>
      </c>
      <c r="Z229" s="24">
        <v>0</v>
      </c>
      <c r="AA229" s="24">
        <v>-0.2</v>
      </c>
      <c r="AB229" s="24">
        <v>0</v>
      </c>
      <c r="AC229" s="24">
        <v>0</v>
      </c>
      <c r="AD229" s="24">
        <v>0</v>
      </c>
      <c r="AE229" s="24">
        <v>0</v>
      </c>
      <c r="AF229" s="24">
        <v>-0.2</v>
      </c>
      <c r="AG229" s="24">
        <v>0</v>
      </c>
      <c r="AH229" s="24">
        <v>0</v>
      </c>
      <c r="AI229" s="16" t="s"/>
      <c r="AJ229" s="72">
        <f>=F229*247.95</f>
        <v>374404.5</v>
      </c>
      <c r="AK229" s="72">
        <f>=G229*32.6061</f>
        <v>1923.7599</v>
      </c>
      <c r="AL229" s="72">
        <f>=J229*2.35</f>
        <v>2220.75</v>
      </c>
      <c r="AM229" s="72">
        <f>=H229*15.88</f>
        <v>635.2</v>
      </c>
    </row>
    <row r="230" spans="1:39">
      <c r="A230" s="24" t="s">
        <v>1642</v>
      </c>
      <c r="B230" s="24" t="s">
        <v>1643</v>
      </c>
      <c r="C230" s="24" t="s">
        <v>1644</v>
      </c>
      <c r="D230" s="24">
        <v>900011763</v>
      </c>
      <c r="E230" s="24">
        <v>11763</v>
      </c>
      <c r="F230" s="24">
        <v>1235</v>
      </c>
      <c r="G230" s="24">
        <v>59</v>
      </c>
      <c r="H230" s="24">
        <v>40</v>
      </c>
      <c r="I230" s="25">
        <v>0.5</v>
      </c>
      <c r="J230" s="24">
        <v>630</v>
      </c>
      <c r="K230" s="24" t="b">
        <v>1</v>
      </c>
      <c r="L230" s="25">
        <v>0</v>
      </c>
      <c r="M230" s="47">
        <v>0</v>
      </c>
      <c r="N230" s="25">
        <v>0.1538</v>
      </c>
      <c r="O230" s="47">
        <v>6.501951</v>
      </c>
      <c r="P230" s="25">
        <v>0.5</v>
      </c>
      <c r="Q230" s="24">
        <v>1</v>
      </c>
      <c r="R230" s="24">
        <v>1</v>
      </c>
      <c r="S230" s="25">
        <v>0</v>
      </c>
      <c r="T230" s="24">
        <v>0</v>
      </c>
      <c r="U230" s="24">
        <v>-0.2</v>
      </c>
      <c r="V230" s="24">
        <v>0</v>
      </c>
      <c r="W230" s="24">
        <v>-0.2</v>
      </c>
      <c r="X230" s="24">
        <v>0</v>
      </c>
      <c r="Y230" s="24">
        <v>0</v>
      </c>
      <c r="Z230" s="24">
        <v>-0.2</v>
      </c>
      <c r="AA230" s="24">
        <v>0</v>
      </c>
      <c r="AB230" s="24">
        <v>-0.2</v>
      </c>
      <c r="AC230" s="24">
        <v>0</v>
      </c>
      <c r="AD230" s="24">
        <v>0</v>
      </c>
      <c r="AE230" s="24">
        <v>-0.2</v>
      </c>
      <c r="AF230" s="24">
        <v>0</v>
      </c>
      <c r="AG230" s="24">
        <v>-0.2</v>
      </c>
      <c r="AH230" s="24">
        <v>0</v>
      </c>
      <c r="AI230" s="16" t="s"/>
      <c r="AJ230" s="72">
        <f>=F230*247.95</f>
        <v>306218.25</v>
      </c>
      <c r="AK230" s="72">
        <f>=G230*32.6061</f>
        <v>1923.7599</v>
      </c>
      <c r="AL230" s="72">
        <f>=J230*2.35</f>
        <v>1480.5</v>
      </c>
      <c r="AM230" s="72">
        <f>=H230*15.88</f>
        <v>635.2</v>
      </c>
    </row>
    <row r="231" spans="1:39">
      <c r="A231" s="24" t="s">
        <v>1642</v>
      </c>
      <c r="B231" s="24" t="s">
        <v>1643</v>
      </c>
      <c r="C231" s="24" t="s">
        <v>1644</v>
      </c>
      <c r="D231" s="24">
        <v>900011764</v>
      </c>
      <c r="E231" s="24">
        <v>11764</v>
      </c>
      <c r="F231" s="24">
        <v>1510</v>
      </c>
      <c r="G231" s="24">
        <v>59</v>
      </c>
      <c r="H231" s="24">
        <v>40</v>
      </c>
      <c r="I231" s="25">
        <v>0.5</v>
      </c>
      <c r="J231" s="24">
        <v>945</v>
      </c>
      <c r="K231" s="24" t="b">
        <v>1</v>
      </c>
      <c r="L231" s="25">
        <v>0</v>
      </c>
      <c r="M231" s="47">
        <v>0</v>
      </c>
      <c r="N231" s="25">
        <v>0.1538</v>
      </c>
      <c r="O231" s="47">
        <v>6.501951</v>
      </c>
      <c r="P231" s="25">
        <v>0.5</v>
      </c>
      <c r="Q231" s="24">
        <v>1</v>
      </c>
      <c r="R231" s="24">
        <v>1</v>
      </c>
      <c r="S231" s="25">
        <v>0</v>
      </c>
      <c r="T231" s="24">
        <v>0</v>
      </c>
      <c r="U231" s="24">
        <v>-0.2</v>
      </c>
      <c r="V231" s="24">
        <v>0</v>
      </c>
      <c r="W231" s="24">
        <v>-0.2</v>
      </c>
      <c r="X231" s="24">
        <v>0</v>
      </c>
      <c r="Y231" s="24">
        <v>0</v>
      </c>
      <c r="Z231" s="24">
        <v>-0.2</v>
      </c>
      <c r="AA231" s="24">
        <v>0</v>
      </c>
      <c r="AB231" s="24">
        <v>-0.2</v>
      </c>
      <c r="AC231" s="24">
        <v>0</v>
      </c>
      <c r="AD231" s="24">
        <v>0</v>
      </c>
      <c r="AE231" s="24">
        <v>-0.2</v>
      </c>
      <c r="AF231" s="24">
        <v>0</v>
      </c>
      <c r="AG231" s="24">
        <v>-0.2</v>
      </c>
      <c r="AH231" s="24">
        <v>0</v>
      </c>
      <c r="AI231" s="16" t="s"/>
      <c r="AJ231" s="72">
        <f>=F231*247.95</f>
        <v>374404.5</v>
      </c>
      <c r="AK231" s="72">
        <f>=G231*32.6061</f>
        <v>1923.7599</v>
      </c>
      <c r="AL231" s="72">
        <f>=J231*2.35</f>
        <v>2220.75</v>
      </c>
      <c r="AM231" s="72">
        <f>=H231*15.88</f>
        <v>635.2</v>
      </c>
    </row>
    <row r="232" spans="1:39">
      <c r="A232" s="24" t="s">
        <v>1645</v>
      </c>
      <c r="B232" s="24" t="s">
        <v>1646</v>
      </c>
      <c r="C232" s="24" t="s">
        <v>1647</v>
      </c>
      <c r="D232" s="24">
        <v>900011771</v>
      </c>
      <c r="E232" s="24">
        <v>11771</v>
      </c>
      <c r="F232" s="24">
        <v>1123</v>
      </c>
      <c r="G232" s="24">
        <v>60</v>
      </c>
      <c r="H232" s="24">
        <v>36</v>
      </c>
      <c r="I232" s="25">
        <v>0.5</v>
      </c>
      <c r="J232" s="24">
        <v>600</v>
      </c>
      <c r="K232" s="24" t="b">
        <v>1</v>
      </c>
      <c r="L232" s="25">
        <v>0</v>
      </c>
      <c r="M232" s="47">
        <v>0</v>
      </c>
      <c r="N232" s="25">
        <v>0.1538</v>
      </c>
      <c r="O232" s="47">
        <v>6.501951</v>
      </c>
      <c r="P232" s="25">
        <v>0.5</v>
      </c>
      <c r="Q232" s="24">
        <v>1</v>
      </c>
      <c r="R232" s="24">
        <v>1</v>
      </c>
      <c r="S232" s="25">
        <v>0</v>
      </c>
      <c r="T232" s="24">
        <v>0</v>
      </c>
      <c r="U232" s="24">
        <v>0</v>
      </c>
      <c r="V232" s="24">
        <v>0</v>
      </c>
      <c r="W232" s="24">
        <v>0</v>
      </c>
      <c r="X232" s="24">
        <v>-0.2</v>
      </c>
      <c r="Y232" s="24">
        <v>0</v>
      </c>
      <c r="Z232" s="24">
        <v>0</v>
      </c>
      <c r="AA232" s="24">
        <v>0</v>
      </c>
      <c r="AB232" s="24">
        <v>0</v>
      </c>
      <c r="AC232" s="24">
        <v>-0.2</v>
      </c>
      <c r="AD232" s="24">
        <v>0</v>
      </c>
      <c r="AE232" s="24">
        <v>0</v>
      </c>
      <c r="AF232" s="24">
        <v>0</v>
      </c>
      <c r="AG232" s="24">
        <v>0</v>
      </c>
      <c r="AH232" s="24">
        <v>-0.2</v>
      </c>
      <c r="AI232" s="16" t="s"/>
      <c r="AJ232" s="72">
        <f>=F232*247.95</f>
        <v>278447.85</v>
      </c>
      <c r="AK232" s="72">
        <f>=G232*32.6061</f>
        <v>1956.366</v>
      </c>
      <c r="AL232" s="72">
        <f>=J232*2.35</f>
        <v>1410</v>
      </c>
      <c r="AM232" s="72">
        <f>=H232*15.88</f>
        <v>571.68</v>
      </c>
    </row>
    <row r="233" spans="1:39">
      <c r="A233" s="24" t="s">
        <v>1645</v>
      </c>
      <c r="B233" s="24" t="s">
        <v>1646</v>
      </c>
      <c r="C233" s="24" t="s">
        <v>1647</v>
      </c>
      <c r="D233" s="24">
        <v>900011772</v>
      </c>
      <c r="E233" s="24">
        <v>11772</v>
      </c>
      <c r="F233" s="24">
        <v>1373</v>
      </c>
      <c r="G233" s="24">
        <v>60</v>
      </c>
      <c r="H233" s="24">
        <v>36</v>
      </c>
      <c r="I233" s="25">
        <v>0.5</v>
      </c>
      <c r="J233" s="24">
        <v>900</v>
      </c>
      <c r="K233" s="24" t="b">
        <v>1</v>
      </c>
      <c r="L233" s="25">
        <v>0</v>
      </c>
      <c r="M233" s="47">
        <v>0</v>
      </c>
      <c r="N233" s="25">
        <v>0.1538</v>
      </c>
      <c r="O233" s="47">
        <v>6.501951</v>
      </c>
      <c r="P233" s="25">
        <v>0.5</v>
      </c>
      <c r="Q233" s="24">
        <v>1</v>
      </c>
      <c r="R233" s="24">
        <v>1</v>
      </c>
      <c r="S233" s="25">
        <v>0</v>
      </c>
      <c r="T233" s="24">
        <v>0</v>
      </c>
      <c r="U233" s="24">
        <v>0</v>
      </c>
      <c r="V233" s="24">
        <v>0</v>
      </c>
      <c r="W233" s="24">
        <v>0</v>
      </c>
      <c r="X233" s="24">
        <v>-0.2</v>
      </c>
      <c r="Y233" s="24">
        <v>0</v>
      </c>
      <c r="Z233" s="24">
        <v>0</v>
      </c>
      <c r="AA233" s="24">
        <v>0</v>
      </c>
      <c r="AB233" s="24">
        <v>0</v>
      </c>
      <c r="AC233" s="24">
        <v>-0.2</v>
      </c>
      <c r="AD233" s="24">
        <v>0</v>
      </c>
      <c r="AE233" s="24">
        <v>0</v>
      </c>
      <c r="AF233" s="24">
        <v>0</v>
      </c>
      <c r="AG233" s="24">
        <v>0</v>
      </c>
      <c r="AH233" s="24">
        <v>-0.2</v>
      </c>
      <c r="AI233" s="16" t="s"/>
      <c r="AJ233" s="72">
        <f>=F233*247.95</f>
        <v>340435.35</v>
      </c>
      <c r="AK233" s="72">
        <f>=G233*32.6061</f>
        <v>1956.366</v>
      </c>
      <c r="AL233" s="72">
        <f>=J233*2.35</f>
        <v>2115</v>
      </c>
      <c r="AM233" s="72">
        <f>=H233*15.88</f>
        <v>571.68</v>
      </c>
    </row>
    <row r="234" spans="1:39">
      <c r="A234" s="24" t="s">
        <v>1648</v>
      </c>
      <c r="B234" s="24" t="s">
        <v>1649</v>
      </c>
      <c r="C234" s="24" t="s">
        <v>1650</v>
      </c>
      <c r="D234" s="24">
        <v>900011781</v>
      </c>
      <c r="E234" s="24">
        <v>11781</v>
      </c>
      <c r="F234" s="24">
        <v>1123</v>
      </c>
      <c r="G234" s="24">
        <v>60</v>
      </c>
      <c r="H234" s="24">
        <v>36</v>
      </c>
      <c r="I234" s="25">
        <v>0.5</v>
      </c>
      <c r="J234" s="24">
        <v>600</v>
      </c>
      <c r="K234" s="24" t="b">
        <v>1</v>
      </c>
      <c r="L234" s="25">
        <v>0</v>
      </c>
      <c r="M234" s="47">
        <v>0</v>
      </c>
      <c r="N234" s="25">
        <v>0.1538</v>
      </c>
      <c r="O234" s="47">
        <v>6.501951</v>
      </c>
      <c r="P234" s="25">
        <v>0.5</v>
      </c>
      <c r="Q234" s="24">
        <v>1</v>
      </c>
      <c r="R234" s="24">
        <v>1</v>
      </c>
      <c r="S234" s="25">
        <v>0</v>
      </c>
      <c r="T234" s="24">
        <v>0</v>
      </c>
      <c r="U234" s="24">
        <v>0</v>
      </c>
      <c r="V234" s="24">
        <v>0</v>
      </c>
      <c r="W234" s="24">
        <v>0</v>
      </c>
      <c r="X234" s="24">
        <v>-0.2</v>
      </c>
      <c r="Y234" s="24">
        <v>0</v>
      </c>
      <c r="Z234" s="24">
        <v>0</v>
      </c>
      <c r="AA234" s="24">
        <v>0</v>
      </c>
      <c r="AB234" s="24">
        <v>0</v>
      </c>
      <c r="AC234" s="24">
        <v>-0.2</v>
      </c>
      <c r="AD234" s="24">
        <v>0</v>
      </c>
      <c r="AE234" s="24">
        <v>0</v>
      </c>
      <c r="AF234" s="24">
        <v>0</v>
      </c>
      <c r="AG234" s="24">
        <v>0</v>
      </c>
      <c r="AH234" s="24">
        <v>-0.2</v>
      </c>
      <c r="AI234" s="16" t="s"/>
      <c r="AJ234" s="72">
        <f>=F234*247.95</f>
        <v>278447.85</v>
      </c>
      <c r="AK234" s="72">
        <f>=G234*32.6061</f>
        <v>1956.366</v>
      </c>
      <c r="AL234" s="72">
        <f>=J234*2.35</f>
        <v>1410</v>
      </c>
      <c r="AM234" s="72">
        <f>=H234*15.88</f>
        <v>571.68</v>
      </c>
    </row>
    <row r="235" spans="1:39">
      <c r="A235" s="24" t="s">
        <v>1648</v>
      </c>
      <c r="B235" s="24" t="s">
        <v>1649</v>
      </c>
      <c r="C235" s="24" t="s">
        <v>1650</v>
      </c>
      <c r="D235" s="24">
        <v>900011782</v>
      </c>
      <c r="E235" s="24">
        <v>11782</v>
      </c>
      <c r="F235" s="24">
        <v>1373</v>
      </c>
      <c r="G235" s="24">
        <v>60</v>
      </c>
      <c r="H235" s="24">
        <v>36</v>
      </c>
      <c r="I235" s="25">
        <v>0.5</v>
      </c>
      <c r="J235" s="24">
        <v>900</v>
      </c>
      <c r="K235" s="24" t="b">
        <v>1</v>
      </c>
      <c r="L235" s="25">
        <v>0</v>
      </c>
      <c r="M235" s="47">
        <v>0</v>
      </c>
      <c r="N235" s="25">
        <v>0.1538</v>
      </c>
      <c r="O235" s="47">
        <v>6.501951</v>
      </c>
      <c r="P235" s="25">
        <v>0.5</v>
      </c>
      <c r="Q235" s="24">
        <v>1</v>
      </c>
      <c r="R235" s="24">
        <v>1</v>
      </c>
      <c r="S235" s="25">
        <v>0</v>
      </c>
      <c r="T235" s="24">
        <v>0</v>
      </c>
      <c r="U235" s="24">
        <v>0</v>
      </c>
      <c r="V235" s="24">
        <v>0</v>
      </c>
      <c r="W235" s="24">
        <v>0</v>
      </c>
      <c r="X235" s="24">
        <v>-0.2</v>
      </c>
      <c r="Y235" s="24">
        <v>0</v>
      </c>
      <c r="Z235" s="24">
        <v>0</v>
      </c>
      <c r="AA235" s="24">
        <v>0</v>
      </c>
      <c r="AB235" s="24">
        <v>0</v>
      </c>
      <c r="AC235" s="24">
        <v>-0.2</v>
      </c>
      <c r="AD235" s="24">
        <v>0</v>
      </c>
      <c r="AE235" s="24">
        <v>0</v>
      </c>
      <c r="AF235" s="24">
        <v>0</v>
      </c>
      <c r="AG235" s="24">
        <v>0</v>
      </c>
      <c r="AH235" s="24">
        <v>-0.2</v>
      </c>
      <c r="AI235" s="16" t="s"/>
      <c r="AJ235" s="72">
        <f>=F235*247.95</f>
        <v>340435.35</v>
      </c>
      <c r="AK235" s="72">
        <f>=G235*32.6061</f>
        <v>1956.366</v>
      </c>
      <c r="AL235" s="72">
        <f>=J235*2.35</f>
        <v>2115</v>
      </c>
      <c r="AM235" s="72">
        <f>=H235*15.88</f>
        <v>571.68</v>
      </c>
    </row>
    <row r="236" spans="1:39">
      <c r="A236" s="24" t="s">
        <v>1398</v>
      </c>
      <c r="B236" s="24" t="s">
        <v>1399</v>
      </c>
      <c r="C236" s="24" t="s">
        <v>1400</v>
      </c>
      <c r="D236" s="24">
        <v>900017596</v>
      </c>
      <c r="E236" s="24">
        <v>17596</v>
      </c>
      <c r="F236" s="24">
        <v>938</v>
      </c>
      <c r="G236" s="24">
        <v>45</v>
      </c>
      <c r="H236" s="24">
        <v>50</v>
      </c>
      <c r="I236" s="25">
        <v>0.5</v>
      </c>
      <c r="J236" s="24">
        <v>60</v>
      </c>
      <c r="K236" s="24" t="b">
        <v>0</v>
      </c>
      <c r="L236" s="25">
        <v>0</v>
      </c>
      <c r="M236" s="47">
        <v>3</v>
      </c>
      <c r="N236" s="25">
        <v>0.045</v>
      </c>
      <c r="O236" s="47">
        <v>22.22222</v>
      </c>
      <c r="P236" s="25">
        <v>0</v>
      </c>
      <c r="Q236" s="24">
        <v>0</v>
      </c>
      <c r="R236" s="24">
        <v>9999</v>
      </c>
      <c r="S236" s="25">
        <v>0</v>
      </c>
      <c r="T236" s="24">
        <v>0</v>
      </c>
      <c r="U236" s="24">
        <v>0</v>
      </c>
      <c r="V236" s="24">
        <v>0</v>
      </c>
      <c r="W236" s="24">
        <v>0</v>
      </c>
      <c r="X236" s="24">
        <v>0</v>
      </c>
      <c r="Y236" s="24">
        <v>0</v>
      </c>
      <c r="Z236" s="24">
        <v>0</v>
      </c>
      <c r="AA236" s="24">
        <v>0</v>
      </c>
      <c r="AB236" s="24">
        <v>0</v>
      </c>
      <c r="AC236" s="24">
        <v>0</v>
      </c>
      <c r="AD236" s="24">
        <v>0</v>
      </c>
      <c r="AE236" s="24">
        <v>0</v>
      </c>
      <c r="AF236" s="24">
        <v>0</v>
      </c>
      <c r="AG236" s="24">
        <v>0</v>
      </c>
      <c r="AH236" s="24">
        <v>0</v>
      </c>
      <c r="AI236" s="16" t="s"/>
      <c r="AJ236" s="72">
        <f>=F236*247.95</f>
        <v>232577.1</v>
      </c>
      <c r="AK236" s="72">
        <f>=G236*32.6061</f>
        <v>1467.2745</v>
      </c>
      <c r="AL236" s="72">
        <f>=J236*2.35</f>
        <v>141</v>
      </c>
      <c r="AM236" s="72">
        <f>=H236*15.88</f>
        <v>794</v>
      </c>
    </row>
    <row r="237" spans="1:39">
      <c r="A237" s="24" t="s">
        <v>1427</v>
      </c>
      <c r="B237" s="24" t="s">
        <v>1428</v>
      </c>
      <c r="C237" s="24" t="s">
        <v>1429</v>
      </c>
      <c r="D237" s="24">
        <v>900017635</v>
      </c>
      <c r="E237" s="24">
        <v>17635</v>
      </c>
      <c r="F237" s="24">
        <v>938</v>
      </c>
      <c r="G237" s="24">
        <v>45</v>
      </c>
      <c r="H237" s="24">
        <v>50</v>
      </c>
      <c r="I237" s="25">
        <v>0.5</v>
      </c>
      <c r="J237" s="24">
        <v>60</v>
      </c>
      <c r="K237" s="24" t="b">
        <v>0</v>
      </c>
      <c r="L237" s="25">
        <v>0</v>
      </c>
      <c r="M237" s="47">
        <v>3</v>
      </c>
      <c r="N237" s="25">
        <v>0.045</v>
      </c>
      <c r="O237" s="47">
        <v>22.22222</v>
      </c>
      <c r="P237" s="25">
        <v>0</v>
      </c>
      <c r="Q237" s="24">
        <v>0</v>
      </c>
      <c r="R237" s="24">
        <v>9999</v>
      </c>
      <c r="S237" s="25">
        <v>0</v>
      </c>
      <c r="T237" s="24">
        <v>0</v>
      </c>
      <c r="U237" s="24">
        <v>0</v>
      </c>
      <c r="V237" s="24">
        <v>0</v>
      </c>
      <c r="W237" s="24">
        <v>0</v>
      </c>
      <c r="X237" s="24">
        <v>0</v>
      </c>
      <c r="Y237" s="24">
        <v>0</v>
      </c>
      <c r="Z237" s="24">
        <v>0</v>
      </c>
      <c r="AA237" s="24">
        <v>0</v>
      </c>
      <c r="AB237" s="24">
        <v>0</v>
      </c>
      <c r="AC237" s="24">
        <v>0</v>
      </c>
      <c r="AD237" s="24">
        <v>0</v>
      </c>
      <c r="AE237" s="24">
        <v>0</v>
      </c>
      <c r="AF237" s="24">
        <v>0</v>
      </c>
      <c r="AG237" s="24">
        <v>0</v>
      </c>
      <c r="AH237" s="24">
        <v>0</v>
      </c>
      <c r="AI237" s="16" t="s"/>
      <c r="AJ237" s="72">
        <f>=F237*247.95</f>
        <v>232577.1</v>
      </c>
      <c r="AK237" s="72">
        <f>=G237*32.6061</f>
        <v>1467.2745</v>
      </c>
      <c r="AL237" s="72">
        <f>=J237*2.35</f>
        <v>141</v>
      </c>
      <c r="AM237" s="72">
        <f>=H237*15.88</f>
        <v>794</v>
      </c>
    </row>
    <row r="238" spans="1:39">
      <c r="A238" s="24" t="s">
        <v>1398</v>
      </c>
      <c r="B238" s="24" t="s">
        <v>1399</v>
      </c>
      <c r="C238" s="24" t="s">
        <v>1400</v>
      </c>
      <c r="D238" s="24">
        <v>900017645</v>
      </c>
      <c r="E238" s="24">
        <v>17645</v>
      </c>
      <c r="F238" s="24">
        <v>938</v>
      </c>
      <c r="G238" s="24">
        <v>45</v>
      </c>
      <c r="H238" s="24">
        <v>50</v>
      </c>
      <c r="I238" s="25">
        <v>0.5</v>
      </c>
      <c r="J238" s="24">
        <v>60</v>
      </c>
      <c r="K238" s="24" t="b">
        <v>0</v>
      </c>
      <c r="L238" s="25">
        <v>0</v>
      </c>
      <c r="M238" s="47">
        <v>3</v>
      </c>
      <c r="N238" s="25">
        <v>0.045</v>
      </c>
      <c r="O238" s="47">
        <v>22.22222</v>
      </c>
      <c r="P238" s="25">
        <v>0</v>
      </c>
      <c r="Q238" s="24">
        <v>0</v>
      </c>
      <c r="R238" s="24">
        <v>9999</v>
      </c>
      <c r="S238" s="25">
        <v>0</v>
      </c>
      <c r="T238" s="24">
        <v>0</v>
      </c>
      <c r="U238" s="24">
        <v>0</v>
      </c>
      <c r="V238" s="24">
        <v>0</v>
      </c>
      <c r="W238" s="24">
        <v>0</v>
      </c>
      <c r="X238" s="24">
        <v>0</v>
      </c>
      <c r="Y238" s="24">
        <v>0</v>
      </c>
      <c r="Z238" s="24">
        <v>0</v>
      </c>
      <c r="AA238" s="24">
        <v>0</v>
      </c>
      <c r="AB238" s="24">
        <v>0</v>
      </c>
      <c r="AC238" s="24">
        <v>0</v>
      </c>
      <c r="AD238" s="24">
        <v>0</v>
      </c>
      <c r="AE238" s="24">
        <v>0</v>
      </c>
      <c r="AF238" s="24">
        <v>0</v>
      </c>
      <c r="AG238" s="24">
        <v>0</v>
      </c>
      <c r="AH238" s="24">
        <v>0</v>
      </c>
      <c r="AI238" s="16" t="s"/>
      <c r="AJ238" s="72">
        <f>=F238*247.95</f>
        <v>232577.1</v>
      </c>
      <c r="AK238" s="72">
        <f>=G238*32.6061</f>
        <v>1467.2745</v>
      </c>
      <c r="AL238" s="72">
        <f>=J238*2.35</f>
        <v>141</v>
      </c>
      <c r="AM238" s="72">
        <f>=H238*15.88</f>
        <v>794</v>
      </c>
    </row>
    <row r="239" spans="1:39">
      <c r="A239" s="24" t="s">
        <v>1124</v>
      </c>
      <c r="B239" s="24" t="s">
        <v>1125</v>
      </c>
      <c r="C239" s="24" t="s">
        <v>1126</v>
      </c>
      <c r="D239" s="24">
        <v>900021031</v>
      </c>
      <c r="E239" s="24">
        <v>21031</v>
      </c>
      <c r="F239" s="24">
        <v>1123</v>
      </c>
      <c r="G239" s="24">
        <v>60</v>
      </c>
      <c r="H239" s="24">
        <v>36</v>
      </c>
      <c r="I239" s="25">
        <v>0.5</v>
      </c>
      <c r="J239" s="24">
        <v>600</v>
      </c>
      <c r="K239" s="24" t="b">
        <v>1</v>
      </c>
      <c r="L239" s="25">
        <v>0</v>
      </c>
      <c r="M239" s="47">
        <v>0</v>
      </c>
      <c r="N239" s="25">
        <v>0.1538</v>
      </c>
      <c r="O239" s="47">
        <v>6.501951</v>
      </c>
      <c r="P239" s="25">
        <v>0.5</v>
      </c>
      <c r="Q239" s="24">
        <v>1</v>
      </c>
      <c r="R239" s="24">
        <v>9999</v>
      </c>
      <c r="S239" s="25">
        <v>0</v>
      </c>
      <c r="T239" s="24">
        <v>0</v>
      </c>
      <c r="U239" s="24">
        <v>-0.2</v>
      </c>
      <c r="V239" s="24">
        <v>0</v>
      </c>
      <c r="W239" s="24">
        <v>-0.2</v>
      </c>
      <c r="X239" s="24">
        <v>0</v>
      </c>
      <c r="Y239" s="24">
        <v>0</v>
      </c>
      <c r="Z239" s="24">
        <v>-0.2</v>
      </c>
      <c r="AA239" s="24">
        <v>0</v>
      </c>
      <c r="AB239" s="24">
        <v>-0.2</v>
      </c>
      <c r="AC239" s="24">
        <v>0</v>
      </c>
      <c r="AD239" s="24">
        <v>0</v>
      </c>
      <c r="AE239" s="24">
        <v>-0.2</v>
      </c>
      <c r="AF239" s="24">
        <v>0</v>
      </c>
      <c r="AG239" s="24">
        <v>-0.2</v>
      </c>
      <c r="AH239" s="24">
        <v>0</v>
      </c>
      <c r="AI239" s="16" t="s"/>
      <c r="AJ239" s="72">
        <f>=F239*247.95</f>
        <v>278447.85</v>
      </c>
      <c r="AK239" s="72">
        <f>=G239*32.6061</f>
        <v>1956.366</v>
      </c>
      <c r="AL239" s="72">
        <f>=J239*2.35</f>
        <v>1410</v>
      </c>
      <c r="AM239" s="72">
        <f>=H239*15.88</f>
        <v>571.68</v>
      </c>
    </row>
    <row r="240" spans="1:39">
      <c r="A240" s="24" t="s">
        <v>1151</v>
      </c>
      <c r="B240" s="24" t="s">
        <v>1152</v>
      </c>
      <c r="C240" s="24" t="s">
        <v>1153</v>
      </c>
      <c r="D240" s="24">
        <v>900021101</v>
      </c>
      <c r="E240" s="24">
        <v>21101</v>
      </c>
      <c r="F240" s="24">
        <v>6663</v>
      </c>
      <c r="G240" s="24">
        <v>96</v>
      </c>
      <c r="H240" s="24">
        <v>45</v>
      </c>
      <c r="I240" s="25">
        <v>0.5</v>
      </c>
      <c r="J240" s="24">
        <v>3266</v>
      </c>
      <c r="K240" s="24" t="b">
        <v>1</v>
      </c>
      <c r="L240" s="25">
        <v>0</v>
      </c>
      <c r="M240" s="47">
        <v>0</v>
      </c>
      <c r="N240" s="25">
        <v>0.1</v>
      </c>
      <c r="O240" s="47">
        <v>10</v>
      </c>
      <c r="P240" s="25">
        <v>0.5</v>
      </c>
      <c r="Q240" s="24">
        <v>2</v>
      </c>
      <c r="R240" s="24">
        <v>3</v>
      </c>
      <c r="S240" s="25">
        <v>0.5</v>
      </c>
      <c r="T240" s="24">
        <v>0</v>
      </c>
      <c r="U240" s="24">
        <v>0</v>
      </c>
      <c r="V240" s="24">
        <v>-0.2</v>
      </c>
      <c r="W240" s="24">
        <v>0.2</v>
      </c>
      <c r="X240" s="24">
        <v>0</v>
      </c>
      <c r="Y240" s="24">
        <v>0</v>
      </c>
      <c r="Z240" s="24">
        <v>0</v>
      </c>
      <c r="AA240" s="24">
        <v>-0.2</v>
      </c>
      <c r="AB240" s="24">
        <v>0.2</v>
      </c>
      <c r="AC240" s="24">
        <v>0</v>
      </c>
      <c r="AD240" s="24">
        <v>0</v>
      </c>
      <c r="AE240" s="24">
        <v>0</v>
      </c>
      <c r="AF240" s="24">
        <v>-0.2</v>
      </c>
      <c r="AG240" s="24">
        <v>0.2</v>
      </c>
      <c r="AH240" s="24">
        <v>0</v>
      </c>
      <c r="AI240" s="16">
        <v>3</v>
      </c>
      <c r="AJ240" s="72">
        <f>=F240*247.95</f>
        <v>1652090.85</v>
      </c>
      <c r="AK240" s="72">
        <f>=G240*32.6061</f>
        <v>3130.1856</v>
      </c>
      <c r="AL240" s="72">
        <f>=J240*2.35</f>
        <v>7675.1</v>
      </c>
      <c r="AM240" s="72">
        <f>=H240*15.88</f>
        <v>714.6</v>
      </c>
    </row>
  </sheetData>
</worksheet>
</file>

<file path=xl/worksheets/sheet27.xml><?xml version="1.0" encoding="utf-8"?>
<worksheet xmlns="http://schemas.openxmlformats.org/spreadsheetml/2006/main">
  <sheetPr codeName="驱动盘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 min="4" max="4" width="18.7109" customWidth="1"/>
    <col min="5" max="6" width="16.7109" customWidth="1"/>
  </cols>
  <sheetData>
    <row r="1" spans="1:6">
      <c r="A1" s="73" t="s">
        <v>5073</v>
      </c>
      <c r="B1" s="73" t="s">
        <v>14586</v>
      </c>
      <c r="C1" s="74" t="s">
        <v>14587</v>
      </c>
      <c r="D1" s="73" t="s">
        <v>14588</v>
      </c>
      <c r="E1" s="73" t="s">
        <v>14589</v>
      </c>
      <c r="F1" s="75" t="s">
        <v>14590</v>
      </c>
    </row>
    <row r="2" spans="1:6">
      <c r="A2" s="73" t="s">
        <v>5080</v>
      </c>
      <c r="B2" s="73">
        <v>0</v>
      </c>
      <c r="C2" s="74">
        <v>0</v>
      </c>
      <c r="D2" s="73">
        <v>480</v>
      </c>
      <c r="E2" s="73">
        <v>0</v>
      </c>
      <c r="F2" s="75">
        <v>0.8</v>
      </c>
    </row>
    <row r="3" spans="1:6">
      <c r="A3" s="73" t="s">
        <v>5080</v>
      </c>
      <c r="B3" s="73">
        <v>1</v>
      </c>
      <c r="C3" s="74">
        <v>0.2</v>
      </c>
      <c r="D3" s="73">
        <v>720</v>
      </c>
      <c r="E3" s="73">
        <v>480</v>
      </c>
      <c r="F3" s="75">
        <v>0.8</v>
      </c>
    </row>
    <row r="4" spans="1:6">
      <c r="A4" s="73" t="s">
        <v>5080</v>
      </c>
      <c r="B4" s="73">
        <v>2</v>
      </c>
      <c r="C4" s="74">
        <v>0.4</v>
      </c>
      <c r="D4" s="73">
        <v>1200</v>
      </c>
      <c r="E4" s="73">
        <v>1200</v>
      </c>
      <c r="F4" s="75">
        <v>0.8</v>
      </c>
    </row>
    <row r="5" spans="1:6">
      <c r="A5" s="73" t="s">
        <v>5080</v>
      </c>
      <c r="B5" s="73">
        <v>3</v>
      </c>
      <c r="C5" s="74">
        <v>0.6</v>
      </c>
      <c r="D5" s="73">
        <v>1440</v>
      </c>
      <c r="E5" s="73">
        <v>2400</v>
      </c>
      <c r="F5" s="75">
        <v>0.8</v>
      </c>
    </row>
    <row r="6" spans="1:6">
      <c r="A6" s="73" t="s">
        <v>5080</v>
      </c>
      <c r="B6" s="73">
        <v>4</v>
      </c>
      <c r="C6" s="74">
        <v>0.8</v>
      </c>
      <c r="D6" s="73">
        <v>1680</v>
      </c>
      <c r="E6" s="73">
        <v>3840</v>
      </c>
      <c r="F6" s="75">
        <v>0.8</v>
      </c>
    </row>
    <row r="7" spans="1:6">
      <c r="A7" s="73" t="s">
        <v>5080</v>
      </c>
      <c r="B7" s="73">
        <v>5</v>
      </c>
      <c r="C7" s="74">
        <v>1</v>
      </c>
      <c r="D7" s="73">
        <v>2160</v>
      </c>
      <c r="E7" s="73">
        <v>5520</v>
      </c>
      <c r="F7" s="75">
        <v>0.8</v>
      </c>
    </row>
    <row r="8" spans="1:6">
      <c r="A8" s="73" t="s">
        <v>5080</v>
      </c>
      <c r="B8" s="73">
        <v>6</v>
      </c>
      <c r="C8" s="74">
        <v>1.2</v>
      </c>
      <c r="D8" s="73">
        <v>2400</v>
      </c>
      <c r="E8" s="73">
        <v>7680</v>
      </c>
      <c r="F8" s="75">
        <v>0.8</v>
      </c>
    </row>
    <row r="9" spans="1:6">
      <c r="A9" s="73" t="s">
        <v>5080</v>
      </c>
      <c r="B9" s="73">
        <v>7</v>
      </c>
      <c r="C9" s="74">
        <v>1.4</v>
      </c>
      <c r="D9" s="73">
        <v>2640</v>
      </c>
      <c r="E9" s="73">
        <v>10080</v>
      </c>
      <c r="F9" s="75">
        <v>0.8</v>
      </c>
    </row>
    <row r="10" spans="1:6">
      <c r="A10" s="73" t="s">
        <v>5080</v>
      </c>
      <c r="B10" s="73">
        <v>8</v>
      </c>
      <c r="C10" s="74">
        <v>1.6</v>
      </c>
      <c r="D10" s="73">
        <v>3120</v>
      </c>
      <c r="E10" s="73">
        <v>12720</v>
      </c>
      <c r="F10" s="75">
        <v>0.8</v>
      </c>
    </row>
    <row r="11" spans="1:6">
      <c r="A11" s="73" t="s">
        <v>5080</v>
      </c>
      <c r="B11" s="73">
        <v>9</v>
      </c>
      <c r="C11" s="74">
        <v>1.8</v>
      </c>
      <c r="D11" s="73">
        <v>3600</v>
      </c>
      <c r="E11" s="73">
        <v>15840</v>
      </c>
      <c r="F11" s="75">
        <v>0.8</v>
      </c>
    </row>
    <row r="12" spans="1:6">
      <c r="A12" s="73" t="s">
        <v>5080</v>
      </c>
      <c r="B12" s="73">
        <v>10</v>
      </c>
      <c r="C12" s="74">
        <v>2</v>
      </c>
      <c r="D12" s="73">
        <v>4080</v>
      </c>
      <c r="E12" s="73">
        <v>19440</v>
      </c>
      <c r="F12" s="75">
        <v>0.8</v>
      </c>
    </row>
    <row r="13" spans="1:6">
      <c r="A13" s="73" t="s">
        <v>5080</v>
      </c>
      <c r="B13" s="73">
        <v>11</v>
      </c>
      <c r="C13" s="74">
        <v>2.2</v>
      </c>
      <c r="D13" s="73">
        <v>5040</v>
      </c>
      <c r="E13" s="73">
        <v>23520</v>
      </c>
      <c r="F13" s="75">
        <v>0.8</v>
      </c>
    </row>
    <row r="14" spans="1:6">
      <c r="A14" s="73" t="s">
        <v>5080</v>
      </c>
      <c r="B14" s="73">
        <v>12</v>
      </c>
      <c r="C14" s="74">
        <v>2.4</v>
      </c>
      <c r="D14" s="73">
        <v>5760</v>
      </c>
      <c r="E14" s="73">
        <v>28560</v>
      </c>
      <c r="F14" s="75">
        <v>0.8</v>
      </c>
    </row>
    <row r="15" spans="1:6">
      <c r="A15" s="73" t="s">
        <v>5080</v>
      </c>
      <c r="B15" s="73">
        <v>13</v>
      </c>
      <c r="C15" s="74">
        <v>2.6</v>
      </c>
      <c r="D15" s="73">
        <v>6480</v>
      </c>
      <c r="E15" s="73">
        <v>34320</v>
      </c>
      <c r="F15" s="75">
        <v>0.8</v>
      </c>
    </row>
    <row r="16" spans="1:6">
      <c r="A16" s="73" t="s">
        <v>5080</v>
      </c>
      <c r="B16" s="73">
        <v>14</v>
      </c>
      <c r="C16" s="74">
        <v>2.8</v>
      </c>
      <c r="D16" s="73">
        <v>7200</v>
      </c>
      <c r="E16" s="73">
        <v>40800</v>
      </c>
      <c r="F16" s="75">
        <v>0.8</v>
      </c>
    </row>
    <row r="17" spans="1:6">
      <c r="A17" s="73" t="s">
        <v>5080</v>
      </c>
      <c r="B17" s="73">
        <v>15</v>
      </c>
      <c r="C17" s="74">
        <v>3</v>
      </c>
      <c r="D17" s="73">
        <v>0</v>
      </c>
      <c r="E17" s="73">
        <v>48000</v>
      </c>
      <c r="F17" s="75">
        <v>0.8</v>
      </c>
    </row>
    <row r="18" spans="1:6">
      <c r="A18" s="73" t="s">
        <v>96</v>
      </c>
      <c r="B18" s="73">
        <v>0</v>
      </c>
      <c r="C18" s="74">
        <v>0</v>
      </c>
      <c r="D18" s="73">
        <v>400</v>
      </c>
      <c r="E18" s="73">
        <v>0</v>
      </c>
      <c r="F18" s="75">
        <v>0.8</v>
      </c>
    </row>
    <row r="19" spans="1:6">
      <c r="A19" s="73" t="s">
        <v>96</v>
      </c>
      <c r="B19" s="73">
        <v>1</v>
      </c>
      <c r="C19" s="74">
        <v>0.25</v>
      </c>
      <c r="D19" s="73">
        <v>600</v>
      </c>
      <c r="E19" s="73">
        <v>400</v>
      </c>
      <c r="F19" s="75">
        <v>0.8</v>
      </c>
    </row>
    <row r="20" spans="1:6">
      <c r="A20" s="73" t="s">
        <v>96</v>
      </c>
      <c r="B20" s="73">
        <v>2</v>
      </c>
      <c r="C20" s="74">
        <v>0.5</v>
      </c>
      <c r="D20" s="73">
        <v>1010</v>
      </c>
      <c r="E20" s="73">
        <v>1000</v>
      </c>
      <c r="F20" s="75">
        <v>0.8</v>
      </c>
    </row>
    <row r="21" spans="1:6">
      <c r="A21" s="73" t="s">
        <v>96</v>
      </c>
      <c r="B21" s="73">
        <v>3</v>
      </c>
      <c r="C21" s="74">
        <v>0.75</v>
      </c>
      <c r="D21" s="73">
        <v>1210</v>
      </c>
      <c r="E21" s="73">
        <v>2010</v>
      </c>
      <c r="F21" s="75">
        <v>0.8</v>
      </c>
    </row>
    <row r="22" spans="1:6">
      <c r="A22" s="73" t="s">
        <v>96</v>
      </c>
      <c r="B22" s="73">
        <v>4</v>
      </c>
      <c r="C22" s="74">
        <v>1</v>
      </c>
      <c r="D22" s="73">
        <v>1410</v>
      </c>
      <c r="E22" s="73">
        <v>3220</v>
      </c>
      <c r="F22" s="75">
        <v>0.8</v>
      </c>
    </row>
    <row r="23" spans="1:6">
      <c r="A23" s="73" t="s">
        <v>96</v>
      </c>
      <c r="B23" s="73">
        <v>5</v>
      </c>
      <c r="C23" s="74">
        <v>1.25</v>
      </c>
      <c r="D23" s="73">
        <v>1810</v>
      </c>
      <c r="E23" s="73">
        <v>4630</v>
      </c>
      <c r="F23" s="75">
        <v>0.8</v>
      </c>
    </row>
    <row r="24" spans="1:6">
      <c r="A24" s="73" t="s">
        <v>96</v>
      </c>
      <c r="B24" s="73">
        <v>6</v>
      </c>
      <c r="C24" s="74">
        <v>1.5</v>
      </c>
      <c r="D24" s="73">
        <v>2020</v>
      </c>
      <c r="E24" s="73">
        <v>6440</v>
      </c>
      <c r="F24" s="75">
        <v>0.8</v>
      </c>
    </row>
    <row r="25" spans="1:6">
      <c r="A25" s="73" t="s">
        <v>96</v>
      </c>
      <c r="B25" s="73">
        <v>7</v>
      </c>
      <c r="C25" s="74">
        <v>1.75</v>
      </c>
      <c r="D25" s="73">
        <v>2220</v>
      </c>
      <c r="E25" s="73">
        <v>8460</v>
      </c>
      <c r="F25" s="75">
        <v>0.8</v>
      </c>
    </row>
    <row r="26" spans="1:6">
      <c r="A26" s="73" t="s">
        <v>96</v>
      </c>
      <c r="B26" s="73">
        <v>8</v>
      </c>
      <c r="C26" s="74">
        <v>2</v>
      </c>
      <c r="D26" s="73">
        <v>2620</v>
      </c>
      <c r="E26" s="73">
        <v>10680</v>
      </c>
      <c r="F26" s="75">
        <v>0.8</v>
      </c>
    </row>
    <row r="27" spans="1:6">
      <c r="A27" s="73" t="s">
        <v>96</v>
      </c>
      <c r="B27" s="73">
        <v>9</v>
      </c>
      <c r="C27" s="74">
        <v>2.25</v>
      </c>
      <c r="D27" s="73">
        <v>3020</v>
      </c>
      <c r="E27" s="73">
        <v>13300</v>
      </c>
      <c r="F27" s="75">
        <v>0.8</v>
      </c>
    </row>
    <row r="28" spans="1:6">
      <c r="A28" s="73" t="s">
        <v>96</v>
      </c>
      <c r="B28" s="73">
        <v>10</v>
      </c>
      <c r="C28" s="74">
        <v>2.5</v>
      </c>
      <c r="D28" s="73">
        <v>3430</v>
      </c>
      <c r="E28" s="73">
        <v>16320</v>
      </c>
      <c r="F28" s="75">
        <v>0.8</v>
      </c>
    </row>
    <row r="29" spans="1:6">
      <c r="A29" s="73" t="s">
        <v>96</v>
      </c>
      <c r="B29" s="73">
        <v>11</v>
      </c>
      <c r="C29" s="74">
        <v>2.75</v>
      </c>
      <c r="D29" s="73">
        <v>4250</v>
      </c>
      <c r="E29" s="73">
        <v>19750</v>
      </c>
      <c r="F29" s="75">
        <v>0.8</v>
      </c>
    </row>
    <row r="30" spans="1:6">
      <c r="A30" s="73" t="s">
        <v>96</v>
      </c>
      <c r="B30" s="73">
        <v>12</v>
      </c>
      <c r="C30" s="74">
        <v>3</v>
      </c>
      <c r="D30" s="73">
        <v>0</v>
      </c>
      <c r="E30" s="73">
        <v>24000</v>
      </c>
      <c r="F30" s="75">
        <v>0.8</v>
      </c>
    </row>
    <row r="31" spans="1:6">
      <c r="A31" s="73" t="s">
        <v>97</v>
      </c>
      <c r="B31" s="73">
        <v>0</v>
      </c>
      <c r="C31" s="74">
        <v>0</v>
      </c>
      <c r="D31" s="73">
        <v>240</v>
      </c>
      <c r="E31" s="73">
        <v>0</v>
      </c>
      <c r="F31" s="75">
        <v>0.8</v>
      </c>
    </row>
    <row r="32" spans="1:6">
      <c r="A32" s="73" t="s">
        <v>97</v>
      </c>
      <c r="B32" s="73">
        <v>1</v>
      </c>
      <c r="C32" s="74">
        <v>0.3333</v>
      </c>
      <c r="D32" s="73">
        <v>360</v>
      </c>
      <c r="E32" s="73">
        <v>240</v>
      </c>
      <c r="F32" s="75">
        <v>0.8</v>
      </c>
    </row>
    <row r="33" spans="1:6">
      <c r="A33" s="73" t="s">
        <v>97</v>
      </c>
      <c r="B33" s="73">
        <v>2</v>
      </c>
      <c r="C33" s="74">
        <v>0.6667</v>
      </c>
      <c r="D33" s="73">
        <v>600</v>
      </c>
      <c r="E33" s="73">
        <v>600</v>
      </c>
      <c r="F33" s="75">
        <v>0.8</v>
      </c>
    </row>
    <row r="34" spans="1:6">
      <c r="A34" s="73" t="s">
        <v>97</v>
      </c>
      <c r="B34" s="73">
        <v>3</v>
      </c>
      <c r="C34" s="74">
        <v>1</v>
      </c>
      <c r="D34" s="73">
        <v>720</v>
      </c>
      <c r="E34" s="73">
        <v>1200</v>
      </c>
      <c r="F34" s="75">
        <v>0.8</v>
      </c>
    </row>
    <row r="35" spans="1:6">
      <c r="A35" s="73" t="s">
        <v>97</v>
      </c>
      <c r="B35" s="73">
        <v>4</v>
      </c>
      <c r="C35" s="74">
        <v>1.3333</v>
      </c>
      <c r="D35" s="73">
        <v>840</v>
      </c>
      <c r="E35" s="73">
        <v>1920</v>
      </c>
      <c r="F35" s="75">
        <v>0.8</v>
      </c>
    </row>
    <row r="36" spans="1:6">
      <c r="A36" s="73" t="s">
        <v>97</v>
      </c>
      <c r="B36" s="73">
        <v>5</v>
      </c>
      <c r="C36" s="74">
        <v>1.6667</v>
      </c>
      <c r="D36" s="73">
        <v>1080</v>
      </c>
      <c r="E36" s="73">
        <v>2760</v>
      </c>
      <c r="F36" s="75">
        <v>0.8</v>
      </c>
    </row>
    <row r="37" spans="1:6">
      <c r="A37" s="73" t="s">
        <v>97</v>
      </c>
      <c r="B37" s="73">
        <v>6</v>
      </c>
      <c r="C37" s="74">
        <v>2</v>
      </c>
      <c r="D37" s="73">
        <v>1200</v>
      </c>
      <c r="E37" s="73">
        <v>3840</v>
      </c>
      <c r="F37" s="75">
        <v>0.8</v>
      </c>
    </row>
    <row r="38" spans="1:6">
      <c r="A38" s="73" t="s">
        <v>97</v>
      </c>
      <c r="B38" s="73">
        <v>7</v>
      </c>
      <c r="C38" s="74">
        <v>2.3333</v>
      </c>
      <c r="D38" s="73">
        <v>1320</v>
      </c>
      <c r="E38" s="73">
        <v>5040</v>
      </c>
      <c r="F38" s="75">
        <v>0.8</v>
      </c>
    </row>
    <row r="39" spans="1:6">
      <c r="A39" s="73" t="s">
        <v>97</v>
      </c>
      <c r="B39" s="73">
        <v>8</v>
      </c>
      <c r="C39" s="74">
        <v>2.6667</v>
      </c>
      <c r="D39" s="73">
        <v>1640</v>
      </c>
      <c r="E39" s="73">
        <v>6360</v>
      </c>
      <c r="F39" s="75">
        <v>0.8</v>
      </c>
    </row>
    <row r="40" spans="1:6">
      <c r="A40" s="73" t="s">
        <v>97</v>
      </c>
      <c r="B40" s="73">
        <v>9</v>
      </c>
      <c r="C40" s="74">
        <v>3</v>
      </c>
      <c r="D40" s="73">
        <v>0</v>
      </c>
      <c r="E40" s="73">
        <v>8000</v>
      </c>
      <c r="F40" s="75">
        <v>0.8</v>
      </c>
    </row>
    <row r="41" spans="1:3">
      <c r="A41" s="73" t="s"/>
      <c r="B41" s="73" t="s"/>
      <c r="C41" s="73" t="s"/>
    </row>
    <row r="42" spans="1:3">
      <c r="A42" s="73" t="s"/>
      <c r="B42" s="73" t="s"/>
      <c r="C42" s="73" t="s"/>
    </row>
    <row r="43" spans="1:3">
      <c r="A43" s="73" t="s"/>
      <c r="B43" s="73" t="s"/>
      <c r="C43" s="73" t="s"/>
    </row>
    <row r="44" spans="1:3">
      <c r="A44" s="73" t="s"/>
      <c r="B44" s="73" t="s"/>
      <c r="C44" s="73" t="s"/>
    </row>
    <row r="45" spans="1:3">
      <c r="A45" s="73" t="s"/>
      <c r="B45" s="73" t="s"/>
      <c r="C45" s="73" t="s"/>
    </row>
    <row r="46" spans="1:3">
      <c r="A46" s="73" t="s"/>
      <c r="B46" s="73" t="s"/>
      <c r="C46" s="73" t="s"/>
    </row>
    <row r="47" spans="1:3">
      <c r="A47" s="73" t="s"/>
      <c r="B47" s="73" t="s"/>
      <c r="C47" s="73" t="s"/>
    </row>
    <row r="48" spans="1:3">
      <c r="A48" s="73" t="s"/>
      <c r="B48" s="73" t="s"/>
      <c r="C48" s="73" t="s"/>
    </row>
    <row r="49" spans="1:3">
      <c r="A49" s="73" t="s"/>
      <c r="B49" s="73" t="s"/>
      <c r="C49" s="73" t="s"/>
    </row>
    <row r="50" spans="1:3">
      <c r="A50" s="73" t="s"/>
      <c r="B50" s="73" t="s"/>
      <c r="C50" s="73" t="s"/>
    </row>
    <row r="51" spans="1:3">
      <c r="A51" s="73" t="s"/>
      <c r="B51" s="73" t="s"/>
      <c r="C51" s="73" t="s"/>
    </row>
    <row r="52" spans="1:3">
      <c r="A52" s="73" t="s"/>
      <c r="B52" s="73" t="s"/>
      <c r="C52" s="73" t="s"/>
    </row>
    <row r="53" spans="1:3">
      <c r="A53" s="73" t="s"/>
      <c r="B53" s="73" t="s"/>
      <c r="C53" s="73" t="s"/>
    </row>
    <row r="54" spans="1:3">
      <c r="A54" s="73" t="s"/>
      <c r="B54" s="73" t="s"/>
      <c r="C54" s="73" t="s"/>
    </row>
    <row r="55" spans="1:3">
      <c r="A55" s="73" t="s"/>
      <c r="B55" s="73" t="s"/>
      <c r="C55" s="73" t="s"/>
    </row>
    <row r="56" spans="1:3">
      <c r="A56" s="73" t="s"/>
      <c r="B56" s="73" t="s"/>
      <c r="C56" s="73" t="s"/>
    </row>
    <row r="57" spans="1:3">
      <c r="A57" s="73" t="s"/>
      <c r="B57" s="73" t="s"/>
      <c r="C57" s="73" t="s"/>
    </row>
    <row r="58" spans="1:3">
      <c r="A58" s="73" t="s"/>
      <c r="B58" s="73" t="s"/>
      <c r="C58" s="73" t="s"/>
    </row>
    <row r="59" spans="1:3">
      <c r="A59" s="73" t="s"/>
      <c r="B59" s="73" t="s"/>
      <c r="C59" s="73" t="s"/>
    </row>
    <row r="60" spans="1:3">
      <c r="A60" s="73" t="s"/>
      <c r="B60" s="73" t="s"/>
      <c r="C60" s="73" t="s"/>
    </row>
    <row r="61" spans="1:3">
      <c r="A61" s="73" t="s"/>
      <c r="B61" s="73" t="s"/>
      <c r="C61" s="73" t="s"/>
    </row>
  </sheetData>
</worksheet>
</file>

<file path=xl/worksheets/sheet28.xml><?xml version="1.0" encoding="utf-8"?>
<worksheet xmlns="http://schemas.openxmlformats.org/spreadsheetml/2006/main">
  <sheetPr codeName="绳网等阶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s>
  <sheetData>
    <row r="1" spans="1:3">
      <c r="A1" s="73" t="s">
        <v>14586</v>
      </c>
      <c r="B1" s="73" t="s">
        <v>14591</v>
      </c>
      <c r="C1" s="73" t="s">
        <v>14589</v>
      </c>
    </row>
    <row r="2" spans="1:3">
      <c r="A2" s="73">
        <v>1</v>
      </c>
      <c r="B2" s="73">
        <v>245</v>
      </c>
      <c r="C2" s="73">
        <v>0</v>
      </c>
    </row>
    <row r="3" spans="1:3">
      <c r="A3" s="73">
        <v>2</v>
      </c>
      <c r="B3" s="73">
        <v>320</v>
      </c>
      <c r="C3" s="73">
        <v>245</v>
      </c>
    </row>
    <row r="4" spans="1:3">
      <c r="A4" s="73">
        <v>3</v>
      </c>
      <c r="B4" s="73">
        <v>400</v>
      </c>
      <c r="C4" s="73">
        <v>565</v>
      </c>
    </row>
    <row r="5" spans="1:3">
      <c r="A5" s="73">
        <v>4</v>
      </c>
      <c r="B5" s="73">
        <v>475</v>
      </c>
      <c r="C5" s="73">
        <v>965</v>
      </c>
    </row>
    <row r="6" spans="1:3">
      <c r="A6" s="73">
        <v>5</v>
      </c>
      <c r="B6" s="73">
        <v>555</v>
      </c>
      <c r="C6" s="73">
        <v>1440</v>
      </c>
    </row>
    <row r="7" spans="1:3">
      <c r="A7" s="73">
        <v>6</v>
      </c>
      <c r="B7" s="73">
        <v>635</v>
      </c>
      <c r="C7" s="73">
        <v>1995</v>
      </c>
    </row>
    <row r="8" spans="1:3">
      <c r="A8" s="73">
        <v>7</v>
      </c>
      <c r="B8" s="73">
        <v>710</v>
      </c>
      <c r="C8" s="73">
        <v>2630</v>
      </c>
    </row>
    <row r="9" spans="1:3">
      <c r="A9" s="73">
        <v>8</v>
      </c>
      <c r="B9" s="73">
        <v>790</v>
      </c>
      <c r="C9" s="73">
        <v>3340</v>
      </c>
    </row>
    <row r="10" spans="1:3">
      <c r="A10" s="73">
        <v>9</v>
      </c>
      <c r="B10" s="73">
        <v>870</v>
      </c>
      <c r="C10" s="73">
        <v>4130</v>
      </c>
    </row>
    <row r="11" spans="1:3">
      <c r="A11" s="73">
        <v>10</v>
      </c>
      <c r="B11" s="73">
        <v>950</v>
      </c>
      <c r="C11" s="73">
        <v>5000</v>
      </c>
    </row>
    <row r="12" spans="1:3">
      <c r="A12" s="73">
        <v>11</v>
      </c>
      <c r="B12" s="73">
        <v>1025</v>
      </c>
      <c r="C12" s="73">
        <v>5950</v>
      </c>
    </row>
    <row r="13" spans="1:3">
      <c r="A13" s="73">
        <v>12</v>
      </c>
      <c r="B13" s="73">
        <v>1105</v>
      </c>
      <c r="C13" s="73">
        <v>6975</v>
      </c>
    </row>
    <row r="14" spans="1:3">
      <c r="A14" s="73">
        <v>13</v>
      </c>
      <c r="B14" s="73">
        <v>1185</v>
      </c>
      <c r="C14" s="73">
        <v>8080</v>
      </c>
    </row>
    <row r="15" spans="1:3">
      <c r="A15" s="73">
        <v>14</v>
      </c>
      <c r="B15" s="73">
        <v>1260</v>
      </c>
      <c r="C15" s="73">
        <v>9265</v>
      </c>
    </row>
    <row r="16" spans="1:3">
      <c r="A16" s="73">
        <v>15</v>
      </c>
      <c r="B16" s="73">
        <v>1340</v>
      </c>
      <c r="C16" s="73">
        <v>10525</v>
      </c>
    </row>
    <row r="17" spans="1:3">
      <c r="A17" s="73">
        <v>16</v>
      </c>
      <c r="B17" s="73">
        <v>1415</v>
      </c>
      <c r="C17" s="73">
        <v>11865</v>
      </c>
    </row>
    <row r="18" spans="1:3">
      <c r="A18" s="73">
        <v>17</v>
      </c>
      <c r="B18" s="73">
        <v>1495</v>
      </c>
      <c r="C18" s="73">
        <v>13280</v>
      </c>
    </row>
    <row r="19" spans="1:3">
      <c r="A19" s="73">
        <v>18</v>
      </c>
      <c r="B19" s="73">
        <v>1575</v>
      </c>
      <c r="C19" s="73">
        <v>14775</v>
      </c>
    </row>
    <row r="20" spans="1:3">
      <c r="A20" s="73">
        <v>19</v>
      </c>
      <c r="B20" s="73">
        <v>1650</v>
      </c>
      <c r="C20" s="73">
        <v>16350</v>
      </c>
    </row>
    <row r="21" spans="1:3">
      <c r="A21" s="73">
        <v>20</v>
      </c>
      <c r="B21" s="73">
        <v>2165</v>
      </c>
      <c r="C21" s="73">
        <v>18000</v>
      </c>
    </row>
    <row r="22" spans="1:3">
      <c r="A22" s="73">
        <v>21</v>
      </c>
      <c r="B22" s="73">
        <v>2595</v>
      </c>
      <c r="C22" s="73">
        <v>20165</v>
      </c>
    </row>
    <row r="23" spans="1:3">
      <c r="A23" s="73">
        <v>22</v>
      </c>
      <c r="B23" s="73">
        <v>3025</v>
      </c>
      <c r="C23" s="73">
        <v>22760</v>
      </c>
    </row>
    <row r="24" spans="1:3">
      <c r="A24" s="73">
        <v>23</v>
      </c>
      <c r="B24" s="73">
        <v>3455</v>
      </c>
      <c r="C24" s="73">
        <v>25785</v>
      </c>
    </row>
    <row r="25" spans="1:3">
      <c r="A25" s="73">
        <v>24</v>
      </c>
      <c r="B25" s="73">
        <v>3885</v>
      </c>
      <c r="C25" s="73">
        <v>29240</v>
      </c>
    </row>
    <row r="26" spans="1:3">
      <c r="A26" s="73">
        <v>25</v>
      </c>
      <c r="B26" s="73">
        <v>4315</v>
      </c>
      <c r="C26" s="73">
        <v>33125</v>
      </c>
    </row>
    <row r="27" spans="1:3">
      <c r="A27" s="73">
        <v>26</v>
      </c>
      <c r="B27" s="73">
        <v>4745</v>
      </c>
      <c r="C27" s="73">
        <v>37440</v>
      </c>
    </row>
    <row r="28" spans="1:3">
      <c r="A28" s="73">
        <v>27</v>
      </c>
      <c r="B28" s="73">
        <v>5175</v>
      </c>
      <c r="C28" s="73">
        <v>42185</v>
      </c>
    </row>
    <row r="29" spans="1:3">
      <c r="A29" s="73">
        <v>28</v>
      </c>
      <c r="B29" s="73">
        <v>5605</v>
      </c>
      <c r="C29" s="73">
        <v>47360</v>
      </c>
    </row>
    <row r="30" spans="1:3">
      <c r="A30" s="73">
        <v>29</v>
      </c>
      <c r="B30" s="73">
        <v>6035</v>
      </c>
      <c r="C30" s="73">
        <v>52965</v>
      </c>
    </row>
    <row r="31" spans="1:3">
      <c r="A31" s="73">
        <v>30</v>
      </c>
      <c r="B31" s="73">
        <v>6465</v>
      </c>
      <c r="C31" s="73">
        <v>59000</v>
      </c>
    </row>
    <row r="32" spans="1:3">
      <c r="A32" s="73">
        <v>31</v>
      </c>
      <c r="B32" s="73">
        <v>6895</v>
      </c>
      <c r="C32" s="73">
        <v>65465</v>
      </c>
    </row>
    <row r="33" spans="1:3">
      <c r="A33" s="73">
        <v>32</v>
      </c>
      <c r="B33" s="73">
        <v>7325</v>
      </c>
      <c r="C33" s="73">
        <v>72360</v>
      </c>
    </row>
    <row r="34" spans="1:3">
      <c r="A34" s="73">
        <v>33</v>
      </c>
      <c r="B34" s="73">
        <v>7755</v>
      </c>
      <c r="C34" s="73">
        <v>79685</v>
      </c>
    </row>
    <row r="35" spans="1:3">
      <c r="A35" s="73">
        <v>34</v>
      </c>
      <c r="B35" s="73">
        <v>8185</v>
      </c>
      <c r="C35" s="73">
        <v>87440</v>
      </c>
    </row>
    <row r="36" spans="1:3">
      <c r="A36" s="73">
        <v>35</v>
      </c>
      <c r="B36" s="73">
        <v>8615</v>
      </c>
      <c r="C36" s="73">
        <v>95625</v>
      </c>
    </row>
    <row r="37" spans="1:3">
      <c r="A37" s="73">
        <v>36</v>
      </c>
      <c r="B37" s="73">
        <v>9045</v>
      </c>
      <c r="C37" s="73">
        <v>104240</v>
      </c>
    </row>
    <row r="38" spans="1:3">
      <c r="A38" s="73">
        <v>37</v>
      </c>
      <c r="B38" s="73">
        <v>9475</v>
      </c>
      <c r="C38" s="73">
        <v>113285</v>
      </c>
    </row>
    <row r="39" spans="1:3">
      <c r="A39" s="73">
        <v>38</v>
      </c>
      <c r="B39" s="73">
        <v>9905</v>
      </c>
      <c r="C39" s="73">
        <v>122760</v>
      </c>
    </row>
    <row r="40" spans="1:3">
      <c r="A40" s="73">
        <v>39</v>
      </c>
      <c r="B40" s="73">
        <v>10335</v>
      </c>
      <c r="C40" s="73">
        <v>132665</v>
      </c>
    </row>
    <row r="41" spans="1:3">
      <c r="A41" s="73">
        <v>40</v>
      </c>
      <c r="B41" s="73">
        <v>10820</v>
      </c>
      <c r="C41" s="73">
        <v>143000</v>
      </c>
    </row>
    <row r="42" spans="1:3">
      <c r="A42" s="73">
        <v>41</v>
      </c>
      <c r="B42" s="73">
        <v>11300</v>
      </c>
      <c r="C42" s="73">
        <v>153820</v>
      </c>
    </row>
    <row r="43" spans="1:3">
      <c r="A43" s="73">
        <v>42</v>
      </c>
      <c r="B43" s="73">
        <v>11780</v>
      </c>
      <c r="C43" s="73">
        <v>165120</v>
      </c>
    </row>
    <row r="44" spans="1:3">
      <c r="A44" s="73">
        <v>43</v>
      </c>
      <c r="B44" s="73">
        <v>12260</v>
      </c>
      <c r="C44" s="73">
        <v>176900</v>
      </c>
    </row>
    <row r="45" spans="1:3">
      <c r="A45" s="73">
        <v>44</v>
      </c>
      <c r="B45" s="73">
        <v>12740</v>
      </c>
      <c r="C45" s="73">
        <v>189160</v>
      </c>
    </row>
    <row r="46" spans="1:3">
      <c r="A46" s="73">
        <v>45</v>
      </c>
      <c r="B46" s="73">
        <v>13225</v>
      </c>
      <c r="C46" s="73">
        <v>201900</v>
      </c>
    </row>
    <row r="47" spans="1:3">
      <c r="A47" s="73">
        <v>46</v>
      </c>
      <c r="B47" s="73">
        <v>13705</v>
      </c>
      <c r="C47" s="73">
        <v>215125</v>
      </c>
    </row>
    <row r="48" spans="1:3">
      <c r="A48" s="73">
        <v>47</v>
      </c>
      <c r="B48" s="73">
        <v>14185</v>
      </c>
      <c r="C48" s="73">
        <v>228830</v>
      </c>
    </row>
    <row r="49" spans="1:3">
      <c r="A49" s="73">
        <v>48</v>
      </c>
      <c r="B49" s="73">
        <v>14665</v>
      </c>
      <c r="C49" s="73">
        <v>243015</v>
      </c>
    </row>
    <row r="50" spans="1:3">
      <c r="A50" s="73">
        <v>49</v>
      </c>
      <c r="B50" s="73">
        <v>15145</v>
      </c>
      <c r="C50" s="73">
        <v>257680</v>
      </c>
    </row>
    <row r="51" spans="1:3">
      <c r="A51" s="73">
        <v>50</v>
      </c>
      <c r="B51" s="73">
        <v>35000</v>
      </c>
      <c r="C51" s="73">
        <v>272825</v>
      </c>
    </row>
    <row r="52" spans="1:3">
      <c r="A52" s="73">
        <v>51</v>
      </c>
      <c r="B52" s="73">
        <v>48265</v>
      </c>
      <c r="C52" s="73">
        <v>307825</v>
      </c>
    </row>
    <row r="53" spans="1:3">
      <c r="A53" s="73">
        <v>52</v>
      </c>
      <c r="B53" s="73">
        <v>61525</v>
      </c>
      <c r="C53" s="73">
        <v>356090</v>
      </c>
    </row>
    <row r="54" spans="1:3">
      <c r="A54" s="73">
        <v>53</v>
      </c>
      <c r="B54" s="73">
        <v>74790</v>
      </c>
      <c r="C54" s="73">
        <v>417615</v>
      </c>
    </row>
    <row r="55" spans="1:3">
      <c r="A55" s="73">
        <v>54</v>
      </c>
      <c r="B55" s="73">
        <v>88050</v>
      </c>
      <c r="C55" s="73">
        <v>492405</v>
      </c>
    </row>
    <row r="56" spans="1:3">
      <c r="A56" s="73">
        <v>55</v>
      </c>
      <c r="B56" s="73">
        <v>150000</v>
      </c>
      <c r="C56" s="73">
        <v>580455</v>
      </c>
    </row>
    <row r="57" spans="1:3">
      <c r="A57" s="73">
        <v>56</v>
      </c>
      <c r="B57" s="73">
        <v>181580</v>
      </c>
      <c r="C57" s="73">
        <v>730455</v>
      </c>
    </row>
    <row r="58" spans="1:3">
      <c r="A58" s="73">
        <v>57</v>
      </c>
      <c r="B58" s="73">
        <v>213165</v>
      </c>
      <c r="C58" s="73">
        <v>912035</v>
      </c>
    </row>
    <row r="59" spans="1:3">
      <c r="A59" s="73">
        <v>58</v>
      </c>
      <c r="B59" s="73">
        <v>244745</v>
      </c>
      <c r="C59" s="73">
        <v>1125200</v>
      </c>
    </row>
    <row r="60" spans="1:3">
      <c r="A60" s="73">
        <v>59</v>
      </c>
      <c r="B60" s="73">
        <v>276325</v>
      </c>
      <c r="C60" s="73">
        <v>1369945</v>
      </c>
    </row>
    <row r="61" spans="1:3">
      <c r="A61" s="73">
        <v>60</v>
      </c>
      <c r="B61" s="73">
        <v>0</v>
      </c>
      <c r="C61" s="73">
        <v>1646270</v>
      </c>
    </row>
  </sheetData>
</worksheet>
</file>

<file path=xl/worksheets/sheet29.xml><?xml version="1.0" encoding="utf-8"?>
<worksheet xmlns="http://schemas.openxmlformats.org/spreadsheetml/2006/main">
  <sheetPr codeName="代理人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s>
  <sheetData>
    <row r="1" spans="1:3">
      <c r="A1" s="73" t="s">
        <v>14586</v>
      </c>
      <c r="B1" s="73" t="s">
        <v>14588</v>
      </c>
      <c r="C1" s="76" t="s">
        <v>14589</v>
      </c>
    </row>
    <row r="2" spans="1:3">
      <c r="A2" s="73">
        <v>1</v>
      </c>
      <c r="B2" s="73">
        <v>50</v>
      </c>
      <c r="C2" s="76">
        <v>0</v>
      </c>
    </row>
    <row r="3" spans="1:3">
      <c r="A3" s="73">
        <v>2</v>
      </c>
      <c r="B3" s="73">
        <v>150</v>
      </c>
      <c r="C3" s="76">
        <v>50</v>
      </c>
    </row>
    <row r="4" spans="1:3">
      <c r="A4" s="73">
        <v>3</v>
      </c>
      <c r="B4" s="73">
        <v>250</v>
      </c>
      <c r="C4" s="76">
        <v>200</v>
      </c>
    </row>
    <row r="5" spans="1:3">
      <c r="A5" s="73">
        <v>4</v>
      </c>
      <c r="B5" s="73">
        <v>400</v>
      </c>
      <c r="C5" s="76">
        <v>450</v>
      </c>
    </row>
    <row r="6" spans="1:3">
      <c r="A6" s="73">
        <v>5</v>
      </c>
      <c r="B6" s="73">
        <v>600</v>
      </c>
      <c r="C6" s="76">
        <v>850</v>
      </c>
    </row>
    <row r="7" spans="1:3">
      <c r="A7" s="73">
        <v>6</v>
      </c>
      <c r="B7" s="73">
        <v>800</v>
      </c>
      <c r="C7" s="76">
        <v>1450</v>
      </c>
    </row>
    <row r="8" spans="1:3">
      <c r="A8" s="73">
        <v>7</v>
      </c>
      <c r="B8" s="73">
        <v>1000</v>
      </c>
      <c r="C8" s="76">
        <v>2250</v>
      </c>
    </row>
    <row r="9" spans="1:3">
      <c r="A9" s="73">
        <v>8</v>
      </c>
      <c r="B9" s="73">
        <v>1250</v>
      </c>
      <c r="C9" s="76">
        <v>3250</v>
      </c>
    </row>
    <row r="10" spans="1:3">
      <c r="A10" s="73">
        <v>9</v>
      </c>
      <c r="B10" s="73">
        <v>1500</v>
      </c>
      <c r="C10" s="76">
        <v>4500</v>
      </c>
    </row>
    <row r="11" spans="1:3">
      <c r="A11" s="73">
        <v>10</v>
      </c>
      <c r="B11" s="73">
        <v>1800</v>
      </c>
      <c r="C11" s="76">
        <v>6000</v>
      </c>
    </row>
    <row r="12" spans="1:3">
      <c r="A12" s="73">
        <v>11</v>
      </c>
      <c r="B12" s="73">
        <v>1935</v>
      </c>
      <c r="C12" s="76">
        <v>7800</v>
      </c>
    </row>
    <row r="13" spans="1:3">
      <c r="A13" s="73">
        <v>12</v>
      </c>
      <c r="B13" s="73">
        <v>2065</v>
      </c>
      <c r="C13" s="76">
        <v>9735</v>
      </c>
    </row>
    <row r="14" spans="1:3">
      <c r="A14" s="73">
        <v>13</v>
      </c>
      <c r="B14" s="73">
        <v>2200</v>
      </c>
      <c r="C14" s="76">
        <v>11800</v>
      </c>
    </row>
    <row r="15" spans="1:3">
      <c r="A15" s="73">
        <v>14</v>
      </c>
      <c r="B15" s="73">
        <v>2335</v>
      </c>
      <c r="C15" s="76">
        <v>14000</v>
      </c>
    </row>
    <row r="16" spans="1:3">
      <c r="A16" s="73">
        <v>15</v>
      </c>
      <c r="B16" s="73">
        <v>2465</v>
      </c>
      <c r="C16" s="76">
        <v>16335</v>
      </c>
    </row>
    <row r="17" spans="1:3">
      <c r="A17" s="73">
        <v>16</v>
      </c>
      <c r="B17" s="73">
        <v>2600</v>
      </c>
      <c r="C17" s="76">
        <v>18800</v>
      </c>
    </row>
    <row r="18" spans="1:3">
      <c r="A18" s="73">
        <v>17</v>
      </c>
      <c r="B18" s="73">
        <v>2735</v>
      </c>
      <c r="C18" s="76">
        <v>21400</v>
      </c>
    </row>
    <row r="19" spans="1:3">
      <c r="A19" s="73">
        <v>18</v>
      </c>
      <c r="B19" s="73">
        <v>2865</v>
      </c>
      <c r="C19" s="76">
        <v>24135</v>
      </c>
    </row>
    <row r="20" spans="1:3">
      <c r="A20" s="73">
        <v>19</v>
      </c>
      <c r="B20" s="73">
        <v>3000</v>
      </c>
      <c r="C20" s="76">
        <v>27000</v>
      </c>
    </row>
    <row r="21" spans="1:3">
      <c r="A21" s="73">
        <v>20</v>
      </c>
      <c r="B21" s="73">
        <v>4680</v>
      </c>
      <c r="C21" s="76">
        <v>30000</v>
      </c>
    </row>
    <row r="22" spans="1:3">
      <c r="A22" s="73">
        <v>21</v>
      </c>
      <c r="B22" s="73">
        <v>4975</v>
      </c>
      <c r="C22" s="76">
        <v>34680</v>
      </c>
    </row>
    <row r="23" spans="1:3">
      <c r="A23" s="73">
        <v>22</v>
      </c>
      <c r="B23" s="73">
        <v>5265</v>
      </c>
      <c r="C23" s="76">
        <v>39655</v>
      </c>
    </row>
    <row r="24" spans="1:3">
      <c r="A24" s="73">
        <v>23</v>
      </c>
      <c r="B24" s="73">
        <v>5560</v>
      </c>
      <c r="C24" s="76">
        <v>44920</v>
      </c>
    </row>
    <row r="25" spans="1:3">
      <c r="A25" s="73">
        <v>24</v>
      </c>
      <c r="B25" s="73">
        <v>5855</v>
      </c>
      <c r="C25" s="76">
        <v>50480</v>
      </c>
    </row>
    <row r="26" spans="1:3">
      <c r="A26" s="73">
        <v>25</v>
      </c>
      <c r="B26" s="73">
        <v>6145</v>
      </c>
      <c r="C26" s="76">
        <v>56335</v>
      </c>
    </row>
    <row r="27" spans="1:3">
      <c r="A27" s="73">
        <v>26</v>
      </c>
      <c r="B27" s="73">
        <v>6440</v>
      </c>
      <c r="C27" s="76">
        <v>62480</v>
      </c>
    </row>
    <row r="28" spans="1:3">
      <c r="A28" s="73">
        <v>27</v>
      </c>
      <c r="B28" s="73">
        <v>6735</v>
      </c>
      <c r="C28" s="76">
        <v>68920</v>
      </c>
    </row>
    <row r="29" spans="1:3">
      <c r="A29" s="73">
        <v>28</v>
      </c>
      <c r="B29" s="73">
        <v>7025</v>
      </c>
      <c r="C29" s="76">
        <v>75655</v>
      </c>
    </row>
    <row r="30" spans="1:3">
      <c r="A30" s="73">
        <v>29</v>
      </c>
      <c r="B30" s="73">
        <v>7320</v>
      </c>
      <c r="C30" s="76">
        <v>82680</v>
      </c>
    </row>
    <row r="31" spans="1:3">
      <c r="A31" s="73">
        <v>30</v>
      </c>
      <c r="B31" s="73">
        <v>10800</v>
      </c>
      <c r="C31" s="76">
        <v>90000</v>
      </c>
    </row>
    <row r="32" spans="1:3">
      <c r="A32" s="73">
        <v>31</v>
      </c>
      <c r="B32" s="73">
        <v>11400</v>
      </c>
      <c r="C32" s="76">
        <v>100800</v>
      </c>
    </row>
    <row r="33" spans="1:3">
      <c r="A33" s="73">
        <v>32</v>
      </c>
      <c r="B33" s="73">
        <v>12000</v>
      </c>
      <c r="C33" s="76">
        <v>112200</v>
      </c>
    </row>
    <row r="34" spans="1:3">
      <c r="A34" s="73">
        <v>33</v>
      </c>
      <c r="B34" s="73">
        <v>12600</v>
      </c>
      <c r="C34" s="76">
        <v>124200</v>
      </c>
    </row>
    <row r="35" spans="1:3">
      <c r="A35" s="73">
        <v>34</v>
      </c>
      <c r="B35" s="73">
        <v>13200</v>
      </c>
      <c r="C35" s="76">
        <v>136800</v>
      </c>
    </row>
    <row r="36" spans="1:3">
      <c r="A36" s="73">
        <v>35</v>
      </c>
      <c r="B36" s="73">
        <v>13800</v>
      </c>
      <c r="C36" s="76">
        <v>150000</v>
      </c>
    </row>
    <row r="37" spans="1:3">
      <c r="A37" s="73">
        <v>36</v>
      </c>
      <c r="B37" s="73">
        <v>14400</v>
      </c>
      <c r="C37" s="76">
        <v>163800</v>
      </c>
    </row>
    <row r="38" spans="1:3">
      <c r="A38" s="73">
        <v>37</v>
      </c>
      <c r="B38" s="73">
        <v>15000</v>
      </c>
      <c r="C38" s="76">
        <v>178200</v>
      </c>
    </row>
    <row r="39" spans="1:3">
      <c r="A39" s="73">
        <v>38</v>
      </c>
      <c r="B39" s="73">
        <v>15600</v>
      </c>
      <c r="C39" s="76">
        <v>193200</v>
      </c>
    </row>
    <row r="40" spans="1:3">
      <c r="A40" s="73">
        <v>39</v>
      </c>
      <c r="B40" s="73">
        <v>16200</v>
      </c>
      <c r="C40" s="76">
        <v>208800</v>
      </c>
    </row>
    <row r="41" spans="1:3">
      <c r="A41" s="73">
        <v>40</v>
      </c>
      <c r="B41" s="73">
        <v>17100</v>
      </c>
      <c r="C41" s="76">
        <v>225000</v>
      </c>
    </row>
    <row r="42" spans="1:3">
      <c r="A42" s="73">
        <v>41</v>
      </c>
      <c r="B42" s="73">
        <v>18300</v>
      </c>
      <c r="C42" s="76">
        <v>242100</v>
      </c>
    </row>
    <row r="43" spans="1:3">
      <c r="A43" s="73">
        <v>42</v>
      </c>
      <c r="B43" s="73">
        <v>19500</v>
      </c>
      <c r="C43" s="76">
        <v>260400</v>
      </c>
    </row>
    <row r="44" spans="1:3">
      <c r="A44" s="73">
        <v>43</v>
      </c>
      <c r="B44" s="73">
        <v>20700</v>
      </c>
      <c r="C44" s="76">
        <v>279900</v>
      </c>
    </row>
    <row r="45" spans="1:3">
      <c r="A45" s="73">
        <v>44</v>
      </c>
      <c r="B45" s="73">
        <v>21900</v>
      </c>
      <c r="C45" s="76">
        <v>300600</v>
      </c>
    </row>
    <row r="46" spans="1:3">
      <c r="A46" s="73">
        <v>45</v>
      </c>
      <c r="B46" s="73">
        <v>23100</v>
      </c>
      <c r="C46" s="76">
        <v>322500</v>
      </c>
    </row>
    <row r="47" spans="1:3">
      <c r="A47" s="73">
        <v>46</v>
      </c>
      <c r="B47" s="73">
        <v>24300</v>
      </c>
      <c r="C47" s="76">
        <v>345600</v>
      </c>
    </row>
    <row r="48" spans="1:3">
      <c r="A48" s="73">
        <v>47</v>
      </c>
      <c r="B48" s="73">
        <v>25500</v>
      </c>
      <c r="C48" s="76">
        <v>369900</v>
      </c>
    </row>
    <row r="49" spans="1:3">
      <c r="A49" s="73">
        <v>48</v>
      </c>
      <c r="B49" s="73">
        <v>26700</v>
      </c>
      <c r="C49" s="76">
        <v>395400</v>
      </c>
    </row>
    <row r="50" spans="1:3">
      <c r="A50" s="73">
        <v>49</v>
      </c>
      <c r="B50" s="73">
        <v>27900</v>
      </c>
      <c r="C50" s="76">
        <v>422100</v>
      </c>
    </row>
    <row r="51" spans="1:3">
      <c r="A51" s="73">
        <v>50</v>
      </c>
      <c r="B51" s="73">
        <v>34200</v>
      </c>
      <c r="C51" s="76">
        <v>450000</v>
      </c>
    </row>
    <row r="52" spans="1:3">
      <c r="A52" s="73">
        <v>51</v>
      </c>
      <c r="B52" s="73">
        <v>36600</v>
      </c>
      <c r="C52" s="76">
        <v>484200</v>
      </c>
    </row>
    <row r="53" spans="1:3">
      <c r="A53" s="73">
        <v>52</v>
      </c>
      <c r="B53" s="73">
        <v>39000</v>
      </c>
      <c r="C53" s="76">
        <v>520800</v>
      </c>
    </row>
    <row r="54" spans="1:3">
      <c r="A54" s="73">
        <v>53</v>
      </c>
      <c r="B54" s="73">
        <v>41400</v>
      </c>
      <c r="C54" s="76">
        <v>559800</v>
      </c>
    </row>
    <row r="55" spans="1:3">
      <c r="A55" s="73">
        <v>54</v>
      </c>
      <c r="B55" s="73">
        <v>43800</v>
      </c>
      <c r="C55" s="76">
        <v>601200</v>
      </c>
    </row>
    <row r="56" spans="1:3">
      <c r="A56" s="73">
        <v>55</v>
      </c>
      <c r="B56" s="73">
        <v>46200</v>
      </c>
      <c r="C56" s="76">
        <v>645000</v>
      </c>
    </row>
    <row r="57" spans="1:3">
      <c r="A57" s="73">
        <v>56</v>
      </c>
      <c r="B57" s="73">
        <v>48600</v>
      </c>
      <c r="C57" s="76">
        <v>691200</v>
      </c>
    </row>
    <row r="58" spans="1:3">
      <c r="A58" s="73">
        <v>57</v>
      </c>
      <c r="B58" s="73">
        <v>51000</v>
      </c>
      <c r="C58" s="76">
        <v>739800</v>
      </c>
    </row>
    <row r="59" spans="1:3">
      <c r="A59" s="73">
        <v>58</v>
      </c>
      <c r="B59" s="73">
        <v>53400</v>
      </c>
      <c r="C59" s="76">
        <v>790800</v>
      </c>
    </row>
    <row r="60" spans="1:3">
      <c r="A60" s="73">
        <v>59</v>
      </c>
      <c r="B60" s="73">
        <v>55800</v>
      </c>
      <c r="C60" s="76">
        <v>844200</v>
      </c>
    </row>
    <row r="61" spans="1:3">
      <c r="A61" s="73">
        <v>60</v>
      </c>
      <c r="B61" s="73">
        <v>0</v>
      </c>
      <c r="C61" s="76">
        <v>900000</v>
      </c>
    </row>
  </sheetData>
</worksheet>
</file>

<file path=xl/worksheets/sheet30.xml><?xml version="1.0" encoding="utf-8"?>
<worksheet xmlns="http://schemas.openxmlformats.org/spreadsheetml/2006/main">
  <sheetPr codeName="邦布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s>
  <sheetData>
    <row r="1" spans="1:3">
      <c r="A1" s="73" t="s">
        <v>14586</v>
      </c>
      <c r="B1" s="73" t="s">
        <v>14588</v>
      </c>
      <c r="C1" s="76" t="s">
        <v>14589</v>
      </c>
    </row>
    <row r="2" spans="1:3">
      <c r="A2" s="73">
        <v>1</v>
      </c>
      <c r="B2" s="73">
        <v>50</v>
      </c>
      <c r="C2" s="76">
        <v>0</v>
      </c>
    </row>
    <row r="3" spans="1:3">
      <c r="A3" s="73">
        <v>2</v>
      </c>
      <c r="B3" s="73">
        <v>100</v>
      </c>
      <c r="C3" s="76">
        <v>50</v>
      </c>
    </row>
    <row r="4" spans="1:3">
      <c r="A4" s="73">
        <v>3</v>
      </c>
      <c r="B4" s="73">
        <v>150</v>
      </c>
      <c r="C4" s="76">
        <v>150</v>
      </c>
    </row>
    <row r="5" spans="1:3">
      <c r="A5" s="73">
        <v>4</v>
      </c>
      <c r="B5" s="73">
        <v>200</v>
      </c>
      <c r="C5" s="76">
        <v>300</v>
      </c>
    </row>
    <row r="6" spans="1:3">
      <c r="A6" s="73">
        <v>5</v>
      </c>
      <c r="B6" s="73">
        <v>300</v>
      </c>
      <c r="C6" s="76">
        <v>500</v>
      </c>
    </row>
    <row r="7" spans="1:3">
      <c r="A7" s="73">
        <v>6</v>
      </c>
      <c r="B7" s="73">
        <v>400</v>
      </c>
      <c r="C7" s="76">
        <v>800</v>
      </c>
    </row>
    <row r="8" spans="1:3">
      <c r="A8" s="73">
        <v>7</v>
      </c>
      <c r="B8" s="73">
        <v>500</v>
      </c>
      <c r="C8" s="76">
        <v>1200</v>
      </c>
    </row>
    <row r="9" spans="1:3">
      <c r="A9" s="73">
        <v>8</v>
      </c>
      <c r="B9" s="73">
        <v>600</v>
      </c>
      <c r="C9" s="76">
        <v>1700</v>
      </c>
    </row>
    <row r="10" spans="1:3">
      <c r="A10" s="73">
        <v>9</v>
      </c>
      <c r="B10" s="73">
        <v>700</v>
      </c>
      <c r="C10" s="76">
        <v>2300</v>
      </c>
    </row>
    <row r="11" spans="1:3">
      <c r="A11" s="73">
        <v>10</v>
      </c>
      <c r="B11" s="73">
        <v>900</v>
      </c>
      <c r="C11" s="76">
        <v>3000</v>
      </c>
    </row>
    <row r="12" spans="1:3">
      <c r="A12" s="73">
        <v>11</v>
      </c>
      <c r="B12" s="73">
        <v>965</v>
      </c>
      <c r="C12" s="76">
        <v>3900</v>
      </c>
    </row>
    <row r="13" spans="1:3">
      <c r="A13" s="73">
        <v>12</v>
      </c>
      <c r="B13" s="73">
        <v>1035</v>
      </c>
      <c r="C13" s="76">
        <v>4865</v>
      </c>
    </row>
    <row r="14" spans="1:3">
      <c r="A14" s="73">
        <v>13</v>
      </c>
      <c r="B14" s="73">
        <v>1100</v>
      </c>
      <c r="C14" s="76">
        <v>5900</v>
      </c>
    </row>
    <row r="15" spans="1:3">
      <c r="A15" s="73">
        <v>14</v>
      </c>
      <c r="B15" s="73">
        <v>1165</v>
      </c>
      <c r="C15" s="76">
        <v>7000</v>
      </c>
    </row>
    <row r="16" spans="1:3">
      <c r="A16" s="73">
        <v>15</v>
      </c>
      <c r="B16" s="73">
        <v>1235</v>
      </c>
      <c r="C16" s="76">
        <v>8165</v>
      </c>
    </row>
    <row r="17" spans="1:3">
      <c r="A17" s="73">
        <v>16</v>
      </c>
      <c r="B17" s="73">
        <v>1300</v>
      </c>
      <c r="C17" s="76">
        <v>9400</v>
      </c>
    </row>
    <row r="18" spans="1:3">
      <c r="A18" s="73">
        <v>17</v>
      </c>
      <c r="B18" s="73">
        <v>1365</v>
      </c>
      <c r="C18" s="76">
        <v>10700</v>
      </c>
    </row>
    <row r="19" spans="1:3">
      <c r="A19" s="73">
        <v>18</v>
      </c>
      <c r="B19" s="73">
        <v>1435</v>
      </c>
      <c r="C19" s="76">
        <v>12065</v>
      </c>
    </row>
    <row r="20" spans="1:3">
      <c r="A20" s="73">
        <v>19</v>
      </c>
      <c r="B20" s="73">
        <v>1500</v>
      </c>
      <c r="C20" s="76">
        <v>13500</v>
      </c>
    </row>
    <row r="21" spans="1:3">
      <c r="A21" s="73">
        <v>20</v>
      </c>
      <c r="B21" s="73">
        <v>2340</v>
      </c>
      <c r="C21" s="76">
        <v>15000</v>
      </c>
    </row>
    <row r="22" spans="1:3">
      <c r="A22" s="73">
        <v>21</v>
      </c>
      <c r="B22" s="73">
        <v>2485</v>
      </c>
      <c r="C22" s="76">
        <v>17340</v>
      </c>
    </row>
    <row r="23" spans="1:3">
      <c r="A23" s="73">
        <v>22</v>
      </c>
      <c r="B23" s="73">
        <v>2635</v>
      </c>
      <c r="C23" s="76">
        <v>19825</v>
      </c>
    </row>
    <row r="24" spans="1:3">
      <c r="A24" s="73">
        <v>23</v>
      </c>
      <c r="B24" s="73">
        <v>2780</v>
      </c>
      <c r="C24" s="76">
        <v>22460</v>
      </c>
    </row>
    <row r="25" spans="1:3">
      <c r="A25" s="73">
        <v>24</v>
      </c>
      <c r="B25" s="73">
        <v>2925</v>
      </c>
      <c r="C25" s="76">
        <v>25240</v>
      </c>
    </row>
    <row r="26" spans="1:3">
      <c r="A26" s="73">
        <v>25</v>
      </c>
      <c r="B26" s="73">
        <v>3075</v>
      </c>
      <c r="C26" s="76">
        <v>28165</v>
      </c>
    </row>
    <row r="27" spans="1:3">
      <c r="A27" s="73">
        <v>26</v>
      </c>
      <c r="B27" s="73">
        <v>3220</v>
      </c>
      <c r="C27" s="76">
        <v>31240</v>
      </c>
    </row>
    <row r="28" spans="1:3">
      <c r="A28" s="73">
        <v>27</v>
      </c>
      <c r="B28" s="73">
        <v>3365</v>
      </c>
      <c r="C28" s="76">
        <v>34460</v>
      </c>
    </row>
    <row r="29" spans="1:3">
      <c r="A29" s="73">
        <v>28</v>
      </c>
      <c r="B29" s="73">
        <v>3515</v>
      </c>
      <c r="C29" s="76">
        <v>37825</v>
      </c>
    </row>
    <row r="30" spans="1:3">
      <c r="A30" s="73">
        <v>29</v>
      </c>
      <c r="B30" s="73">
        <v>3660</v>
      </c>
      <c r="C30" s="76">
        <v>41340</v>
      </c>
    </row>
    <row r="31" spans="1:3">
      <c r="A31" s="73">
        <v>30</v>
      </c>
      <c r="B31" s="73">
        <v>5400</v>
      </c>
      <c r="C31" s="76">
        <v>45000</v>
      </c>
    </row>
    <row r="32" spans="1:3">
      <c r="A32" s="73">
        <v>31</v>
      </c>
      <c r="B32" s="73">
        <v>5700</v>
      </c>
      <c r="C32" s="76">
        <v>50400</v>
      </c>
    </row>
    <row r="33" spans="1:3">
      <c r="A33" s="73">
        <v>32</v>
      </c>
      <c r="B33" s="73">
        <v>6000</v>
      </c>
      <c r="C33" s="76">
        <v>56100</v>
      </c>
    </row>
    <row r="34" spans="1:3">
      <c r="A34" s="73">
        <v>33</v>
      </c>
      <c r="B34" s="73">
        <v>6300</v>
      </c>
      <c r="C34" s="76">
        <v>62100</v>
      </c>
    </row>
    <row r="35" spans="1:3">
      <c r="A35" s="73">
        <v>34</v>
      </c>
      <c r="B35" s="73">
        <v>6600</v>
      </c>
      <c r="C35" s="76">
        <v>68400</v>
      </c>
    </row>
    <row r="36" spans="1:3">
      <c r="A36" s="73">
        <v>35</v>
      </c>
      <c r="B36" s="73">
        <v>6900</v>
      </c>
      <c r="C36" s="76">
        <v>75000</v>
      </c>
    </row>
    <row r="37" spans="1:3">
      <c r="A37" s="73">
        <v>36</v>
      </c>
      <c r="B37" s="73">
        <v>7200</v>
      </c>
      <c r="C37" s="76">
        <v>81900</v>
      </c>
    </row>
    <row r="38" spans="1:3">
      <c r="A38" s="73">
        <v>37</v>
      </c>
      <c r="B38" s="73">
        <v>7500</v>
      </c>
      <c r="C38" s="76">
        <v>89100</v>
      </c>
    </row>
    <row r="39" spans="1:3">
      <c r="A39" s="73">
        <v>38</v>
      </c>
      <c r="B39" s="73">
        <v>7800</v>
      </c>
      <c r="C39" s="76">
        <v>96600</v>
      </c>
    </row>
    <row r="40" spans="1:3">
      <c r="A40" s="73">
        <v>39</v>
      </c>
      <c r="B40" s="73">
        <v>8100</v>
      </c>
      <c r="C40" s="76">
        <v>104400</v>
      </c>
    </row>
    <row r="41" spans="1:3">
      <c r="A41" s="73">
        <v>40</v>
      </c>
      <c r="B41" s="73">
        <v>8550</v>
      </c>
      <c r="C41" s="76">
        <v>112500</v>
      </c>
    </row>
    <row r="42" spans="1:3">
      <c r="A42" s="73">
        <v>41</v>
      </c>
      <c r="B42" s="73">
        <v>9150</v>
      </c>
      <c r="C42" s="76">
        <v>121050</v>
      </c>
    </row>
    <row r="43" spans="1:3">
      <c r="A43" s="73">
        <v>42</v>
      </c>
      <c r="B43" s="73">
        <v>9750</v>
      </c>
      <c r="C43" s="76">
        <v>130200</v>
      </c>
    </row>
    <row r="44" spans="1:3">
      <c r="A44" s="73">
        <v>43</v>
      </c>
      <c r="B44" s="73">
        <v>10350</v>
      </c>
      <c r="C44" s="76">
        <v>139950</v>
      </c>
    </row>
    <row r="45" spans="1:3">
      <c r="A45" s="73">
        <v>44</v>
      </c>
      <c r="B45" s="73">
        <v>10950</v>
      </c>
      <c r="C45" s="76">
        <v>150300</v>
      </c>
    </row>
    <row r="46" spans="1:3">
      <c r="A46" s="73">
        <v>45</v>
      </c>
      <c r="B46" s="73">
        <v>11550</v>
      </c>
      <c r="C46" s="76">
        <v>161250</v>
      </c>
    </row>
    <row r="47" spans="1:3">
      <c r="A47" s="73">
        <v>46</v>
      </c>
      <c r="B47" s="73">
        <v>12150</v>
      </c>
      <c r="C47" s="76">
        <v>172800</v>
      </c>
    </row>
    <row r="48" spans="1:3">
      <c r="A48" s="73">
        <v>47</v>
      </c>
      <c r="B48" s="73">
        <v>12750</v>
      </c>
      <c r="C48" s="76">
        <v>184950</v>
      </c>
    </row>
    <row r="49" spans="1:3">
      <c r="A49" s="73">
        <v>48</v>
      </c>
      <c r="B49" s="73">
        <v>13350</v>
      </c>
      <c r="C49" s="76">
        <v>197700</v>
      </c>
    </row>
    <row r="50" spans="1:3">
      <c r="A50" s="73">
        <v>49</v>
      </c>
      <c r="B50" s="73">
        <v>13950</v>
      </c>
      <c r="C50" s="76">
        <v>211050</v>
      </c>
    </row>
    <row r="51" spans="1:3">
      <c r="A51" s="73">
        <v>50</v>
      </c>
      <c r="B51" s="73">
        <v>17100</v>
      </c>
      <c r="C51" s="76">
        <v>225000</v>
      </c>
    </row>
    <row r="52" spans="1:3">
      <c r="A52" s="73">
        <v>51</v>
      </c>
      <c r="B52" s="73">
        <v>18300</v>
      </c>
      <c r="C52" s="76">
        <v>242100</v>
      </c>
    </row>
    <row r="53" spans="1:3">
      <c r="A53" s="73">
        <v>52</v>
      </c>
      <c r="B53" s="73">
        <v>19500</v>
      </c>
      <c r="C53" s="76">
        <v>260400</v>
      </c>
    </row>
    <row r="54" spans="1:3">
      <c r="A54" s="73">
        <v>53</v>
      </c>
      <c r="B54" s="73">
        <v>20700</v>
      </c>
      <c r="C54" s="76">
        <v>279900</v>
      </c>
    </row>
    <row r="55" spans="1:3">
      <c r="A55" s="73">
        <v>54</v>
      </c>
      <c r="B55" s="73">
        <v>21900</v>
      </c>
      <c r="C55" s="76">
        <v>300600</v>
      </c>
    </row>
    <row r="56" spans="1:3">
      <c r="A56" s="73">
        <v>55</v>
      </c>
      <c r="B56" s="73">
        <v>23100</v>
      </c>
      <c r="C56" s="76">
        <v>322500</v>
      </c>
    </row>
    <row r="57" spans="1:3">
      <c r="A57" s="73">
        <v>56</v>
      </c>
      <c r="B57" s="73">
        <v>24300</v>
      </c>
      <c r="C57" s="76">
        <v>345600</v>
      </c>
    </row>
    <row r="58" spans="1:3">
      <c r="A58" s="73">
        <v>57</v>
      </c>
      <c r="B58" s="73">
        <v>25500</v>
      </c>
      <c r="C58" s="76">
        <v>369900</v>
      </c>
    </row>
    <row r="59" spans="1:3">
      <c r="A59" s="73">
        <v>58</v>
      </c>
      <c r="B59" s="73">
        <v>26700</v>
      </c>
      <c r="C59" s="76">
        <v>395400</v>
      </c>
    </row>
    <row r="60" spans="1:3">
      <c r="A60" s="73">
        <v>59</v>
      </c>
      <c r="B60" s="73">
        <v>27900</v>
      </c>
      <c r="C60" s="76">
        <v>422100</v>
      </c>
    </row>
    <row r="61" spans="1:3">
      <c r="A61" s="73">
        <v>60</v>
      </c>
      <c r="B61" s="73">
        <v>0</v>
      </c>
      <c r="C61" s="76">
        <v>450000</v>
      </c>
    </row>
  </sheetData>
</worksheet>
</file>

<file path=xl/worksheets/sheet31.xml><?xml version="1.0" encoding="utf-8"?>
<worksheet xmlns="http://schemas.openxmlformats.org/spreadsheetml/2006/main">
  <sheetPr codeName="音擎升级表">
    <tabColor/>
  </sheetPr>
  <dimension ref="F184"/>
  <sheetViews>
    <sheetView showGridLines="1" workbookViewId="0">
      <pane xSplit="1" ySplit="1" topLeftCell="B2" state="frozen"/>
    </sheetView>
  </sheetViews>
  <sheetFormatPr baseColWidth="13" defaultRowHeight="18" customHeight="1"/>
  <cols>
    <col min="1" max="1" width="11.7109" customWidth="1"/>
    <col min="2" max="2" width="9.71094" customWidth="1"/>
    <col min="3" max="3" width="24.7109" customWidth="1"/>
    <col min="4" max="4" width="18.7109" customWidth="1"/>
    <col min="5" max="6" width="16.7109" customWidth="1"/>
  </cols>
  <sheetData>
    <row r="1" spans="1:6">
      <c r="A1" s="73" t="s">
        <v>5073</v>
      </c>
      <c r="B1" s="73" t="s">
        <v>14586</v>
      </c>
      <c r="C1" s="77" t="s">
        <v>14592</v>
      </c>
      <c r="D1" s="73" t="s">
        <v>14588</v>
      </c>
      <c r="E1" s="73" t="s">
        <v>14589</v>
      </c>
      <c r="F1" s="73" t="s">
        <v>14590</v>
      </c>
    </row>
    <row r="2" spans="1:6">
      <c r="A2" s="73" t="s">
        <v>5080</v>
      </c>
      <c r="B2" s="73">
        <v>0</v>
      </c>
      <c r="C2" s="77">
        <v>0</v>
      </c>
      <c r="D2" s="73">
        <v>50</v>
      </c>
      <c r="E2" s="73">
        <v>0</v>
      </c>
      <c r="F2" s="78">
        <v>1</v>
      </c>
    </row>
    <row r="3" spans="1:6">
      <c r="A3" s="73" t="s">
        <v>5080</v>
      </c>
      <c r="B3" s="73">
        <v>1</v>
      </c>
      <c r="C3" s="77">
        <v>0.1568</v>
      </c>
      <c r="D3" s="73">
        <v>100</v>
      </c>
      <c r="E3" s="73">
        <v>50</v>
      </c>
      <c r="F3" s="78">
        <v>1</v>
      </c>
    </row>
    <row r="4" spans="1:6">
      <c r="A4" s="73" t="s">
        <v>5080</v>
      </c>
      <c r="B4" s="73">
        <v>2</v>
      </c>
      <c r="C4" s="77">
        <v>0.3136</v>
      </c>
      <c r="D4" s="73">
        <v>150</v>
      </c>
      <c r="E4" s="73">
        <v>150</v>
      </c>
      <c r="F4" s="78">
        <v>1</v>
      </c>
    </row>
    <row r="5" spans="1:6">
      <c r="A5" s="73" t="s">
        <v>5080</v>
      </c>
      <c r="B5" s="73">
        <v>3</v>
      </c>
      <c r="C5" s="77">
        <v>0.4705</v>
      </c>
      <c r="D5" s="73">
        <v>200</v>
      </c>
      <c r="E5" s="73">
        <v>300</v>
      </c>
      <c r="F5" s="78">
        <v>1</v>
      </c>
    </row>
    <row r="6" spans="1:6">
      <c r="A6" s="73" t="s">
        <v>5080</v>
      </c>
      <c r="B6" s="73">
        <v>4</v>
      </c>
      <c r="C6" s="77">
        <v>0.6273</v>
      </c>
      <c r="D6" s="73">
        <v>300</v>
      </c>
      <c r="E6" s="73">
        <v>500</v>
      </c>
      <c r="F6" s="78">
        <v>1</v>
      </c>
    </row>
    <row r="7" spans="1:6">
      <c r="A7" s="73" t="s">
        <v>5080</v>
      </c>
      <c r="B7" s="73">
        <v>5</v>
      </c>
      <c r="C7" s="77">
        <v>0.7841</v>
      </c>
      <c r="D7" s="73">
        <v>400</v>
      </c>
      <c r="E7" s="73">
        <v>800</v>
      </c>
      <c r="F7" s="78">
        <v>1</v>
      </c>
    </row>
    <row r="8" spans="1:6">
      <c r="A8" s="73" t="s">
        <v>5080</v>
      </c>
      <c r="B8" s="73">
        <v>6</v>
      </c>
      <c r="C8" s="77">
        <v>0.9409</v>
      </c>
      <c r="D8" s="73">
        <v>500</v>
      </c>
      <c r="E8" s="73">
        <v>1200</v>
      </c>
      <c r="F8" s="78">
        <v>1</v>
      </c>
    </row>
    <row r="9" spans="1:6">
      <c r="A9" s="73" t="s">
        <v>5080</v>
      </c>
      <c r="B9" s="73">
        <v>7</v>
      </c>
      <c r="C9" s="77">
        <v>1.0977</v>
      </c>
      <c r="D9" s="73">
        <v>600</v>
      </c>
      <c r="E9" s="73">
        <v>1700</v>
      </c>
      <c r="F9" s="78">
        <v>1</v>
      </c>
    </row>
    <row r="10" spans="1:6">
      <c r="A10" s="73" t="s">
        <v>5080</v>
      </c>
      <c r="B10" s="73">
        <v>8</v>
      </c>
      <c r="C10" s="77">
        <v>1.2545</v>
      </c>
      <c r="D10" s="73">
        <v>750</v>
      </c>
      <c r="E10" s="73">
        <v>2300</v>
      </c>
      <c r="F10" s="78">
        <v>1</v>
      </c>
    </row>
    <row r="11" spans="1:6">
      <c r="A11" s="73" t="s">
        <v>5080</v>
      </c>
      <c r="B11" s="73">
        <v>9</v>
      </c>
      <c r="C11" s="77">
        <v>1.4114</v>
      </c>
      <c r="D11" s="73">
        <v>950</v>
      </c>
      <c r="E11" s="73">
        <v>3050</v>
      </c>
      <c r="F11" s="78">
        <v>1</v>
      </c>
    </row>
    <row r="12" spans="1:6">
      <c r="A12" s="73" t="s">
        <v>5080</v>
      </c>
      <c r="B12" s="73">
        <v>10</v>
      </c>
      <c r="C12" s="77">
        <v>1.5682</v>
      </c>
      <c r="D12" s="73">
        <v>1200</v>
      </c>
      <c r="E12" s="73">
        <v>4000</v>
      </c>
      <c r="F12" s="78">
        <v>0.9</v>
      </c>
    </row>
    <row r="13" spans="1:6">
      <c r="A13" s="73" t="s">
        <v>5080</v>
      </c>
      <c r="B13" s="73">
        <v>11</v>
      </c>
      <c r="C13" s="77">
        <v>1.725</v>
      </c>
      <c r="D13" s="73">
        <v>1290</v>
      </c>
      <c r="E13" s="73">
        <v>5200</v>
      </c>
      <c r="F13" s="78">
        <v>0.9</v>
      </c>
    </row>
    <row r="14" spans="1:6">
      <c r="A14" s="73" t="s">
        <v>5080</v>
      </c>
      <c r="B14" s="73">
        <v>12</v>
      </c>
      <c r="C14" s="77">
        <v>1.8818</v>
      </c>
      <c r="D14" s="73">
        <v>1380</v>
      </c>
      <c r="E14" s="73">
        <v>6490</v>
      </c>
      <c r="F14" s="78">
        <v>0.9</v>
      </c>
    </row>
    <row r="15" spans="1:6">
      <c r="A15" s="73" t="s">
        <v>5080</v>
      </c>
      <c r="B15" s="73">
        <v>13</v>
      </c>
      <c r="C15" s="77">
        <v>2.0386</v>
      </c>
      <c r="D15" s="73">
        <v>1465</v>
      </c>
      <c r="E15" s="73">
        <v>7870</v>
      </c>
      <c r="F15" s="78">
        <v>0.9</v>
      </c>
    </row>
    <row r="16" spans="1:6">
      <c r="A16" s="73" t="s">
        <v>5080</v>
      </c>
      <c r="B16" s="73">
        <v>14</v>
      </c>
      <c r="C16" s="77">
        <v>2.1954</v>
      </c>
      <c r="D16" s="73">
        <v>1555</v>
      </c>
      <c r="E16" s="73">
        <v>9335</v>
      </c>
      <c r="F16" s="78">
        <v>0.9</v>
      </c>
    </row>
    <row r="17" spans="1:6">
      <c r="A17" s="73" t="s">
        <v>5080</v>
      </c>
      <c r="B17" s="73">
        <v>15</v>
      </c>
      <c r="C17" s="77">
        <v>2.3523</v>
      </c>
      <c r="D17" s="73">
        <v>1640</v>
      </c>
      <c r="E17" s="73">
        <v>10890</v>
      </c>
      <c r="F17" s="78">
        <v>0.9</v>
      </c>
    </row>
    <row r="18" spans="1:6">
      <c r="A18" s="73" t="s">
        <v>5080</v>
      </c>
      <c r="B18" s="73">
        <v>16</v>
      </c>
      <c r="C18" s="77">
        <v>2.5091</v>
      </c>
      <c r="D18" s="73">
        <v>1735</v>
      </c>
      <c r="E18" s="73">
        <v>12530</v>
      </c>
      <c r="F18" s="78">
        <v>0.9</v>
      </c>
    </row>
    <row r="19" spans="1:6">
      <c r="A19" s="73" t="s">
        <v>5080</v>
      </c>
      <c r="B19" s="73">
        <v>17</v>
      </c>
      <c r="C19" s="77">
        <v>2.6659</v>
      </c>
      <c r="D19" s="73">
        <v>1825</v>
      </c>
      <c r="E19" s="73">
        <v>14265</v>
      </c>
      <c r="F19" s="78">
        <v>0.9</v>
      </c>
    </row>
    <row r="20" spans="1:6">
      <c r="A20" s="73" t="s">
        <v>5080</v>
      </c>
      <c r="B20" s="73">
        <v>18</v>
      </c>
      <c r="C20" s="77">
        <v>2.8227</v>
      </c>
      <c r="D20" s="73">
        <v>1910</v>
      </c>
      <c r="E20" s="73">
        <v>16090</v>
      </c>
      <c r="F20" s="78">
        <v>0.9</v>
      </c>
    </row>
    <row r="21" spans="1:6">
      <c r="A21" s="73" t="s">
        <v>5080</v>
      </c>
      <c r="B21" s="73">
        <v>19</v>
      </c>
      <c r="C21" s="77">
        <v>2.9795</v>
      </c>
      <c r="D21" s="73">
        <v>2000</v>
      </c>
      <c r="E21" s="73">
        <v>18000</v>
      </c>
      <c r="F21" s="78">
        <v>0.9</v>
      </c>
    </row>
    <row r="22" spans="1:6">
      <c r="A22" s="73" t="s">
        <v>5080</v>
      </c>
      <c r="B22" s="73">
        <v>20</v>
      </c>
      <c r="C22" s="77">
        <v>3.1363</v>
      </c>
      <c r="D22" s="73">
        <v>3120</v>
      </c>
      <c r="E22" s="73">
        <v>20000</v>
      </c>
      <c r="F22" s="78">
        <v>0.8</v>
      </c>
    </row>
    <row r="23" spans="1:6">
      <c r="A23" s="73" t="s">
        <v>5080</v>
      </c>
      <c r="B23" s="73">
        <v>21</v>
      </c>
      <c r="C23" s="77">
        <v>3.2932</v>
      </c>
      <c r="D23" s="73">
        <v>3315</v>
      </c>
      <c r="E23" s="73">
        <v>23120</v>
      </c>
      <c r="F23" s="78">
        <v>0.8</v>
      </c>
    </row>
    <row r="24" spans="1:6">
      <c r="A24" s="73" t="s">
        <v>5080</v>
      </c>
      <c r="B24" s="73">
        <v>22</v>
      </c>
      <c r="C24" s="77">
        <v>3.45</v>
      </c>
      <c r="D24" s="73">
        <v>3510</v>
      </c>
      <c r="E24" s="73">
        <v>26435</v>
      </c>
      <c r="F24" s="78">
        <v>0.8</v>
      </c>
    </row>
    <row r="25" spans="1:6">
      <c r="A25" s="73" t="s">
        <v>5080</v>
      </c>
      <c r="B25" s="73">
        <v>23</v>
      </c>
      <c r="C25" s="77">
        <v>3.6068</v>
      </c>
      <c r="D25" s="73">
        <v>3705</v>
      </c>
      <c r="E25" s="73">
        <v>29945</v>
      </c>
      <c r="F25" s="78">
        <v>0.8</v>
      </c>
    </row>
    <row r="26" spans="1:6">
      <c r="A26" s="73" t="s">
        <v>5080</v>
      </c>
      <c r="B26" s="73">
        <v>24</v>
      </c>
      <c r="C26" s="77">
        <v>3.7636</v>
      </c>
      <c r="D26" s="73">
        <v>3900</v>
      </c>
      <c r="E26" s="73">
        <v>33650</v>
      </c>
      <c r="F26" s="78">
        <v>0.8</v>
      </c>
    </row>
    <row r="27" spans="1:6">
      <c r="A27" s="73" t="s">
        <v>5080</v>
      </c>
      <c r="B27" s="73">
        <v>25</v>
      </c>
      <c r="C27" s="77">
        <v>3.9204</v>
      </c>
      <c r="D27" s="73">
        <v>4100</v>
      </c>
      <c r="E27" s="73">
        <v>37550</v>
      </c>
      <c r="F27" s="78">
        <v>0.8</v>
      </c>
    </row>
    <row r="28" spans="1:6">
      <c r="A28" s="73" t="s">
        <v>5080</v>
      </c>
      <c r="B28" s="73">
        <v>26</v>
      </c>
      <c r="C28" s="77">
        <v>4.0772</v>
      </c>
      <c r="D28" s="73">
        <v>4295</v>
      </c>
      <c r="E28" s="73">
        <v>41650</v>
      </c>
      <c r="F28" s="78">
        <v>0.8</v>
      </c>
    </row>
    <row r="29" spans="1:6">
      <c r="A29" s="73" t="s">
        <v>5080</v>
      </c>
      <c r="B29" s="73">
        <v>27</v>
      </c>
      <c r="C29" s="77">
        <v>4.2341</v>
      </c>
      <c r="D29" s="73">
        <v>4490</v>
      </c>
      <c r="E29" s="73">
        <v>45945</v>
      </c>
      <c r="F29" s="78">
        <v>0.8</v>
      </c>
    </row>
    <row r="30" spans="1:6">
      <c r="A30" s="73" t="s">
        <v>5080</v>
      </c>
      <c r="B30" s="73">
        <v>28</v>
      </c>
      <c r="C30" s="77">
        <v>4.3909</v>
      </c>
      <c r="D30" s="73">
        <v>4685</v>
      </c>
      <c r="E30" s="73">
        <v>50435</v>
      </c>
      <c r="F30" s="78">
        <v>0.8</v>
      </c>
    </row>
    <row r="31" spans="1:6">
      <c r="A31" s="73" t="s">
        <v>5080</v>
      </c>
      <c r="B31" s="73">
        <v>29</v>
      </c>
      <c r="C31" s="77">
        <v>4.5477</v>
      </c>
      <c r="D31" s="73">
        <v>4880</v>
      </c>
      <c r="E31" s="73">
        <v>55120</v>
      </c>
      <c r="F31" s="78">
        <v>0.8</v>
      </c>
    </row>
    <row r="32" spans="1:6">
      <c r="A32" s="73" t="s">
        <v>5080</v>
      </c>
      <c r="B32" s="73">
        <v>30</v>
      </c>
      <c r="C32" s="77">
        <v>4.7045</v>
      </c>
      <c r="D32" s="73">
        <v>7200</v>
      </c>
      <c r="E32" s="73">
        <v>60000</v>
      </c>
      <c r="F32" s="78">
        <v>0.7</v>
      </c>
    </row>
    <row r="33" spans="1:6">
      <c r="A33" s="73" t="s">
        <v>5080</v>
      </c>
      <c r="B33" s="73">
        <v>31</v>
      </c>
      <c r="C33" s="77">
        <v>4.8613</v>
      </c>
      <c r="D33" s="73">
        <v>7600</v>
      </c>
      <c r="E33" s="73">
        <v>67200</v>
      </c>
      <c r="F33" s="78">
        <v>0.7</v>
      </c>
    </row>
    <row r="34" spans="1:6">
      <c r="A34" s="73" t="s">
        <v>5080</v>
      </c>
      <c r="B34" s="73">
        <v>32</v>
      </c>
      <c r="C34" s="77">
        <v>5.0181</v>
      </c>
      <c r="D34" s="73">
        <v>8000</v>
      </c>
      <c r="E34" s="73">
        <v>74800</v>
      </c>
      <c r="F34" s="78">
        <v>0.7</v>
      </c>
    </row>
    <row r="35" spans="1:6">
      <c r="A35" s="73" t="s">
        <v>5080</v>
      </c>
      <c r="B35" s="73">
        <v>33</v>
      </c>
      <c r="C35" s="77">
        <v>5.175</v>
      </c>
      <c r="D35" s="73">
        <v>8400</v>
      </c>
      <c r="E35" s="73">
        <v>82800</v>
      </c>
      <c r="F35" s="78">
        <v>0.7</v>
      </c>
    </row>
    <row r="36" spans="1:6">
      <c r="A36" s="73" t="s">
        <v>5080</v>
      </c>
      <c r="B36" s="73">
        <v>34</v>
      </c>
      <c r="C36" s="77">
        <v>5.3318</v>
      </c>
      <c r="D36" s="73">
        <v>8800</v>
      </c>
      <c r="E36" s="73">
        <v>91200</v>
      </c>
      <c r="F36" s="78">
        <v>0.7</v>
      </c>
    </row>
    <row r="37" spans="1:6">
      <c r="A37" s="73" t="s">
        <v>5080</v>
      </c>
      <c r="B37" s="73">
        <v>35</v>
      </c>
      <c r="C37" s="77">
        <v>5.4886</v>
      </c>
      <c r="D37" s="73">
        <v>9200</v>
      </c>
      <c r="E37" s="73">
        <v>100000</v>
      </c>
      <c r="F37" s="78">
        <v>0.7</v>
      </c>
    </row>
    <row r="38" spans="1:6">
      <c r="A38" s="73" t="s">
        <v>5080</v>
      </c>
      <c r="B38" s="73">
        <v>36</v>
      </c>
      <c r="C38" s="77">
        <v>5.6454</v>
      </c>
      <c r="D38" s="73">
        <v>9600</v>
      </c>
      <c r="E38" s="73">
        <v>109200</v>
      </c>
      <c r="F38" s="78">
        <v>0.7</v>
      </c>
    </row>
    <row r="39" spans="1:6">
      <c r="A39" s="73" t="s">
        <v>5080</v>
      </c>
      <c r="B39" s="73">
        <v>37</v>
      </c>
      <c r="C39" s="77">
        <v>5.8022</v>
      </c>
      <c r="D39" s="73">
        <v>10000</v>
      </c>
      <c r="E39" s="73">
        <v>118800</v>
      </c>
      <c r="F39" s="78">
        <v>0.7</v>
      </c>
    </row>
    <row r="40" spans="1:6">
      <c r="A40" s="73" t="s">
        <v>5080</v>
      </c>
      <c r="B40" s="73">
        <v>38</v>
      </c>
      <c r="C40" s="77">
        <v>5.959</v>
      </c>
      <c r="D40" s="73">
        <v>10400</v>
      </c>
      <c r="E40" s="73">
        <v>128800</v>
      </c>
      <c r="F40" s="78">
        <v>0.7</v>
      </c>
    </row>
    <row r="41" spans="1:6">
      <c r="A41" s="73" t="s">
        <v>5080</v>
      </c>
      <c r="B41" s="73">
        <v>39</v>
      </c>
      <c r="C41" s="77">
        <v>6.1159</v>
      </c>
      <c r="D41" s="73">
        <v>10800</v>
      </c>
      <c r="E41" s="73">
        <v>139200</v>
      </c>
      <c r="F41" s="78">
        <v>0.7</v>
      </c>
    </row>
    <row r="42" spans="1:6">
      <c r="A42" s="73" t="s">
        <v>5080</v>
      </c>
      <c r="B42" s="73">
        <v>40</v>
      </c>
      <c r="C42" s="77">
        <v>6.2727</v>
      </c>
      <c r="D42" s="73">
        <v>11400</v>
      </c>
      <c r="E42" s="73">
        <v>150000</v>
      </c>
      <c r="F42" s="78">
        <v>0.6</v>
      </c>
    </row>
    <row r="43" spans="1:6">
      <c r="A43" s="73" t="s">
        <v>5080</v>
      </c>
      <c r="B43" s="73">
        <v>41</v>
      </c>
      <c r="C43" s="77">
        <v>6.4295</v>
      </c>
      <c r="D43" s="73">
        <v>12200</v>
      </c>
      <c r="E43" s="73">
        <v>161400</v>
      </c>
      <c r="F43" s="78">
        <v>0.6</v>
      </c>
    </row>
    <row r="44" spans="1:6">
      <c r="A44" s="73" t="s">
        <v>5080</v>
      </c>
      <c r="B44" s="73">
        <v>42</v>
      </c>
      <c r="C44" s="77">
        <v>6.5863</v>
      </c>
      <c r="D44" s="73">
        <v>13000</v>
      </c>
      <c r="E44" s="73">
        <v>173600</v>
      </c>
      <c r="F44" s="78">
        <v>0.6</v>
      </c>
    </row>
    <row r="45" spans="1:6">
      <c r="A45" s="73" t="s">
        <v>5080</v>
      </c>
      <c r="B45" s="73">
        <v>43</v>
      </c>
      <c r="C45" s="77">
        <v>6.7431</v>
      </c>
      <c r="D45" s="73">
        <v>13800</v>
      </c>
      <c r="E45" s="73">
        <v>186600</v>
      </c>
      <c r="F45" s="78">
        <v>0.6</v>
      </c>
    </row>
    <row r="46" spans="1:6">
      <c r="A46" s="73" t="s">
        <v>5080</v>
      </c>
      <c r="B46" s="73">
        <v>44</v>
      </c>
      <c r="C46" s="77">
        <v>6.8999</v>
      </c>
      <c r="D46" s="73">
        <v>14600</v>
      </c>
      <c r="E46" s="73">
        <v>200400</v>
      </c>
      <c r="F46" s="78">
        <v>0.6</v>
      </c>
    </row>
    <row r="47" spans="1:6">
      <c r="A47" s="73" t="s">
        <v>5080</v>
      </c>
      <c r="B47" s="73">
        <v>45</v>
      </c>
      <c r="C47" s="77">
        <v>7.0568</v>
      </c>
      <c r="D47" s="73">
        <v>15400</v>
      </c>
      <c r="E47" s="73">
        <v>215000</v>
      </c>
      <c r="F47" s="78">
        <v>0.6</v>
      </c>
    </row>
    <row r="48" spans="1:6">
      <c r="A48" s="73" t="s">
        <v>5080</v>
      </c>
      <c r="B48" s="73">
        <v>46</v>
      </c>
      <c r="C48" s="77">
        <v>7.2136</v>
      </c>
      <c r="D48" s="73">
        <v>16200</v>
      </c>
      <c r="E48" s="73">
        <v>230400</v>
      </c>
      <c r="F48" s="78">
        <v>0.6</v>
      </c>
    </row>
    <row r="49" spans="1:6">
      <c r="A49" s="73" t="s">
        <v>5080</v>
      </c>
      <c r="B49" s="73">
        <v>47</v>
      </c>
      <c r="C49" s="77">
        <v>7.3704</v>
      </c>
      <c r="D49" s="73">
        <v>17000</v>
      </c>
      <c r="E49" s="73">
        <v>246600</v>
      </c>
      <c r="F49" s="78">
        <v>0.6</v>
      </c>
    </row>
    <row r="50" spans="1:6">
      <c r="A50" s="73" t="s">
        <v>5080</v>
      </c>
      <c r="B50" s="73">
        <v>48</v>
      </c>
      <c r="C50" s="77">
        <v>7.5272</v>
      </c>
      <c r="D50" s="73">
        <v>17800</v>
      </c>
      <c r="E50" s="73">
        <v>263600</v>
      </c>
      <c r="F50" s="78">
        <v>0.6</v>
      </c>
    </row>
    <row r="51" spans="1:6">
      <c r="A51" s="73" t="s">
        <v>5080</v>
      </c>
      <c r="B51" s="73">
        <v>49</v>
      </c>
      <c r="C51" s="77">
        <v>7.684</v>
      </c>
      <c r="D51" s="73">
        <v>18600</v>
      </c>
      <c r="E51" s="73">
        <v>281400</v>
      </c>
      <c r="F51" s="78">
        <v>0.6</v>
      </c>
    </row>
    <row r="52" spans="1:6">
      <c r="A52" s="73" t="s">
        <v>5080</v>
      </c>
      <c r="B52" s="73">
        <v>50</v>
      </c>
      <c r="C52" s="77">
        <v>7.8408</v>
      </c>
      <c r="D52" s="73">
        <v>22800</v>
      </c>
      <c r="E52" s="73">
        <v>300000</v>
      </c>
      <c r="F52" s="78">
        <v>0.5</v>
      </c>
    </row>
    <row r="53" spans="1:6">
      <c r="A53" s="73" t="s">
        <v>5080</v>
      </c>
      <c r="B53" s="73">
        <v>51</v>
      </c>
      <c r="C53" s="77">
        <v>7.9977</v>
      </c>
      <c r="D53" s="73">
        <v>24400</v>
      </c>
      <c r="E53" s="73">
        <v>322800</v>
      </c>
      <c r="F53" s="78">
        <v>0.5</v>
      </c>
    </row>
    <row r="54" spans="1:6">
      <c r="A54" s="73" t="s">
        <v>5080</v>
      </c>
      <c r="B54" s="73">
        <v>52</v>
      </c>
      <c r="C54" s="77">
        <v>8.1545</v>
      </c>
      <c r="D54" s="73">
        <v>26000</v>
      </c>
      <c r="E54" s="73">
        <v>347200</v>
      </c>
      <c r="F54" s="78">
        <v>0.5</v>
      </c>
    </row>
    <row r="55" spans="1:6">
      <c r="A55" s="73" t="s">
        <v>5080</v>
      </c>
      <c r="B55" s="73">
        <v>53</v>
      </c>
      <c r="C55" s="77">
        <v>8.3113</v>
      </c>
      <c r="D55" s="73">
        <v>27600</v>
      </c>
      <c r="E55" s="73">
        <v>373200</v>
      </c>
      <c r="F55" s="78">
        <v>0.5</v>
      </c>
    </row>
    <row r="56" spans="1:6">
      <c r="A56" s="73" t="s">
        <v>5080</v>
      </c>
      <c r="B56" s="73">
        <v>54</v>
      </c>
      <c r="C56" s="77">
        <v>8.4681</v>
      </c>
      <c r="D56" s="73">
        <v>29200</v>
      </c>
      <c r="E56" s="73">
        <v>400800</v>
      </c>
      <c r="F56" s="78">
        <v>0.5</v>
      </c>
    </row>
    <row r="57" spans="1:6">
      <c r="A57" s="73" t="s">
        <v>5080</v>
      </c>
      <c r="B57" s="73">
        <v>55</v>
      </c>
      <c r="C57" s="77">
        <v>8.6249</v>
      </c>
      <c r="D57" s="73">
        <v>30800</v>
      </c>
      <c r="E57" s="73">
        <v>430000</v>
      </c>
      <c r="F57" s="78">
        <v>0.5</v>
      </c>
    </row>
    <row r="58" spans="1:6">
      <c r="A58" s="73" t="s">
        <v>5080</v>
      </c>
      <c r="B58" s="73">
        <v>56</v>
      </c>
      <c r="C58" s="77">
        <v>8.7817</v>
      </c>
      <c r="D58" s="73">
        <v>32400</v>
      </c>
      <c r="E58" s="73">
        <v>460800</v>
      </c>
      <c r="F58" s="78">
        <v>0.5</v>
      </c>
    </row>
    <row r="59" spans="1:6">
      <c r="A59" s="73" t="s">
        <v>5080</v>
      </c>
      <c r="B59" s="73">
        <v>57</v>
      </c>
      <c r="C59" s="77">
        <v>8.9386</v>
      </c>
      <c r="D59" s="73">
        <v>34000</v>
      </c>
      <c r="E59" s="73">
        <v>493200</v>
      </c>
      <c r="F59" s="78">
        <v>0.5</v>
      </c>
    </row>
    <row r="60" spans="1:6">
      <c r="A60" s="73" t="s">
        <v>5080</v>
      </c>
      <c r="B60" s="73">
        <v>58</v>
      </c>
      <c r="C60" s="77">
        <v>9.0954</v>
      </c>
      <c r="D60" s="73">
        <v>35600</v>
      </c>
      <c r="E60" s="73">
        <v>527200</v>
      </c>
      <c r="F60" s="78">
        <v>0.5</v>
      </c>
    </row>
    <row r="61" spans="1:6">
      <c r="A61" s="73" t="s">
        <v>5080</v>
      </c>
      <c r="B61" s="73">
        <v>59</v>
      </c>
      <c r="C61" s="77">
        <v>9.2522</v>
      </c>
      <c r="D61" s="73">
        <v>37200</v>
      </c>
      <c r="E61" s="73">
        <v>562800</v>
      </c>
      <c r="F61" s="78">
        <v>0.5</v>
      </c>
    </row>
    <row r="62" spans="1:6">
      <c r="A62" s="73" t="s">
        <v>5080</v>
      </c>
      <c r="B62" s="73">
        <v>60</v>
      </c>
      <c r="C62" s="77">
        <v>9.409</v>
      </c>
      <c r="D62" s="73">
        <v>0</v>
      </c>
      <c r="E62" s="73">
        <v>600000</v>
      </c>
      <c r="F62" s="78">
        <v>0.4</v>
      </c>
    </row>
    <row r="63" spans="1:6">
      <c r="A63" s="73" t="s">
        <v>96</v>
      </c>
      <c r="B63" s="73">
        <v>0</v>
      </c>
      <c r="C63" s="77">
        <v>0</v>
      </c>
      <c r="D63" s="73">
        <v>40</v>
      </c>
      <c r="E63" s="73">
        <v>0</v>
      </c>
      <c r="F63" s="78">
        <v>1</v>
      </c>
    </row>
    <row r="64" spans="1:6">
      <c r="A64" s="73" t="s">
        <v>96</v>
      </c>
      <c r="B64" s="73">
        <v>1</v>
      </c>
      <c r="C64" s="77">
        <v>0.1568</v>
      </c>
      <c r="D64" s="73">
        <v>80</v>
      </c>
      <c r="E64" s="73">
        <v>40</v>
      </c>
      <c r="F64" s="78">
        <v>1</v>
      </c>
    </row>
    <row r="65" spans="1:6">
      <c r="A65" s="73" t="s">
        <v>96</v>
      </c>
      <c r="B65" s="73">
        <v>2</v>
      </c>
      <c r="C65" s="77">
        <v>0.3136</v>
      </c>
      <c r="D65" s="73">
        <v>120</v>
      </c>
      <c r="E65" s="73">
        <v>120</v>
      </c>
      <c r="F65" s="78">
        <v>1</v>
      </c>
    </row>
    <row r="66" spans="1:6">
      <c r="A66" s="73" t="s">
        <v>96</v>
      </c>
      <c r="B66" s="73">
        <v>3</v>
      </c>
      <c r="C66" s="77">
        <v>0.4705</v>
      </c>
      <c r="D66" s="73">
        <v>160</v>
      </c>
      <c r="E66" s="73">
        <v>240</v>
      </c>
      <c r="F66" s="78">
        <v>1</v>
      </c>
    </row>
    <row r="67" spans="1:6">
      <c r="A67" s="73" t="s">
        <v>96</v>
      </c>
      <c r="B67" s="73">
        <v>4</v>
      </c>
      <c r="C67" s="77">
        <v>0.6273</v>
      </c>
      <c r="D67" s="73">
        <v>240</v>
      </c>
      <c r="E67" s="73">
        <v>400</v>
      </c>
      <c r="F67" s="78">
        <v>1</v>
      </c>
    </row>
    <row r="68" spans="1:6">
      <c r="A68" s="73" t="s">
        <v>96</v>
      </c>
      <c r="B68" s="73">
        <v>5</v>
      </c>
      <c r="C68" s="77">
        <v>0.7841</v>
      </c>
      <c r="D68" s="73">
        <v>320</v>
      </c>
      <c r="E68" s="73">
        <v>640</v>
      </c>
      <c r="F68" s="78">
        <v>1</v>
      </c>
    </row>
    <row r="69" spans="1:6">
      <c r="A69" s="73" t="s">
        <v>96</v>
      </c>
      <c r="B69" s="73">
        <v>6</v>
      </c>
      <c r="C69" s="77">
        <v>0.9409</v>
      </c>
      <c r="D69" s="73">
        <v>400</v>
      </c>
      <c r="E69" s="73">
        <v>960</v>
      </c>
      <c r="F69" s="78">
        <v>1</v>
      </c>
    </row>
    <row r="70" spans="1:6">
      <c r="A70" s="73" t="s">
        <v>96</v>
      </c>
      <c r="B70" s="73">
        <v>7</v>
      </c>
      <c r="C70" s="77">
        <v>1.0977</v>
      </c>
      <c r="D70" s="73">
        <v>480</v>
      </c>
      <c r="E70" s="73">
        <v>1360</v>
      </c>
      <c r="F70" s="78">
        <v>1</v>
      </c>
    </row>
    <row r="71" spans="1:6">
      <c r="A71" s="73" t="s">
        <v>96</v>
      </c>
      <c r="B71" s="73">
        <v>8</v>
      </c>
      <c r="C71" s="77">
        <v>1.2545</v>
      </c>
      <c r="D71" s="73">
        <v>600</v>
      </c>
      <c r="E71" s="73">
        <v>1840</v>
      </c>
      <c r="F71" s="78">
        <v>1</v>
      </c>
    </row>
    <row r="72" spans="1:6">
      <c r="A72" s="73" t="s">
        <v>96</v>
      </c>
      <c r="B72" s="73">
        <v>9</v>
      </c>
      <c r="C72" s="77">
        <v>1.4114</v>
      </c>
      <c r="D72" s="73">
        <v>760</v>
      </c>
      <c r="E72" s="73">
        <v>2440</v>
      </c>
      <c r="F72" s="78">
        <v>1</v>
      </c>
    </row>
    <row r="73" spans="1:6">
      <c r="A73" s="73" t="s">
        <v>96</v>
      </c>
      <c r="B73" s="73">
        <v>10</v>
      </c>
      <c r="C73" s="77">
        <v>1.5682</v>
      </c>
      <c r="D73" s="73">
        <v>960</v>
      </c>
      <c r="E73" s="73">
        <v>3200</v>
      </c>
      <c r="F73" s="78">
        <v>0.925</v>
      </c>
    </row>
    <row r="74" spans="1:6">
      <c r="A74" s="73" t="s">
        <v>96</v>
      </c>
      <c r="B74" s="73">
        <v>11</v>
      </c>
      <c r="C74" s="77">
        <v>1.725</v>
      </c>
      <c r="D74" s="73">
        <v>1030</v>
      </c>
      <c r="E74" s="73">
        <v>4160</v>
      </c>
      <c r="F74" s="78">
        <v>0.925</v>
      </c>
    </row>
    <row r="75" spans="1:6">
      <c r="A75" s="73" t="s">
        <v>96</v>
      </c>
      <c r="B75" s="73">
        <v>12</v>
      </c>
      <c r="C75" s="77">
        <v>1.8818</v>
      </c>
      <c r="D75" s="73">
        <v>1105</v>
      </c>
      <c r="E75" s="73">
        <v>5190</v>
      </c>
      <c r="F75" s="78">
        <v>0.925</v>
      </c>
    </row>
    <row r="76" spans="1:6">
      <c r="A76" s="73" t="s">
        <v>96</v>
      </c>
      <c r="B76" s="73">
        <v>13</v>
      </c>
      <c r="C76" s="77">
        <v>2.0386</v>
      </c>
      <c r="D76" s="73">
        <v>1170</v>
      </c>
      <c r="E76" s="73">
        <v>6295</v>
      </c>
      <c r="F76" s="78">
        <v>0.925</v>
      </c>
    </row>
    <row r="77" spans="1:6">
      <c r="A77" s="73" t="s">
        <v>96</v>
      </c>
      <c r="B77" s="73">
        <v>14</v>
      </c>
      <c r="C77" s="77">
        <v>2.1954</v>
      </c>
      <c r="D77" s="73">
        <v>1245</v>
      </c>
      <c r="E77" s="73">
        <v>7465</v>
      </c>
      <c r="F77" s="78">
        <v>0.925</v>
      </c>
    </row>
    <row r="78" spans="1:6">
      <c r="A78" s="73" t="s">
        <v>96</v>
      </c>
      <c r="B78" s="73">
        <v>15</v>
      </c>
      <c r="C78" s="77">
        <v>2.3523</v>
      </c>
      <c r="D78" s="73">
        <v>1310</v>
      </c>
      <c r="E78" s="73">
        <v>8710</v>
      </c>
      <c r="F78" s="78">
        <v>0.925</v>
      </c>
    </row>
    <row r="79" spans="1:6">
      <c r="A79" s="73" t="s">
        <v>96</v>
      </c>
      <c r="B79" s="73">
        <v>16</v>
      </c>
      <c r="C79" s="77">
        <v>2.5091</v>
      </c>
      <c r="D79" s="73">
        <v>1390</v>
      </c>
      <c r="E79" s="73">
        <v>10020</v>
      </c>
      <c r="F79" s="78">
        <v>0.925</v>
      </c>
    </row>
    <row r="80" spans="1:6">
      <c r="A80" s="73" t="s">
        <v>96</v>
      </c>
      <c r="B80" s="73">
        <v>17</v>
      </c>
      <c r="C80" s="77">
        <v>2.6659</v>
      </c>
      <c r="D80" s="73">
        <v>1460</v>
      </c>
      <c r="E80" s="73">
        <v>11410</v>
      </c>
      <c r="F80" s="78">
        <v>0.925</v>
      </c>
    </row>
    <row r="81" spans="1:6">
      <c r="A81" s="73" t="s">
        <v>96</v>
      </c>
      <c r="B81" s="73">
        <v>18</v>
      </c>
      <c r="C81" s="77">
        <v>2.8227</v>
      </c>
      <c r="D81" s="73">
        <v>1530</v>
      </c>
      <c r="E81" s="73">
        <v>12870</v>
      </c>
      <c r="F81" s="78">
        <v>0.925</v>
      </c>
    </row>
    <row r="82" spans="1:6">
      <c r="A82" s="73" t="s">
        <v>96</v>
      </c>
      <c r="B82" s="73">
        <v>19</v>
      </c>
      <c r="C82" s="77">
        <v>2.9795</v>
      </c>
      <c r="D82" s="73">
        <v>1600</v>
      </c>
      <c r="E82" s="73">
        <v>14400</v>
      </c>
      <c r="F82" s="78">
        <v>0.925</v>
      </c>
    </row>
    <row r="83" spans="1:6">
      <c r="A83" s="73" t="s">
        <v>96</v>
      </c>
      <c r="B83" s="73">
        <v>20</v>
      </c>
      <c r="C83" s="77">
        <v>3.1363</v>
      </c>
      <c r="D83" s="73">
        <v>2495</v>
      </c>
      <c r="E83" s="73">
        <v>16000</v>
      </c>
      <c r="F83" s="78">
        <v>0.85</v>
      </c>
    </row>
    <row r="84" spans="1:6">
      <c r="A84" s="73" t="s">
        <v>96</v>
      </c>
      <c r="B84" s="73">
        <v>21</v>
      </c>
      <c r="C84" s="77">
        <v>3.2932</v>
      </c>
      <c r="D84" s="73">
        <v>2650</v>
      </c>
      <c r="E84" s="73">
        <v>18495</v>
      </c>
      <c r="F84" s="78">
        <v>0.85</v>
      </c>
    </row>
    <row r="85" spans="1:6">
      <c r="A85" s="73" t="s">
        <v>96</v>
      </c>
      <c r="B85" s="73">
        <v>22</v>
      </c>
      <c r="C85" s="77">
        <v>3.45</v>
      </c>
      <c r="D85" s="73">
        <v>2810</v>
      </c>
      <c r="E85" s="73">
        <v>21145</v>
      </c>
      <c r="F85" s="78">
        <v>0.85</v>
      </c>
    </row>
    <row r="86" spans="1:6">
      <c r="A86" s="73" t="s">
        <v>96</v>
      </c>
      <c r="B86" s="73">
        <v>23</v>
      </c>
      <c r="C86" s="77">
        <v>3.6068</v>
      </c>
      <c r="D86" s="73">
        <v>2965</v>
      </c>
      <c r="E86" s="73">
        <v>23955</v>
      </c>
      <c r="F86" s="78">
        <v>0.85</v>
      </c>
    </row>
    <row r="87" spans="1:6">
      <c r="A87" s="73" t="s">
        <v>96</v>
      </c>
      <c r="B87" s="73">
        <v>24</v>
      </c>
      <c r="C87" s="77">
        <v>3.7636</v>
      </c>
      <c r="D87" s="73">
        <v>3120</v>
      </c>
      <c r="E87" s="73">
        <v>26920</v>
      </c>
      <c r="F87" s="78">
        <v>0.85</v>
      </c>
    </row>
    <row r="88" spans="1:6">
      <c r="A88" s="73" t="s">
        <v>96</v>
      </c>
      <c r="B88" s="73">
        <v>25</v>
      </c>
      <c r="C88" s="77">
        <v>3.9204</v>
      </c>
      <c r="D88" s="73">
        <v>3280</v>
      </c>
      <c r="E88" s="73">
        <v>30040</v>
      </c>
      <c r="F88" s="78">
        <v>0.85</v>
      </c>
    </row>
    <row r="89" spans="1:6">
      <c r="A89" s="73" t="s">
        <v>96</v>
      </c>
      <c r="B89" s="73">
        <v>26</v>
      </c>
      <c r="C89" s="77">
        <v>4.0772</v>
      </c>
      <c r="D89" s="73">
        <v>3435</v>
      </c>
      <c r="E89" s="73">
        <v>33320</v>
      </c>
      <c r="F89" s="78">
        <v>0.85</v>
      </c>
    </row>
    <row r="90" spans="1:6">
      <c r="A90" s="73" t="s">
        <v>96</v>
      </c>
      <c r="B90" s="73">
        <v>27</v>
      </c>
      <c r="C90" s="77">
        <v>4.2341</v>
      </c>
      <c r="D90" s="73">
        <v>3590</v>
      </c>
      <c r="E90" s="73">
        <v>36755</v>
      </c>
      <c r="F90" s="78">
        <v>0.85</v>
      </c>
    </row>
    <row r="91" spans="1:6">
      <c r="A91" s="73" t="s">
        <v>96</v>
      </c>
      <c r="B91" s="73">
        <v>28</v>
      </c>
      <c r="C91" s="77">
        <v>4.3909</v>
      </c>
      <c r="D91" s="73">
        <v>3750</v>
      </c>
      <c r="E91" s="73">
        <v>40345</v>
      </c>
      <c r="F91" s="78">
        <v>0.85</v>
      </c>
    </row>
    <row r="92" spans="1:6">
      <c r="A92" s="73" t="s">
        <v>96</v>
      </c>
      <c r="B92" s="73">
        <v>29</v>
      </c>
      <c r="C92" s="77">
        <v>4.5477</v>
      </c>
      <c r="D92" s="73">
        <v>3905</v>
      </c>
      <c r="E92" s="73">
        <v>44095</v>
      </c>
      <c r="F92" s="78">
        <v>0.85</v>
      </c>
    </row>
    <row r="93" spans="1:6">
      <c r="A93" s="73" t="s">
        <v>96</v>
      </c>
      <c r="B93" s="73">
        <v>30</v>
      </c>
      <c r="C93" s="77">
        <v>4.7045</v>
      </c>
      <c r="D93" s="73">
        <v>5760</v>
      </c>
      <c r="E93" s="73">
        <v>48000</v>
      </c>
      <c r="F93" s="78">
        <v>0.775</v>
      </c>
    </row>
    <row r="94" spans="1:6">
      <c r="A94" s="73" t="s">
        <v>96</v>
      </c>
      <c r="B94" s="73">
        <v>31</v>
      </c>
      <c r="C94" s="77">
        <v>4.8613</v>
      </c>
      <c r="D94" s="73">
        <v>6080</v>
      </c>
      <c r="E94" s="73">
        <v>53760</v>
      </c>
      <c r="F94" s="78">
        <v>0.775</v>
      </c>
    </row>
    <row r="95" spans="1:6">
      <c r="A95" s="73" t="s">
        <v>96</v>
      </c>
      <c r="B95" s="73">
        <v>32</v>
      </c>
      <c r="C95" s="77">
        <v>5.0181</v>
      </c>
      <c r="D95" s="73">
        <v>6400</v>
      </c>
      <c r="E95" s="73">
        <v>59840</v>
      </c>
      <c r="F95" s="78">
        <v>0.775</v>
      </c>
    </row>
    <row r="96" spans="1:6">
      <c r="A96" s="73" t="s">
        <v>96</v>
      </c>
      <c r="B96" s="73">
        <v>33</v>
      </c>
      <c r="C96" s="77">
        <v>5.175</v>
      </c>
      <c r="D96" s="73">
        <v>6720</v>
      </c>
      <c r="E96" s="73">
        <v>66240</v>
      </c>
      <c r="F96" s="78">
        <v>0.775</v>
      </c>
    </row>
    <row r="97" spans="1:6">
      <c r="A97" s="73" t="s">
        <v>96</v>
      </c>
      <c r="B97" s="73">
        <v>34</v>
      </c>
      <c r="C97" s="77">
        <v>5.3318</v>
      </c>
      <c r="D97" s="73">
        <v>7040</v>
      </c>
      <c r="E97" s="73">
        <v>72960</v>
      </c>
      <c r="F97" s="78">
        <v>0.775</v>
      </c>
    </row>
    <row r="98" spans="1:6">
      <c r="A98" s="73" t="s">
        <v>96</v>
      </c>
      <c r="B98" s="73">
        <v>35</v>
      </c>
      <c r="C98" s="77">
        <v>5.4886</v>
      </c>
      <c r="D98" s="73">
        <v>7360</v>
      </c>
      <c r="E98" s="73">
        <v>80000</v>
      </c>
      <c r="F98" s="78">
        <v>0.775</v>
      </c>
    </row>
    <row r="99" spans="1:6">
      <c r="A99" s="73" t="s">
        <v>96</v>
      </c>
      <c r="B99" s="73">
        <v>36</v>
      </c>
      <c r="C99" s="77">
        <v>5.6454</v>
      </c>
      <c r="D99" s="73">
        <v>7680</v>
      </c>
      <c r="E99" s="73">
        <v>87360</v>
      </c>
      <c r="F99" s="78">
        <v>0.775</v>
      </c>
    </row>
    <row r="100" spans="1:6">
      <c r="A100" s="73" t="s">
        <v>96</v>
      </c>
      <c r="B100" s="73">
        <v>37</v>
      </c>
      <c r="C100" s="77">
        <v>5.8022</v>
      </c>
      <c r="D100" s="73">
        <v>8000</v>
      </c>
      <c r="E100" s="73">
        <v>95040</v>
      </c>
      <c r="F100" s="78">
        <v>0.775</v>
      </c>
    </row>
    <row r="101" spans="1:6">
      <c r="A101" s="73" t="s">
        <v>96</v>
      </c>
      <c r="B101" s="73">
        <v>38</v>
      </c>
      <c r="C101" s="77">
        <v>5.959</v>
      </c>
      <c r="D101" s="73">
        <v>8320</v>
      </c>
      <c r="E101" s="73">
        <v>103040</v>
      </c>
      <c r="F101" s="78">
        <v>0.775</v>
      </c>
    </row>
    <row r="102" spans="1:6">
      <c r="A102" s="73" t="s">
        <v>96</v>
      </c>
      <c r="B102" s="73">
        <v>39</v>
      </c>
      <c r="C102" s="77">
        <v>6.1159</v>
      </c>
      <c r="D102" s="73">
        <v>8640</v>
      </c>
      <c r="E102" s="73">
        <v>111360</v>
      </c>
      <c r="F102" s="78">
        <v>0.775</v>
      </c>
    </row>
    <row r="103" spans="1:6">
      <c r="A103" s="73" t="s">
        <v>96</v>
      </c>
      <c r="B103" s="73">
        <v>40</v>
      </c>
      <c r="C103" s="77">
        <v>6.2727</v>
      </c>
      <c r="D103" s="73">
        <v>9120</v>
      </c>
      <c r="E103" s="73">
        <v>120000</v>
      </c>
      <c r="F103" s="78">
        <v>0.7</v>
      </c>
    </row>
    <row r="104" spans="1:6">
      <c r="A104" s="73" t="s">
        <v>96</v>
      </c>
      <c r="B104" s="73">
        <v>41</v>
      </c>
      <c r="C104" s="77">
        <v>6.4295</v>
      </c>
      <c r="D104" s="73">
        <v>9760</v>
      </c>
      <c r="E104" s="73">
        <v>129120</v>
      </c>
      <c r="F104" s="78">
        <v>0.7</v>
      </c>
    </row>
    <row r="105" spans="1:6">
      <c r="A105" s="73" t="s">
        <v>96</v>
      </c>
      <c r="B105" s="73">
        <v>42</v>
      </c>
      <c r="C105" s="77">
        <v>6.5863</v>
      </c>
      <c r="D105" s="73">
        <v>10400</v>
      </c>
      <c r="E105" s="73">
        <v>138880</v>
      </c>
      <c r="F105" s="78">
        <v>0.7</v>
      </c>
    </row>
    <row r="106" spans="1:6">
      <c r="A106" s="73" t="s">
        <v>96</v>
      </c>
      <c r="B106" s="73">
        <v>43</v>
      </c>
      <c r="C106" s="77">
        <v>6.7431</v>
      </c>
      <c r="D106" s="73">
        <v>11040</v>
      </c>
      <c r="E106" s="73">
        <v>149280</v>
      </c>
      <c r="F106" s="78">
        <v>0.7</v>
      </c>
    </row>
    <row r="107" spans="1:6">
      <c r="A107" s="73" t="s">
        <v>96</v>
      </c>
      <c r="B107" s="73">
        <v>44</v>
      </c>
      <c r="C107" s="77">
        <v>6.8999</v>
      </c>
      <c r="D107" s="73">
        <v>11680</v>
      </c>
      <c r="E107" s="73">
        <v>160320</v>
      </c>
      <c r="F107" s="78">
        <v>0.7</v>
      </c>
    </row>
    <row r="108" spans="1:6">
      <c r="A108" s="73" t="s">
        <v>96</v>
      </c>
      <c r="B108" s="73">
        <v>45</v>
      </c>
      <c r="C108" s="77">
        <v>7.0568</v>
      </c>
      <c r="D108" s="73">
        <v>12320</v>
      </c>
      <c r="E108" s="73">
        <v>172000</v>
      </c>
      <c r="F108" s="78">
        <v>0.7</v>
      </c>
    </row>
    <row r="109" spans="1:6">
      <c r="A109" s="73" t="s">
        <v>96</v>
      </c>
      <c r="B109" s="73">
        <v>46</v>
      </c>
      <c r="C109" s="77">
        <v>7.2136</v>
      </c>
      <c r="D109" s="73">
        <v>12960</v>
      </c>
      <c r="E109" s="73">
        <v>184320</v>
      </c>
      <c r="F109" s="78">
        <v>0.7</v>
      </c>
    </row>
    <row r="110" spans="1:6">
      <c r="A110" s="73" t="s">
        <v>96</v>
      </c>
      <c r="B110" s="73">
        <v>47</v>
      </c>
      <c r="C110" s="77">
        <v>7.3704</v>
      </c>
      <c r="D110" s="73">
        <v>13600</v>
      </c>
      <c r="E110" s="73">
        <v>197280</v>
      </c>
      <c r="F110" s="78">
        <v>0.7</v>
      </c>
    </row>
    <row r="111" spans="1:6">
      <c r="A111" s="73" t="s">
        <v>96</v>
      </c>
      <c r="B111" s="73">
        <v>48</v>
      </c>
      <c r="C111" s="77">
        <v>7.5272</v>
      </c>
      <c r="D111" s="73">
        <v>14240</v>
      </c>
      <c r="E111" s="73">
        <v>210880</v>
      </c>
      <c r="F111" s="78">
        <v>0.7</v>
      </c>
    </row>
    <row r="112" spans="1:6">
      <c r="A112" s="73" t="s">
        <v>96</v>
      </c>
      <c r="B112" s="73">
        <v>49</v>
      </c>
      <c r="C112" s="77">
        <v>7.684</v>
      </c>
      <c r="D112" s="73">
        <v>14880</v>
      </c>
      <c r="E112" s="73">
        <v>225120</v>
      </c>
      <c r="F112" s="78">
        <v>0.7</v>
      </c>
    </row>
    <row r="113" spans="1:6">
      <c r="A113" s="73" t="s">
        <v>96</v>
      </c>
      <c r="B113" s="73">
        <v>50</v>
      </c>
      <c r="C113" s="77">
        <v>7.8408</v>
      </c>
      <c r="D113" s="73">
        <v>18240</v>
      </c>
      <c r="E113" s="73">
        <v>240000</v>
      </c>
      <c r="F113" s="78">
        <v>0.625</v>
      </c>
    </row>
    <row r="114" spans="1:6">
      <c r="A114" s="73" t="s">
        <v>96</v>
      </c>
      <c r="B114" s="73">
        <v>51</v>
      </c>
      <c r="C114" s="77">
        <v>7.9977</v>
      </c>
      <c r="D114" s="73">
        <v>19520</v>
      </c>
      <c r="E114" s="73">
        <v>258240</v>
      </c>
      <c r="F114" s="78">
        <v>0.625</v>
      </c>
    </row>
    <row r="115" spans="1:6">
      <c r="A115" s="73" t="s">
        <v>96</v>
      </c>
      <c r="B115" s="73">
        <v>52</v>
      </c>
      <c r="C115" s="77">
        <v>8.1545</v>
      </c>
      <c r="D115" s="73">
        <v>20800</v>
      </c>
      <c r="E115" s="73">
        <v>277760</v>
      </c>
      <c r="F115" s="78">
        <v>0.625</v>
      </c>
    </row>
    <row r="116" spans="1:6">
      <c r="A116" s="73" t="s">
        <v>96</v>
      </c>
      <c r="B116" s="73">
        <v>53</v>
      </c>
      <c r="C116" s="77">
        <v>8.3113</v>
      </c>
      <c r="D116" s="73">
        <v>22080</v>
      </c>
      <c r="E116" s="73">
        <v>298560</v>
      </c>
      <c r="F116" s="78">
        <v>0.625</v>
      </c>
    </row>
    <row r="117" spans="1:6">
      <c r="A117" s="73" t="s">
        <v>96</v>
      </c>
      <c r="B117" s="73">
        <v>54</v>
      </c>
      <c r="C117" s="77">
        <v>8.4681</v>
      </c>
      <c r="D117" s="73">
        <v>23360</v>
      </c>
      <c r="E117" s="73">
        <v>320640</v>
      </c>
      <c r="F117" s="78">
        <v>0.625</v>
      </c>
    </row>
    <row r="118" spans="1:6">
      <c r="A118" s="73" t="s">
        <v>96</v>
      </c>
      <c r="B118" s="73">
        <v>55</v>
      </c>
      <c r="C118" s="77">
        <v>8.6249</v>
      </c>
      <c r="D118" s="73">
        <v>24640</v>
      </c>
      <c r="E118" s="73">
        <v>344000</v>
      </c>
      <c r="F118" s="78">
        <v>0.625</v>
      </c>
    </row>
    <row r="119" spans="1:6">
      <c r="A119" s="73" t="s">
        <v>96</v>
      </c>
      <c r="B119" s="73">
        <v>56</v>
      </c>
      <c r="C119" s="77">
        <v>8.7817</v>
      </c>
      <c r="D119" s="73">
        <v>25920</v>
      </c>
      <c r="E119" s="73">
        <v>368640</v>
      </c>
      <c r="F119" s="78">
        <v>0.625</v>
      </c>
    </row>
    <row r="120" spans="1:6">
      <c r="A120" s="73" t="s">
        <v>96</v>
      </c>
      <c r="B120" s="73">
        <v>57</v>
      </c>
      <c r="C120" s="77">
        <v>8.9386</v>
      </c>
      <c r="D120" s="73">
        <v>27200</v>
      </c>
      <c r="E120" s="73">
        <v>394560</v>
      </c>
      <c r="F120" s="78">
        <v>0.625</v>
      </c>
    </row>
    <row r="121" spans="1:6">
      <c r="A121" s="73" t="s">
        <v>96</v>
      </c>
      <c r="B121" s="73">
        <v>58</v>
      </c>
      <c r="C121" s="77">
        <v>9.0954</v>
      </c>
      <c r="D121" s="73">
        <v>28480</v>
      </c>
      <c r="E121" s="73">
        <v>421760</v>
      </c>
      <c r="F121" s="78">
        <v>0.625</v>
      </c>
    </row>
    <row r="122" spans="1:6">
      <c r="A122" s="73" t="s">
        <v>96</v>
      </c>
      <c r="B122" s="73">
        <v>59</v>
      </c>
      <c r="C122" s="77">
        <v>9.2522</v>
      </c>
      <c r="D122" s="73">
        <v>29760</v>
      </c>
      <c r="E122" s="73">
        <v>450240</v>
      </c>
      <c r="F122" s="78">
        <v>0.625</v>
      </c>
    </row>
    <row r="123" spans="1:6">
      <c r="A123" s="73" t="s">
        <v>96</v>
      </c>
      <c r="B123" s="73">
        <v>60</v>
      </c>
      <c r="C123" s="77">
        <v>9.409</v>
      </c>
      <c r="D123" s="73">
        <v>0</v>
      </c>
      <c r="E123" s="73">
        <v>480000</v>
      </c>
      <c r="F123" s="78">
        <v>0.55</v>
      </c>
    </row>
    <row r="124" spans="1:6">
      <c r="A124" s="73" t="s">
        <v>97</v>
      </c>
      <c r="B124" s="73">
        <v>0</v>
      </c>
      <c r="C124" s="77">
        <v>0</v>
      </c>
      <c r="D124" s="73">
        <v>30</v>
      </c>
      <c r="E124" s="73">
        <v>0</v>
      </c>
      <c r="F124" s="78">
        <v>1</v>
      </c>
    </row>
    <row r="125" spans="1:6">
      <c r="A125" s="73" t="s">
        <v>97</v>
      </c>
      <c r="B125" s="73">
        <v>1</v>
      </c>
      <c r="C125" s="77">
        <v>0.1568</v>
      </c>
      <c r="D125" s="73">
        <v>60</v>
      </c>
      <c r="E125" s="73">
        <v>30</v>
      </c>
      <c r="F125" s="78">
        <v>1</v>
      </c>
    </row>
    <row r="126" spans="1:6">
      <c r="A126" s="73" t="s">
        <v>97</v>
      </c>
      <c r="B126" s="73">
        <v>2</v>
      </c>
      <c r="C126" s="77">
        <v>0.3136</v>
      </c>
      <c r="D126" s="73">
        <v>90</v>
      </c>
      <c r="E126" s="73">
        <v>90</v>
      </c>
      <c r="F126" s="78">
        <v>1</v>
      </c>
    </row>
    <row r="127" spans="1:6">
      <c r="A127" s="73" t="s">
        <v>97</v>
      </c>
      <c r="B127" s="73">
        <v>3</v>
      </c>
      <c r="C127" s="77">
        <v>0.4705</v>
      </c>
      <c r="D127" s="73">
        <v>120</v>
      </c>
      <c r="E127" s="73">
        <v>180</v>
      </c>
      <c r="F127" s="78">
        <v>1</v>
      </c>
    </row>
    <row r="128" spans="1:6">
      <c r="A128" s="73" t="s">
        <v>97</v>
      </c>
      <c r="B128" s="73">
        <v>4</v>
      </c>
      <c r="C128" s="77">
        <v>0.6273</v>
      </c>
      <c r="D128" s="73">
        <v>180</v>
      </c>
      <c r="E128" s="73">
        <v>300</v>
      </c>
      <c r="F128" s="78">
        <v>1</v>
      </c>
    </row>
    <row r="129" spans="1:6">
      <c r="A129" s="73" t="s">
        <v>97</v>
      </c>
      <c r="B129" s="73">
        <v>5</v>
      </c>
      <c r="C129" s="77">
        <v>0.7841</v>
      </c>
      <c r="D129" s="73">
        <v>240</v>
      </c>
      <c r="E129" s="73">
        <v>480</v>
      </c>
      <c r="F129" s="78">
        <v>1</v>
      </c>
    </row>
    <row r="130" spans="1:6">
      <c r="A130" s="73" t="s">
        <v>97</v>
      </c>
      <c r="B130" s="73">
        <v>6</v>
      </c>
      <c r="C130" s="77">
        <v>0.9409</v>
      </c>
      <c r="D130" s="73">
        <v>300</v>
      </c>
      <c r="E130" s="73">
        <v>720</v>
      </c>
      <c r="F130" s="78">
        <v>1</v>
      </c>
    </row>
    <row r="131" spans="1:6">
      <c r="A131" s="73" t="s">
        <v>97</v>
      </c>
      <c r="B131" s="73">
        <v>7</v>
      </c>
      <c r="C131" s="77">
        <v>1.0977</v>
      </c>
      <c r="D131" s="73">
        <v>360</v>
      </c>
      <c r="E131" s="73">
        <v>1020</v>
      </c>
      <c r="F131" s="78">
        <v>1</v>
      </c>
    </row>
    <row r="132" spans="1:6">
      <c r="A132" s="73" t="s">
        <v>97</v>
      </c>
      <c r="B132" s="73">
        <v>8</v>
      </c>
      <c r="C132" s="77">
        <v>1.2545</v>
      </c>
      <c r="D132" s="73">
        <v>450</v>
      </c>
      <c r="E132" s="73">
        <v>1380</v>
      </c>
      <c r="F132" s="78">
        <v>1</v>
      </c>
    </row>
    <row r="133" spans="1:6">
      <c r="A133" s="73" t="s">
        <v>97</v>
      </c>
      <c r="B133" s="73">
        <v>9</v>
      </c>
      <c r="C133" s="77">
        <v>1.4114</v>
      </c>
      <c r="D133" s="73">
        <v>570</v>
      </c>
      <c r="E133" s="73">
        <v>1830</v>
      </c>
      <c r="F133" s="78">
        <v>1</v>
      </c>
    </row>
    <row r="134" spans="1:6">
      <c r="A134" s="73" t="s">
        <v>97</v>
      </c>
      <c r="B134" s="73">
        <v>10</v>
      </c>
      <c r="C134" s="77">
        <v>1.5682</v>
      </c>
      <c r="D134" s="73">
        <v>720</v>
      </c>
      <c r="E134" s="73">
        <v>2400</v>
      </c>
      <c r="F134" s="78">
        <v>0.95</v>
      </c>
    </row>
    <row r="135" spans="1:6">
      <c r="A135" s="73" t="s">
        <v>97</v>
      </c>
      <c r="B135" s="73">
        <v>11</v>
      </c>
      <c r="C135" s="77">
        <v>1.725</v>
      </c>
      <c r="D135" s="73">
        <v>770</v>
      </c>
      <c r="E135" s="73">
        <v>3120</v>
      </c>
      <c r="F135" s="78">
        <v>0.95</v>
      </c>
    </row>
    <row r="136" spans="1:6">
      <c r="A136" s="73" t="s">
        <v>97</v>
      </c>
      <c r="B136" s="73">
        <v>12</v>
      </c>
      <c r="C136" s="77">
        <v>1.8818</v>
      </c>
      <c r="D136" s="73">
        <v>830</v>
      </c>
      <c r="E136" s="73">
        <v>3890</v>
      </c>
      <c r="F136" s="78">
        <v>0.95</v>
      </c>
    </row>
    <row r="137" spans="1:6">
      <c r="A137" s="73" t="s">
        <v>97</v>
      </c>
      <c r="B137" s="73">
        <v>13</v>
      </c>
      <c r="C137" s="77">
        <v>2.0386</v>
      </c>
      <c r="D137" s="73">
        <v>880</v>
      </c>
      <c r="E137" s="73">
        <v>4720</v>
      </c>
      <c r="F137" s="78">
        <v>0.95</v>
      </c>
    </row>
    <row r="138" spans="1:6">
      <c r="A138" s="73" t="s">
        <v>97</v>
      </c>
      <c r="B138" s="73">
        <v>14</v>
      </c>
      <c r="C138" s="77">
        <v>2.1954</v>
      </c>
      <c r="D138" s="73">
        <v>935</v>
      </c>
      <c r="E138" s="73">
        <v>5600</v>
      </c>
      <c r="F138" s="78">
        <v>0.95</v>
      </c>
    </row>
    <row r="139" spans="1:6">
      <c r="A139" s="73" t="s">
        <v>97</v>
      </c>
      <c r="B139" s="73">
        <v>15</v>
      </c>
      <c r="C139" s="77">
        <v>2.3523</v>
      </c>
      <c r="D139" s="73">
        <v>985</v>
      </c>
      <c r="E139" s="73">
        <v>6535</v>
      </c>
      <c r="F139" s="78">
        <v>0.95</v>
      </c>
    </row>
    <row r="140" spans="1:6">
      <c r="A140" s="73" t="s">
        <v>97</v>
      </c>
      <c r="B140" s="73">
        <v>16</v>
      </c>
      <c r="C140" s="77">
        <v>2.5091</v>
      </c>
      <c r="D140" s="73">
        <v>1040</v>
      </c>
      <c r="E140" s="73">
        <v>7520</v>
      </c>
      <c r="F140" s="78">
        <v>0.95</v>
      </c>
    </row>
    <row r="141" spans="1:6">
      <c r="A141" s="73" t="s">
        <v>97</v>
      </c>
      <c r="B141" s="73">
        <v>17</v>
      </c>
      <c r="C141" s="77">
        <v>2.6659</v>
      </c>
      <c r="D141" s="73">
        <v>1095</v>
      </c>
      <c r="E141" s="73">
        <v>8560</v>
      </c>
      <c r="F141" s="78">
        <v>0.95</v>
      </c>
    </row>
    <row r="142" spans="1:6">
      <c r="A142" s="73" t="s">
        <v>97</v>
      </c>
      <c r="B142" s="73">
        <v>18</v>
      </c>
      <c r="C142" s="77">
        <v>2.8227</v>
      </c>
      <c r="D142" s="73">
        <v>1145</v>
      </c>
      <c r="E142" s="73">
        <v>9655</v>
      </c>
      <c r="F142" s="78">
        <v>0.95</v>
      </c>
    </row>
    <row r="143" spans="1:6">
      <c r="A143" s="73" t="s">
        <v>97</v>
      </c>
      <c r="B143" s="73">
        <v>19</v>
      </c>
      <c r="C143" s="77">
        <v>2.9795</v>
      </c>
      <c r="D143" s="73">
        <v>1200</v>
      </c>
      <c r="E143" s="73">
        <v>10800</v>
      </c>
      <c r="F143" s="78">
        <v>0.95</v>
      </c>
    </row>
    <row r="144" spans="1:6">
      <c r="A144" s="73" t="s">
        <v>97</v>
      </c>
      <c r="B144" s="73">
        <v>20</v>
      </c>
      <c r="C144" s="77">
        <v>3.1363</v>
      </c>
      <c r="D144" s="73">
        <v>1870</v>
      </c>
      <c r="E144" s="73">
        <v>12000</v>
      </c>
      <c r="F144" s="78">
        <v>0.9</v>
      </c>
    </row>
    <row r="145" spans="1:6">
      <c r="A145" s="73" t="s">
        <v>97</v>
      </c>
      <c r="B145" s="73">
        <v>21</v>
      </c>
      <c r="C145" s="77">
        <v>3.2932</v>
      </c>
      <c r="D145" s="73">
        <v>1990</v>
      </c>
      <c r="E145" s="73">
        <v>13870</v>
      </c>
      <c r="F145" s="78">
        <v>0.9</v>
      </c>
    </row>
    <row r="146" spans="1:6">
      <c r="A146" s="73" t="s">
        <v>97</v>
      </c>
      <c r="B146" s="73">
        <v>22</v>
      </c>
      <c r="C146" s="77">
        <v>3.45</v>
      </c>
      <c r="D146" s="73">
        <v>2105</v>
      </c>
      <c r="E146" s="73">
        <v>15860</v>
      </c>
      <c r="F146" s="78">
        <v>0.9</v>
      </c>
    </row>
    <row r="147" spans="1:6">
      <c r="A147" s="73" t="s">
        <v>97</v>
      </c>
      <c r="B147" s="73">
        <v>23</v>
      </c>
      <c r="C147" s="77">
        <v>3.6068</v>
      </c>
      <c r="D147" s="73">
        <v>2225</v>
      </c>
      <c r="E147" s="73">
        <v>17965</v>
      </c>
      <c r="F147" s="78">
        <v>0.9</v>
      </c>
    </row>
    <row r="148" spans="1:6">
      <c r="A148" s="73" t="s">
        <v>97</v>
      </c>
      <c r="B148" s="73">
        <v>24</v>
      </c>
      <c r="C148" s="77">
        <v>3.7636</v>
      </c>
      <c r="D148" s="73">
        <v>2340</v>
      </c>
      <c r="E148" s="73">
        <v>20190</v>
      </c>
      <c r="F148" s="78">
        <v>0.9</v>
      </c>
    </row>
    <row r="149" spans="1:6">
      <c r="A149" s="73" t="s">
        <v>97</v>
      </c>
      <c r="B149" s="73">
        <v>25</v>
      </c>
      <c r="C149" s="77">
        <v>3.9204</v>
      </c>
      <c r="D149" s="73">
        <v>2460</v>
      </c>
      <c r="E149" s="73">
        <v>22530</v>
      </c>
      <c r="F149" s="78">
        <v>0.9</v>
      </c>
    </row>
    <row r="150" spans="1:6">
      <c r="A150" s="73" t="s">
        <v>97</v>
      </c>
      <c r="B150" s="73">
        <v>26</v>
      </c>
      <c r="C150" s="77">
        <v>4.0772</v>
      </c>
      <c r="D150" s="73">
        <v>2575</v>
      </c>
      <c r="E150" s="73">
        <v>24990</v>
      </c>
      <c r="F150" s="78">
        <v>0.9</v>
      </c>
    </row>
    <row r="151" spans="1:6">
      <c r="A151" s="73" t="s">
        <v>97</v>
      </c>
      <c r="B151" s="73">
        <v>27</v>
      </c>
      <c r="C151" s="77">
        <v>4.2341</v>
      </c>
      <c r="D151" s="73">
        <v>2695</v>
      </c>
      <c r="E151" s="73">
        <v>27565</v>
      </c>
      <c r="F151" s="78">
        <v>0.9</v>
      </c>
    </row>
    <row r="152" spans="1:6">
      <c r="A152" s="73" t="s">
        <v>97</v>
      </c>
      <c r="B152" s="73">
        <v>28</v>
      </c>
      <c r="C152" s="77">
        <v>4.3909</v>
      </c>
      <c r="D152" s="73">
        <v>2810</v>
      </c>
      <c r="E152" s="73">
        <v>30260</v>
      </c>
      <c r="F152" s="78">
        <v>0.9</v>
      </c>
    </row>
    <row r="153" spans="1:6">
      <c r="A153" s="73" t="s">
        <v>97</v>
      </c>
      <c r="B153" s="73">
        <v>29</v>
      </c>
      <c r="C153" s="77">
        <v>4.5477</v>
      </c>
      <c r="D153" s="73">
        <v>2930</v>
      </c>
      <c r="E153" s="73">
        <v>33070</v>
      </c>
      <c r="F153" s="78">
        <v>0.9</v>
      </c>
    </row>
    <row r="154" spans="1:6">
      <c r="A154" s="73" t="s">
        <v>97</v>
      </c>
      <c r="B154" s="73">
        <v>30</v>
      </c>
      <c r="C154" s="77">
        <v>4.7045</v>
      </c>
      <c r="D154" s="73">
        <v>4320</v>
      </c>
      <c r="E154" s="73">
        <v>36000</v>
      </c>
      <c r="F154" s="78">
        <v>0.85</v>
      </c>
    </row>
    <row r="155" spans="1:6">
      <c r="A155" s="73" t="s">
        <v>97</v>
      </c>
      <c r="B155" s="73">
        <v>31</v>
      </c>
      <c r="C155" s="77">
        <v>4.8613</v>
      </c>
      <c r="D155" s="73">
        <v>4560</v>
      </c>
      <c r="E155" s="73">
        <v>40320</v>
      </c>
      <c r="F155" s="78">
        <v>0.85</v>
      </c>
    </row>
    <row r="156" spans="1:6">
      <c r="A156" s="73" t="s">
        <v>97</v>
      </c>
      <c r="B156" s="73">
        <v>32</v>
      </c>
      <c r="C156" s="77">
        <v>5.0181</v>
      </c>
      <c r="D156" s="73">
        <v>4800</v>
      </c>
      <c r="E156" s="73">
        <v>44880</v>
      </c>
      <c r="F156" s="78">
        <v>0.85</v>
      </c>
    </row>
    <row r="157" spans="1:6">
      <c r="A157" s="73" t="s">
        <v>97</v>
      </c>
      <c r="B157" s="73">
        <v>33</v>
      </c>
      <c r="C157" s="77">
        <v>5.175</v>
      </c>
      <c r="D157" s="73">
        <v>5040</v>
      </c>
      <c r="E157" s="73">
        <v>49680</v>
      </c>
      <c r="F157" s="78">
        <v>0.85</v>
      </c>
    </row>
    <row r="158" spans="1:6">
      <c r="A158" s="73" t="s">
        <v>97</v>
      </c>
      <c r="B158" s="73">
        <v>34</v>
      </c>
      <c r="C158" s="77">
        <v>5.3318</v>
      </c>
      <c r="D158" s="73">
        <v>5280</v>
      </c>
      <c r="E158" s="73">
        <v>54720</v>
      </c>
      <c r="F158" s="78">
        <v>0.85</v>
      </c>
    </row>
    <row r="159" spans="1:6">
      <c r="A159" s="73" t="s">
        <v>97</v>
      </c>
      <c r="B159" s="73">
        <v>35</v>
      </c>
      <c r="C159" s="77">
        <v>5.4886</v>
      </c>
      <c r="D159" s="73">
        <v>5520</v>
      </c>
      <c r="E159" s="73">
        <v>60000</v>
      </c>
      <c r="F159" s="78">
        <v>0.85</v>
      </c>
    </row>
    <row r="160" spans="1:6">
      <c r="A160" s="73" t="s">
        <v>97</v>
      </c>
      <c r="B160" s="73">
        <v>36</v>
      </c>
      <c r="C160" s="77">
        <v>5.6454</v>
      </c>
      <c r="D160" s="73">
        <v>5760</v>
      </c>
      <c r="E160" s="73">
        <v>65520</v>
      </c>
      <c r="F160" s="78">
        <v>0.85</v>
      </c>
    </row>
    <row r="161" spans="1:6">
      <c r="A161" s="73" t="s">
        <v>97</v>
      </c>
      <c r="B161" s="73">
        <v>37</v>
      </c>
      <c r="C161" s="77">
        <v>5.8022</v>
      </c>
      <c r="D161" s="73">
        <v>6000</v>
      </c>
      <c r="E161" s="73">
        <v>71280</v>
      </c>
      <c r="F161" s="78">
        <v>0.85</v>
      </c>
    </row>
    <row r="162" spans="1:6">
      <c r="A162" s="73" t="s">
        <v>97</v>
      </c>
      <c r="B162" s="73">
        <v>38</v>
      </c>
      <c r="C162" s="77">
        <v>5.959</v>
      </c>
      <c r="D162" s="73">
        <v>6240</v>
      </c>
      <c r="E162" s="73">
        <v>77280</v>
      </c>
      <c r="F162" s="78">
        <v>0.85</v>
      </c>
    </row>
    <row r="163" spans="1:6">
      <c r="A163" s="73" t="s">
        <v>97</v>
      </c>
      <c r="B163" s="73">
        <v>39</v>
      </c>
      <c r="C163" s="77">
        <v>6.1159</v>
      </c>
      <c r="D163" s="73">
        <v>6480</v>
      </c>
      <c r="E163" s="73">
        <v>83520</v>
      </c>
      <c r="F163" s="78">
        <v>0.85</v>
      </c>
    </row>
    <row r="164" spans="1:6">
      <c r="A164" s="73" t="s">
        <v>97</v>
      </c>
      <c r="B164" s="73">
        <v>40</v>
      </c>
      <c r="C164" s="77">
        <v>6.2727</v>
      </c>
      <c r="D164" s="73">
        <v>6840</v>
      </c>
      <c r="E164" s="73">
        <v>90000</v>
      </c>
      <c r="F164" s="78">
        <v>0.8</v>
      </c>
    </row>
    <row r="165" spans="1:6">
      <c r="A165" s="73" t="s">
        <v>97</v>
      </c>
      <c r="B165" s="73">
        <v>41</v>
      </c>
      <c r="C165" s="77">
        <v>6.4295</v>
      </c>
      <c r="D165" s="73">
        <v>7320</v>
      </c>
      <c r="E165" s="73">
        <v>96840</v>
      </c>
      <c r="F165" s="78">
        <v>0.8</v>
      </c>
    </row>
    <row r="166" spans="1:6">
      <c r="A166" s="73" t="s">
        <v>97</v>
      </c>
      <c r="B166" s="73">
        <v>42</v>
      </c>
      <c r="C166" s="77">
        <v>6.5863</v>
      </c>
      <c r="D166" s="73">
        <v>7800</v>
      </c>
      <c r="E166" s="73">
        <v>104160</v>
      </c>
      <c r="F166" s="78">
        <v>0.8</v>
      </c>
    </row>
    <row r="167" spans="1:6">
      <c r="A167" s="73" t="s">
        <v>97</v>
      </c>
      <c r="B167" s="73">
        <v>43</v>
      </c>
      <c r="C167" s="77">
        <v>6.7431</v>
      </c>
      <c r="D167" s="73">
        <v>8280</v>
      </c>
      <c r="E167" s="73">
        <v>111960</v>
      </c>
      <c r="F167" s="78">
        <v>0.8</v>
      </c>
    </row>
    <row r="168" spans="1:6">
      <c r="A168" s="73" t="s">
        <v>97</v>
      </c>
      <c r="B168" s="73">
        <v>44</v>
      </c>
      <c r="C168" s="77">
        <v>6.8999</v>
      </c>
      <c r="D168" s="73">
        <v>8760</v>
      </c>
      <c r="E168" s="73">
        <v>120240</v>
      </c>
      <c r="F168" s="78">
        <v>0.8</v>
      </c>
    </row>
    <row r="169" spans="1:6">
      <c r="A169" s="73" t="s">
        <v>97</v>
      </c>
      <c r="B169" s="73">
        <v>45</v>
      </c>
      <c r="C169" s="77">
        <v>7.0568</v>
      </c>
      <c r="D169" s="73">
        <v>9240</v>
      </c>
      <c r="E169" s="73">
        <v>129000</v>
      </c>
      <c r="F169" s="78">
        <v>0.8</v>
      </c>
    </row>
    <row r="170" spans="1:6">
      <c r="A170" s="73" t="s">
        <v>97</v>
      </c>
      <c r="B170" s="73">
        <v>46</v>
      </c>
      <c r="C170" s="77">
        <v>7.2136</v>
      </c>
      <c r="D170" s="73">
        <v>9720</v>
      </c>
      <c r="E170" s="73">
        <v>138240</v>
      </c>
      <c r="F170" s="78">
        <v>0.8</v>
      </c>
    </row>
    <row r="171" spans="1:6">
      <c r="A171" s="73" t="s">
        <v>97</v>
      </c>
      <c r="B171" s="73">
        <v>47</v>
      </c>
      <c r="C171" s="77">
        <v>7.3704</v>
      </c>
      <c r="D171" s="73">
        <v>10200</v>
      </c>
      <c r="E171" s="73">
        <v>147960</v>
      </c>
      <c r="F171" s="78">
        <v>0.8</v>
      </c>
    </row>
    <row r="172" spans="1:6">
      <c r="A172" s="73" t="s">
        <v>97</v>
      </c>
      <c r="B172" s="73">
        <v>48</v>
      </c>
      <c r="C172" s="77">
        <v>7.5272</v>
      </c>
      <c r="D172" s="73">
        <v>10680</v>
      </c>
      <c r="E172" s="73">
        <v>158160</v>
      </c>
      <c r="F172" s="78">
        <v>0.8</v>
      </c>
    </row>
    <row r="173" spans="1:6">
      <c r="A173" s="73" t="s">
        <v>97</v>
      </c>
      <c r="B173" s="73">
        <v>49</v>
      </c>
      <c r="C173" s="77">
        <v>7.684</v>
      </c>
      <c r="D173" s="73">
        <v>11160</v>
      </c>
      <c r="E173" s="73">
        <v>168840</v>
      </c>
      <c r="F173" s="78">
        <v>0.8</v>
      </c>
    </row>
    <row r="174" spans="1:6">
      <c r="A174" s="73" t="s">
        <v>97</v>
      </c>
      <c r="B174" s="73">
        <v>50</v>
      </c>
      <c r="C174" s="77">
        <v>7.8408</v>
      </c>
      <c r="D174" s="73">
        <v>13680</v>
      </c>
      <c r="E174" s="73">
        <v>180000</v>
      </c>
      <c r="F174" s="78">
        <v>0.75</v>
      </c>
    </row>
    <row r="175" spans="1:6">
      <c r="A175" s="73" t="s">
        <v>97</v>
      </c>
      <c r="B175" s="73">
        <v>51</v>
      </c>
      <c r="C175" s="77">
        <v>7.9977</v>
      </c>
      <c r="D175" s="73">
        <v>14640</v>
      </c>
      <c r="E175" s="73">
        <v>193680</v>
      </c>
      <c r="F175" s="78">
        <v>0.75</v>
      </c>
    </row>
    <row r="176" spans="1:6">
      <c r="A176" s="73" t="s">
        <v>97</v>
      </c>
      <c r="B176" s="73">
        <v>52</v>
      </c>
      <c r="C176" s="77">
        <v>8.1545</v>
      </c>
      <c r="D176" s="73">
        <v>15600</v>
      </c>
      <c r="E176" s="73">
        <v>208320</v>
      </c>
      <c r="F176" s="78">
        <v>0.75</v>
      </c>
    </row>
    <row r="177" spans="1:6">
      <c r="A177" s="73" t="s">
        <v>97</v>
      </c>
      <c r="B177" s="73">
        <v>53</v>
      </c>
      <c r="C177" s="77">
        <v>8.3113</v>
      </c>
      <c r="D177" s="73">
        <v>16560</v>
      </c>
      <c r="E177" s="73">
        <v>223920</v>
      </c>
      <c r="F177" s="78">
        <v>0.75</v>
      </c>
    </row>
    <row r="178" spans="1:6">
      <c r="A178" s="73" t="s">
        <v>97</v>
      </c>
      <c r="B178" s="73">
        <v>54</v>
      </c>
      <c r="C178" s="77">
        <v>8.4681</v>
      </c>
      <c r="D178" s="73">
        <v>17520</v>
      </c>
      <c r="E178" s="73">
        <v>240480</v>
      </c>
      <c r="F178" s="78">
        <v>0.75</v>
      </c>
    </row>
    <row r="179" spans="1:6">
      <c r="A179" s="73" t="s">
        <v>97</v>
      </c>
      <c r="B179" s="73">
        <v>55</v>
      </c>
      <c r="C179" s="77">
        <v>8.6249</v>
      </c>
      <c r="D179" s="73">
        <v>18480</v>
      </c>
      <c r="E179" s="73">
        <v>258000</v>
      </c>
      <c r="F179" s="78">
        <v>0.75</v>
      </c>
    </row>
    <row r="180" spans="1:6">
      <c r="A180" s="73" t="s">
        <v>97</v>
      </c>
      <c r="B180" s="73">
        <v>56</v>
      </c>
      <c r="C180" s="77">
        <v>8.7817</v>
      </c>
      <c r="D180" s="73">
        <v>19440</v>
      </c>
      <c r="E180" s="73">
        <v>276480</v>
      </c>
      <c r="F180" s="78">
        <v>0.75</v>
      </c>
    </row>
    <row r="181" spans="1:6">
      <c r="A181" s="73" t="s">
        <v>97</v>
      </c>
      <c r="B181" s="73">
        <v>57</v>
      </c>
      <c r="C181" s="77">
        <v>8.9386</v>
      </c>
      <c r="D181" s="73">
        <v>20400</v>
      </c>
      <c r="E181" s="73">
        <v>295920</v>
      </c>
      <c r="F181" s="78">
        <v>0.75</v>
      </c>
    </row>
    <row r="182" spans="1:6">
      <c r="A182" s="73" t="s">
        <v>97</v>
      </c>
      <c r="B182" s="73">
        <v>58</v>
      </c>
      <c r="C182" s="77">
        <v>9.0954</v>
      </c>
      <c r="D182" s="73">
        <v>21360</v>
      </c>
      <c r="E182" s="73">
        <v>316320</v>
      </c>
      <c r="F182" s="78">
        <v>0.75</v>
      </c>
    </row>
    <row r="183" spans="1:6">
      <c r="A183" s="73" t="s">
        <v>97</v>
      </c>
      <c r="B183" s="73">
        <v>59</v>
      </c>
      <c r="C183" s="77">
        <v>9.2522</v>
      </c>
      <c r="D183" s="73">
        <v>22320</v>
      </c>
      <c r="E183" s="73">
        <v>337680</v>
      </c>
      <c r="F183" s="78">
        <v>0.75</v>
      </c>
    </row>
    <row r="184" spans="1:6">
      <c r="A184" s="73" t="s">
        <v>97</v>
      </c>
      <c r="B184" s="73">
        <v>60</v>
      </c>
      <c r="C184" s="77">
        <v>9.409</v>
      </c>
      <c r="D184" s="73">
        <v>0</v>
      </c>
      <c r="E184" s="73">
        <v>360000</v>
      </c>
      <c r="F184" s="78">
        <v>0.7</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2026-05-05T12:07:08Z</dcterms:created>
  <dcterms:modified xsi:type="dcterms:W3CDTF">2026-05-05T12:07:08Z</dcterms:modified>
</cp:coreProperties>
</file>